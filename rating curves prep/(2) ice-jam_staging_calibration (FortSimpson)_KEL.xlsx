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IWS\lectures\River Science 2026\rating curves prep\"/>
    </mc:Choice>
  </mc:AlternateContent>
  <xr:revisionPtr revIDLastSave="0" documentId="8_{6ACFB898-38F1-4BFE-BF24-4B55BB71BF56}" xr6:coauthVersionLast="47" xr6:coauthVersionMax="47" xr10:uidLastSave="{00000000-0000-0000-0000-000000000000}"/>
  <bookViews>
    <workbookView xWindow="5040" yWindow="-14265" windowWidth="23175" windowHeight="13350" xr2:uid="{00000000-000D-0000-FFFF-FFFF00000000}"/>
  </bookViews>
  <sheets>
    <sheet name="ranges" sheetId="11" r:id="rId1"/>
    <sheet name="values" sheetId="3" r:id="rId2"/>
    <sheet name="geomorph" sheetId="10" r:id="rId3"/>
    <sheet name="HWmarks" sheetId="12" r:id="rId4"/>
  </sheets>
  <externalReferences>
    <externalReference r:id="rId5"/>
    <externalReference r:id="rId6"/>
  </externalReferences>
  <definedNames>
    <definedName name="solver_adj" localSheetId="1" hidden="1">values!$F$2,values!$J$2:$K$2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values!$F$2</definedName>
    <definedName name="solver_lhs2" localSheetId="1" hidden="1">values!$F$2</definedName>
    <definedName name="solver_lhs3" localSheetId="1" hidden="1">values!$J$2</definedName>
    <definedName name="solver_lhs4" localSheetId="1" hidden="1">values!$J$2</definedName>
    <definedName name="solver_lhs5" localSheetId="1" hidden="1">values!$K$2</definedName>
    <definedName name="solver_lhs6" localSheetId="1" hidden="1">values!$K$2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6</definedName>
    <definedName name="solver_nwt" localSheetId="1" hidden="1">1</definedName>
    <definedName name="solver_opt" localSheetId="1" hidden="1">values!#REF!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el5" localSheetId="1" hidden="1">1</definedName>
    <definedName name="solver_rel6" localSheetId="1" hidden="1">3</definedName>
    <definedName name="solver_rhs1" localSheetId="1" hidden="1">0.7</definedName>
    <definedName name="solver_rhs2" localSheetId="1" hidden="1">0.1</definedName>
    <definedName name="solver_rhs3" localSheetId="1" hidden="1">1.6</definedName>
    <definedName name="solver_rhs4" localSheetId="1" hidden="1">0.8</definedName>
    <definedName name="solver_rhs5" localSheetId="1" hidden="1">1.8</definedName>
    <definedName name="solver_rhs6" localSheetId="1" hidden="1">1.2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C10" i="3" s="1"/>
  <c r="D10" i="3"/>
  <c r="F10" i="3"/>
  <c r="J10" i="3"/>
  <c r="K10" i="3"/>
  <c r="B11" i="3"/>
  <c r="D11" i="3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D566" i="3" s="1"/>
  <c r="D567" i="3" s="1"/>
  <c r="D568" i="3" s="1"/>
  <c r="D569" i="3" s="1"/>
  <c r="D570" i="3" s="1"/>
  <c r="F11" i="3"/>
  <c r="J11" i="3"/>
  <c r="K11" i="3"/>
  <c r="B12" i="3"/>
  <c r="P12" i="3" s="1"/>
  <c r="F12" i="3"/>
  <c r="J12" i="3"/>
  <c r="K12" i="3"/>
  <c r="B13" i="3"/>
  <c r="P13" i="3" s="1"/>
  <c r="F13" i="3"/>
  <c r="J13" i="3"/>
  <c r="K13" i="3"/>
  <c r="B14" i="3"/>
  <c r="P14" i="3" s="1"/>
  <c r="F14" i="3"/>
  <c r="J14" i="3"/>
  <c r="K14" i="3"/>
  <c r="B15" i="3"/>
  <c r="P15" i="3" s="1"/>
  <c r="F15" i="3"/>
  <c r="J15" i="3"/>
  <c r="K15" i="3"/>
  <c r="B16" i="3"/>
  <c r="P16" i="3" s="1"/>
  <c r="F16" i="3"/>
  <c r="J16" i="3"/>
  <c r="K16" i="3"/>
  <c r="B17" i="3"/>
  <c r="P17" i="3" s="1"/>
  <c r="F17" i="3"/>
  <c r="J17" i="3"/>
  <c r="K17" i="3"/>
  <c r="B18" i="3"/>
  <c r="C18" i="3" s="1"/>
  <c r="F18" i="3"/>
  <c r="J18" i="3"/>
  <c r="K18" i="3"/>
  <c r="B19" i="3"/>
  <c r="P19" i="3" s="1"/>
  <c r="F19" i="3"/>
  <c r="J19" i="3"/>
  <c r="K19" i="3"/>
  <c r="B20" i="3"/>
  <c r="P20" i="3" s="1"/>
  <c r="F20" i="3"/>
  <c r="J20" i="3"/>
  <c r="K20" i="3"/>
  <c r="B21" i="3"/>
  <c r="P21" i="3" s="1"/>
  <c r="F21" i="3"/>
  <c r="J21" i="3"/>
  <c r="K21" i="3"/>
  <c r="B22" i="3"/>
  <c r="P22" i="3" s="1"/>
  <c r="F22" i="3"/>
  <c r="J22" i="3"/>
  <c r="K22" i="3"/>
  <c r="B23" i="3"/>
  <c r="P23" i="3" s="1"/>
  <c r="F23" i="3"/>
  <c r="J23" i="3"/>
  <c r="K23" i="3"/>
  <c r="B24" i="3"/>
  <c r="C24" i="3" s="1"/>
  <c r="F24" i="3"/>
  <c r="J24" i="3"/>
  <c r="K24" i="3"/>
  <c r="B25" i="3"/>
  <c r="C25" i="3" s="1"/>
  <c r="F25" i="3"/>
  <c r="J25" i="3"/>
  <c r="K25" i="3"/>
  <c r="B26" i="3"/>
  <c r="C26" i="3" s="1"/>
  <c r="F26" i="3"/>
  <c r="J26" i="3"/>
  <c r="K26" i="3"/>
  <c r="B27" i="3"/>
  <c r="F27" i="3"/>
  <c r="J27" i="3"/>
  <c r="K27" i="3"/>
  <c r="B28" i="3"/>
  <c r="P28" i="3" s="1"/>
  <c r="F28" i="3"/>
  <c r="J28" i="3"/>
  <c r="K28" i="3"/>
  <c r="B29" i="3"/>
  <c r="F29" i="3"/>
  <c r="J29" i="3"/>
  <c r="K29" i="3"/>
  <c r="B30" i="3"/>
  <c r="P30" i="3" s="1"/>
  <c r="F30" i="3"/>
  <c r="J30" i="3"/>
  <c r="K30" i="3"/>
  <c r="B31" i="3"/>
  <c r="P31" i="3" s="1"/>
  <c r="F31" i="3"/>
  <c r="J31" i="3"/>
  <c r="K31" i="3"/>
  <c r="B32" i="3"/>
  <c r="P32" i="3" s="1"/>
  <c r="F32" i="3"/>
  <c r="J32" i="3"/>
  <c r="K32" i="3"/>
  <c r="B33" i="3"/>
  <c r="P33" i="3" s="1"/>
  <c r="F33" i="3"/>
  <c r="J33" i="3"/>
  <c r="K33" i="3"/>
  <c r="B34" i="3"/>
  <c r="C34" i="3" s="1"/>
  <c r="F34" i="3"/>
  <c r="J34" i="3"/>
  <c r="K34" i="3"/>
  <c r="B35" i="3"/>
  <c r="P35" i="3" s="1"/>
  <c r="F35" i="3"/>
  <c r="J35" i="3"/>
  <c r="K35" i="3"/>
  <c r="B36" i="3"/>
  <c r="P36" i="3" s="1"/>
  <c r="F36" i="3"/>
  <c r="J36" i="3"/>
  <c r="K36" i="3"/>
  <c r="B37" i="3"/>
  <c r="P37" i="3" s="1"/>
  <c r="F37" i="3"/>
  <c r="J37" i="3"/>
  <c r="K37" i="3"/>
  <c r="B38" i="3"/>
  <c r="C38" i="3" s="1"/>
  <c r="F38" i="3"/>
  <c r="J38" i="3"/>
  <c r="K38" i="3"/>
  <c r="B39" i="3"/>
  <c r="P39" i="3" s="1"/>
  <c r="F39" i="3"/>
  <c r="J39" i="3"/>
  <c r="K39" i="3"/>
  <c r="B40" i="3"/>
  <c r="C40" i="3" s="1"/>
  <c r="F40" i="3"/>
  <c r="J40" i="3"/>
  <c r="K40" i="3"/>
  <c r="B41" i="3"/>
  <c r="C41" i="3" s="1"/>
  <c r="F41" i="3"/>
  <c r="J41" i="3"/>
  <c r="K41" i="3"/>
  <c r="B42" i="3"/>
  <c r="P42" i="3" s="1"/>
  <c r="F42" i="3"/>
  <c r="J42" i="3"/>
  <c r="K42" i="3"/>
  <c r="B43" i="3"/>
  <c r="F43" i="3"/>
  <c r="J43" i="3"/>
  <c r="K43" i="3"/>
  <c r="B44" i="3"/>
  <c r="P44" i="3" s="1"/>
  <c r="F44" i="3"/>
  <c r="J44" i="3"/>
  <c r="K44" i="3"/>
  <c r="B45" i="3"/>
  <c r="P45" i="3" s="1"/>
  <c r="F45" i="3"/>
  <c r="J45" i="3"/>
  <c r="K45" i="3"/>
  <c r="B46" i="3"/>
  <c r="P46" i="3" s="1"/>
  <c r="F46" i="3"/>
  <c r="J46" i="3"/>
  <c r="K46" i="3"/>
  <c r="B47" i="3"/>
  <c r="P47" i="3" s="1"/>
  <c r="F47" i="3"/>
  <c r="J47" i="3"/>
  <c r="K47" i="3"/>
  <c r="B48" i="3"/>
  <c r="P48" i="3" s="1"/>
  <c r="F48" i="3"/>
  <c r="J48" i="3"/>
  <c r="K48" i="3"/>
  <c r="B49" i="3"/>
  <c r="P49" i="3" s="1"/>
  <c r="F49" i="3"/>
  <c r="J49" i="3"/>
  <c r="K49" i="3"/>
  <c r="B50" i="3"/>
  <c r="C50" i="3" s="1"/>
  <c r="F50" i="3"/>
  <c r="J50" i="3"/>
  <c r="K50" i="3"/>
  <c r="B51" i="3"/>
  <c r="P51" i="3" s="1"/>
  <c r="F51" i="3"/>
  <c r="J51" i="3"/>
  <c r="K51" i="3"/>
  <c r="B52" i="3"/>
  <c r="P52" i="3" s="1"/>
  <c r="F52" i="3"/>
  <c r="J52" i="3"/>
  <c r="K52" i="3"/>
  <c r="B53" i="3"/>
  <c r="P53" i="3" s="1"/>
  <c r="F53" i="3"/>
  <c r="J53" i="3"/>
  <c r="K53" i="3"/>
  <c r="B54" i="3"/>
  <c r="C54" i="3" s="1"/>
  <c r="F54" i="3"/>
  <c r="J54" i="3"/>
  <c r="K54" i="3"/>
  <c r="B55" i="3"/>
  <c r="P55" i="3" s="1"/>
  <c r="F55" i="3"/>
  <c r="J55" i="3"/>
  <c r="K55" i="3"/>
  <c r="B56" i="3"/>
  <c r="C56" i="3" s="1"/>
  <c r="F56" i="3"/>
  <c r="J56" i="3"/>
  <c r="K56" i="3"/>
  <c r="B57" i="3"/>
  <c r="C57" i="3" s="1"/>
  <c r="F57" i="3"/>
  <c r="J57" i="3"/>
  <c r="K57" i="3"/>
  <c r="B58" i="3"/>
  <c r="P58" i="3" s="1"/>
  <c r="F58" i="3"/>
  <c r="J58" i="3"/>
  <c r="K58" i="3"/>
  <c r="B59" i="3"/>
  <c r="F59" i="3"/>
  <c r="J59" i="3"/>
  <c r="K59" i="3"/>
  <c r="B60" i="3"/>
  <c r="P60" i="3" s="1"/>
  <c r="F60" i="3"/>
  <c r="J60" i="3"/>
  <c r="K60" i="3"/>
  <c r="B61" i="3"/>
  <c r="P61" i="3" s="1"/>
  <c r="F61" i="3"/>
  <c r="J61" i="3"/>
  <c r="K61" i="3"/>
  <c r="B62" i="3"/>
  <c r="P62" i="3" s="1"/>
  <c r="F62" i="3"/>
  <c r="J62" i="3"/>
  <c r="K62" i="3"/>
  <c r="B63" i="3"/>
  <c r="P63" i="3" s="1"/>
  <c r="F63" i="3"/>
  <c r="J63" i="3"/>
  <c r="K63" i="3"/>
  <c r="B64" i="3"/>
  <c r="P64" i="3" s="1"/>
  <c r="F64" i="3"/>
  <c r="J64" i="3"/>
  <c r="K64" i="3"/>
  <c r="B65" i="3"/>
  <c r="P65" i="3" s="1"/>
  <c r="F65" i="3"/>
  <c r="J65" i="3"/>
  <c r="K65" i="3"/>
  <c r="B66" i="3"/>
  <c r="P66" i="3" s="1"/>
  <c r="F66" i="3"/>
  <c r="J66" i="3"/>
  <c r="K66" i="3"/>
  <c r="B67" i="3"/>
  <c r="P67" i="3" s="1"/>
  <c r="F67" i="3"/>
  <c r="J67" i="3"/>
  <c r="K67" i="3"/>
  <c r="B68" i="3"/>
  <c r="P68" i="3" s="1"/>
  <c r="F68" i="3"/>
  <c r="J68" i="3"/>
  <c r="K68" i="3"/>
  <c r="B69" i="3"/>
  <c r="P69" i="3" s="1"/>
  <c r="F69" i="3"/>
  <c r="J69" i="3"/>
  <c r="K69" i="3"/>
  <c r="B70" i="3"/>
  <c r="C70" i="3" s="1"/>
  <c r="F70" i="3"/>
  <c r="J70" i="3"/>
  <c r="K70" i="3"/>
  <c r="B71" i="3"/>
  <c r="P71" i="3" s="1"/>
  <c r="F71" i="3"/>
  <c r="J71" i="3"/>
  <c r="K71" i="3"/>
  <c r="B72" i="3"/>
  <c r="C72" i="3" s="1"/>
  <c r="F72" i="3"/>
  <c r="J72" i="3"/>
  <c r="K72" i="3"/>
  <c r="B73" i="3"/>
  <c r="C73" i="3" s="1"/>
  <c r="F73" i="3"/>
  <c r="J73" i="3"/>
  <c r="K73" i="3"/>
  <c r="B74" i="3"/>
  <c r="P74" i="3" s="1"/>
  <c r="F74" i="3"/>
  <c r="J74" i="3"/>
  <c r="K74" i="3"/>
  <c r="B75" i="3"/>
  <c r="F75" i="3"/>
  <c r="J75" i="3"/>
  <c r="K75" i="3"/>
  <c r="B76" i="3"/>
  <c r="P76" i="3" s="1"/>
  <c r="F76" i="3"/>
  <c r="J76" i="3"/>
  <c r="K76" i="3"/>
  <c r="B77" i="3"/>
  <c r="P77" i="3" s="1"/>
  <c r="F77" i="3"/>
  <c r="J77" i="3"/>
  <c r="K77" i="3"/>
  <c r="B78" i="3"/>
  <c r="P78" i="3" s="1"/>
  <c r="F78" i="3"/>
  <c r="J78" i="3"/>
  <c r="K78" i="3"/>
  <c r="B79" i="3"/>
  <c r="F79" i="3"/>
  <c r="J79" i="3"/>
  <c r="K79" i="3"/>
  <c r="B80" i="3"/>
  <c r="P80" i="3" s="1"/>
  <c r="F80" i="3"/>
  <c r="J80" i="3"/>
  <c r="K80" i="3"/>
  <c r="B81" i="3"/>
  <c r="P81" i="3" s="1"/>
  <c r="F81" i="3"/>
  <c r="J81" i="3"/>
  <c r="K81" i="3"/>
  <c r="B82" i="3"/>
  <c r="P82" i="3" s="1"/>
  <c r="F82" i="3"/>
  <c r="J82" i="3"/>
  <c r="K82" i="3"/>
  <c r="B83" i="3"/>
  <c r="P83" i="3" s="1"/>
  <c r="F83" i="3"/>
  <c r="J83" i="3"/>
  <c r="K83" i="3"/>
  <c r="B84" i="3"/>
  <c r="P84" i="3" s="1"/>
  <c r="F84" i="3"/>
  <c r="J84" i="3"/>
  <c r="K84" i="3"/>
  <c r="B85" i="3"/>
  <c r="P85" i="3" s="1"/>
  <c r="F85" i="3"/>
  <c r="J85" i="3"/>
  <c r="K85" i="3"/>
  <c r="B86" i="3"/>
  <c r="C86" i="3" s="1"/>
  <c r="F86" i="3"/>
  <c r="J86" i="3"/>
  <c r="K86" i="3"/>
  <c r="B87" i="3"/>
  <c r="P87" i="3" s="1"/>
  <c r="F87" i="3"/>
  <c r="J87" i="3"/>
  <c r="K87" i="3"/>
  <c r="B88" i="3"/>
  <c r="C88" i="3" s="1"/>
  <c r="F88" i="3"/>
  <c r="J88" i="3"/>
  <c r="K88" i="3"/>
  <c r="B89" i="3"/>
  <c r="C89" i="3" s="1"/>
  <c r="F89" i="3"/>
  <c r="J89" i="3"/>
  <c r="K89" i="3"/>
  <c r="B90" i="3"/>
  <c r="P90" i="3" s="1"/>
  <c r="F90" i="3"/>
  <c r="J90" i="3"/>
  <c r="K90" i="3"/>
  <c r="B91" i="3"/>
  <c r="F91" i="3"/>
  <c r="J91" i="3"/>
  <c r="K91" i="3"/>
  <c r="B92" i="3"/>
  <c r="C92" i="3" s="1"/>
  <c r="F92" i="3"/>
  <c r="J92" i="3"/>
  <c r="K92" i="3"/>
  <c r="B93" i="3"/>
  <c r="P93" i="3" s="1"/>
  <c r="F93" i="3"/>
  <c r="J93" i="3"/>
  <c r="K93" i="3"/>
  <c r="B94" i="3"/>
  <c r="P94" i="3" s="1"/>
  <c r="F94" i="3"/>
  <c r="J94" i="3"/>
  <c r="K94" i="3"/>
  <c r="B95" i="3"/>
  <c r="F95" i="3"/>
  <c r="J95" i="3"/>
  <c r="K95" i="3"/>
  <c r="B96" i="3"/>
  <c r="C96" i="3" s="1"/>
  <c r="F96" i="3"/>
  <c r="J96" i="3"/>
  <c r="K96" i="3"/>
  <c r="B97" i="3"/>
  <c r="P97" i="3" s="1"/>
  <c r="F97" i="3"/>
  <c r="J97" i="3"/>
  <c r="K97" i="3"/>
  <c r="B98" i="3"/>
  <c r="P98" i="3" s="1"/>
  <c r="F98" i="3"/>
  <c r="J98" i="3"/>
  <c r="K98" i="3"/>
  <c r="B99" i="3"/>
  <c r="F99" i="3"/>
  <c r="J99" i="3"/>
  <c r="K99" i="3"/>
  <c r="B100" i="3"/>
  <c r="P100" i="3" s="1"/>
  <c r="F100" i="3"/>
  <c r="J100" i="3"/>
  <c r="K100" i="3"/>
  <c r="B101" i="3"/>
  <c r="F101" i="3"/>
  <c r="J101" i="3"/>
  <c r="K101" i="3"/>
  <c r="B102" i="3"/>
  <c r="P102" i="3" s="1"/>
  <c r="F102" i="3"/>
  <c r="J102" i="3"/>
  <c r="K102" i="3"/>
  <c r="B103" i="3"/>
  <c r="P103" i="3" s="1"/>
  <c r="F103" i="3"/>
  <c r="J103" i="3"/>
  <c r="K103" i="3"/>
  <c r="B104" i="3"/>
  <c r="C104" i="3" s="1"/>
  <c r="F104" i="3"/>
  <c r="J104" i="3"/>
  <c r="K104" i="3"/>
  <c r="B105" i="3"/>
  <c r="F105" i="3"/>
  <c r="J105" i="3"/>
  <c r="K105" i="3"/>
  <c r="B106" i="3"/>
  <c r="P106" i="3" s="1"/>
  <c r="F106" i="3"/>
  <c r="J106" i="3"/>
  <c r="K106" i="3"/>
  <c r="B107" i="3"/>
  <c r="C107" i="3" s="1"/>
  <c r="F107" i="3"/>
  <c r="J107" i="3"/>
  <c r="K107" i="3"/>
  <c r="B108" i="3"/>
  <c r="C108" i="3" s="1"/>
  <c r="F108" i="3"/>
  <c r="J108" i="3"/>
  <c r="K108" i="3"/>
  <c r="B109" i="3"/>
  <c r="C109" i="3" s="1"/>
  <c r="F109" i="3"/>
  <c r="J109" i="3"/>
  <c r="K109" i="3"/>
  <c r="B110" i="3"/>
  <c r="P110" i="3" s="1"/>
  <c r="F110" i="3"/>
  <c r="J110" i="3"/>
  <c r="K110" i="3"/>
  <c r="B111" i="3"/>
  <c r="P111" i="3" s="1"/>
  <c r="F111" i="3"/>
  <c r="J111" i="3"/>
  <c r="K111" i="3"/>
  <c r="B112" i="3"/>
  <c r="P112" i="3" s="1"/>
  <c r="F112" i="3"/>
  <c r="J112" i="3"/>
  <c r="K112" i="3"/>
  <c r="B113" i="3"/>
  <c r="P113" i="3" s="1"/>
  <c r="F113" i="3"/>
  <c r="J113" i="3"/>
  <c r="K113" i="3"/>
  <c r="B114" i="3"/>
  <c r="P114" i="3" s="1"/>
  <c r="F114" i="3"/>
  <c r="J114" i="3"/>
  <c r="K114" i="3"/>
  <c r="B115" i="3"/>
  <c r="F115" i="3"/>
  <c r="J115" i="3"/>
  <c r="K115" i="3"/>
  <c r="B116" i="3"/>
  <c r="P116" i="3" s="1"/>
  <c r="F116" i="3"/>
  <c r="J116" i="3"/>
  <c r="K116" i="3"/>
  <c r="B117" i="3"/>
  <c r="F117" i="3"/>
  <c r="J117" i="3"/>
  <c r="K117" i="3"/>
  <c r="B118" i="3"/>
  <c r="C118" i="3" s="1"/>
  <c r="F118" i="3"/>
  <c r="J118" i="3"/>
  <c r="K118" i="3"/>
  <c r="B119" i="3"/>
  <c r="P119" i="3" s="1"/>
  <c r="F119" i="3"/>
  <c r="J119" i="3"/>
  <c r="K119" i="3"/>
  <c r="B120" i="3"/>
  <c r="C120" i="3" s="1"/>
  <c r="F120" i="3"/>
  <c r="J120" i="3"/>
  <c r="K120" i="3"/>
  <c r="B121" i="3"/>
  <c r="C121" i="3" s="1"/>
  <c r="F121" i="3"/>
  <c r="J121" i="3"/>
  <c r="K121" i="3"/>
  <c r="B122" i="3"/>
  <c r="P122" i="3" s="1"/>
  <c r="F122" i="3"/>
  <c r="J122" i="3"/>
  <c r="K122" i="3"/>
  <c r="B123" i="3"/>
  <c r="C123" i="3" s="1"/>
  <c r="F123" i="3"/>
  <c r="J123" i="3"/>
  <c r="K123" i="3"/>
  <c r="B124" i="3"/>
  <c r="C124" i="3" s="1"/>
  <c r="F124" i="3"/>
  <c r="J124" i="3"/>
  <c r="K124" i="3"/>
  <c r="B125" i="3"/>
  <c r="P125" i="3" s="1"/>
  <c r="F125" i="3"/>
  <c r="J125" i="3"/>
  <c r="K125" i="3"/>
  <c r="B126" i="3"/>
  <c r="P126" i="3" s="1"/>
  <c r="F126" i="3"/>
  <c r="J126" i="3"/>
  <c r="K126" i="3"/>
  <c r="B127" i="3"/>
  <c r="P127" i="3" s="1"/>
  <c r="F127" i="3"/>
  <c r="J127" i="3"/>
  <c r="K127" i="3"/>
  <c r="B128" i="3"/>
  <c r="F128" i="3"/>
  <c r="J128" i="3"/>
  <c r="K128" i="3"/>
  <c r="B129" i="3"/>
  <c r="P129" i="3" s="1"/>
  <c r="F129" i="3"/>
  <c r="J129" i="3"/>
  <c r="K129" i="3"/>
  <c r="B130" i="3"/>
  <c r="P130" i="3" s="1"/>
  <c r="F130" i="3"/>
  <c r="J130" i="3"/>
  <c r="K130" i="3"/>
  <c r="B131" i="3"/>
  <c r="P131" i="3" s="1"/>
  <c r="F131" i="3"/>
  <c r="J131" i="3"/>
  <c r="K131" i="3"/>
  <c r="B132" i="3"/>
  <c r="P132" i="3" s="1"/>
  <c r="F132" i="3"/>
  <c r="J132" i="3"/>
  <c r="K132" i="3"/>
  <c r="B133" i="3"/>
  <c r="F133" i="3"/>
  <c r="J133" i="3"/>
  <c r="K133" i="3"/>
  <c r="B134" i="3"/>
  <c r="F134" i="3"/>
  <c r="J134" i="3"/>
  <c r="K134" i="3"/>
  <c r="B135" i="3"/>
  <c r="P135" i="3" s="1"/>
  <c r="F135" i="3"/>
  <c r="J135" i="3"/>
  <c r="K135" i="3"/>
  <c r="B136" i="3"/>
  <c r="P136" i="3" s="1"/>
  <c r="F136" i="3"/>
  <c r="J136" i="3"/>
  <c r="K136" i="3"/>
  <c r="B137" i="3"/>
  <c r="P137" i="3" s="1"/>
  <c r="F137" i="3"/>
  <c r="J137" i="3"/>
  <c r="K137" i="3"/>
  <c r="B138" i="3"/>
  <c r="P138" i="3" s="1"/>
  <c r="F138" i="3"/>
  <c r="J138" i="3"/>
  <c r="K138" i="3"/>
  <c r="B139" i="3"/>
  <c r="F139" i="3"/>
  <c r="J139" i="3"/>
  <c r="K139" i="3"/>
  <c r="B140" i="3"/>
  <c r="P140" i="3" s="1"/>
  <c r="F140" i="3"/>
  <c r="J140" i="3"/>
  <c r="K140" i="3"/>
  <c r="B141" i="3"/>
  <c r="P141" i="3" s="1"/>
  <c r="F141" i="3"/>
  <c r="J141" i="3"/>
  <c r="K141" i="3"/>
  <c r="B142" i="3"/>
  <c r="P142" i="3" s="1"/>
  <c r="F142" i="3"/>
  <c r="J142" i="3"/>
  <c r="K142" i="3"/>
  <c r="B143" i="3"/>
  <c r="P143" i="3" s="1"/>
  <c r="F143" i="3"/>
  <c r="J143" i="3"/>
  <c r="K143" i="3"/>
  <c r="B144" i="3"/>
  <c r="F144" i="3"/>
  <c r="J144" i="3"/>
  <c r="K144" i="3"/>
  <c r="B145" i="3"/>
  <c r="P145" i="3" s="1"/>
  <c r="F145" i="3"/>
  <c r="J145" i="3"/>
  <c r="K145" i="3"/>
  <c r="B146" i="3"/>
  <c r="C146" i="3" s="1"/>
  <c r="F146" i="3"/>
  <c r="J146" i="3"/>
  <c r="K146" i="3"/>
  <c r="B147" i="3"/>
  <c r="C147" i="3" s="1"/>
  <c r="F147" i="3"/>
  <c r="J147" i="3"/>
  <c r="K147" i="3"/>
  <c r="B148" i="3"/>
  <c r="C148" i="3" s="1"/>
  <c r="F148" i="3"/>
  <c r="J148" i="3"/>
  <c r="K148" i="3"/>
  <c r="B149" i="3"/>
  <c r="P149" i="3" s="1"/>
  <c r="F149" i="3"/>
  <c r="J149" i="3"/>
  <c r="K149" i="3"/>
  <c r="B150" i="3"/>
  <c r="P150" i="3" s="1"/>
  <c r="F150" i="3"/>
  <c r="J150" i="3"/>
  <c r="K150" i="3"/>
  <c r="B151" i="3"/>
  <c r="P151" i="3" s="1"/>
  <c r="F151" i="3"/>
  <c r="J151" i="3"/>
  <c r="K151" i="3"/>
  <c r="B152" i="3"/>
  <c r="P152" i="3" s="1"/>
  <c r="F152" i="3"/>
  <c r="J152" i="3"/>
  <c r="K152" i="3"/>
  <c r="B153" i="3"/>
  <c r="P153" i="3" s="1"/>
  <c r="F153" i="3"/>
  <c r="J153" i="3"/>
  <c r="K153" i="3"/>
  <c r="B154" i="3"/>
  <c r="P154" i="3" s="1"/>
  <c r="F154" i="3"/>
  <c r="J154" i="3"/>
  <c r="K154" i="3"/>
  <c r="B155" i="3"/>
  <c r="F155" i="3"/>
  <c r="J155" i="3"/>
  <c r="K155" i="3"/>
  <c r="B156" i="3"/>
  <c r="P156" i="3" s="1"/>
  <c r="F156" i="3"/>
  <c r="J156" i="3"/>
  <c r="K156" i="3"/>
  <c r="B157" i="3"/>
  <c r="C157" i="3" s="1"/>
  <c r="F157" i="3"/>
  <c r="J157" i="3"/>
  <c r="K157" i="3"/>
  <c r="B158" i="3"/>
  <c r="P158" i="3" s="1"/>
  <c r="F158" i="3"/>
  <c r="J158" i="3"/>
  <c r="K158" i="3"/>
  <c r="B159" i="3"/>
  <c r="P159" i="3" s="1"/>
  <c r="F159" i="3"/>
  <c r="J159" i="3"/>
  <c r="K159" i="3"/>
  <c r="B160" i="3"/>
  <c r="F160" i="3"/>
  <c r="J160" i="3"/>
  <c r="K160" i="3"/>
  <c r="B161" i="3"/>
  <c r="P161" i="3" s="1"/>
  <c r="F161" i="3"/>
  <c r="J161" i="3"/>
  <c r="K161" i="3"/>
  <c r="B162" i="3"/>
  <c r="C162" i="3" s="1"/>
  <c r="F162" i="3"/>
  <c r="J162" i="3"/>
  <c r="K162" i="3"/>
  <c r="B163" i="3"/>
  <c r="C163" i="3" s="1"/>
  <c r="F163" i="3"/>
  <c r="J163" i="3"/>
  <c r="K163" i="3"/>
  <c r="B164" i="3"/>
  <c r="F164" i="3"/>
  <c r="J164" i="3"/>
  <c r="K164" i="3"/>
  <c r="B165" i="3"/>
  <c r="C165" i="3" s="1"/>
  <c r="F165" i="3"/>
  <c r="J165" i="3"/>
  <c r="K165" i="3"/>
  <c r="B166" i="3"/>
  <c r="C166" i="3" s="1"/>
  <c r="F166" i="3"/>
  <c r="J166" i="3"/>
  <c r="K166" i="3"/>
  <c r="B167" i="3"/>
  <c r="P167" i="3" s="1"/>
  <c r="F167" i="3"/>
  <c r="J167" i="3"/>
  <c r="K167" i="3"/>
  <c r="B168" i="3"/>
  <c r="P168" i="3" s="1"/>
  <c r="F168" i="3"/>
  <c r="J168" i="3"/>
  <c r="K168" i="3"/>
  <c r="B169" i="3"/>
  <c r="C169" i="3" s="1"/>
  <c r="F169" i="3"/>
  <c r="J169" i="3"/>
  <c r="K169" i="3"/>
  <c r="B170" i="3"/>
  <c r="P170" i="3" s="1"/>
  <c r="F170" i="3"/>
  <c r="J170" i="3"/>
  <c r="K170" i="3"/>
  <c r="B171" i="3"/>
  <c r="F171" i="3"/>
  <c r="J171" i="3"/>
  <c r="K171" i="3"/>
  <c r="B172" i="3"/>
  <c r="P172" i="3" s="1"/>
  <c r="F172" i="3"/>
  <c r="J172" i="3"/>
  <c r="K172" i="3"/>
  <c r="B173" i="3"/>
  <c r="C173" i="3" s="1"/>
  <c r="F173" i="3"/>
  <c r="J173" i="3"/>
  <c r="K173" i="3"/>
  <c r="B174" i="3"/>
  <c r="P174" i="3" s="1"/>
  <c r="F174" i="3"/>
  <c r="J174" i="3"/>
  <c r="K174" i="3"/>
  <c r="B175" i="3"/>
  <c r="F175" i="3"/>
  <c r="J175" i="3"/>
  <c r="K175" i="3"/>
  <c r="B176" i="3"/>
  <c r="P176" i="3" s="1"/>
  <c r="F176" i="3"/>
  <c r="J176" i="3"/>
  <c r="K176" i="3"/>
  <c r="B177" i="3"/>
  <c r="P177" i="3" s="1"/>
  <c r="F177" i="3"/>
  <c r="J177" i="3"/>
  <c r="K177" i="3"/>
  <c r="B178" i="3"/>
  <c r="C178" i="3" s="1"/>
  <c r="F178" i="3"/>
  <c r="J178" i="3"/>
  <c r="K178" i="3"/>
  <c r="B179" i="3"/>
  <c r="C179" i="3" s="1"/>
  <c r="F179" i="3"/>
  <c r="J179" i="3"/>
  <c r="K179" i="3"/>
  <c r="B180" i="3"/>
  <c r="C180" i="3" s="1"/>
  <c r="F180" i="3"/>
  <c r="J180" i="3"/>
  <c r="K180" i="3"/>
  <c r="B181" i="3"/>
  <c r="F181" i="3"/>
  <c r="J181" i="3"/>
  <c r="K181" i="3"/>
  <c r="B182" i="3"/>
  <c r="P182" i="3" s="1"/>
  <c r="F182" i="3"/>
  <c r="J182" i="3"/>
  <c r="K182" i="3"/>
  <c r="B183" i="3"/>
  <c r="P183" i="3" s="1"/>
  <c r="F183" i="3"/>
  <c r="J183" i="3"/>
  <c r="K183" i="3"/>
  <c r="B184" i="3"/>
  <c r="C184" i="3" s="1"/>
  <c r="F184" i="3"/>
  <c r="J184" i="3"/>
  <c r="K184" i="3"/>
  <c r="B185" i="3"/>
  <c r="C185" i="3" s="1"/>
  <c r="F185" i="3"/>
  <c r="J185" i="3"/>
  <c r="K185" i="3"/>
  <c r="B186" i="3"/>
  <c r="P186" i="3" s="1"/>
  <c r="F186" i="3"/>
  <c r="J186" i="3"/>
  <c r="K186" i="3"/>
  <c r="B187" i="3"/>
  <c r="P187" i="3" s="1"/>
  <c r="F187" i="3"/>
  <c r="J187" i="3"/>
  <c r="K187" i="3"/>
  <c r="B188" i="3"/>
  <c r="C188" i="3" s="1"/>
  <c r="F188" i="3"/>
  <c r="J188" i="3"/>
  <c r="K188" i="3"/>
  <c r="B189" i="3"/>
  <c r="C189" i="3" s="1"/>
  <c r="F189" i="3"/>
  <c r="J189" i="3"/>
  <c r="K189" i="3"/>
  <c r="B190" i="3"/>
  <c r="C190" i="3" s="1"/>
  <c r="F190" i="3"/>
  <c r="J190" i="3"/>
  <c r="K190" i="3"/>
  <c r="B191" i="3"/>
  <c r="F191" i="3"/>
  <c r="J191" i="3"/>
  <c r="K191" i="3"/>
  <c r="B192" i="3"/>
  <c r="P192" i="3" s="1"/>
  <c r="F192" i="3"/>
  <c r="J192" i="3"/>
  <c r="K192" i="3"/>
  <c r="B193" i="3"/>
  <c r="C193" i="3" s="1"/>
  <c r="F193" i="3"/>
  <c r="J193" i="3"/>
  <c r="K193" i="3"/>
  <c r="B194" i="3"/>
  <c r="P194" i="3" s="1"/>
  <c r="F194" i="3"/>
  <c r="J194" i="3"/>
  <c r="K194" i="3"/>
  <c r="B195" i="3"/>
  <c r="P195" i="3" s="1"/>
  <c r="F195" i="3"/>
  <c r="J195" i="3"/>
  <c r="K195" i="3"/>
  <c r="B196" i="3"/>
  <c r="F196" i="3"/>
  <c r="J196" i="3"/>
  <c r="K196" i="3"/>
  <c r="B197" i="3"/>
  <c r="P197" i="3" s="1"/>
  <c r="F197" i="3"/>
  <c r="J197" i="3"/>
  <c r="K197" i="3"/>
  <c r="B198" i="3"/>
  <c r="P198" i="3" s="1"/>
  <c r="F198" i="3"/>
  <c r="J198" i="3"/>
  <c r="K198" i="3"/>
  <c r="B199" i="3"/>
  <c r="C199" i="3" s="1"/>
  <c r="F199" i="3"/>
  <c r="J199" i="3"/>
  <c r="K199" i="3"/>
  <c r="B200" i="3"/>
  <c r="P200" i="3" s="1"/>
  <c r="F200" i="3"/>
  <c r="J200" i="3"/>
  <c r="K200" i="3"/>
  <c r="B201" i="3"/>
  <c r="F201" i="3"/>
  <c r="J201" i="3"/>
  <c r="K201" i="3"/>
  <c r="B202" i="3"/>
  <c r="P202" i="3" s="1"/>
  <c r="F202" i="3"/>
  <c r="J202" i="3"/>
  <c r="K202" i="3"/>
  <c r="B203" i="3"/>
  <c r="P203" i="3" s="1"/>
  <c r="F203" i="3"/>
  <c r="J203" i="3"/>
  <c r="K203" i="3"/>
  <c r="B204" i="3"/>
  <c r="P204" i="3" s="1"/>
  <c r="F204" i="3"/>
  <c r="J204" i="3"/>
  <c r="K204" i="3"/>
  <c r="B205" i="3"/>
  <c r="C205" i="3" s="1"/>
  <c r="F205" i="3"/>
  <c r="J205" i="3"/>
  <c r="K205" i="3"/>
  <c r="B206" i="3"/>
  <c r="C206" i="3" s="1"/>
  <c r="F206" i="3"/>
  <c r="J206" i="3"/>
  <c r="K206" i="3"/>
  <c r="B207" i="3"/>
  <c r="P207" i="3" s="1"/>
  <c r="F207" i="3"/>
  <c r="J207" i="3"/>
  <c r="K207" i="3"/>
  <c r="B208" i="3"/>
  <c r="C208" i="3" s="1"/>
  <c r="F208" i="3"/>
  <c r="J208" i="3"/>
  <c r="K208" i="3"/>
  <c r="B209" i="3"/>
  <c r="C209" i="3" s="1"/>
  <c r="F209" i="3"/>
  <c r="J209" i="3"/>
  <c r="K209" i="3"/>
  <c r="B210" i="3"/>
  <c r="C210" i="3" s="1"/>
  <c r="F210" i="3"/>
  <c r="J210" i="3"/>
  <c r="K210" i="3"/>
  <c r="B211" i="3"/>
  <c r="C211" i="3" s="1"/>
  <c r="F211" i="3"/>
  <c r="J211" i="3"/>
  <c r="K211" i="3"/>
  <c r="B212" i="3"/>
  <c r="C212" i="3" s="1"/>
  <c r="F212" i="3"/>
  <c r="J212" i="3"/>
  <c r="K212" i="3"/>
  <c r="B213" i="3"/>
  <c r="F213" i="3"/>
  <c r="J213" i="3"/>
  <c r="K213" i="3"/>
  <c r="B214" i="3"/>
  <c r="C214" i="3" s="1"/>
  <c r="F214" i="3"/>
  <c r="J214" i="3"/>
  <c r="K214" i="3"/>
  <c r="B215" i="3"/>
  <c r="P215" i="3" s="1"/>
  <c r="F215" i="3"/>
  <c r="J215" i="3"/>
  <c r="K215" i="3"/>
  <c r="B216" i="3"/>
  <c r="P216" i="3" s="1"/>
  <c r="F216" i="3"/>
  <c r="J216" i="3"/>
  <c r="K216" i="3"/>
  <c r="B217" i="3"/>
  <c r="P217" i="3" s="1"/>
  <c r="F217" i="3"/>
  <c r="J217" i="3"/>
  <c r="K217" i="3"/>
  <c r="B218" i="3"/>
  <c r="P218" i="3" s="1"/>
  <c r="F218" i="3"/>
  <c r="J218" i="3"/>
  <c r="K218" i="3"/>
  <c r="B219" i="3"/>
  <c r="P219" i="3" s="1"/>
  <c r="F219" i="3"/>
  <c r="J219" i="3"/>
  <c r="K219" i="3"/>
  <c r="B220" i="3"/>
  <c r="P220" i="3" s="1"/>
  <c r="F220" i="3"/>
  <c r="J220" i="3"/>
  <c r="K220" i="3"/>
  <c r="B221" i="3"/>
  <c r="C221" i="3" s="1"/>
  <c r="F221" i="3"/>
  <c r="J221" i="3"/>
  <c r="K221" i="3"/>
  <c r="B222" i="3"/>
  <c r="P222" i="3" s="1"/>
  <c r="F222" i="3"/>
  <c r="J222" i="3"/>
  <c r="K222" i="3"/>
  <c r="B223" i="3"/>
  <c r="P223" i="3" s="1"/>
  <c r="F223" i="3"/>
  <c r="J223" i="3"/>
  <c r="K223" i="3"/>
  <c r="B224" i="3"/>
  <c r="F224" i="3"/>
  <c r="J224" i="3"/>
  <c r="K224" i="3"/>
  <c r="B225" i="3"/>
  <c r="C225" i="3" s="1"/>
  <c r="F225" i="3"/>
  <c r="J225" i="3"/>
  <c r="K225" i="3"/>
  <c r="B226" i="3"/>
  <c r="P226" i="3" s="1"/>
  <c r="F226" i="3"/>
  <c r="J226" i="3"/>
  <c r="K226" i="3"/>
  <c r="B227" i="3"/>
  <c r="F227" i="3"/>
  <c r="J227" i="3"/>
  <c r="K227" i="3"/>
  <c r="B228" i="3"/>
  <c r="P228" i="3" s="1"/>
  <c r="F228" i="3"/>
  <c r="J228" i="3"/>
  <c r="K228" i="3"/>
  <c r="B229" i="3"/>
  <c r="C229" i="3" s="1"/>
  <c r="F229" i="3"/>
  <c r="J229" i="3"/>
  <c r="K229" i="3"/>
  <c r="B230" i="3"/>
  <c r="C230" i="3" s="1"/>
  <c r="F230" i="3"/>
  <c r="J230" i="3"/>
  <c r="K230" i="3"/>
  <c r="B231" i="3"/>
  <c r="P231" i="3" s="1"/>
  <c r="F231" i="3"/>
  <c r="J231" i="3"/>
  <c r="K231" i="3"/>
  <c r="B232" i="3"/>
  <c r="P232" i="3" s="1"/>
  <c r="F232" i="3"/>
  <c r="J232" i="3"/>
  <c r="K232" i="3"/>
  <c r="B233" i="3"/>
  <c r="F233" i="3"/>
  <c r="J233" i="3"/>
  <c r="K233" i="3"/>
  <c r="B234" i="3"/>
  <c r="P234" i="3" s="1"/>
  <c r="F234" i="3"/>
  <c r="J234" i="3"/>
  <c r="K234" i="3"/>
  <c r="B235" i="3"/>
  <c r="P235" i="3" s="1"/>
  <c r="F235" i="3"/>
  <c r="J235" i="3"/>
  <c r="K235" i="3"/>
  <c r="B236" i="3"/>
  <c r="P236" i="3" s="1"/>
  <c r="F236" i="3"/>
  <c r="J236" i="3"/>
  <c r="K236" i="3"/>
  <c r="B237" i="3"/>
  <c r="C237" i="3" s="1"/>
  <c r="F237" i="3"/>
  <c r="J237" i="3"/>
  <c r="K237" i="3"/>
  <c r="B238" i="3"/>
  <c r="P238" i="3" s="1"/>
  <c r="F238" i="3"/>
  <c r="J238" i="3"/>
  <c r="K238" i="3"/>
  <c r="B239" i="3"/>
  <c r="P239" i="3" s="1"/>
  <c r="F239" i="3"/>
  <c r="J239" i="3"/>
  <c r="K239" i="3"/>
  <c r="B240" i="3"/>
  <c r="C240" i="3" s="1"/>
  <c r="F240" i="3"/>
  <c r="J240" i="3"/>
  <c r="K240" i="3"/>
  <c r="B241" i="3"/>
  <c r="F241" i="3"/>
  <c r="J241" i="3"/>
  <c r="K241" i="3"/>
  <c r="B242" i="3"/>
  <c r="C242" i="3" s="1"/>
  <c r="F242" i="3"/>
  <c r="J242" i="3"/>
  <c r="K242" i="3"/>
  <c r="B243" i="3"/>
  <c r="C243" i="3" s="1"/>
  <c r="F243" i="3"/>
  <c r="J243" i="3"/>
  <c r="K243" i="3"/>
  <c r="B244" i="3"/>
  <c r="P244" i="3" s="1"/>
  <c r="F244" i="3"/>
  <c r="J244" i="3"/>
  <c r="K244" i="3"/>
  <c r="B245" i="3"/>
  <c r="C245" i="3" s="1"/>
  <c r="F245" i="3"/>
  <c r="J245" i="3"/>
  <c r="K245" i="3"/>
  <c r="B246" i="3"/>
  <c r="F246" i="3"/>
  <c r="J246" i="3"/>
  <c r="K246" i="3"/>
  <c r="B247" i="3"/>
  <c r="P247" i="3" s="1"/>
  <c r="F247" i="3"/>
  <c r="J247" i="3"/>
  <c r="K247" i="3"/>
  <c r="B248" i="3"/>
  <c r="P248" i="3" s="1"/>
  <c r="F248" i="3"/>
  <c r="J248" i="3"/>
  <c r="K248" i="3"/>
  <c r="B249" i="3"/>
  <c r="P249" i="3" s="1"/>
  <c r="F249" i="3"/>
  <c r="J249" i="3"/>
  <c r="K249" i="3"/>
  <c r="B250" i="3"/>
  <c r="P250" i="3" s="1"/>
  <c r="F250" i="3"/>
  <c r="J250" i="3"/>
  <c r="K250" i="3"/>
  <c r="B251" i="3"/>
  <c r="P251" i="3" s="1"/>
  <c r="F251" i="3"/>
  <c r="J251" i="3"/>
  <c r="K251" i="3"/>
  <c r="B252" i="3"/>
  <c r="P252" i="3" s="1"/>
  <c r="F252" i="3"/>
  <c r="J252" i="3"/>
  <c r="K252" i="3"/>
  <c r="B253" i="3"/>
  <c r="C253" i="3" s="1"/>
  <c r="F253" i="3"/>
  <c r="J253" i="3"/>
  <c r="K253" i="3"/>
  <c r="B254" i="3"/>
  <c r="P254" i="3" s="1"/>
  <c r="F254" i="3"/>
  <c r="J254" i="3"/>
  <c r="K254" i="3"/>
  <c r="B255" i="3"/>
  <c r="P255" i="3" s="1"/>
  <c r="F255" i="3"/>
  <c r="J255" i="3"/>
  <c r="K255" i="3"/>
  <c r="B256" i="3"/>
  <c r="C256" i="3" s="1"/>
  <c r="F256" i="3"/>
  <c r="J256" i="3"/>
  <c r="K256" i="3"/>
  <c r="B257" i="3"/>
  <c r="C257" i="3" s="1"/>
  <c r="F257" i="3"/>
  <c r="J257" i="3"/>
  <c r="K257" i="3"/>
  <c r="B258" i="3"/>
  <c r="P258" i="3" s="1"/>
  <c r="F258" i="3"/>
  <c r="J258" i="3"/>
  <c r="K258" i="3"/>
  <c r="B259" i="3"/>
  <c r="C259" i="3" s="1"/>
  <c r="F259" i="3"/>
  <c r="J259" i="3"/>
  <c r="K259" i="3"/>
  <c r="B260" i="3"/>
  <c r="P260" i="3" s="1"/>
  <c r="F260" i="3"/>
  <c r="J260" i="3"/>
  <c r="K260" i="3"/>
  <c r="B261" i="3"/>
  <c r="P261" i="3" s="1"/>
  <c r="F261" i="3"/>
  <c r="J261" i="3"/>
  <c r="K261" i="3"/>
  <c r="B262" i="3"/>
  <c r="P262" i="3" s="1"/>
  <c r="F262" i="3"/>
  <c r="J262" i="3"/>
  <c r="K262" i="3"/>
  <c r="B263" i="3"/>
  <c r="P263" i="3" s="1"/>
  <c r="F263" i="3"/>
  <c r="J263" i="3"/>
  <c r="K263" i="3"/>
  <c r="B264" i="3"/>
  <c r="F264" i="3"/>
  <c r="J264" i="3"/>
  <c r="K264" i="3"/>
  <c r="B265" i="3"/>
  <c r="P265" i="3" s="1"/>
  <c r="F265" i="3"/>
  <c r="J265" i="3"/>
  <c r="K265" i="3"/>
  <c r="B266" i="3"/>
  <c r="C266" i="3" s="1"/>
  <c r="F266" i="3"/>
  <c r="J266" i="3"/>
  <c r="K266" i="3"/>
  <c r="B267" i="3"/>
  <c r="P267" i="3" s="1"/>
  <c r="F267" i="3"/>
  <c r="J267" i="3"/>
  <c r="K267" i="3"/>
  <c r="B268" i="3"/>
  <c r="P268" i="3" s="1"/>
  <c r="F268" i="3"/>
  <c r="J268" i="3"/>
  <c r="K268" i="3"/>
  <c r="B269" i="3"/>
  <c r="P269" i="3" s="1"/>
  <c r="F269" i="3"/>
  <c r="J269" i="3"/>
  <c r="K269" i="3"/>
  <c r="B270" i="3"/>
  <c r="P270" i="3" s="1"/>
  <c r="F270" i="3"/>
  <c r="J270" i="3"/>
  <c r="K270" i="3"/>
  <c r="B271" i="3"/>
  <c r="P271" i="3" s="1"/>
  <c r="F271" i="3"/>
  <c r="J271" i="3"/>
  <c r="K271" i="3"/>
  <c r="B272" i="3"/>
  <c r="C272" i="3" s="1"/>
  <c r="F272" i="3"/>
  <c r="J272" i="3"/>
  <c r="K272" i="3"/>
  <c r="B273" i="3"/>
  <c r="C273" i="3" s="1"/>
  <c r="F273" i="3"/>
  <c r="J273" i="3"/>
  <c r="K273" i="3"/>
  <c r="B274" i="3"/>
  <c r="C274" i="3" s="1"/>
  <c r="F274" i="3"/>
  <c r="J274" i="3"/>
  <c r="K274" i="3"/>
  <c r="B275" i="3"/>
  <c r="F275" i="3"/>
  <c r="J275" i="3"/>
  <c r="K275" i="3"/>
  <c r="B276" i="3"/>
  <c r="P276" i="3" s="1"/>
  <c r="F276" i="3"/>
  <c r="J276" i="3"/>
  <c r="K276" i="3"/>
  <c r="B277" i="3"/>
  <c r="P277" i="3" s="1"/>
  <c r="F277" i="3"/>
  <c r="J277" i="3"/>
  <c r="K277" i="3"/>
  <c r="B278" i="3"/>
  <c r="P278" i="3" s="1"/>
  <c r="F278" i="3"/>
  <c r="J278" i="3"/>
  <c r="K278" i="3"/>
  <c r="B279" i="3"/>
  <c r="P279" i="3" s="1"/>
  <c r="F279" i="3"/>
  <c r="J279" i="3"/>
  <c r="K279" i="3"/>
  <c r="B280" i="3"/>
  <c r="P280" i="3" s="1"/>
  <c r="F280" i="3"/>
  <c r="J280" i="3"/>
  <c r="K280" i="3"/>
  <c r="B281" i="3"/>
  <c r="C281" i="3" s="1"/>
  <c r="F281" i="3"/>
  <c r="J281" i="3"/>
  <c r="K281" i="3"/>
  <c r="B282" i="3"/>
  <c r="C282" i="3" s="1"/>
  <c r="F282" i="3"/>
  <c r="J282" i="3"/>
  <c r="K282" i="3"/>
  <c r="B283" i="3"/>
  <c r="C283" i="3" s="1"/>
  <c r="F283" i="3"/>
  <c r="J283" i="3"/>
  <c r="K283" i="3"/>
  <c r="B284" i="3"/>
  <c r="P284" i="3" s="1"/>
  <c r="F284" i="3"/>
  <c r="J284" i="3"/>
  <c r="K284" i="3"/>
  <c r="B285" i="3"/>
  <c r="P285" i="3" s="1"/>
  <c r="F285" i="3"/>
  <c r="J285" i="3"/>
  <c r="K285" i="3"/>
  <c r="B286" i="3"/>
  <c r="P286" i="3" s="1"/>
  <c r="F286" i="3"/>
  <c r="J286" i="3"/>
  <c r="K286" i="3"/>
  <c r="B287" i="3"/>
  <c r="C287" i="3" s="1"/>
  <c r="F287" i="3"/>
  <c r="J287" i="3"/>
  <c r="K287" i="3"/>
  <c r="B288" i="3"/>
  <c r="F288" i="3"/>
  <c r="J288" i="3"/>
  <c r="K288" i="3"/>
  <c r="B289" i="3"/>
  <c r="P289" i="3" s="1"/>
  <c r="F289" i="3"/>
  <c r="J289" i="3"/>
  <c r="K289" i="3"/>
  <c r="B290" i="3"/>
  <c r="F290" i="3"/>
  <c r="J290" i="3"/>
  <c r="K290" i="3"/>
  <c r="B291" i="3"/>
  <c r="P291" i="3" s="1"/>
  <c r="F291" i="3"/>
  <c r="J291" i="3"/>
  <c r="K291" i="3"/>
  <c r="B292" i="3"/>
  <c r="P292" i="3" s="1"/>
  <c r="F292" i="3"/>
  <c r="J292" i="3"/>
  <c r="K292" i="3"/>
  <c r="B293" i="3"/>
  <c r="P293" i="3" s="1"/>
  <c r="F293" i="3"/>
  <c r="J293" i="3"/>
  <c r="K293" i="3"/>
  <c r="B294" i="3"/>
  <c r="C294" i="3" s="1"/>
  <c r="F294" i="3"/>
  <c r="J294" i="3"/>
  <c r="K294" i="3"/>
  <c r="B295" i="3"/>
  <c r="P295" i="3" s="1"/>
  <c r="F295" i="3"/>
  <c r="J295" i="3"/>
  <c r="K295" i="3"/>
  <c r="B296" i="3"/>
  <c r="P296" i="3" s="1"/>
  <c r="F296" i="3"/>
  <c r="J296" i="3"/>
  <c r="K296" i="3"/>
  <c r="B297" i="3"/>
  <c r="C297" i="3" s="1"/>
  <c r="F297" i="3"/>
  <c r="J297" i="3"/>
  <c r="K297" i="3"/>
  <c r="B298" i="3"/>
  <c r="C298" i="3" s="1"/>
  <c r="F298" i="3"/>
  <c r="J298" i="3"/>
  <c r="K298" i="3"/>
  <c r="B299" i="3"/>
  <c r="C299" i="3" s="1"/>
  <c r="F299" i="3"/>
  <c r="J299" i="3"/>
  <c r="K299" i="3"/>
  <c r="B300" i="3"/>
  <c r="F300" i="3"/>
  <c r="J300" i="3"/>
  <c r="K300" i="3"/>
  <c r="B301" i="3"/>
  <c r="C301" i="3" s="1"/>
  <c r="F301" i="3"/>
  <c r="J301" i="3"/>
  <c r="K301" i="3"/>
  <c r="B302" i="3"/>
  <c r="P302" i="3" s="1"/>
  <c r="F302" i="3"/>
  <c r="J302" i="3"/>
  <c r="K302" i="3"/>
  <c r="B303" i="3"/>
  <c r="P303" i="3" s="1"/>
  <c r="F303" i="3"/>
  <c r="J303" i="3"/>
  <c r="K303" i="3"/>
  <c r="B304" i="3"/>
  <c r="P304" i="3" s="1"/>
  <c r="F304" i="3"/>
  <c r="J304" i="3"/>
  <c r="K304" i="3"/>
  <c r="B305" i="3"/>
  <c r="P305" i="3" s="1"/>
  <c r="F305" i="3"/>
  <c r="J305" i="3"/>
  <c r="K305" i="3"/>
  <c r="B306" i="3"/>
  <c r="P306" i="3" s="1"/>
  <c r="F306" i="3"/>
  <c r="J306" i="3"/>
  <c r="K306" i="3"/>
  <c r="B307" i="3"/>
  <c r="P307" i="3" s="1"/>
  <c r="F307" i="3"/>
  <c r="J307" i="3"/>
  <c r="K307" i="3"/>
  <c r="B308" i="3"/>
  <c r="P308" i="3" s="1"/>
  <c r="F308" i="3"/>
  <c r="J308" i="3"/>
  <c r="K308" i="3"/>
  <c r="B309" i="3"/>
  <c r="P309" i="3" s="1"/>
  <c r="F309" i="3"/>
  <c r="J309" i="3"/>
  <c r="K309" i="3"/>
  <c r="B310" i="3"/>
  <c r="P310" i="3" s="1"/>
  <c r="F310" i="3"/>
  <c r="J310" i="3"/>
  <c r="K310" i="3"/>
  <c r="B311" i="3"/>
  <c r="P311" i="3" s="1"/>
  <c r="F311" i="3"/>
  <c r="J311" i="3"/>
  <c r="K311" i="3"/>
  <c r="B312" i="3"/>
  <c r="P312" i="3" s="1"/>
  <c r="F312" i="3"/>
  <c r="J312" i="3"/>
  <c r="K312" i="3"/>
  <c r="B313" i="3"/>
  <c r="C313" i="3" s="1"/>
  <c r="F313" i="3"/>
  <c r="J313" i="3"/>
  <c r="K313" i="3"/>
  <c r="B314" i="3"/>
  <c r="C314" i="3" s="1"/>
  <c r="F314" i="3"/>
  <c r="J314" i="3"/>
  <c r="K314" i="3"/>
  <c r="B315" i="3"/>
  <c r="C315" i="3" s="1"/>
  <c r="F315" i="3"/>
  <c r="J315" i="3"/>
  <c r="K315" i="3"/>
  <c r="B316" i="3"/>
  <c r="C316" i="3" s="1"/>
  <c r="F316" i="3"/>
  <c r="J316" i="3"/>
  <c r="K316" i="3"/>
  <c r="B317" i="3"/>
  <c r="P317" i="3" s="1"/>
  <c r="F317" i="3"/>
  <c r="J317" i="3"/>
  <c r="K317" i="3"/>
  <c r="B318" i="3"/>
  <c r="P318" i="3" s="1"/>
  <c r="F318" i="3"/>
  <c r="J318" i="3"/>
  <c r="K318" i="3"/>
  <c r="B319" i="3"/>
  <c r="P319" i="3" s="1"/>
  <c r="F319" i="3"/>
  <c r="J319" i="3"/>
  <c r="K319" i="3"/>
  <c r="B320" i="3"/>
  <c r="P320" i="3" s="1"/>
  <c r="F320" i="3"/>
  <c r="J320" i="3"/>
  <c r="K320" i="3"/>
  <c r="B321" i="3"/>
  <c r="P321" i="3" s="1"/>
  <c r="F321" i="3"/>
  <c r="J321" i="3"/>
  <c r="K321" i="3"/>
  <c r="B322" i="3"/>
  <c r="P322" i="3" s="1"/>
  <c r="F322" i="3"/>
  <c r="J322" i="3"/>
  <c r="K322" i="3"/>
  <c r="B323" i="3"/>
  <c r="P323" i="3" s="1"/>
  <c r="F323" i="3"/>
  <c r="J323" i="3"/>
  <c r="K323" i="3"/>
  <c r="B324" i="3"/>
  <c r="F324" i="3"/>
  <c r="J324" i="3"/>
  <c r="K324" i="3"/>
  <c r="B325" i="3"/>
  <c r="P325" i="3" s="1"/>
  <c r="F325" i="3"/>
  <c r="J325" i="3"/>
  <c r="K325" i="3"/>
  <c r="B326" i="3"/>
  <c r="C326" i="3" s="1"/>
  <c r="F326" i="3"/>
  <c r="J326" i="3"/>
  <c r="K326" i="3"/>
  <c r="B327" i="3"/>
  <c r="P327" i="3" s="1"/>
  <c r="F327" i="3"/>
  <c r="J327" i="3"/>
  <c r="K327" i="3"/>
  <c r="B328" i="3"/>
  <c r="P328" i="3" s="1"/>
  <c r="F328" i="3"/>
  <c r="J328" i="3"/>
  <c r="K328" i="3"/>
  <c r="B329" i="3"/>
  <c r="C329" i="3" s="1"/>
  <c r="F329" i="3"/>
  <c r="J329" i="3"/>
  <c r="K329" i="3"/>
  <c r="B330" i="3"/>
  <c r="C330" i="3" s="1"/>
  <c r="F330" i="3"/>
  <c r="J330" i="3"/>
  <c r="K330" i="3"/>
  <c r="B331" i="3"/>
  <c r="C331" i="3" s="1"/>
  <c r="F331" i="3"/>
  <c r="J331" i="3"/>
  <c r="K331" i="3"/>
  <c r="B332" i="3"/>
  <c r="P332" i="3" s="1"/>
  <c r="F332" i="3"/>
  <c r="J332" i="3"/>
  <c r="K332" i="3"/>
  <c r="B333" i="3"/>
  <c r="C333" i="3" s="1"/>
  <c r="F333" i="3"/>
  <c r="J333" i="3"/>
  <c r="K333" i="3"/>
  <c r="B334" i="3"/>
  <c r="F334" i="3"/>
  <c r="J334" i="3"/>
  <c r="K334" i="3"/>
  <c r="B335" i="3"/>
  <c r="F335" i="3"/>
  <c r="J335" i="3"/>
  <c r="K335" i="3"/>
  <c r="B336" i="3"/>
  <c r="P336" i="3" s="1"/>
  <c r="F336" i="3"/>
  <c r="J336" i="3"/>
  <c r="K336" i="3"/>
  <c r="B337" i="3"/>
  <c r="P337" i="3" s="1"/>
  <c r="F337" i="3"/>
  <c r="J337" i="3"/>
  <c r="K337" i="3"/>
  <c r="B338" i="3"/>
  <c r="P338" i="3" s="1"/>
  <c r="F338" i="3"/>
  <c r="J338" i="3"/>
  <c r="K338" i="3"/>
  <c r="B339" i="3"/>
  <c r="C339" i="3" s="1"/>
  <c r="F339" i="3"/>
  <c r="J339" i="3"/>
  <c r="K339" i="3"/>
  <c r="B340" i="3"/>
  <c r="C340" i="3" s="1"/>
  <c r="F340" i="3"/>
  <c r="J340" i="3"/>
  <c r="K340" i="3"/>
  <c r="B341" i="3"/>
  <c r="P341" i="3" s="1"/>
  <c r="F341" i="3"/>
  <c r="J341" i="3"/>
  <c r="K341" i="3"/>
  <c r="B342" i="3"/>
  <c r="P342" i="3" s="1"/>
  <c r="F342" i="3"/>
  <c r="J342" i="3"/>
  <c r="K342" i="3"/>
  <c r="B343" i="3"/>
  <c r="P343" i="3" s="1"/>
  <c r="F343" i="3"/>
  <c r="J343" i="3"/>
  <c r="K343" i="3"/>
  <c r="B344" i="3"/>
  <c r="P344" i="3" s="1"/>
  <c r="F344" i="3"/>
  <c r="J344" i="3"/>
  <c r="K344" i="3"/>
  <c r="B345" i="3"/>
  <c r="P345" i="3" s="1"/>
  <c r="F345" i="3"/>
  <c r="J345" i="3"/>
  <c r="K345" i="3"/>
  <c r="B346" i="3"/>
  <c r="P346" i="3" s="1"/>
  <c r="F346" i="3"/>
  <c r="J346" i="3"/>
  <c r="K346" i="3"/>
  <c r="B347" i="3"/>
  <c r="P347" i="3" s="1"/>
  <c r="F347" i="3"/>
  <c r="J347" i="3"/>
  <c r="K347" i="3"/>
  <c r="B348" i="3"/>
  <c r="C348" i="3" s="1"/>
  <c r="F348" i="3"/>
  <c r="J348" i="3"/>
  <c r="K348" i="3"/>
  <c r="B349" i="3"/>
  <c r="C349" i="3" s="1"/>
  <c r="F349" i="3"/>
  <c r="J349" i="3"/>
  <c r="K349" i="3"/>
  <c r="B350" i="3"/>
  <c r="C350" i="3" s="1"/>
  <c r="F350" i="3"/>
  <c r="J350" i="3"/>
  <c r="K350" i="3"/>
  <c r="B351" i="3"/>
  <c r="C351" i="3" s="1"/>
  <c r="F351" i="3"/>
  <c r="J351" i="3"/>
  <c r="K351" i="3"/>
  <c r="B352" i="3"/>
  <c r="C352" i="3" s="1"/>
  <c r="F352" i="3"/>
  <c r="J352" i="3"/>
  <c r="K352" i="3"/>
  <c r="B353" i="3"/>
  <c r="P353" i="3" s="1"/>
  <c r="F353" i="3"/>
  <c r="J353" i="3"/>
  <c r="K353" i="3"/>
  <c r="B354" i="3"/>
  <c r="P354" i="3" s="1"/>
  <c r="F354" i="3"/>
  <c r="J354" i="3"/>
  <c r="K354" i="3"/>
  <c r="B355" i="3"/>
  <c r="F355" i="3"/>
  <c r="J355" i="3"/>
  <c r="K355" i="3"/>
  <c r="B356" i="3"/>
  <c r="P356" i="3" s="1"/>
  <c r="F356" i="3"/>
  <c r="J356" i="3"/>
  <c r="K356" i="3"/>
  <c r="B357" i="3"/>
  <c r="P357" i="3" s="1"/>
  <c r="F357" i="3"/>
  <c r="J357" i="3"/>
  <c r="K357" i="3"/>
  <c r="B358" i="3"/>
  <c r="C358" i="3" s="1"/>
  <c r="F358" i="3"/>
  <c r="J358" i="3"/>
  <c r="K358" i="3"/>
  <c r="B359" i="3"/>
  <c r="C359" i="3" s="1"/>
  <c r="F359" i="3"/>
  <c r="J359" i="3"/>
  <c r="K359" i="3"/>
  <c r="B360" i="3"/>
  <c r="P360" i="3" s="1"/>
  <c r="F360" i="3"/>
  <c r="J360" i="3"/>
  <c r="K360" i="3"/>
  <c r="B361" i="3"/>
  <c r="P361" i="3" s="1"/>
  <c r="F361" i="3"/>
  <c r="J361" i="3"/>
  <c r="K361" i="3"/>
  <c r="B362" i="3"/>
  <c r="P362" i="3" s="1"/>
  <c r="F362" i="3"/>
  <c r="J362" i="3"/>
  <c r="K362" i="3"/>
  <c r="B363" i="3"/>
  <c r="C363" i="3" s="1"/>
  <c r="F363" i="3"/>
  <c r="J363" i="3"/>
  <c r="K363" i="3"/>
  <c r="B364" i="3"/>
  <c r="P364" i="3" s="1"/>
  <c r="F364" i="3"/>
  <c r="J364" i="3"/>
  <c r="K364" i="3"/>
  <c r="B365" i="3"/>
  <c r="C365" i="3" s="1"/>
  <c r="F365" i="3"/>
  <c r="J365" i="3"/>
  <c r="K365" i="3"/>
  <c r="B366" i="3"/>
  <c r="C366" i="3" s="1"/>
  <c r="F366" i="3"/>
  <c r="J366" i="3"/>
  <c r="K366" i="3"/>
  <c r="B367" i="3"/>
  <c r="C367" i="3" s="1"/>
  <c r="F367" i="3"/>
  <c r="J367" i="3"/>
  <c r="K367" i="3"/>
  <c r="B368" i="3"/>
  <c r="F368" i="3"/>
  <c r="J368" i="3"/>
  <c r="K368" i="3"/>
  <c r="B369" i="3"/>
  <c r="P369" i="3" s="1"/>
  <c r="F369" i="3"/>
  <c r="J369" i="3"/>
  <c r="K369" i="3"/>
  <c r="B370" i="3"/>
  <c r="P370" i="3" s="1"/>
  <c r="F370" i="3"/>
  <c r="J370" i="3"/>
  <c r="K370" i="3"/>
  <c r="B371" i="3"/>
  <c r="P371" i="3" s="1"/>
  <c r="F371" i="3"/>
  <c r="J371" i="3"/>
  <c r="K371" i="3"/>
  <c r="B372" i="3"/>
  <c r="C372" i="3" s="1"/>
  <c r="F372" i="3"/>
  <c r="J372" i="3"/>
  <c r="K372" i="3"/>
  <c r="B373" i="3"/>
  <c r="P373" i="3" s="1"/>
  <c r="F373" i="3"/>
  <c r="J373" i="3"/>
  <c r="K373" i="3"/>
  <c r="B374" i="3"/>
  <c r="C374" i="3" s="1"/>
  <c r="F374" i="3"/>
  <c r="J374" i="3"/>
  <c r="K374" i="3"/>
  <c r="B375" i="3"/>
  <c r="F375" i="3"/>
  <c r="J375" i="3"/>
  <c r="K375" i="3"/>
  <c r="B376" i="3"/>
  <c r="P376" i="3" s="1"/>
  <c r="F376" i="3"/>
  <c r="J376" i="3"/>
  <c r="K376" i="3"/>
  <c r="B377" i="3"/>
  <c r="P377" i="3" s="1"/>
  <c r="F377" i="3"/>
  <c r="J377" i="3"/>
  <c r="K377" i="3"/>
  <c r="B378" i="3"/>
  <c r="P378" i="3" s="1"/>
  <c r="F378" i="3"/>
  <c r="J378" i="3"/>
  <c r="K378" i="3"/>
  <c r="B379" i="3"/>
  <c r="P379" i="3" s="1"/>
  <c r="F379" i="3"/>
  <c r="J379" i="3"/>
  <c r="K379" i="3"/>
  <c r="B380" i="3"/>
  <c r="C380" i="3" s="1"/>
  <c r="F380" i="3"/>
  <c r="J380" i="3"/>
  <c r="K380" i="3"/>
  <c r="B381" i="3"/>
  <c r="C381" i="3" s="1"/>
  <c r="F381" i="3"/>
  <c r="J381" i="3"/>
  <c r="K381" i="3"/>
  <c r="B382" i="3"/>
  <c r="C382" i="3" s="1"/>
  <c r="F382" i="3"/>
  <c r="J382" i="3"/>
  <c r="K382" i="3"/>
  <c r="B383" i="3"/>
  <c r="P383" i="3" s="1"/>
  <c r="F383" i="3"/>
  <c r="J383" i="3"/>
  <c r="K383" i="3"/>
  <c r="B384" i="3"/>
  <c r="P384" i="3" s="1"/>
  <c r="F384" i="3"/>
  <c r="J384" i="3"/>
  <c r="K384" i="3"/>
  <c r="B385" i="3"/>
  <c r="P385" i="3" s="1"/>
  <c r="F385" i="3"/>
  <c r="J385" i="3"/>
  <c r="K385" i="3"/>
  <c r="B386" i="3"/>
  <c r="F386" i="3"/>
  <c r="J386" i="3"/>
  <c r="K386" i="3"/>
  <c r="B387" i="3"/>
  <c r="P387" i="3" s="1"/>
  <c r="F387" i="3"/>
  <c r="J387" i="3"/>
  <c r="K387" i="3"/>
  <c r="B388" i="3"/>
  <c r="C388" i="3" s="1"/>
  <c r="F388" i="3"/>
  <c r="J388" i="3"/>
  <c r="K388" i="3"/>
  <c r="B389" i="3"/>
  <c r="F389" i="3"/>
  <c r="J389" i="3"/>
  <c r="K389" i="3"/>
  <c r="B390" i="3"/>
  <c r="P390" i="3" s="1"/>
  <c r="F390" i="3"/>
  <c r="J390" i="3"/>
  <c r="K390" i="3"/>
  <c r="B391" i="3"/>
  <c r="C391" i="3" s="1"/>
  <c r="F391" i="3"/>
  <c r="J391" i="3"/>
  <c r="K391" i="3"/>
  <c r="B392" i="3"/>
  <c r="P392" i="3" s="1"/>
  <c r="F392" i="3"/>
  <c r="J392" i="3"/>
  <c r="K392" i="3"/>
  <c r="B393" i="3"/>
  <c r="F393" i="3"/>
  <c r="J393" i="3"/>
  <c r="K393" i="3"/>
  <c r="B394" i="3"/>
  <c r="P394" i="3" s="1"/>
  <c r="F394" i="3"/>
  <c r="J394" i="3"/>
  <c r="K394" i="3"/>
  <c r="B395" i="3"/>
  <c r="P395" i="3" s="1"/>
  <c r="F395" i="3"/>
  <c r="J395" i="3"/>
  <c r="K395" i="3"/>
  <c r="B396" i="3"/>
  <c r="P396" i="3" s="1"/>
  <c r="F396" i="3"/>
  <c r="J396" i="3"/>
  <c r="K396" i="3"/>
  <c r="B397" i="3"/>
  <c r="P397" i="3" s="1"/>
  <c r="F397" i="3"/>
  <c r="J397" i="3"/>
  <c r="K397" i="3"/>
  <c r="B398" i="3"/>
  <c r="C398" i="3" s="1"/>
  <c r="F398" i="3"/>
  <c r="J398" i="3"/>
  <c r="K398" i="3"/>
  <c r="B399" i="3"/>
  <c r="P399" i="3" s="1"/>
  <c r="F399" i="3"/>
  <c r="J399" i="3"/>
  <c r="K399" i="3"/>
  <c r="B400" i="3"/>
  <c r="P400" i="3" s="1"/>
  <c r="F400" i="3"/>
  <c r="J400" i="3"/>
  <c r="K400" i="3"/>
  <c r="B401" i="3"/>
  <c r="P401" i="3" s="1"/>
  <c r="F401" i="3"/>
  <c r="J401" i="3"/>
  <c r="K401" i="3"/>
  <c r="B402" i="3"/>
  <c r="F402" i="3"/>
  <c r="J402" i="3"/>
  <c r="K402" i="3"/>
  <c r="B403" i="3"/>
  <c r="P403" i="3" s="1"/>
  <c r="F403" i="3"/>
  <c r="J403" i="3"/>
  <c r="K403" i="3"/>
  <c r="B404" i="3"/>
  <c r="P404" i="3" s="1"/>
  <c r="F404" i="3"/>
  <c r="J404" i="3"/>
  <c r="K404" i="3"/>
  <c r="B405" i="3"/>
  <c r="F405" i="3"/>
  <c r="J405" i="3"/>
  <c r="K405" i="3"/>
  <c r="B406" i="3"/>
  <c r="C406" i="3" s="1"/>
  <c r="F406" i="3"/>
  <c r="J406" i="3"/>
  <c r="K406" i="3"/>
  <c r="B407" i="3"/>
  <c r="C407" i="3" s="1"/>
  <c r="F407" i="3"/>
  <c r="J407" i="3"/>
  <c r="K407" i="3"/>
  <c r="B408" i="3"/>
  <c r="C408" i="3" s="1"/>
  <c r="F408" i="3"/>
  <c r="J408" i="3"/>
  <c r="K408" i="3"/>
  <c r="B409" i="3"/>
  <c r="F409" i="3"/>
  <c r="J409" i="3"/>
  <c r="K409" i="3"/>
  <c r="B410" i="3"/>
  <c r="P410" i="3" s="1"/>
  <c r="F410" i="3"/>
  <c r="J410" i="3"/>
  <c r="K410" i="3"/>
  <c r="B411" i="3"/>
  <c r="C411" i="3" s="1"/>
  <c r="F411" i="3"/>
  <c r="J411" i="3"/>
  <c r="K411" i="3"/>
  <c r="B412" i="3"/>
  <c r="P412" i="3" s="1"/>
  <c r="F412" i="3"/>
  <c r="J412" i="3"/>
  <c r="K412" i="3"/>
  <c r="B413" i="3"/>
  <c r="P413" i="3" s="1"/>
  <c r="F413" i="3"/>
  <c r="J413" i="3"/>
  <c r="K413" i="3"/>
  <c r="B414" i="3"/>
  <c r="F414" i="3"/>
  <c r="J414" i="3"/>
  <c r="K414" i="3"/>
  <c r="B415" i="3"/>
  <c r="P415" i="3" s="1"/>
  <c r="F415" i="3"/>
  <c r="J415" i="3"/>
  <c r="K415" i="3"/>
  <c r="B416" i="3"/>
  <c r="P416" i="3" s="1"/>
  <c r="F416" i="3"/>
  <c r="J416" i="3"/>
  <c r="K416" i="3"/>
  <c r="B417" i="3"/>
  <c r="C417" i="3" s="1"/>
  <c r="F417" i="3"/>
  <c r="J417" i="3"/>
  <c r="K417" i="3"/>
  <c r="B418" i="3"/>
  <c r="F418" i="3"/>
  <c r="J418" i="3"/>
  <c r="K418" i="3"/>
  <c r="B419" i="3"/>
  <c r="F419" i="3"/>
  <c r="J419" i="3"/>
  <c r="K419" i="3"/>
  <c r="B420" i="3"/>
  <c r="P420" i="3" s="1"/>
  <c r="F420" i="3"/>
  <c r="J420" i="3"/>
  <c r="K420" i="3"/>
  <c r="B421" i="3"/>
  <c r="P421" i="3" s="1"/>
  <c r="F421" i="3"/>
  <c r="J421" i="3"/>
  <c r="K421" i="3"/>
  <c r="B422" i="3"/>
  <c r="P422" i="3" s="1"/>
  <c r="F422" i="3"/>
  <c r="J422" i="3"/>
  <c r="K422" i="3"/>
  <c r="B423" i="3"/>
  <c r="F423" i="3"/>
  <c r="J423" i="3"/>
  <c r="K423" i="3"/>
  <c r="B424" i="3"/>
  <c r="C424" i="3" s="1"/>
  <c r="F424" i="3"/>
  <c r="J424" i="3"/>
  <c r="K424" i="3"/>
  <c r="B425" i="3"/>
  <c r="C425" i="3" s="1"/>
  <c r="F425" i="3"/>
  <c r="J425" i="3"/>
  <c r="K425" i="3"/>
  <c r="B426" i="3"/>
  <c r="P426" i="3" s="1"/>
  <c r="F426" i="3"/>
  <c r="J426" i="3"/>
  <c r="K426" i="3"/>
  <c r="B427" i="3"/>
  <c r="C427" i="3" s="1"/>
  <c r="F427" i="3"/>
  <c r="J427" i="3"/>
  <c r="K427" i="3"/>
  <c r="B428" i="3"/>
  <c r="C428" i="3" s="1"/>
  <c r="F428" i="3"/>
  <c r="J428" i="3"/>
  <c r="K428" i="3"/>
  <c r="B429" i="3"/>
  <c r="P429" i="3" s="1"/>
  <c r="F429" i="3"/>
  <c r="J429" i="3"/>
  <c r="K429" i="3"/>
  <c r="B430" i="3"/>
  <c r="C430" i="3" s="1"/>
  <c r="F430" i="3"/>
  <c r="J430" i="3"/>
  <c r="K430" i="3"/>
  <c r="B431" i="3"/>
  <c r="F431" i="3"/>
  <c r="J431" i="3"/>
  <c r="K431" i="3"/>
  <c r="B432" i="3"/>
  <c r="P432" i="3" s="1"/>
  <c r="F432" i="3"/>
  <c r="J432" i="3"/>
  <c r="K432" i="3"/>
  <c r="B433" i="3"/>
  <c r="P433" i="3" s="1"/>
  <c r="F433" i="3"/>
  <c r="J433" i="3"/>
  <c r="K433" i="3"/>
  <c r="B434" i="3"/>
  <c r="F434" i="3"/>
  <c r="J434" i="3"/>
  <c r="K434" i="3"/>
  <c r="B435" i="3"/>
  <c r="C435" i="3" s="1"/>
  <c r="F435" i="3"/>
  <c r="J435" i="3"/>
  <c r="K435" i="3"/>
  <c r="B436" i="3"/>
  <c r="P436" i="3" s="1"/>
  <c r="F436" i="3"/>
  <c r="J436" i="3"/>
  <c r="K436" i="3"/>
  <c r="B437" i="3"/>
  <c r="P437" i="3" s="1"/>
  <c r="F437" i="3"/>
  <c r="J437" i="3"/>
  <c r="K437" i="3"/>
  <c r="B438" i="3"/>
  <c r="P438" i="3" s="1"/>
  <c r="F438" i="3"/>
  <c r="J438" i="3"/>
  <c r="K438" i="3"/>
  <c r="B439" i="3"/>
  <c r="P439" i="3" s="1"/>
  <c r="F439" i="3"/>
  <c r="J439" i="3"/>
  <c r="K439" i="3"/>
  <c r="B440" i="3"/>
  <c r="C440" i="3" s="1"/>
  <c r="F440" i="3"/>
  <c r="J440" i="3"/>
  <c r="K440" i="3"/>
  <c r="B441" i="3"/>
  <c r="C441" i="3" s="1"/>
  <c r="F441" i="3"/>
  <c r="J441" i="3"/>
  <c r="K441" i="3"/>
  <c r="B442" i="3"/>
  <c r="P442" i="3" s="1"/>
  <c r="F442" i="3"/>
  <c r="J442" i="3"/>
  <c r="K442" i="3"/>
  <c r="B443" i="3"/>
  <c r="F443" i="3"/>
  <c r="J443" i="3"/>
  <c r="K443" i="3"/>
  <c r="B444" i="3"/>
  <c r="P444" i="3" s="1"/>
  <c r="F444" i="3"/>
  <c r="J444" i="3"/>
  <c r="K444" i="3"/>
  <c r="B445" i="3"/>
  <c r="F445" i="3"/>
  <c r="J445" i="3"/>
  <c r="K445" i="3"/>
  <c r="B446" i="3"/>
  <c r="C446" i="3" s="1"/>
  <c r="F446" i="3"/>
  <c r="J446" i="3"/>
  <c r="K446" i="3"/>
  <c r="B447" i="3"/>
  <c r="C447" i="3" s="1"/>
  <c r="F447" i="3"/>
  <c r="J447" i="3"/>
  <c r="K447" i="3"/>
  <c r="B448" i="3"/>
  <c r="P448" i="3" s="1"/>
  <c r="F448" i="3"/>
  <c r="J448" i="3"/>
  <c r="K448" i="3"/>
  <c r="B449" i="3"/>
  <c r="F449" i="3"/>
  <c r="J449" i="3"/>
  <c r="K449" i="3"/>
  <c r="B450" i="3"/>
  <c r="F450" i="3"/>
  <c r="J450" i="3"/>
  <c r="K450" i="3"/>
  <c r="B451" i="3"/>
  <c r="C451" i="3" s="1"/>
  <c r="F451" i="3"/>
  <c r="J451" i="3"/>
  <c r="K451" i="3"/>
  <c r="B452" i="3"/>
  <c r="P452" i="3" s="1"/>
  <c r="F452" i="3"/>
  <c r="J452" i="3"/>
  <c r="K452" i="3"/>
  <c r="B453" i="3"/>
  <c r="P453" i="3" s="1"/>
  <c r="F453" i="3"/>
  <c r="J453" i="3"/>
  <c r="K453" i="3"/>
  <c r="B454" i="3"/>
  <c r="P454" i="3" s="1"/>
  <c r="F454" i="3"/>
  <c r="J454" i="3"/>
  <c r="K454" i="3"/>
  <c r="B455" i="3"/>
  <c r="P455" i="3" s="1"/>
  <c r="F455" i="3"/>
  <c r="J455" i="3"/>
  <c r="K455" i="3"/>
  <c r="B456" i="3"/>
  <c r="C456" i="3" s="1"/>
  <c r="F456" i="3"/>
  <c r="J456" i="3"/>
  <c r="K456" i="3"/>
  <c r="B457" i="3"/>
  <c r="C457" i="3" s="1"/>
  <c r="F457" i="3"/>
  <c r="J457" i="3"/>
  <c r="K457" i="3"/>
  <c r="B458" i="3"/>
  <c r="P458" i="3" s="1"/>
  <c r="F458" i="3"/>
  <c r="J458" i="3"/>
  <c r="K458" i="3"/>
  <c r="B459" i="3"/>
  <c r="C459" i="3" s="1"/>
  <c r="F459" i="3"/>
  <c r="J459" i="3"/>
  <c r="K459" i="3"/>
  <c r="B460" i="3"/>
  <c r="C460" i="3" s="1"/>
  <c r="F460" i="3"/>
  <c r="J460" i="3"/>
  <c r="K460" i="3"/>
  <c r="B461" i="3"/>
  <c r="C461" i="3" s="1"/>
  <c r="F461" i="3"/>
  <c r="J461" i="3"/>
  <c r="K461" i="3"/>
  <c r="B462" i="3"/>
  <c r="F462" i="3"/>
  <c r="J462" i="3"/>
  <c r="K462" i="3"/>
  <c r="B463" i="3"/>
  <c r="C463" i="3" s="1"/>
  <c r="F463" i="3"/>
  <c r="J463" i="3"/>
  <c r="K463" i="3"/>
  <c r="B464" i="3"/>
  <c r="P464" i="3" s="1"/>
  <c r="F464" i="3"/>
  <c r="J464" i="3"/>
  <c r="K464" i="3"/>
  <c r="B465" i="3"/>
  <c r="F465" i="3"/>
  <c r="J465" i="3"/>
  <c r="K465" i="3"/>
  <c r="B466" i="3"/>
  <c r="P466" i="3" s="1"/>
  <c r="F466" i="3"/>
  <c r="J466" i="3"/>
  <c r="K466" i="3"/>
  <c r="B467" i="3"/>
  <c r="P467" i="3" s="1"/>
  <c r="F467" i="3"/>
  <c r="J467" i="3"/>
  <c r="K467" i="3"/>
  <c r="B468" i="3"/>
  <c r="C468" i="3" s="1"/>
  <c r="F468" i="3"/>
  <c r="J468" i="3"/>
  <c r="K468" i="3"/>
  <c r="B469" i="3"/>
  <c r="F469" i="3"/>
  <c r="J469" i="3"/>
  <c r="K469" i="3"/>
  <c r="B470" i="3"/>
  <c r="P470" i="3" s="1"/>
  <c r="F470" i="3"/>
  <c r="J470" i="3"/>
  <c r="K470" i="3"/>
  <c r="B471" i="3"/>
  <c r="P471" i="3" s="1"/>
  <c r="F471" i="3"/>
  <c r="J471" i="3"/>
  <c r="K471" i="3"/>
  <c r="B472" i="3"/>
  <c r="C472" i="3" s="1"/>
  <c r="F472" i="3"/>
  <c r="J472" i="3"/>
  <c r="K472" i="3"/>
  <c r="B473" i="3"/>
  <c r="C473" i="3" s="1"/>
  <c r="F473" i="3"/>
  <c r="J473" i="3"/>
  <c r="K473" i="3"/>
  <c r="B474" i="3"/>
  <c r="P474" i="3" s="1"/>
  <c r="F474" i="3"/>
  <c r="J474" i="3"/>
  <c r="K474" i="3"/>
  <c r="B475" i="3"/>
  <c r="F475" i="3"/>
  <c r="J475" i="3"/>
  <c r="K475" i="3"/>
  <c r="B476" i="3"/>
  <c r="P476" i="3" s="1"/>
  <c r="F476" i="3"/>
  <c r="J476" i="3"/>
  <c r="K476" i="3"/>
  <c r="B477" i="3"/>
  <c r="C477" i="3" s="1"/>
  <c r="F477" i="3"/>
  <c r="J477" i="3"/>
  <c r="K477" i="3"/>
  <c r="B478" i="3"/>
  <c r="C478" i="3" s="1"/>
  <c r="F478" i="3"/>
  <c r="J478" i="3"/>
  <c r="K478" i="3"/>
  <c r="B479" i="3"/>
  <c r="F479" i="3"/>
  <c r="J479" i="3"/>
  <c r="K479" i="3"/>
  <c r="B480" i="3"/>
  <c r="P480" i="3" s="1"/>
  <c r="F480" i="3"/>
  <c r="J480" i="3"/>
  <c r="K480" i="3"/>
  <c r="B481" i="3"/>
  <c r="P481" i="3" s="1"/>
  <c r="F481" i="3"/>
  <c r="J481" i="3"/>
  <c r="K481" i="3"/>
  <c r="B482" i="3"/>
  <c r="C482" i="3" s="1"/>
  <c r="F482" i="3"/>
  <c r="J482" i="3"/>
  <c r="K482" i="3"/>
  <c r="B483" i="3"/>
  <c r="C483" i="3" s="1"/>
  <c r="F483" i="3"/>
  <c r="J483" i="3"/>
  <c r="K483" i="3"/>
  <c r="B484" i="3"/>
  <c r="C484" i="3" s="1"/>
  <c r="F484" i="3"/>
  <c r="J484" i="3"/>
  <c r="K484" i="3"/>
  <c r="B485" i="3"/>
  <c r="F485" i="3"/>
  <c r="J485" i="3"/>
  <c r="K485" i="3"/>
  <c r="B486" i="3"/>
  <c r="P486" i="3" s="1"/>
  <c r="F486" i="3"/>
  <c r="J486" i="3"/>
  <c r="K486" i="3"/>
  <c r="B487" i="3"/>
  <c r="P487" i="3" s="1"/>
  <c r="F487" i="3"/>
  <c r="J487" i="3"/>
  <c r="K487" i="3"/>
  <c r="B488" i="3"/>
  <c r="C488" i="3" s="1"/>
  <c r="F488" i="3"/>
  <c r="J488" i="3"/>
  <c r="K488" i="3"/>
  <c r="B489" i="3"/>
  <c r="C489" i="3" s="1"/>
  <c r="F489" i="3"/>
  <c r="J489" i="3"/>
  <c r="K489" i="3"/>
  <c r="B490" i="3"/>
  <c r="P490" i="3" s="1"/>
  <c r="F490" i="3"/>
  <c r="J490" i="3"/>
  <c r="K490" i="3"/>
  <c r="B491" i="3"/>
  <c r="F491" i="3"/>
  <c r="J491" i="3"/>
  <c r="K491" i="3"/>
  <c r="B492" i="3"/>
  <c r="P492" i="3" s="1"/>
  <c r="F492" i="3"/>
  <c r="J492" i="3"/>
  <c r="K492" i="3"/>
  <c r="B493" i="3"/>
  <c r="P493" i="3" s="1"/>
  <c r="F493" i="3"/>
  <c r="J493" i="3"/>
  <c r="K493" i="3"/>
  <c r="B494" i="3"/>
  <c r="P494" i="3" s="1"/>
  <c r="F494" i="3"/>
  <c r="J494" i="3"/>
  <c r="K494" i="3"/>
  <c r="B495" i="3"/>
  <c r="C495" i="3" s="1"/>
  <c r="F495" i="3"/>
  <c r="J495" i="3"/>
  <c r="K495" i="3"/>
  <c r="B496" i="3"/>
  <c r="F496" i="3"/>
  <c r="J496" i="3"/>
  <c r="K496" i="3"/>
  <c r="B497" i="3"/>
  <c r="F497" i="3"/>
  <c r="J497" i="3"/>
  <c r="K497" i="3"/>
  <c r="B498" i="3"/>
  <c r="P498" i="3" s="1"/>
  <c r="F498" i="3"/>
  <c r="J498" i="3"/>
  <c r="K498" i="3"/>
  <c r="B499" i="3"/>
  <c r="F499" i="3"/>
  <c r="J499" i="3"/>
  <c r="K499" i="3"/>
  <c r="B500" i="3"/>
  <c r="P500" i="3" s="1"/>
  <c r="F500" i="3"/>
  <c r="J500" i="3"/>
  <c r="K500" i="3"/>
  <c r="B501" i="3"/>
  <c r="C501" i="3" s="1"/>
  <c r="F501" i="3"/>
  <c r="J501" i="3"/>
  <c r="K501" i="3"/>
  <c r="B502" i="3"/>
  <c r="C502" i="3" s="1"/>
  <c r="F502" i="3"/>
  <c r="J502" i="3"/>
  <c r="K502" i="3"/>
  <c r="B503" i="3"/>
  <c r="F503" i="3"/>
  <c r="J503" i="3"/>
  <c r="K503" i="3"/>
  <c r="B504" i="3"/>
  <c r="F504" i="3"/>
  <c r="J504" i="3"/>
  <c r="K504" i="3"/>
  <c r="B505" i="3"/>
  <c r="P505" i="3" s="1"/>
  <c r="F505" i="3"/>
  <c r="J505" i="3"/>
  <c r="K505" i="3"/>
  <c r="B506" i="3"/>
  <c r="C506" i="3" s="1"/>
  <c r="F506" i="3"/>
  <c r="J506" i="3"/>
  <c r="K506" i="3"/>
  <c r="B507" i="3"/>
  <c r="F507" i="3"/>
  <c r="J507" i="3"/>
  <c r="K507" i="3"/>
  <c r="B508" i="3"/>
  <c r="P508" i="3" s="1"/>
  <c r="F508" i="3"/>
  <c r="J508" i="3"/>
  <c r="K508" i="3"/>
  <c r="B509" i="3"/>
  <c r="P509" i="3" s="1"/>
  <c r="F509" i="3"/>
  <c r="J509" i="3"/>
  <c r="K509" i="3"/>
  <c r="B510" i="3"/>
  <c r="P510" i="3" s="1"/>
  <c r="F510" i="3"/>
  <c r="J510" i="3"/>
  <c r="K510" i="3"/>
  <c r="B511" i="3"/>
  <c r="P511" i="3" s="1"/>
  <c r="F511" i="3"/>
  <c r="J511" i="3"/>
  <c r="K511" i="3"/>
  <c r="B512" i="3"/>
  <c r="C512" i="3" s="1"/>
  <c r="F512" i="3"/>
  <c r="J512" i="3"/>
  <c r="K512" i="3"/>
  <c r="B513" i="3"/>
  <c r="C513" i="3" s="1"/>
  <c r="F513" i="3"/>
  <c r="J513" i="3"/>
  <c r="K513" i="3"/>
  <c r="B514" i="3"/>
  <c r="C514" i="3" s="1"/>
  <c r="F514" i="3"/>
  <c r="J514" i="3"/>
  <c r="K514" i="3"/>
  <c r="B515" i="3"/>
  <c r="C515" i="3" s="1"/>
  <c r="F515" i="3"/>
  <c r="J515" i="3"/>
  <c r="K515" i="3"/>
  <c r="B516" i="3"/>
  <c r="P516" i="3" s="1"/>
  <c r="F516" i="3"/>
  <c r="J516" i="3"/>
  <c r="K516" i="3"/>
  <c r="B517" i="3"/>
  <c r="P517" i="3" s="1"/>
  <c r="F517" i="3"/>
  <c r="J517" i="3"/>
  <c r="K517" i="3"/>
  <c r="B518" i="3"/>
  <c r="F518" i="3"/>
  <c r="J518" i="3"/>
  <c r="K518" i="3"/>
  <c r="B519" i="3"/>
  <c r="P519" i="3" s="1"/>
  <c r="F519" i="3"/>
  <c r="J519" i="3"/>
  <c r="K519" i="3"/>
  <c r="B520" i="3"/>
  <c r="P520" i="3" s="1"/>
  <c r="F520" i="3"/>
  <c r="J520" i="3"/>
  <c r="K520" i="3"/>
  <c r="B521" i="3"/>
  <c r="P521" i="3" s="1"/>
  <c r="F521" i="3"/>
  <c r="J521" i="3"/>
  <c r="K521" i="3"/>
  <c r="B522" i="3"/>
  <c r="F522" i="3"/>
  <c r="J522" i="3"/>
  <c r="K522" i="3"/>
  <c r="B523" i="3"/>
  <c r="P523" i="3" s="1"/>
  <c r="F523" i="3"/>
  <c r="J523" i="3"/>
  <c r="K523" i="3"/>
  <c r="B524" i="3"/>
  <c r="P524" i="3" s="1"/>
  <c r="F524" i="3"/>
  <c r="J524" i="3"/>
  <c r="K524" i="3"/>
  <c r="B525" i="3"/>
  <c r="P525" i="3" s="1"/>
  <c r="F525" i="3"/>
  <c r="J525" i="3"/>
  <c r="K525" i="3"/>
  <c r="B526" i="3"/>
  <c r="P526" i="3" s="1"/>
  <c r="F526" i="3"/>
  <c r="J526" i="3"/>
  <c r="K526" i="3"/>
  <c r="B527" i="3"/>
  <c r="P527" i="3" s="1"/>
  <c r="F527" i="3"/>
  <c r="J527" i="3"/>
  <c r="K527" i="3"/>
  <c r="B528" i="3"/>
  <c r="P528" i="3" s="1"/>
  <c r="F528" i="3"/>
  <c r="J528" i="3"/>
  <c r="K528" i="3"/>
  <c r="B529" i="3"/>
  <c r="F529" i="3"/>
  <c r="J529" i="3"/>
  <c r="K529" i="3"/>
  <c r="B530" i="3"/>
  <c r="P530" i="3" s="1"/>
  <c r="F530" i="3"/>
  <c r="J530" i="3"/>
  <c r="K530" i="3"/>
  <c r="B531" i="3"/>
  <c r="C531" i="3" s="1"/>
  <c r="F531" i="3"/>
  <c r="J531" i="3"/>
  <c r="K531" i="3"/>
  <c r="B532" i="3"/>
  <c r="C532" i="3" s="1"/>
  <c r="F532" i="3"/>
  <c r="J532" i="3"/>
  <c r="K532" i="3"/>
  <c r="B533" i="3"/>
  <c r="P533" i="3" s="1"/>
  <c r="F533" i="3"/>
  <c r="J533" i="3"/>
  <c r="K533" i="3"/>
  <c r="B534" i="3"/>
  <c r="P534" i="3" s="1"/>
  <c r="F534" i="3"/>
  <c r="J534" i="3"/>
  <c r="K534" i="3"/>
  <c r="B535" i="3"/>
  <c r="F535" i="3"/>
  <c r="J535" i="3"/>
  <c r="K535" i="3"/>
  <c r="B536" i="3"/>
  <c r="C536" i="3" s="1"/>
  <c r="F536" i="3"/>
  <c r="J536" i="3"/>
  <c r="K536" i="3"/>
  <c r="B537" i="3"/>
  <c r="P537" i="3" s="1"/>
  <c r="F537" i="3"/>
  <c r="J537" i="3"/>
  <c r="K537" i="3"/>
  <c r="B538" i="3"/>
  <c r="F538" i="3"/>
  <c r="J538" i="3"/>
  <c r="K538" i="3"/>
  <c r="B539" i="3"/>
  <c r="P539" i="3" s="1"/>
  <c r="F539" i="3"/>
  <c r="J539" i="3"/>
  <c r="K539" i="3"/>
  <c r="B540" i="3"/>
  <c r="P540" i="3" s="1"/>
  <c r="F540" i="3"/>
  <c r="J540" i="3"/>
  <c r="K540" i="3"/>
  <c r="B541" i="3"/>
  <c r="P541" i="3" s="1"/>
  <c r="F541" i="3"/>
  <c r="J541" i="3"/>
  <c r="K541" i="3"/>
  <c r="B542" i="3"/>
  <c r="P542" i="3" s="1"/>
  <c r="F542" i="3"/>
  <c r="J542" i="3"/>
  <c r="K542" i="3"/>
  <c r="B543" i="3"/>
  <c r="P543" i="3" s="1"/>
  <c r="F543" i="3"/>
  <c r="J543" i="3"/>
  <c r="K543" i="3"/>
  <c r="B544" i="3"/>
  <c r="P544" i="3" s="1"/>
  <c r="F544" i="3"/>
  <c r="J544" i="3"/>
  <c r="K544" i="3"/>
  <c r="B545" i="3"/>
  <c r="F545" i="3"/>
  <c r="J545" i="3"/>
  <c r="K545" i="3"/>
  <c r="B546" i="3"/>
  <c r="P546" i="3" s="1"/>
  <c r="F546" i="3"/>
  <c r="J546" i="3"/>
  <c r="K546" i="3"/>
  <c r="B547" i="3"/>
  <c r="C547" i="3" s="1"/>
  <c r="F547" i="3"/>
  <c r="J547" i="3"/>
  <c r="K547" i="3"/>
  <c r="B548" i="3"/>
  <c r="C548" i="3" s="1"/>
  <c r="F548" i="3"/>
  <c r="J548" i="3"/>
  <c r="K548" i="3"/>
  <c r="B549" i="3"/>
  <c r="P549" i="3" s="1"/>
  <c r="F549" i="3"/>
  <c r="J549" i="3"/>
  <c r="K549" i="3"/>
  <c r="B550" i="3"/>
  <c r="F550" i="3"/>
  <c r="J550" i="3"/>
  <c r="K550" i="3"/>
  <c r="B551" i="3"/>
  <c r="F551" i="3"/>
  <c r="J551" i="3"/>
  <c r="K551" i="3"/>
  <c r="B552" i="3"/>
  <c r="P552" i="3" s="1"/>
  <c r="F552" i="3"/>
  <c r="J552" i="3"/>
  <c r="K552" i="3"/>
  <c r="B553" i="3"/>
  <c r="C553" i="3" s="1"/>
  <c r="F553" i="3"/>
  <c r="J553" i="3"/>
  <c r="K553" i="3"/>
  <c r="B554" i="3"/>
  <c r="P554" i="3" s="1"/>
  <c r="F554" i="3"/>
  <c r="J554" i="3"/>
  <c r="K554" i="3"/>
  <c r="B555" i="3"/>
  <c r="P555" i="3" s="1"/>
  <c r="F555" i="3"/>
  <c r="J555" i="3"/>
  <c r="K555" i="3"/>
  <c r="B556" i="3"/>
  <c r="C556" i="3" s="1"/>
  <c r="F556" i="3"/>
  <c r="J556" i="3"/>
  <c r="K556" i="3"/>
  <c r="B557" i="3"/>
  <c r="P557" i="3" s="1"/>
  <c r="F557" i="3"/>
  <c r="J557" i="3"/>
  <c r="K557" i="3"/>
  <c r="B558" i="3"/>
  <c r="P558" i="3" s="1"/>
  <c r="F558" i="3"/>
  <c r="J558" i="3"/>
  <c r="K558" i="3"/>
  <c r="B559" i="3"/>
  <c r="F559" i="3"/>
  <c r="J559" i="3"/>
  <c r="K559" i="3"/>
  <c r="B560" i="3"/>
  <c r="P560" i="3" s="1"/>
  <c r="F560" i="3"/>
  <c r="J560" i="3"/>
  <c r="K560" i="3"/>
  <c r="B561" i="3"/>
  <c r="C561" i="3" s="1"/>
  <c r="F561" i="3"/>
  <c r="J561" i="3"/>
  <c r="K561" i="3"/>
  <c r="B562" i="3"/>
  <c r="C562" i="3" s="1"/>
  <c r="F562" i="3"/>
  <c r="J562" i="3"/>
  <c r="K562" i="3"/>
  <c r="B563" i="3"/>
  <c r="C563" i="3" s="1"/>
  <c r="F563" i="3"/>
  <c r="J563" i="3"/>
  <c r="K563" i="3"/>
  <c r="B564" i="3"/>
  <c r="P564" i="3" s="1"/>
  <c r="F564" i="3"/>
  <c r="J564" i="3"/>
  <c r="K564" i="3"/>
  <c r="B565" i="3"/>
  <c r="F565" i="3"/>
  <c r="J565" i="3"/>
  <c r="K565" i="3"/>
  <c r="B566" i="3"/>
  <c r="P566" i="3" s="1"/>
  <c r="F566" i="3"/>
  <c r="J566" i="3"/>
  <c r="K566" i="3"/>
  <c r="B567" i="3"/>
  <c r="P567" i="3" s="1"/>
  <c r="F567" i="3"/>
  <c r="J567" i="3"/>
  <c r="K567" i="3"/>
  <c r="B568" i="3"/>
  <c r="C568" i="3" s="1"/>
  <c r="F568" i="3"/>
  <c r="J568" i="3"/>
  <c r="K568" i="3"/>
  <c r="B569" i="3"/>
  <c r="P569" i="3" s="1"/>
  <c r="F569" i="3"/>
  <c r="J569" i="3"/>
  <c r="K569" i="3"/>
  <c r="B570" i="3"/>
  <c r="P570" i="3" s="1"/>
  <c r="F570" i="3"/>
  <c r="J570" i="3"/>
  <c r="K570" i="3"/>
  <c r="B571" i="3"/>
  <c r="C571" i="3" s="1"/>
  <c r="D571" i="3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D621" i="3" s="1"/>
  <c r="D622" i="3" s="1"/>
  <c r="D623" i="3" s="1"/>
  <c r="D624" i="3" s="1"/>
  <c r="D625" i="3" s="1"/>
  <c r="D626" i="3" s="1"/>
  <c r="D627" i="3" s="1"/>
  <c r="D628" i="3" s="1"/>
  <c r="D629" i="3" s="1"/>
  <c r="D630" i="3" s="1"/>
  <c r="D631" i="3" s="1"/>
  <c r="D632" i="3" s="1"/>
  <c r="D633" i="3" s="1"/>
  <c r="F571" i="3"/>
  <c r="J571" i="3"/>
  <c r="K571" i="3"/>
  <c r="B572" i="3"/>
  <c r="P572" i="3" s="1"/>
  <c r="F572" i="3"/>
  <c r="J572" i="3"/>
  <c r="K572" i="3"/>
  <c r="B573" i="3"/>
  <c r="F573" i="3"/>
  <c r="J573" i="3"/>
  <c r="K573" i="3"/>
  <c r="B574" i="3"/>
  <c r="P574" i="3" s="1"/>
  <c r="F574" i="3"/>
  <c r="J574" i="3"/>
  <c r="K574" i="3"/>
  <c r="B575" i="3"/>
  <c r="P575" i="3" s="1"/>
  <c r="F575" i="3"/>
  <c r="J575" i="3"/>
  <c r="K575" i="3"/>
  <c r="B576" i="3"/>
  <c r="P576" i="3" s="1"/>
  <c r="F576" i="3"/>
  <c r="J576" i="3"/>
  <c r="K576" i="3"/>
  <c r="B577" i="3"/>
  <c r="C577" i="3" s="1"/>
  <c r="F577" i="3"/>
  <c r="J577" i="3"/>
  <c r="K577" i="3"/>
  <c r="B578" i="3"/>
  <c r="C578" i="3" s="1"/>
  <c r="F578" i="3"/>
  <c r="J578" i="3"/>
  <c r="K578" i="3"/>
  <c r="B579" i="3"/>
  <c r="P579" i="3" s="1"/>
  <c r="F579" i="3"/>
  <c r="J579" i="3"/>
  <c r="K579" i="3"/>
  <c r="B580" i="3"/>
  <c r="F580" i="3"/>
  <c r="J580" i="3"/>
  <c r="K580" i="3"/>
  <c r="B581" i="3"/>
  <c r="P581" i="3" s="1"/>
  <c r="F581" i="3"/>
  <c r="J581" i="3"/>
  <c r="K581" i="3"/>
  <c r="B582" i="3"/>
  <c r="P582" i="3" s="1"/>
  <c r="F582" i="3"/>
  <c r="J582" i="3"/>
  <c r="K582" i="3"/>
  <c r="B583" i="3"/>
  <c r="P583" i="3" s="1"/>
  <c r="F583" i="3"/>
  <c r="J583" i="3"/>
  <c r="K583" i="3"/>
  <c r="B584" i="3"/>
  <c r="C584" i="3" s="1"/>
  <c r="F584" i="3"/>
  <c r="J584" i="3"/>
  <c r="K584" i="3"/>
  <c r="B585" i="3"/>
  <c r="F585" i="3"/>
  <c r="J585" i="3"/>
  <c r="K585" i="3"/>
  <c r="B586" i="3"/>
  <c r="C586" i="3" s="1"/>
  <c r="F586" i="3"/>
  <c r="J586" i="3"/>
  <c r="K586" i="3"/>
  <c r="B587" i="3"/>
  <c r="C587" i="3" s="1"/>
  <c r="F587" i="3"/>
  <c r="J587" i="3"/>
  <c r="K587" i="3"/>
  <c r="B588" i="3"/>
  <c r="P588" i="3" s="1"/>
  <c r="F588" i="3"/>
  <c r="J588" i="3"/>
  <c r="K588" i="3"/>
  <c r="B589" i="3"/>
  <c r="C589" i="3" s="1"/>
  <c r="F589" i="3"/>
  <c r="J589" i="3"/>
  <c r="K589" i="3"/>
  <c r="B590" i="3"/>
  <c r="F590" i="3"/>
  <c r="J590" i="3"/>
  <c r="K590" i="3"/>
  <c r="B591" i="3"/>
  <c r="P591" i="3" s="1"/>
  <c r="F591" i="3"/>
  <c r="J591" i="3"/>
  <c r="K591" i="3"/>
  <c r="B592" i="3"/>
  <c r="F592" i="3"/>
  <c r="J592" i="3"/>
  <c r="K592" i="3"/>
  <c r="B593" i="3"/>
  <c r="C593" i="3" s="1"/>
  <c r="F593" i="3"/>
  <c r="J593" i="3"/>
  <c r="K593" i="3"/>
  <c r="B594" i="3"/>
  <c r="C594" i="3" s="1"/>
  <c r="F594" i="3"/>
  <c r="J594" i="3"/>
  <c r="K594" i="3"/>
  <c r="B595" i="3"/>
  <c r="P595" i="3" s="1"/>
  <c r="F595" i="3"/>
  <c r="J595" i="3"/>
  <c r="K595" i="3"/>
  <c r="B596" i="3"/>
  <c r="F596" i="3"/>
  <c r="J596" i="3"/>
  <c r="K596" i="3"/>
  <c r="B597" i="3"/>
  <c r="P597" i="3" s="1"/>
  <c r="F597" i="3"/>
  <c r="J597" i="3"/>
  <c r="K597" i="3"/>
  <c r="B598" i="3"/>
  <c r="F598" i="3"/>
  <c r="J598" i="3"/>
  <c r="K598" i="3"/>
  <c r="B599" i="3"/>
  <c r="P599" i="3" s="1"/>
  <c r="F599" i="3"/>
  <c r="J599" i="3"/>
  <c r="K599" i="3"/>
  <c r="B600" i="3"/>
  <c r="C600" i="3" s="1"/>
  <c r="F600" i="3"/>
  <c r="J600" i="3"/>
  <c r="K600" i="3"/>
  <c r="B601" i="3"/>
  <c r="F601" i="3"/>
  <c r="J601" i="3"/>
  <c r="K601" i="3"/>
  <c r="B602" i="3"/>
  <c r="C602" i="3" s="1"/>
  <c r="F602" i="3"/>
  <c r="J602" i="3"/>
  <c r="K602" i="3"/>
  <c r="B603" i="3"/>
  <c r="F603" i="3"/>
  <c r="J603" i="3"/>
  <c r="K603" i="3"/>
  <c r="B604" i="3"/>
  <c r="P604" i="3" s="1"/>
  <c r="F604" i="3"/>
  <c r="J604" i="3"/>
  <c r="K604" i="3"/>
  <c r="B605" i="3"/>
  <c r="C605" i="3" s="1"/>
  <c r="F605" i="3"/>
  <c r="J605" i="3"/>
  <c r="K605" i="3"/>
  <c r="B606" i="3"/>
  <c r="P606" i="3" s="1"/>
  <c r="F606" i="3"/>
  <c r="J606" i="3"/>
  <c r="K606" i="3"/>
  <c r="B607" i="3"/>
  <c r="P607" i="3" s="1"/>
  <c r="F607" i="3"/>
  <c r="J607" i="3"/>
  <c r="K607" i="3"/>
  <c r="B608" i="3"/>
  <c r="F608" i="3"/>
  <c r="J608" i="3"/>
  <c r="K608" i="3"/>
  <c r="B609" i="3"/>
  <c r="C609" i="3" s="1"/>
  <c r="F609" i="3"/>
  <c r="J609" i="3"/>
  <c r="K609" i="3"/>
  <c r="B610" i="3"/>
  <c r="C610" i="3" s="1"/>
  <c r="F610" i="3"/>
  <c r="J610" i="3"/>
  <c r="K610" i="3"/>
  <c r="B611" i="3"/>
  <c r="P611" i="3" s="1"/>
  <c r="F611" i="3"/>
  <c r="J611" i="3"/>
  <c r="K611" i="3"/>
  <c r="B612" i="3"/>
  <c r="C612" i="3" s="1"/>
  <c r="F612" i="3"/>
  <c r="J612" i="3"/>
  <c r="K612" i="3"/>
  <c r="B613" i="3"/>
  <c r="P613" i="3" s="1"/>
  <c r="F613" i="3"/>
  <c r="J613" i="3"/>
  <c r="K613" i="3"/>
  <c r="B614" i="3"/>
  <c r="F614" i="3"/>
  <c r="J614" i="3"/>
  <c r="K614" i="3"/>
  <c r="B615" i="3"/>
  <c r="P615" i="3" s="1"/>
  <c r="F615" i="3"/>
  <c r="J615" i="3"/>
  <c r="K615" i="3"/>
  <c r="B616" i="3"/>
  <c r="P616" i="3" s="1"/>
  <c r="F616" i="3"/>
  <c r="J616" i="3"/>
  <c r="K616" i="3"/>
  <c r="B617" i="3"/>
  <c r="F617" i="3"/>
  <c r="J617" i="3"/>
  <c r="K617" i="3"/>
  <c r="B618" i="3"/>
  <c r="P618" i="3" s="1"/>
  <c r="F618" i="3"/>
  <c r="J618" i="3"/>
  <c r="K618" i="3"/>
  <c r="B619" i="3"/>
  <c r="C619" i="3" s="1"/>
  <c r="F619" i="3"/>
  <c r="J619" i="3"/>
  <c r="K619" i="3"/>
  <c r="B620" i="3"/>
  <c r="P620" i="3" s="1"/>
  <c r="F620" i="3"/>
  <c r="J620" i="3"/>
  <c r="K620" i="3"/>
  <c r="B621" i="3"/>
  <c r="F621" i="3"/>
  <c r="J621" i="3"/>
  <c r="K621" i="3"/>
  <c r="B622" i="3"/>
  <c r="P622" i="3" s="1"/>
  <c r="F622" i="3"/>
  <c r="J622" i="3"/>
  <c r="K622" i="3"/>
  <c r="B623" i="3"/>
  <c r="P623" i="3" s="1"/>
  <c r="F623" i="3"/>
  <c r="J623" i="3"/>
  <c r="K623" i="3"/>
  <c r="B624" i="3"/>
  <c r="F624" i="3"/>
  <c r="J624" i="3"/>
  <c r="K624" i="3"/>
  <c r="B625" i="3"/>
  <c r="C625" i="3" s="1"/>
  <c r="F625" i="3"/>
  <c r="J625" i="3"/>
  <c r="K625" i="3"/>
  <c r="B626" i="3"/>
  <c r="C626" i="3" s="1"/>
  <c r="F626" i="3"/>
  <c r="J626" i="3"/>
  <c r="K626" i="3"/>
  <c r="B627" i="3"/>
  <c r="P627" i="3" s="1"/>
  <c r="F627" i="3"/>
  <c r="J627" i="3"/>
  <c r="K627" i="3"/>
  <c r="B628" i="3"/>
  <c r="C628" i="3" s="1"/>
  <c r="F628" i="3"/>
  <c r="J628" i="3"/>
  <c r="K628" i="3"/>
  <c r="B629" i="3"/>
  <c r="C629" i="3" s="1"/>
  <c r="F629" i="3"/>
  <c r="J629" i="3"/>
  <c r="K629" i="3"/>
  <c r="B630" i="3"/>
  <c r="P630" i="3" s="1"/>
  <c r="F630" i="3"/>
  <c r="J630" i="3"/>
  <c r="K630" i="3"/>
  <c r="B631" i="3"/>
  <c r="P631" i="3" s="1"/>
  <c r="F631" i="3"/>
  <c r="J631" i="3"/>
  <c r="K631" i="3"/>
  <c r="B632" i="3"/>
  <c r="C632" i="3" s="1"/>
  <c r="F632" i="3"/>
  <c r="J632" i="3"/>
  <c r="K632" i="3"/>
  <c r="B633" i="3"/>
  <c r="F633" i="3"/>
  <c r="J633" i="3"/>
  <c r="K633" i="3"/>
  <c r="B634" i="3"/>
  <c r="P634" i="3" s="1"/>
  <c r="D634" i="3"/>
  <c r="D635" i="3" s="1"/>
  <c r="D636" i="3" s="1"/>
  <c r="D637" i="3" s="1"/>
  <c r="D638" i="3" s="1"/>
  <c r="D639" i="3" s="1"/>
  <c r="D640" i="3" s="1"/>
  <c r="D641" i="3" s="1"/>
  <c r="D642" i="3" s="1"/>
  <c r="D643" i="3" s="1"/>
  <c r="D644" i="3" s="1"/>
  <c r="D645" i="3" s="1"/>
  <c r="D646" i="3" s="1"/>
  <c r="D647" i="3" s="1"/>
  <c r="D648" i="3" s="1"/>
  <c r="D649" i="3" s="1"/>
  <c r="D650" i="3" s="1"/>
  <c r="D651" i="3" s="1"/>
  <c r="D652" i="3" s="1"/>
  <c r="D653" i="3" s="1"/>
  <c r="D654" i="3" s="1"/>
  <c r="D655" i="3" s="1"/>
  <c r="D656" i="3" s="1"/>
  <c r="D657" i="3" s="1"/>
  <c r="D658" i="3" s="1"/>
  <c r="D659" i="3" s="1"/>
  <c r="D660" i="3" s="1"/>
  <c r="D661" i="3" s="1"/>
  <c r="D662" i="3" s="1"/>
  <c r="D663" i="3" s="1"/>
  <c r="D664" i="3" s="1"/>
  <c r="D665" i="3" s="1"/>
  <c r="D666" i="3" s="1"/>
  <c r="D667" i="3" s="1"/>
  <c r="D668" i="3" s="1"/>
  <c r="D669" i="3" s="1"/>
  <c r="D670" i="3" s="1"/>
  <c r="D671" i="3" s="1"/>
  <c r="D672" i="3" s="1"/>
  <c r="D673" i="3" s="1"/>
  <c r="D674" i="3" s="1"/>
  <c r="D675" i="3" s="1"/>
  <c r="D676" i="3" s="1"/>
  <c r="D677" i="3" s="1"/>
  <c r="D678" i="3" s="1"/>
  <c r="D679" i="3" s="1"/>
  <c r="D680" i="3" s="1"/>
  <c r="D681" i="3" s="1"/>
  <c r="D682" i="3" s="1"/>
  <c r="D683" i="3" s="1"/>
  <c r="D684" i="3" s="1"/>
  <c r="D685" i="3" s="1"/>
  <c r="D686" i="3" s="1"/>
  <c r="D687" i="3" s="1"/>
  <c r="D688" i="3" s="1"/>
  <c r="D689" i="3" s="1"/>
  <c r="D690" i="3" s="1"/>
  <c r="D691" i="3" s="1"/>
  <c r="D692" i="3" s="1"/>
  <c r="D693" i="3" s="1"/>
  <c r="D694" i="3" s="1"/>
  <c r="D695" i="3" s="1"/>
  <c r="D696" i="3" s="1"/>
  <c r="D697" i="3" s="1"/>
  <c r="D698" i="3" s="1"/>
  <c r="D699" i="3" s="1"/>
  <c r="D700" i="3" s="1"/>
  <c r="D701" i="3" s="1"/>
  <c r="D702" i="3" s="1"/>
  <c r="D703" i="3" s="1"/>
  <c r="D704" i="3" s="1"/>
  <c r="D705" i="3" s="1"/>
  <c r="D706" i="3" s="1"/>
  <c r="D707" i="3" s="1"/>
  <c r="D708" i="3" s="1"/>
  <c r="D709" i="3" s="1"/>
  <c r="D710" i="3" s="1"/>
  <c r="D711" i="3" s="1"/>
  <c r="D712" i="3" s="1"/>
  <c r="D713" i="3" s="1"/>
  <c r="D714" i="3" s="1"/>
  <c r="D715" i="3" s="1"/>
  <c r="D716" i="3" s="1"/>
  <c r="D717" i="3" s="1"/>
  <c r="D718" i="3" s="1"/>
  <c r="D719" i="3" s="1"/>
  <c r="D720" i="3" s="1"/>
  <c r="D721" i="3" s="1"/>
  <c r="D722" i="3" s="1"/>
  <c r="D723" i="3" s="1"/>
  <c r="D724" i="3" s="1"/>
  <c r="D725" i="3" s="1"/>
  <c r="D726" i="3" s="1"/>
  <c r="D727" i="3" s="1"/>
  <c r="D728" i="3" s="1"/>
  <c r="D729" i="3" s="1"/>
  <c r="D730" i="3" s="1"/>
  <c r="D731" i="3" s="1"/>
  <c r="D732" i="3" s="1"/>
  <c r="D733" i="3" s="1"/>
  <c r="D734" i="3" s="1"/>
  <c r="D735" i="3" s="1"/>
  <c r="D736" i="3" s="1"/>
  <c r="D737" i="3" s="1"/>
  <c r="D738" i="3" s="1"/>
  <c r="D739" i="3" s="1"/>
  <c r="D740" i="3" s="1"/>
  <c r="D741" i="3" s="1"/>
  <c r="D742" i="3" s="1"/>
  <c r="D743" i="3" s="1"/>
  <c r="D744" i="3" s="1"/>
  <c r="D745" i="3" s="1"/>
  <c r="D746" i="3" s="1"/>
  <c r="D747" i="3" s="1"/>
  <c r="D748" i="3" s="1"/>
  <c r="D749" i="3" s="1"/>
  <c r="D750" i="3" s="1"/>
  <c r="D751" i="3" s="1"/>
  <c r="D752" i="3" s="1"/>
  <c r="D753" i="3" s="1"/>
  <c r="D754" i="3" s="1"/>
  <c r="D755" i="3" s="1"/>
  <c r="D756" i="3" s="1"/>
  <c r="D757" i="3" s="1"/>
  <c r="D758" i="3" s="1"/>
  <c r="D759" i="3" s="1"/>
  <c r="D760" i="3" s="1"/>
  <c r="D761" i="3" s="1"/>
  <c r="D762" i="3" s="1"/>
  <c r="D763" i="3" s="1"/>
  <c r="D764" i="3" s="1"/>
  <c r="D765" i="3" s="1"/>
  <c r="D766" i="3" s="1"/>
  <c r="D767" i="3" s="1"/>
  <c r="D768" i="3" s="1"/>
  <c r="D769" i="3" s="1"/>
  <c r="D770" i="3" s="1"/>
  <c r="D771" i="3" s="1"/>
  <c r="D772" i="3" s="1"/>
  <c r="D773" i="3" s="1"/>
  <c r="D774" i="3" s="1"/>
  <c r="D775" i="3" s="1"/>
  <c r="D776" i="3" s="1"/>
  <c r="D777" i="3" s="1"/>
  <c r="D778" i="3" s="1"/>
  <c r="D779" i="3" s="1"/>
  <c r="D780" i="3" s="1"/>
  <c r="D781" i="3" s="1"/>
  <c r="D782" i="3" s="1"/>
  <c r="D783" i="3" s="1"/>
  <c r="D784" i="3" s="1"/>
  <c r="D785" i="3" s="1"/>
  <c r="D786" i="3" s="1"/>
  <c r="D787" i="3" s="1"/>
  <c r="D788" i="3" s="1"/>
  <c r="D789" i="3" s="1"/>
  <c r="D790" i="3" s="1"/>
  <c r="D791" i="3" s="1"/>
  <c r="D792" i="3" s="1"/>
  <c r="D793" i="3" s="1"/>
  <c r="D794" i="3" s="1"/>
  <c r="D795" i="3" s="1"/>
  <c r="D796" i="3" s="1"/>
  <c r="D797" i="3" s="1"/>
  <c r="D798" i="3" s="1"/>
  <c r="D799" i="3" s="1"/>
  <c r="D800" i="3" s="1"/>
  <c r="D801" i="3" s="1"/>
  <c r="D802" i="3" s="1"/>
  <c r="D803" i="3" s="1"/>
  <c r="D804" i="3" s="1"/>
  <c r="D805" i="3" s="1"/>
  <c r="D806" i="3" s="1"/>
  <c r="D807" i="3" s="1"/>
  <c r="D808" i="3" s="1"/>
  <c r="D809" i="3" s="1"/>
  <c r="D810" i="3" s="1"/>
  <c r="D811" i="3" s="1"/>
  <c r="D812" i="3" s="1"/>
  <c r="D813" i="3" s="1"/>
  <c r="D814" i="3" s="1"/>
  <c r="D815" i="3" s="1"/>
  <c r="D816" i="3" s="1"/>
  <c r="D817" i="3" s="1"/>
  <c r="D818" i="3" s="1"/>
  <c r="D819" i="3" s="1"/>
  <c r="D820" i="3" s="1"/>
  <c r="D821" i="3" s="1"/>
  <c r="D822" i="3" s="1"/>
  <c r="D823" i="3" s="1"/>
  <c r="D824" i="3" s="1"/>
  <c r="D825" i="3" s="1"/>
  <c r="D826" i="3" s="1"/>
  <c r="D827" i="3" s="1"/>
  <c r="D828" i="3" s="1"/>
  <c r="D829" i="3" s="1"/>
  <c r="D830" i="3" s="1"/>
  <c r="D831" i="3" s="1"/>
  <c r="D832" i="3" s="1"/>
  <c r="D833" i="3" s="1"/>
  <c r="D834" i="3" s="1"/>
  <c r="D835" i="3" s="1"/>
  <c r="D836" i="3" s="1"/>
  <c r="D837" i="3" s="1"/>
  <c r="D838" i="3" s="1"/>
  <c r="D839" i="3" s="1"/>
  <c r="D840" i="3" s="1"/>
  <c r="D841" i="3" s="1"/>
  <c r="D842" i="3" s="1"/>
  <c r="D843" i="3" s="1"/>
  <c r="D844" i="3" s="1"/>
  <c r="D845" i="3" s="1"/>
  <c r="D846" i="3" s="1"/>
  <c r="D847" i="3" s="1"/>
  <c r="D848" i="3" s="1"/>
  <c r="D849" i="3" s="1"/>
  <c r="D850" i="3" s="1"/>
  <c r="D851" i="3" s="1"/>
  <c r="D852" i="3" s="1"/>
  <c r="D853" i="3" s="1"/>
  <c r="D854" i="3" s="1"/>
  <c r="D855" i="3" s="1"/>
  <c r="D856" i="3" s="1"/>
  <c r="D857" i="3" s="1"/>
  <c r="D858" i="3" s="1"/>
  <c r="D859" i="3" s="1"/>
  <c r="D860" i="3" s="1"/>
  <c r="D861" i="3" s="1"/>
  <c r="D862" i="3" s="1"/>
  <c r="D863" i="3" s="1"/>
  <c r="D864" i="3" s="1"/>
  <c r="D865" i="3" s="1"/>
  <c r="D866" i="3" s="1"/>
  <c r="D867" i="3" s="1"/>
  <c r="D868" i="3" s="1"/>
  <c r="D869" i="3" s="1"/>
  <c r="D870" i="3" s="1"/>
  <c r="D871" i="3" s="1"/>
  <c r="D872" i="3" s="1"/>
  <c r="D873" i="3" s="1"/>
  <c r="D874" i="3" s="1"/>
  <c r="D875" i="3" s="1"/>
  <c r="D876" i="3" s="1"/>
  <c r="D877" i="3" s="1"/>
  <c r="D878" i="3" s="1"/>
  <c r="D879" i="3" s="1"/>
  <c r="D880" i="3" s="1"/>
  <c r="D881" i="3" s="1"/>
  <c r="D882" i="3" s="1"/>
  <c r="D883" i="3" s="1"/>
  <c r="D884" i="3" s="1"/>
  <c r="D885" i="3" s="1"/>
  <c r="D886" i="3" s="1"/>
  <c r="D887" i="3" s="1"/>
  <c r="D888" i="3" s="1"/>
  <c r="D889" i="3" s="1"/>
  <c r="D890" i="3" s="1"/>
  <c r="D891" i="3" s="1"/>
  <c r="D892" i="3" s="1"/>
  <c r="D893" i="3" s="1"/>
  <c r="D894" i="3" s="1"/>
  <c r="D895" i="3" s="1"/>
  <c r="D896" i="3" s="1"/>
  <c r="D897" i="3" s="1"/>
  <c r="D898" i="3" s="1"/>
  <c r="D899" i="3" s="1"/>
  <c r="D900" i="3" s="1"/>
  <c r="D901" i="3" s="1"/>
  <c r="D902" i="3" s="1"/>
  <c r="D903" i="3" s="1"/>
  <c r="D904" i="3" s="1"/>
  <c r="D905" i="3" s="1"/>
  <c r="D906" i="3" s="1"/>
  <c r="D907" i="3" s="1"/>
  <c r="D908" i="3" s="1"/>
  <c r="D909" i="3" s="1"/>
  <c r="D910" i="3" s="1"/>
  <c r="D911" i="3" s="1"/>
  <c r="D912" i="3" s="1"/>
  <c r="D913" i="3" s="1"/>
  <c r="D914" i="3" s="1"/>
  <c r="D915" i="3" s="1"/>
  <c r="D916" i="3" s="1"/>
  <c r="D917" i="3" s="1"/>
  <c r="D918" i="3" s="1"/>
  <c r="D919" i="3" s="1"/>
  <c r="D920" i="3" s="1"/>
  <c r="D921" i="3" s="1"/>
  <c r="D922" i="3" s="1"/>
  <c r="D923" i="3" s="1"/>
  <c r="D924" i="3" s="1"/>
  <c r="D925" i="3" s="1"/>
  <c r="D926" i="3" s="1"/>
  <c r="D927" i="3" s="1"/>
  <c r="D928" i="3" s="1"/>
  <c r="D929" i="3" s="1"/>
  <c r="D930" i="3" s="1"/>
  <c r="D931" i="3" s="1"/>
  <c r="D932" i="3" s="1"/>
  <c r="D933" i="3" s="1"/>
  <c r="D934" i="3" s="1"/>
  <c r="D935" i="3" s="1"/>
  <c r="D936" i="3" s="1"/>
  <c r="D937" i="3" s="1"/>
  <c r="D938" i="3" s="1"/>
  <c r="D939" i="3" s="1"/>
  <c r="D940" i="3" s="1"/>
  <c r="D941" i="3" s="1"/>
  <c r="D942" i="3" s="1"/>
  <c r="D943" i="3" s="1"/>
  <c r="D944" i="3" s="1"/>
  <c r="D945" i="3" s="1"/>
  <c r="D946" i="3" s="1"/>
  <c r="D947" i="3" s="1"/>
  <c r="D948" i="3" s="1"/>
  <c r="D949" i="3" s="1"/>
  <c r="D950" i="3" s="1"/>
  <c r="D951" i="3" s="1"/>
  <c r="D952" i="3" s="1"/>
  <c r="D953" i="3" s="1"/>
  <c r="D954" i="3" s="1"/>
  <c r="D955" i="3" s="1"/>
  <c r="D956" i="3" s="1"/>
  <c r="D957" i="3" s="1"/>
  <c r="D958" i="3" s="1"/>
  <c r="D959" i="3" s="1"/>
  <c r="D960" i="3" s="1"/>
  <c r="D961" i="3" s="1"/>
  <c r="D962" i="3" s="1"/>
  <c r="D963" i="3" s="1"/>
  <c r="D964" i="3" s="1"/>
  <c r="D965" i="3" s="1"/>
  <c r="D966" i="3" s="1"/>
  <c r="D967" i="3" s="1"/>
  <c r="D968" i="3" s="1"/>
  <c r="D969" i="3" s="1"/>
  <c r="D970" i="3" s="1"/>
  <c r="D971" i="3" s="1"/>
  <c r="D972" i="3" s="1"/>
  <c r="D973" i="3" s="1"/>
  <c r="D974" i="3" s="1"/>
  <c r="D975" i="3" s="1"/>
  <c r="D976" i="3" s="1"/>
  <c r="D977" i="3" s="1"/>
  <c r="D978" i="3" s="1"/>
  <c r="D979" i="3" s="1"/>
  <c r="D980" i="3" s="1"/>
  <c r="D981" i="3" s="1"/>
  <c r="D982" i="3" s="1"/>
  <c r="D983" i="3" s="1"/>
  <c r="D984" i="3" s="1"/>
  <c r="D985" i="3" s="1"/>
  <c r="D986" i="3" s="1"/>
  <c r="D987" i="3" s="1"/>
  <c r="D988" i="3" s="1"/>
  <c r="D989" i="3" s="1"/>
  <c r="D990" i="3" s="1"/>
  <c r="D991" i="3" s="1"/>
  <c r="D992" i="3" s="1"/>
  <c r="D993" i="3" s="1"/>
  <c r="D994" i="3" s="1"/>
  <c r="D995" i="3" s="1"/>
  <c r="D996" i="3" s="1"/>
  <c r="D997" i="3" s="1"/>
  <c r="D998" i="3" s="1"/>
  <c r="D999" i="3" s="1"/>
  <c r="D1000" i="3" s="1"/>
  <c r="D1001" i="3" s="1"/>
  <c r="F634" i="3"/>
  <c r="J634" i="3"/>
  <c r="K634" i="3"/>
  <c r="B635" i="3"/>
  <c r="C635" i="3" s="1"/>
  <c r="F635" i="3"/>
  <c r="J635" i="3"/>
  <c r="K635" i="3"/>
  <c r="B636" i="3"/>
  <c r="P636" i="3" s="1"/>
  <c r="F636" i="3"/>
  <c r="J636" i="3"/>
  <c r="K636" i="3"/>
  <c r="B637" i="3"/>
  <c r="F637" i="3"/>
  <c r="J637" i="3"/>
  <c r="K637" i="3"/>
  <c r="B638" i="3"/>
  <c r="P638" i="3" s="1"/>
  <c r="F638" i="3"/>
  <c r="J638" i="3"/>
  <c r="K638" i="3"/>
  <c r="B639" i="3"/>
  <c r="P639" i="3" s="1"/>
  <c r="F639" i="3"/>
  <c r="J639" i="3"/>
  <c r="K639" i="3"/>
  <c r="B640" i="3"/>
  <c r="P640" i="3" s="1"/>
  <c r="F640" i="3"/>
  <c r="J640" i="3"/>
  <c r="K640" i="3"/>
  <c r="B641" i="3"/>
  <c r="P641" i="3" s="1"/>
  <c r="F641" i="3"/>
  <c r="J641" i="3"/>
  <c r="K641" i="3"/>
  <c r="B642" i="3"/>
  <c r="P642" i="3" s="1"/>
  <c r="F642" i="3"/>
  <c r="J642" i="3"/>
  <c r="K642" i="3"/>
  <c r="B643" i="3"/>
  <c r="C643" i="3" s="1"/>
  <c r="F643" i="3"/>
  <c r="J643" i="3"/>
  <c r="K643" i="3"/>
  <c r="B644" i="3"/>
  <c r="C644" i="3" s="1"/>
  <c r="F644" i="3"/>
  <c r="J644" i="3"/>
  <c r="K644" i="3"/>
  <c r="B645" i="3"/>
  <c r="F645" i="3"/>
  <c r="J645" i="3"/>
  <c r="K645" i="3"/>
  <c r="B646" i="3"/>
  <c r="P646" i="3" s="1"/>
  <c r="F646" i="3"/>
  <c r="J646" i="3"/>
  <c r="K646" i="3"/>
  <c r="B647" i="3"/>
  <c r="P647" i="3" s="1"/>
  <c r="F647" i="3"/>
  <c r="J647" i="3"/>
  <c r="K647" i="3"/>
  <c r="B648" i="3"/>
  <c r="C648" i="3" s="1"/>
  <c r="F648" i="3"/>
  <c r="J648" i="3"/>
  <c r="K648" i="3"/>
  <c r="B649" i="3"/>
  <c r="P649" i="3" s="1"/>
  <c r="F649" i="3"/>
  <c r="J649" i="3"/>
  <c r="K649" i="3"/>
  <c r="B650" i="3"/>
  <c r="C650" i="3" s="1"/>
  <c r="F650" i="3"/>
  <c r="J650" i="3"/>
  <c r="K650" i="3"/>
  <c r="B651" i="3"/>
  <c r="P651" i="3" s="1"/>
  <c r="F651" i="3"/>
  <c r="J651" i="3"/>
  <c r="K651" i="3"/>
  <c r="B652" i="3"/>
  <c r="F652" i="3"/>
  <c r="J652" i="3"/>
  <c r="K652" i="3"/>
  <c r="B653" i="3"/>
  <c r="P653" i="3" s="1"/>
  <c r="F653" i="3"/>
  <c r="J653" i="3"/>
  <c r="K653" i="3"/>
  <c r="B654" i="3"/>
  <c r="P654" i="3" s="1"/>
  <c r="F654" i="3"/>
  <c r="J654" i="3"/>
  <c r="K654" i="3"/>
  <c r="B655" i="3"/>
  <c r="P655" i="3" s="1"/>
  <c r="F655" i="3"/>
  <c r="J655" i="3"/>
  <c r="K655" i="3"/>
  <c r="B656" i="3"/>
  <c r="P656" i="3" s="1"/>
  <c r="F656" i="3"/>
  <c r="J656" i="3"/>
  <c r="K656" i="3"/>
  <c r="B657" i="3"/>
  <c r="C657" i="3" s="1"/>
  <c r="F657" i="3"/>
  <c r="J657" i="3"/>
  <c r="K657" i="3"/>
  <c r="B658" i="3"/>
  <c r="F658" i="3"/>
  <c r="J658" i="3"/>
  <c r="K658" i="3"/>
  <c r="B659" i="3"/>
  <c r="C659" i="3" s="1"/>
  <c r="F659" i="3"/>
  <c r="J659" i="3"/>
  <c r="K659" i="3"/>
  <c r="B660" i="3"/>
  <c r="P660" i="3" s="1"/>
  <c r="F660" i="3"/>
  <c r="J660" i="3"/>
  <c r="K660" i="3"/>
  <c r="B661" i="3"/>
  <c r="P661" i="3" s="1"/>
  <c r="F661" i="3"/>
  <c r="J661" i="3"/>
  <c r="K661" i="3"/>
  <c r="B662" i="3"/>
  <c r="C662" i="3" s="1"/>
  <c r="F662" i="3"/>
  <c r="J662" i="3"/>
  <c r="K662" i="3"/>
  <c r="B663" i="3"/>
  <c r="P663" i="3" s="1"/>
  <c r="F663" i="3"/>
  <c r="J663" i="3"/>
  <c r="K663" i="3"/>
  <c r="B664" i="3"/>
  <c r="C664" i="3" s="1"/>
  <c r="F664" i="3"/>
  <c r="J664" i="3"/>
  <c r="K664" i="3"/>
  <c r="B665" i="3"/>
  <c r="P665" i="3" s="1"/>
  <c r="F665" i="3"/>
  <c r="J665" i="3"/>
  <c r="K665" i="3"/>
  <c r="B666" i="3"/>
  <c r="P666" i="3" s="1"/>
  <c r="F666" i="3"/>
  <c r="J666" i="3"/>
  <c r="K666" i="3"/>
  <c r="B667" i="3"/>
  <c r="C667" i="3" s="1"/>
  <c r="F667" i="3"/>
  <c r="J667" i="3"/>
  <c r="K667" i="3"/>
  <c r="B668" i="3"/>
  <c r="C668" i="3" s="1"/>
  <c r="F668" i="3"/>
  <c r="J668" i="3"/>
  <c r="K668" i="3"/>
  <c r="B669" i="3"/>
  <c r="C669" i="3" s="1"/>
  <c r="F669" i="3"/>
  <c r="J669" i="3"/>
  <c r="K669" i="3"/>
  <c r="B670" i="3"/>
  <c r="F670" i="3"/>
  <c r="J670" i="3"/>
  <c r="K670" i="3"/>
  <c r="B671" i="3"/>
  <c r="C671" i="3" s="1"/>
  <c r="F671" i="3"/>
  <c r="J671" i="3"/>
  <c r="K671" i="3"/>
  <c r="B672" i="3"/>
  <c r="C672" i="3" s="1"/>
  <c r="F672" i="3"/>
  <c r="J672" i="3"/>
  <c r="K672" i="3"/>
  <c r="B673" i="3"/>
  <c r="P673" i="3" s="1"/>
  <c r="F673" i="3"/>
  <c r="J673" i="3"/>
  <c r="K673" i="3"/>
  <c r="B674" i="3"/>
  <c r="C674" i="3" s="1"/>
  <c r="F674" i="3"/>
  <c r="J674" i="3"/>
  <c r="K674" i="3"/>
  <c r="B675" i="3"/>
  <c r="P675" i="3" s="1"/>
  <c r="F675" i="3"/>
  <c r="J675" i="3"/>
  <c r="K675" i="3"/>
  <c r="B676" i="3"/>
  <c r="P676" i="3" s="1"/>
  <c r="F676" i="3"/>
  <c r="J676" i="3"/>
  <c r="K676" i="3"/>
  <c r="B677" i="3"/>
  <c r="F677" i="3"/>
  <c r="J677" i="3"/>
  <c r="K677" i="3"/>
  <c r="B678" i="3"/>
  <c r="C678" i="3" s="1"/>
  <c r="F678" i="3"/>
  <c r="J678" i="3"/>
  <c r="K678" i="3"/>
  <c r="B679" i="3"/>
  <c r="P679" i="3" s="1"/>
  <c r="F679" i="3"/>
  <c r="J679" i="3"/>
  <c r="K679" i="3"/>
  <c r="B680" i="3"/>
  <c r="C680" i="3" s="1"/>
  <c r="F680" i="3"/>
  <c r="J680" i="3"/>
  <c r="K680" i="3"/>
  <c r="B681" i="3"/>
  <c r="P681" i="3" s="1"/>
  <c r="F681" i="3"/>
  <c r="J681" i="3"/>
  <c r="K681" i="3"/>
  <c r="B682" i="3"/>
  <c r="P682" i="3" s="1"/>
  <c r="F682" i="3"/>
  <c r="J682" i="3"/>
  <c r="K682" i="3"/>
  <c r="B683" i="3"/>
  <c r="C683" i="3" s="1"/>
  <c r="F683" i="3"/>
  <c r="J683" i="3"/>
  <c r="K683" i="3"/>
  <c r="B684" i="3"/>
  <c r="P684" i="3" s="1"/>
  <c r="F684" i="3"/>
  <c r="J684" i="3"/>
  <c r="K684" i="3"/>
  <c r="B685" i="3"/>
  <c r="P685" i="3" s="1"/>
  <c r="F685" i="3"/>
  <c r="J685" i="3"/>
  <c r="K685" i="3"/>
  <c r="B686" i="3"/>
  <c r="F686" i="3"/>
  <c r="J686" i="3"/>
  <c r="K686" i="3"/>
  <c r="B687" i="3"/>
  <c r="P687" i="3" s="1"/>
  <c r="F687" i="3"/>
  <c r="J687" i="3"/>
  <c r="K687" i="3"/>
  <c r="B688" i="3"/>
  <c r="C688" i="3" s="1"/>
  <c r="F688" i="3"/>
  <c r="J688" i="3"/>
  <c r="K688" i="3"/>
  <c r="B689" i="3"/>
  <c r="P689" i="3" s="1"/>
  <c r="F689" i="3"/>
  <c r="J689" i="3"/>
  <c r="K689" i="3"/>
  <c r="B690" i="3"/>
  <c r="C690" i="3" s="1"/>
  <c r="F690" i="3"/>
  <c r="J690" i="3"/>
  <c r="K690" i="3"/>
  <c r="B691" i="3"/>
  <c r="P691" i="3" s="1"/>
  <c r="F691" i="3"/>
  <c r="J691" i="3"/>
  <c r="K691" i="3"/>
  <c r="B692" i="3"/>
  <c r="P692" i="3" s="1"/>
  <c r="F692" i="3"/>
  <c r="J692" i="3"/>
  <c r="K692" i="3"/>
  <c r="B693" i="3"/>
  <c r="F693" i="3"/>
  <c r="J693" i="3"/>
  <c r="K693" i="3"/>
  <c r="B694" i="3"/>
  <c r="C694" i="3" s="1"/>
  <c r="F694" i="3"/>
  <c r="J694" i="3"/>
  <c r="K694" i="3"/>
  <c r="B695" i="3"/>
  <c r="P695" i="3" s="1"/>
  <c r="F695" i="3"/>
  <c r="J695" i="3"/>
  <c r="K695" i="3"/>
  <c r="B696" i="3"/>
  <c r="C696" i="3" s="1"/>
  <c r="F696" i="3"/>
  <c r="J696" i="3"/>
  <c r="K696" i="3"/>
  <c r="B697" i="3"/>
  <c r="P697" i="3" s="1"/>
  <c r="F697" i="3"/>
  <c r="J697" i="3"/>
  <c r="K697" i="3"/>
  <c r="B698" i="3"/>
  <c r="P698" i="3" s="1"/>
  <c r="F698" i="3"/>
  <c r="J698" i="3"/>
  <c r="K698" i="3"/>
  <c r="B699" i="3"/>
  <c r="C699" i="3" s="1"/>
  <c r="F699" i="3"/>
  <c r="J699" i="3"/>
  <c r="K699" i="3"/>
  <c r="B700" i="3"/>
  <c r="C700" i="3" s="1"/>
  <c r="F700" i="3"/>
  <c r="J700" i="3"/>
  <c r="K700" i="3"/>
  <c r="B701" i="3"/>
  <c r="C701" i="3" s="1"/>
  <c r="F701" i="3"/>
  <c r="J701" i="3"/>
  <c r="K701" i="3"/>
  <c r="B702" i="3"/>
  <c r="F702" i="3"/>
  <c r="J702" i="3"/>
  <c r="K702" i="3"/>
  <c r="B703" i="3"/>
  <c r="P703" i="3" s="1"/>
  <c r="F703" i="3"/>
  <c r="J703" i="3"/>
  <c r="K703" i="3"/>
  <c r="B704" i="3"/>
  <c r="C704" i="3" s="1"/>
  <c r="F704" i="3"/>
  <c r="J704" i="3"/>
  <c r="K704" i="3"/>
  <c r="B705" i="3"/>
  <c r="F705" i="3"/>
  <c r="J705" i="3"/>
  <c r="K705" i="3"/>
  <c r="B706" i="3"/>
  <c r="C706" i="3" s="1"/>
  <c r="F706" i="3"/>
  <c r="J706" i="3"/>
  <c r="K706" i="3"/>
  <c r="B707" i="3"/>
  <c r="P707" i="3" s="1"/>
  <c r="F707" i="3"/>
  <c r="J707" i="3"/>
  <c r="K707" i="3"/>
  <c r="B708" i="3"/>
  <c r="P708" i="3" s="1"/>
  <c r="F708" i="3"/>
  <c r="J708" i="3"/>
  <c r="K708" i="3"/>
  <c r="B709" i="3"/>
  <c r="F709" i="3"/>
  <c r="J709" i="3"/>
  <c r="K709" i="3"/>
  <c r="B710" i="3"/>
  <c r="C710" i="3" s="1"/>
  <c r="F710" i="3"/>
  <c r="J710" i="3"/>
  <c r="K710" i="3"/>
  <c r="B711" i="3"/>
  <c r="F711" i="3"/>
  <c r="J711" i="3"/>
  <c r="K711" i="3"/>
  <c r="B712" i="3"/>
  <c r="C712" i="3" s="1"/>
  <c r="F712" i="3"/>
  <c r="J712" i="3"/>
  <c r="K712" i="3"/>
  <c r="B713" i="3"/>
  <c r="F713" i="3"/>
  <c r="J713" i="3"/>
  <c r="K713" i="3"/>
  <c r="B714" i="3"/>
  <c r="P714" i="3" s="1"/>
  <c r="F714" i="3"/>
  <c r="J714" i="3"/>
  <c r="K714" i="3"/>
  <c r="B715" i="3"/>
  <c r="C715" i="3" s="1"/>
  <c r="F715" i="3"/>
  <c r="J715" i="3"/>
  <c r="K715" i="3"/>
  <c r="B716" i="3"/>
  <c r="C716" i="3" s="1"/>
  <c r="F716" i="3"/>
  <c r="J716" i="3"/>
  <c r="K716" i="3"/>
  <c r="B717" i="3"/>
  <c r="P717" i="3" s="1"/>
  <c r="F717" i="3"/>
  <c r="J717" i="3"/>
  <c r="K717" i="3"/>
  <c r="B718" i="3"/>
  <c r="C718" i="3" s="1"/>
  <c r="F718" i="3"/>
  <c r="J718" i="3"/>
  <c r="K718" i="3"/>
  <c r="B719" i="3"/>
  <c r="C719" i="3" s="1"/>
  <c r="F719" i="3"/>
  <c r="J719" i="3"/>
  <c r="K719" i="3"/>
  <c r="B720" i="3"/>
  <c r="P720" i="3" s="1"/>
  <c r="F720" i="3"/>
  <c r="J720" i="3"/>
  <c r="K720" i="3"/>
  <c r="B721" i="3"/>
  <c r="P721" i="3" s="1"/>
  <c r="F721" i="3"/>
  <c r="J721" i="3"/>
  <c r="K721" i="3"/>
  <c r="B722" i="3"/>
  <c r="C722" i="3" s="1"/>
  <c r="F722" i="3"/>
  <c r="J722" i="3"/>
  <c r="K722" i="3"/>
  <c r="B723" i="3"/>
  <c r="P723" i="3" s="1"/>
  <c r="F723" i="3"/>
  <c r="J723" i="3"/>
  <c r="K723" i="3"/>
  <c r="B724" i="3"/>
  <c r="C724" i="3" s="1"/>
  <c r="F724" i="3"/>
  <c r="J724" i="3"/>
  <c r="K724" i="3"/>
  <c r="B725" i="3"/>
  <c r="P725" i="3" s="1"/>
  <c r="F725" i="3"/>
  <c r="J725" i="3"/>
  <c r="K725" i="3"/>
  <c r="B726" i="3"/>
  <c r="C726" i="3" s="1"/>
  <c r="F726" i="3"/>
  <c r="J726" i="3"/>
  <c r="K726" i="3"/>
  <c r="B727" i="3"/>
  <c r="F727" i="3"/>
  <c r="J727" i="3"/>
  <c r="K727" i="3"/>
  <c r="B728" i="3"/>
  <c r="C728" i="3" s="1"/>
  <c r="F728" i="3"/>
  <c r="J728" i="3"/>
  <c r="K728" i="3"/>
  <c r="B729" i="3"/>
  <c r="C729" i="3" s="1"/>
  <c r="F729" i="3"/>
  <c r="J729" i="3"/>
  <c r="K729" i="3"/>
  <c r="B730" i="3"/>
  <c r="P730" i="3" s="1"/>
  <c r="F730" i="3"/>
  <c r="J730" i="3"/>
  <c r="K730" i="3"/>
  <c r="B731" i="3"/>
  <c r="C731" i="3" s="1"/>
  <c r="F731" i="3"/>
  <c r="J731" i="3"/>
  <c r="K731" i="3"/>
  <c r="B732" i="3"/>
  <c r="P732" i="3" s="1"/>
  <c r="F732" i="3"/>
  <c r="J732" i="3"/>
  <c r="K732" i="3"/>
  <c r="B733" i="3"/>
  <c r="P733" i="3" s="1"/>
  <c r="F733" i="3"/>
  <c r="J733" i="3"/>
  <c r="K733" i="3"/>
  <c r="B734" i="3"/>
  <c r="C734" i="3" s="1"/>
  <c r="F734" i="3"/>
  <c r="J734" i="3"/>
  <c r="K734" i="3"/>
  <c r="B735" i="3"/>
  <c r="P735" i="3" s="1"/>
  <c r="F735" i="3"/>
  <c r="J735" i="3"/>
  <c r="K735" i="3"/>
  <c r="B736" i="3"/>
  <c r="C736" i="3" s="1"/>
  <c r="F736" i="3"/>
  <c r="J736" i="3"/>
  <c r="K736" i="3"/>
  <c r="B737" i="3"/>
  <c r="C737" i="3" s="1"/>
  <c r="F737" i="3"/>
  <c r="J737" i="3"/>
  <c r="K737" i="3"/>
  <c r="B738" i="3"/>
  <c r="F738" i="3"/>
  <c r="J738" i="3"/>
  <c r="K738" i="3"/>
  <c r="B739" i="3"/>
  <c r="F739" i="3"/>
  <c r="J739" i="3"/>
  <c r="K739" i="3"/>
  <c r="B740" i="3"/>
  <c r="P740" i="3" s="1"/>
  <c r="F740" i="3"/>
  <c r="J740" i="3"/>
  <c r="K740" i="3"/>
  <c r="B741" i="3"/>
  <c r="C741" i="3" s="1"/>
  <c r="F741" i="3"/>
  <c r="J741" i="3"/>
  <c r="K741" i="3"/>
  <c r="B742" i="3"/>
  <c r="P742" i="3" s="1"/>
  <c r="F742" i="3"/>
  <c r="J742" i="3"/>
  <c r="K742" i="3"/>
  <c r="B743" i="3"/>
  <c r="P743" i="3" s="1"/>
  <c r="F743" i="3"/>
  <c r="J743" i="3"/>
  <c r="K743" i="3"/>
  <c r="B744" i="3"/>
  <c r="C744" i="3" s="1"/>
  <c r="F744" i="3"/>
  <c r="J744" i="3"/>
  <c r="K744" i="3"/>
  <c r="B745" i="3"/>
  <c r="P745" i="3" s="1"/>
  <c r="F745" i="3"/>
  <c r="J745" i="3"/>
  <c r="K745" i="3"/>
  <c r="B746" i="3"/>
  <c r="P746" i="3" s="1"/>
  <c r="F746" i="3"/>
  <c r="J746" i="3"/>
  <c r="K746" i="3"/>
  <c r="B747" i="3"/>
  <c r="C747" i="3" s="1"/>
  <c r="F747" i="3"/>
  <c r="J747" i="3"/>
  <c r="K747" i="3"/>
  <c r="B748" i="3"/>
  <c r="P748" i="3" s="1"/>
  <c r="F748" i="3"/>
  <c r="J748" i="3"/>
  <c r="K748" i="3"/>
  <c r="B749" i="3"/>
  <c r="C749" i="3" s="1"/>
  <c r="F749" i="3"/>
  <c r="J749" i="3"/>
  <c r="K749" i="3"/>
  <c r="B750" i="3"/>
  <c r="C750" i="3" s="1"/>
  <c r="F750" i="3"/>
  <c r="J750" i="3"/>
  <c r="K750" i="3"/>
  <c r="B751" i="3"/>
  <c r="C751" i="3" s="1"/>
  <c r="F751" i="3"/>
  <c r="J751" i="3"/>
  <c r="K751" i="3"/>
  <c r="B752" i="3"/>
  <c r="P752" i="3" s="1"/>
  <c r="F752" i="3"/>
  <c r="J752" i="3"/>
  <c r="K752" i="3"/>
  <c r="B753" i="3"/>
  <c r="P753" i="3" s="1"/>
  <c r="F753" i="3"/>
  <c r="J753" i="3"/>
  <c r="K753" i="3"/>
  <c r="B754" i="3"/>
  <c r="P754" i="3" s="1"/>
  <c r="F754" i="3"/>
  <c r="J754" i="3"/>
  <c r="K754" i="3"/>
  <c r="B755" i="3"/>
  <c r="C755" i="3" s="1"/>
  <c r="F755" i="3"/>
  <c r="J755" i="3"/>
  <c r="K755" i="3"/>
  <c r="B756" i="3"/>
  <c r="C756" i="3" s="1"/>
  <c r="F756" i="3"/>
  <c r="J756" i="3"/>
  <c r="K756" i="3"/>
  <c r="B757" i="3"/>
  <c r="P757" i="3" s="1"/>
  <c r="F757" i="3"/>
  <c r="J757" i="3"/>
  <c r="K757" i="3"/>
  <c r="B758" i="3"/>
  <c r="C758" i="3" s="1"/>
  <c r="F758" i="3"/>
  <c r="J758" i="3"/>
  <c r="K758" i="3"/>
  <c r="B759" i="3"/>
  <c r="P759" i="3" s="1"/>
  <c r="F759" i="3"/>
  <c r="J759" i="3"/>
  <c r="K759" i="3"/>
  <c r="B760" i="3"/>
  <c r="P760" i="3" s="1"/>
  <c r="F760" i="3"/>
  <c r="J760" i="3"/>
  <c r="K760" i="3"/>
  <c r="B761" i="3"/>
  <c r="C761" i="3" s="1"/>
  <c r="F761" i="3"/>
  <c r="J761" i="3"/>
  <c r="K761" i="3"/>
  <c r="B762" i="3"/>
  <c r="C762" i="3" s="1"/>
  <c r="F762" i="3"/>
  <c r="J762" i="3"/>
  <c r="K762" i="3"/>
  <c r="B763" i="3"/>
  <c r="C763" i="3" s="1"/>
  <c r="F763" i="3"/>
  <c r="J763" i="3"/>
  <c r="K763" i="3"/>
  <c r="B764" i="3"/>
  <c r="P764" i="3" s="1"/>
  <c r="F764" i="3"/>
  <c r="J764" i="3"/>
  <c r="K764" i="3"/>
  <c r="B765" i="3"/>
  <c r="C765" i="3" s="1"/>
  <c r="F765" i="3"/>
  <c r="J765" i="3"/>
  <c r="K765" i="3"/>
  <c r="B766" i="3"/>
  <c r="C766" i="3" s="1"/>
  <c r="F766" i="3"/>
  <c r="J766" i="3"/>
  <c r="K766" i="3"/>
  <c r="B767" i="3"/>
  <c r="P767" i="3" s="1"/>
  <c r="F767" i="3"/>
  <c r="J767" i="3"/>
  <c r="K767" i="3"/>
  <c r="B768" i="3"/>
  <c r="C768" i="3" s="1"/>
  <c r="F768" i="3"/>
  <c r="J768" i="3"/>
  <c r="K768" i="3"/>
  <c r="B769" i="3"/>
  <c r="P769" i="3" s="1"/>
  <c r="F769" i="3"/>
  <c r="J769" i="3"/>
  <c r="K769" i="3"/>
  <c r="B770" i="3"/>
  <c r="C770" i="3" s="1"/>
  <c r="F770" i="3"/>
  <c r="J770" i="3"/>
  <c r="K770" i="3"/>
  <c r="B771" i="3"/>
  <c r="P771" i="3" s="1"/>
  <c r="F771" i="3"/>
  <c r="J771" i="3"/>
  <c r="K771" i="3"/>
  <c r="B772" i="3"/>
  <c r="P772" i="3" s="1"/>
  <c r="F772" i="3"/>
  <c r="J772" i="3"/>
  <c r="K772" i="3"/>
  <c r="B773" i="3"/>
  <c r="F773" i="3"/>
  <c r="J773" i="3"/>
  <c r="K773" i="3"/>
  <c r="B774" i="3"/>
  <c r="P774" i="3" s="1"/>
  <c r="F774" i="3"/>
  <c r="J774" i="3"/>
  <c r="K774" i="3"/>
  <c r="B775" i="3"/>
  <c r="P775" i="3" s="1"/>
  <c r="F775" i="3"/>
  <c r="J775" i="3"/>
  <c r="K775" i="3"/>
  <c r="B776" i="3"/>
  <c r="P776" i="3" s="1"/>
  <c r="F776" i="3"/>
  <c r="J776" i="3"/>
  <c r="K776" i="3"/>
  <c r="B777" i="3"/>
  <c r="C777" i="3" s="1"/>
  <c r="F777" i="3"/>
  <c r="J777" i="3"/>
  <c r="K777" i="3"/>
  <c r="B778" i="3"/>
  <c r="P778" i="3" s="1"/>
  <c r="F778" i="3"/>
  <c r="J778" i="3"/>
  <c r="K778" i="3"/>
  <c r="B779" i="3"/>
  <c r="C779" i="3" s="1"/>
  <c r="F779" i="3"/>
  <c r="J779" i="3"/>
  <c r="K779" i="3"/>
  <c r="B780" i="3"/>
  <c r="F780" i="3"/>
  <c r="J780" i="3"/>
  <c r="K780" i="3"/>
  <c r="B781" i="3"/>
  <c r="C781" i="3" s="1"/>
  <c r="F781" i="3"/>
  <c r="J781" i="3"/>
  <c r="K781" i="3"/>
  <c r="B782" i="3"/>
  <c r="C782" i="3" s="1"/>
  <c r="F782" i="3"/>
  <c r="J782" i="3"/>
  <c r="K782" i="3"/>
  <c r="B783" i="3"/>
  <c r="P783" i="3" s="1"/>
  <c r="F783" i="3"/>
  <c r="J783" i="3"/>
  <c r="K783" i="3"/>
  <c r="B784" i="3"/>
  <c r="C784" i="3" s="1"/>
  <c r="F784" i="3"/>
  <c r="J784" i="3"/>
  <c r="K784" i="3"/>
  <c r="B785" i="3"/>
  <c r="C785" i="3" s="1"/>
  <c r="F785" i="3"/>
  <c r="J785" i="3"/>
  <c r="K785" i="3"/>
  <c r="P785" i="3"/>
  <c r="B786" i="3"/>
  <c r="F786" i="3"/>
  <c r="J786" i="3"/>
  <c r="K786" i="3"/>
  <c r="B787" i="3"/>
  <c r="F787" i="3"/>
  <c r="J787" i="3"/>
  <c r="K787" i="3"/>
  <c r="B788" i="3"/>
  <c r="P788" i="3" s="1"/>
  <c r="F788" i="3"/>
  <c r="J788" i="3"/>
  <c r="K788" i="3"/>
  <c r="B789" i="3"/>
  <c r="C789" i="3" s="1"/>
  <c r="F789" i="3"/>
  <c r="J789" i="3"/>
  <c r="K789" i="3"/>
  <c r="B790" i="3"/>
  <c r="P790" i="3" s="1"/>
  <c r="F790" i="3"/>
  <c r="J790" i="3"/>
  <c r="K790" i="3"/>
  <c r="B791" i="3"/>
  <c r="P791" i="3" s="1"/>
  <c r="F791" i="3"/>
  <c r="J791" i="3"/>
  <c r="K791" i="3"/>
  <c r="B792" i="3"/>
  <c r="C792" i="3" s="1"/>
  <c r="F792" i="3"/>
  <c r="J792" i="3"/>
  <c r="K792" i="3"/>
  <c r="B793" i="3"/>
  <c r="C793" i="3" s="1"/>
  <c r="F793" i="3"/>
  <c r="J793" i="3"/>
  <c r="K793" i="3"/>
  <c r="B794" i="3"/>
  <c r="C794" i="3" s="1"/>
  <c r="F794" i="3"/>
  <c r="J794" i="3"/>
  <c r="K794" i="3"/>
  <c r="B795" i="3"/>
  <c r="C795" i="3" s="1"/>
  <c r="F795" i="3"/>
  <c r="J795" i="3"/>
  <c r="K795" i="3"/>
  <c r="B796" i="3"/>
  <c r="P796" i="3" s="1"/>
  <c r="F796" i="3"/>
  <c r="J796" i="3"/>
  <c r="K796" i="3"/>
  <c r="B797" i="3"/>
  <c r="P797" i="3" s="1"/>
  <c r="F797" i="3"/>
  <c r="J797" i="3"/>
  <c r="K797" i="3"/>
  <c r="B798" i="3"/>
  <c r="P798" i="3" s="1"/>
  <c r="F798" i="3"/>
  <c r="J798" i="3"/>
  <c r="K798" i="3"/>
  <c r="B799" i="3"/>
  <c r="P799" i="3" s="1"/>
  <c r="F799" i="3"/>
  <c r="J799" i="3"/>
  <c r="K799" i="3"/>
  <c r="B800" i="3"/>
  <c r="F800" i="3"/>
  <c r="J800" i="3"/>
  <c r="K800" i="3"/>
  <c r="B801" i="3"/>
  <c r="P801" i="3" s="1"/>
  <c r="F801" i="3"/>
  <c r="J801" i="3"/>
  <c r="K801" i="3"/>
  <c r="B802" i="3"/>
  <c r="C802" i="3" s="1"/>
  <c r="F802" i="3"/>
  <c r="J802" i="3"/>
  <c r="K802" i="3"/>
  <c r="B803" i="3"/>
  <c r="C803" i="3" s="1"/>
  <c r="F803" i="3"/>
  <c r="J803" i="3"/>
  <c r="K803" i="3"/>
  <c r="B804" i="3"/>
  <c r="C804" i="3" s="1"/>
  <c r="F804" i="3"/>
  <c r="J804" i="3"/>
  <c r="K804" i="3"/>
  <c r="B805" i="3"/>
  <c r="P805" i="3" s="1"/>
  <c r="F805" i="3"/>
  <c r="J805" i="3"/>
  <c r="K805" i="3"/>
  <c r="B806" i="3"/>
  <c r="C806" i="3" s="1"/>
  <c r="F806" i="3"/>
  <c r="J806" i="3"/>
  <c r="K806" i="3"/>
  <c r="B807" i="3"/>
  <c r="P807" i="3" s="1"/>
  <c r="F807" i="3"/>
  <c r="J807" i="3"/>
  <c r="K807" i="3"/>
  <c r="B808" i="3"/>
  <c r="C808" i="3" s="1"/>
  <c r="F808" i="3"/>
  <c r="J808" i="3"/>
  <c r="K808" i="3"/>
  <c r="B809" i="3"/>
  <c r="F809" i="3"/>
  <c r="J809" i="3"/>
  <c r="K809" i="3"/>
  <c r="B810" i="3"/>
  <c r="P810" i="3" s="1"/>
  <c r="F810" i="3"/>
  <c r="J810" i="3"/>
  <c r="K810" i="3"/>
  <c r="B811" i="3"/>
  <c r="C811" i="3" s="1"/>
  <c r="F811" i="3"/>
  <c r="J811" i="3"/>
  <c r="K811" i="3"/>
  <c r="B812" i="3"/>
  <c r="P812" i="3" s="1"/>
  <c r="F812" i="3"/>
  <c r="J812" i="3"/>
  <c r="K812" i="3"/>
  <c r="B813" i="3"/>
  <c r="P813" i="3" s="1"/>
  <c r="F813" i="3"/>
  <c r="J813" i="3"/>
  <c r="K813" i="3"/>
  <c r="B814" i="3"/>
  <c r="P814" i="3" s="1"/>
  <c r="F814" i="3"/>
  <c r="J814" i="3"/>
  <c r="K814" i="3"/>
  <c r="B815" i="3"/>
  <c r="P815" i="3" s="1"/>
  <c r="F815" i="3"/>
  <c r="J815" i="3"/>
  <c r="K815" i="3"/>
  <c r="B816" i="3"/>
  <c r="P816" i="3" s="1"/>
  <c r="F816" i="3"/>
  <c r="J816" i="3"/>
  <c r="K816" i="3"/>
  <c r="B817" i="3"/>
  <c r="P817" i="3" s="1"/>
  <c r="F817" i="3"/>
  <c r="J817" i="3"/>
  <c r="K817" i="3"/>
  <c r="B818" i="3"/>
  <c r="C818" i="3" s="1"/>
  <c r="F818" i="3"/>
  <c r="J818" i="3"/>
  <c r="K818" i="3"/>
  <c r="B819" i="3"/>
  <c r="P819" i="3" s="1"/>
  <c r="F819" i="3"/>
  <c r="J819" i="3"/>
  <c r="K819" i="3"/>
  <c r="B820" i="3"/>
  <c r="C820" i="3" s="1"/>
  <c r="F820" i="3"/>
  <c r="J820" i="3"/>
  <c r="K820" i="3"/>
  <c r="B821" i="3"/>
  <c r="P821" i="3" s="1"/>
  <c r="F821" i="3"/>
  <c r="J821" i="3"/>
  <c r="K821" i="3"/>
  <c r="B822" i="3"/>
  <c r="C822" i="3" s="1"/>
  <c r="F822" i="3"/>
  <c r="J822" i="3"/>
  <c r="K822" i="3"/>
  <c r="B823" i="3"/>
  <c r="P823" i="3" s="1"/>
  <c r="F823" i="3"/>
  <c r="J823" i="3"/>
  <c r="K823" i="3"/>
  <c r="B824" i="3"/>
  <c r="C824" i="3" s="1"/>
  <c r="F824" i="3"/>
  <c r="J824" i="3"/>
  <c r="K824" i="3"/>
  <c r="B825" i="3"/>
  <c r="C825" i="3" s="1"/>
  <c r="F825" i="3"/>
  <c r="J825" i="3"/>
  <c r="K825" i="3"/>
  <c r="B826" i="3"/>
  <c r="C826" i="3" s="1"/>
  <c r="F826" i="3"/>
  <c r="J826" i="3"/>
  <c r="K826" i="3"/>
  <c r="B827" i="3"/>
  <c r="C827" i="3" s="1"/>
  <c r="F827" i="3"/>
  <c r="J827" i="3"/>
  <c r="K827" i="3"/>
  <c r="B828" i="3"/>
  <c r="P828" i="3" s="1"/>
  <c r="F828" i="3"/>
  <c r="J828" i="3"/>
  <c r="K828" i="3"/>
  <c r="B829" i="3"/>
  <c r="C829" i="3" s="1"/>
  <c r="F829" i="3"/>
  <c r="J829" i="3"/>
  <c r="K829" i="3"/>
  <c r="B830" i="3"/>
  <c r="P830" i="3" s="1"/>
  <c r="F830" i="3"/>
  <c r="J830" i="3"/>
  <c r="K830" i="3"/>
  <c r="B831" i="3"/>
  <c r="P831" i="3" s="1"/>
  <c r="F831" i="3"/>
  <c r="J831" i="3"/>
  <c r="K831" i="3"/>
  <c r="B832" i="3"/>
  <c r="P832" i="3" s="1"/>
  <c r="F832" i="3"/>
  <c r="J832" i="3"/>
  <c r="K832" i="3"/>
  <c r="B833" i="3"/>
  <c r="P833" i="3" s="1"/>
  <c r="F833" i="3"/>
  <c r="J833" i="3"/>
  <c r="K833" i="3"/>
  <c r="B834" i="3"/>
  <c r="C834" i="3" s="1"/>
  <c r="F834" i="3"/>
  <c r="J834" i="3"/>
  <c r="K834" i="3"/>
  <c r="B835" i="3"/>
  <c r="C835" i="3" s="1"/>
  <c r="F835" i="3"/>
  <c r="J835" i="3"/>
  <c r="K835" i="3"/>
  <c r="B836" i="3"/>
  <c r="C836" i="3" s="1"/>
  <c r="F836" i="3"/>
  <c r="J836" i="3"/>
  <c r="K836" i="3"/>
  <c r="B837" i="3"/>
  <c r="F837" i="3"/>
  <c r="J837" i="3"/>
  <c r="K837" i="3"/>
  <c r="B838" i="3"/>
  <c r="C838" i="3" s="1"/>
  <c r="F838" i="3"/>
  <c r="J838" i="3"/>
  <c r="K838" i="3"/>
  <c r="B839" i="3"/>
  <c r="P839" i="3" s="1"/>
  <c r="F839" i="3"/>
  <c r="J839" i="3"/>
  <c r="K839" i="3"/>
  <c r="B840" i="3"/>
  <c r="P840" i="3" s="1"/>
  <c r="F840" i="3"/>
  <c r="J840" i="3"/>
  <c r="K840" i="3"/>
  <c r="B841" i="3"/>
  <c r="C841" i="3" s="1"/>
  <c r="F841" i="3"/>
  <c r="J841" i="3"/>
  <c r="K841" i="3"/>
  <c r="B842" i="3"/>
  <c r="C842" i="3" s="1"/>
  <c r="F842" i="3"/>
  <c r="J842" i="3"/>
  <c r="K842" i="3"/>
  <c r="B843" i="3"/>
  <c r="F843" i="3"/>
  <c r="J843" i="3"/>
  <c r="K843" i="3"/>
  <c r="B844" i="3"/>
  <c r="P844" i="3" s="1"/>
  <c r="F844" i="3"/>
  <c r="J844" i="3"/>
  <c r="K844" i="3"/>
  <c r="B845" i="3"/>
  <c r="C845" i="3" s="1"/>
  <c r="F845" i="3"/>
  <c r="J845" i="3"/>
  <c r="K845" i="3"/>
  <c r="B846" i="3"/>
  <c r="P846" i="3" s="1"/>
  <c r="F846" i="3"/>
  <c r="J846" i="3"/>
  <c r="K846" i="3"/>
  <c r="B847" i="3"/>
  <c r="C847" i="3" s="1"/>
  <c r="F847" i="3"/>
  <c r="J847" i="3"/>
  <c r="K847" i="3"/>
  <c r="B848" i="3"/>
  <c r="P848" i="3" s="1"/>
  <c r="F848" i="3"/>
  <c r="J848" i="3"/>
  <c r="K848" i="3"/>
  <c r="B849" i="3"/>
  <c r="P849" i="3" s="1"/>
  <c r="F849" i="3"/>
  <c r="J849" i="3"/>
  <c r="K849" i="3"/>
  <c r="B850" i="3"/>
  <c r="P850" i="3" s="1"/>
  <c r="F850" i="3"/>
  <c r="J850" i="3"/>
  <c r="K850" i="3"/>
  <c r="B851" i="3"/>
  <c r="P851" i="3" s="1"/>
  <c r="F851" i="3"/>
  <c r="J851" i="3"/>
  <c r="K851" i="3"/>
  <c r="B852" i="3"/>
  <c r="P852" i="3" s="1"/>
  <c r="F852" i="3"/>
  <c r="J852" i="3"/>
  <c r="K852" i="3"/>
  <c r="B853" i="3"/>
  <c r="F853" i="3"/>
  <c r="J853" i="3"/>
  <c r="K853" i="3"/>
  <c r="B854" i="3"/>
  <c r="P854" i="3" s="1"/>
  <c r="F854" i="3"/>
  <c r="J854" i="3"/>
  <c r="K854" i="3"/>
  <c r="B855" i="3"/>
  <c r="P855" i="3" s="1"/>
  <c r="F855" i="3"/>
  <c r="J855" i="3"/>
  <c r="K855" i="3"/>
  <c r="B856" i="3"/>
  <c r="F856" i="3"/>
  <c r="J856" i="3"/>
  <c r="K856" i="3"/>
  <c r="B857" i="3"/>
  <c r="P857" i="3" s="1"/>
  <c r="F857" i="3"/>
  <c r="J857" i="3"/>
  <c r="K857" i="3"/>
  <c r="B858" i="3"/>
  <c r="P858" i="3" s="1"/>
  <c r="F858" i="3"/>
  <c r="J858" i="3"/>
  <c r="K858" i="3"/>
  <c r="B859" i="3"/>
  <c r="P859" i="3" s="1"/>
  <c r="F859" i="3"/>
  <c r="J859" i="3"/>
  <c r="K859" i="3"/>
  <c r="B860" i="3"/>
  <c r="P860" i="3" s="1"/>
  <c r="F860" i="3"/>
  <c r="J860" i="3"/>
  <c r="K860" i="3"/>
  <c r="B861" i="3"/>
  <c r="P861" i="3" s="1"/>
  <c r="F861" i="3"/>
  <c r="J861" i="3"/>
  <c r="K861" i="3"/>
  <c r="B862" i="3"/>
  <c r="C862" i="3" s="1"/>
  <c r="F862" i="3"/>
  <c r="J862" i="3"/>
  <c r="K862" i="3"/>
  <c r="B863" i="3"/>
  <c r="C863" i="3" s="1"/>
  <c r="F863" i="3"/>
  <c r="J863" i="3"/>
  <c r="K863" i="3"/>
  <c r="B864" i="3"/>
  <c r="C864" i="3" s="1"/>
  <c r="F864" i="3"/>
  <c r="J864" i="3"/>
  <c r="K864" i="3"/>
  <c r="B865" i="3"/>
  <c r="F865" i="3"/>
  <c r="J865" i="3"/>
  <c r="K865" i="3"/>
  <c r="B866" i="3"/>
  <c r="P866" i="3" s="1"/>
  <c r="F866" i="3"/>
  <c r="J866" i="3"/>
  <c r="K866" i="3"/>
  <c r="B867" i="3"/>
  <c r="P867" i="3" s="1"/>
  <c r="F867" i="3"/>
  <c r="J867" i="3"/>
  <c r="K867" i="3"/>
  <c r="B868" i="3"/>
  <c r="P868" i="3" s="1"/>
  <c r="F868" i="3"/>
  <c r="J868" i="3"/>
  <c r="K868" i="3"/>
  <c r="B869" i="3"/>
  <c r="C869" i="3" s="1"/>
  <c r="F869" i="3"/>
  <c r="J869" i="3"/>
  <c r="K869" i="3"/>
  <c r="B870" i="3"/>
  <c r="P870" i="3" s="1"/>
  <c r="F870" i="3"/>
  <c r="J870" i="3"/>
  <c r="K870" i="3"/>
  <c r="B871" i="3"/>
  <c r="C871" i="3" s="1"/>
  <c r="F871" i="3"/>
  <c r="J871" i="3"/>
  <c r="K871" i="3"/>
  <c r="B872" i="3"/>
  <c r="F872" i="3"/>
  <c r="J872" i="3"/>
  <c r="K872" i="3"/>
  <c r="B873" i="3"/>
  <c r="P873" i="3" s="1"/>
  <c r="F873" i="3"/>
  <c r="J873" i="3"/>
  <c r="K873" i="3"/>
  <c r="B874" i="3"/>
  <c r="P874" i="3" s="1"/>
  <c r="F874" i="3"/>
  <c r="J874" i="3"/>
  <c r="K874" i="3"/>
  <c r="B875" i="3"/>
  <c r="P875" i="3" s="1"/>
  <c r="F875" i="3"/>
  <c r="J875" i="3"/>
  <c r="K875" i="3"/>
  <c r="B876" i="3"/>
  <c r="P876" i="3" s="1"/>
  <c r="F876" i="3"/>
  <c r="J876" i="3"/>
  <c r="K876" i="3"/>
  <c r="B877" i="3"/>
  <c r="P877" i="3" s="1"/>
  <c r="F877" i="3"/>
  <c r="J877" i="3"/>
  <c r="K877" i="3"/>
  <c r="B878" i="3"/>
  <c r="P878" i="3" s="1"/>
  <c r="F878" i="3"/>
  <c r="J878" i="3"/>
  <c r="K878" i="3"/>
  <c r="B879" i="3"/>
  <c r="C879" i="3" s="1"/>
  <c r="F879" i="3"/>
  <c r="J879" i="3"/>
  <c r="K879" i="3"/>
  <c r="B880" i="3"/>
  <c r="C880" i="3" s="1"/>
  <c r="F880" i="3"/>
  <c r="J880" i="3"/>
  <c r="K880" i="3"/>
  <c r="B881" i="3"/>
  <c r="F881" i="3"/>
  <c r="J881" i="3"/>
  <c r="K881" i="3"/>
  <c r="B882" i="3"/>
  <c r="P882" i="3" s="1"/>
  <c r="F882" i="3"/>
  <c r="J882" i="3"/>
  <c r="K882" i="3"/>
  <c r="B883" i="3"/>
  <c r="P883" i="3" s="1"/>
  <c r="F883" i="3"/>
  <c r="J883" i="3"/>
  <c r="K883" i="3"/>
  <c r="B884" i="3"/>
  <c r="P884" i="3" s="1"/>
  <c r="F884" i="3"/>
  <c r="J884" i="3"/>
  <c r="K884" i="3"/>
  <c r="B885" i="3"/>
  <c r="C885" i="3" s="1"/>
  <c r="F885" i="3"/>
  <c r="J885" i="3"/>
  <c r="K885" i="3"/>
  <c r="B886" i="3"/>
  <c r="P886" i="3" s="1"/>
  <c r="F886" i="3"/>
  <c r="J886" i="3"/>
  <c r="K886" i="3"/>
  <c r="B887" i="3"/>
  <c r="C887" i="3" s="1"/>
  <c r="F887" i="3"/>
  <c r="J887" i="3"/>
  <c r="K887" i="3"/>
  <c r="B888" i="3"/>
  <c r="F888" i="3"/>
  <c r="J888" i="3"/>
  <c r="K888" i="3"/>
  <c r="B889" i="3"/>
  <c r="C889" i="3" s="1"/>
  <c r="F889" i="3"/>
  <c r="J889" i="3"/>
  <c r="K889" i="3"/>
  <c r="B890" i="3"/>
  <c r="P890" i="3" s="1"/>
  <c r="F890" i="3"/>
  <c r="J890" i="3"/>
  <c r="K890" i="3"/>
  <c r="B891" i="3"/>
  <c r="P891" i="3" s="1"/>
  <c r="F891" i="3"/>
  <c r="J891" i="3"/>
  <c r="K891" i="3"/>
  <c r="B892" i="3"/>
  <c r="F892" i="3"/>
  <c r="J892" i="3"/>
  <c r="K892" i="3"/>
  <c r="B893" i="3"/>
  <c r="P893" i="3" s="1"/>
  <c r="F893" i="3"/>
  <c r="J893" i="3"/>
  <c r="K893" i="3"/>
  <c r="B894" i="3"/>
  <c r="C894" i="3" s="1"/>
  <c r="F894" i="3"/>
  <c r="J894" i="3"/>
  <c r="K894" i="3"/>
  <c r="B895" i="3"/>
  <c r="C895" i="3" s="1"/>
  <c r="F895" i="3"/>
  <c r="J895" i="3"/>
  <c r="K895" i="3"/>
  <c r="B896" i="3"/>
  <c r="P896" i="3" s="1"/>
  <c r="F896" i="3"/>
  <c r="J896" i="3"/>
  <c r="K896" i="3"/>
  <c r="B897" i="3"/>
  <c r="F897" i="3"/>
  <c r="J897" i="3"/>
  <c r="K897" i="3"/>
  <c r="B898" i="3"/>
  <c r="P898" i="3" s="1"/>
  <c r="F898" i="3"/>
  <c r="J898" i="3"/>
  <c r="K898" i="3"/>
  <c r="B899" i="3"/>
  <c r="P899" i="3" s="1"/>
  <c r="F899" i="3"/>
  <c r="J899" i="3"/>
  <c r="K899" i="3"/>
  <c r="B900" i="3"/>
  <c r="P900" i="3" s="1"/>
  <c r="F900" i="3"/>
  <c r="J900" i="3"/>
  <c r="K900" i="3"/>
  <c r="B901" i="3"/>
  <c r="C901" i="3" s="1"/>
  <c r="F901" i="3"/>
  <c r="J901" i="3"/>
  <c r="K901" i="3"/>
  <c r="B902" i="3"/>
  <c r="P902" i="3" s="1"/>
  <c r="F902" i="3"/>
  <c r="J902" i="3"/>
  <c r="K902" i="3"/>
  <c r="B903" i="3"/>
  <c r="C903" i="3" s="1"/>
  <c r="F903" i="3"/>
  <c r="J903" i="3"/>
  <c r="K903" i="3"/>
  <c r="B904" i="3"/>
  <c r="F904" i="3"/>
  <c r="J904" i="3"/>
  <c r="K904" i="3"/>
  <c r="B905" i="3"/>
  <c r="P905" i="3" s="1"/>
  <c r="F905" i="3"/>
  <c r="J905" i="3"/>
  <c r="K905" i="3"/>
  <c r="B906" i="3"/>
  <c r="F906" i="3"/>
  <c r="J906" i="3"/>
  <c r="K906" i="3"/>
  <c r="B907" i="3"/>
  <c r="P907" i="3" s="1"/>
  <c r="F907" i="3"/>
  <c r="J907" i="3"/>
  <c r="K907" i="3"/>
  <c r="B908" i="3"/>
  <c r="F908" i="3"/>
  <c r="J908" i="3"/>
  <c r="K908" i="3"/>
  <c r="B909" i="3"/>
  <c r="P909" i="3" s="1"/>
  <c r="F909" i="3"/>
  <c r="J909" i="3"/>
  <c r="K909" i="3"/>
  <c r="B910" i="3"/>
  <c r="C910" i="3" s="1"/>
  <c r="F910" i="3"/>
  <c r="J910" i="3"/>
  <c r="K910" i="3"/>
  <c r="B911" i="3"/>
  <c r="C911" i="3" s="1"/>
  <c r="F911" i="3"/>
  <c r="J911" i="3"/>
  <c r="K911" i="3"/>
  <c r="B912" i="3"/>
  <c r="P912" i="3" s="1"/>
  <c r="F912" i="3"/>
  <c r="J912" i="3"/>
  <c r="K912" i="3"/>
  <c r="B913" i="3"/>
  <c r="C913" i="3" s="1"/>
  <c r="F913" i="3"/>
  <c r="J913" i="3"/>
  <c r="K913" i="3"/>
  <c r="B914" i="3"/>
  <c r="C914" i="3" s="1"/>
  <c r="F914" i="3"/>
  <c r="J914" i="3"/>
  <c r="K914" i="3"/>
  <c r="B915" i="3"/>
  <c r="P915" i="3" s="1"/>
  <c r="F915" i="3"/>
  <c r="J915" i="3"/>
  <c r="K915" i="3"/>
  <c r="B916" i="3"/>
  <c r="P916" i="3" s="1"/>
  <c r="F916" i="3"/>
  <c r="J916" i="3"/>
  <c r="K916" i="3"/>
  <c r="B917" i="3"/>
  <c r="C917" i="3" s="1"/>
  <c r="F917" i="3"/>
  <c r="J917" i="3"/>
  <c r="K917" i="3"/>
  <c r="B918" i="3"/>
  <c r="P918" i="3" s="1"/>
  <c r="F918" i="3"/>
  <c r="J918" i="3"/>
  <c r="K918" i="3"/>
  <c r="B919" i="3"/>
  <c r="C919" i="3" s="1"/>
  <c r="F919" i="3"/>
  <c r="J919" i="3"/>
  <c r="K919" i="3"/>
  <c r="B920" i="3"/>
  <c r="F920" i="3"/>
  <c r="J920" i="3"/>
  <c r="K920" i="3"/>
  <c r="B921" i="3"/>
  <c r="C921" i="3" s="1"/>
  <c r="F921" i="3"/>
  <c r="J921" i="3"/>
  <c r="K921" i="3"/>
  <c r="B922" i="3"/>
  <c r="F922" i="3"/>
  <c r="J922" i="3"/>
  <c r="K922" i="3"/>
  <c r="B923" i="3"/>
  <c r="P923" i="3" s="1"/>
  <c r="F923" i="3"/>
  <c r="J923" i="3"/>
  <c r="K923" i="3"/>
  <c r="B924" i="3"/>
  <c r="F924" i="3"/>
  <c r="J924" i="3"/>
  <c r="K924" i="3"/>
  <c r="B925" i="3"/>
  <c r="P925" i="3" s="1"/>
  <c r="F925" i="3"/>
  <c r="J925" i="3"/>
  <c r="K925" i="3"/>
  <c r="B926" i="3"/>
  <c r="P926" i="3" s="1"/>
  <c r="F926" i="3"/>
  <c r="J926" i="3"/>
  <c r="K926" i="3"/>
  <c r="B927" i="3"/>
  <c r="C927" i="3" s="1"/>
  <c r="F927" i="3"/>
  <c r="J927" i="3"/>
  <c r="K927" i="3"/>
  <c r="B928" i="3"/>
  <c r="P928" i="3" s="1"/>
  <c r="F928" i="3"/>
  <c r="J928" i="3"/>
  <c r="K928" i="3"/>
  <c r="B929" i="3"/>
  <c r="C929" i="3" s="1"/>
  <c r="F929" i="3"/>
  <c r="J929" i="3"/>
  <c r="K929" i="3"/>
  <c r="B930" i="3"/>
  <c r="C930" i="3" s="1"/>
  <c r="F930" i="3"/>
  <c r="J930" i="3"/>
  <c r="K930" i="3"/>
  <c r="B931" i="3"/>
  <c r="P931" i="3" s="1"/>
  <c r="F931" i="3"/>
  <c r="J931" i="3"/>
  <c r="K931" i="3"/>
  <c r="B932" i="3"/>
  <c r="P932" i="3" s="1"/>
  <c r="F932" i="3"/>
  <c r="J932" i="3"/>
  <c r="K932" i="3"/>
  <c r="B933" i="3"/>
  <c r="C933" i="3" s="1"/>
  <c r="F933" i="3"/>
  <c r="J933" i="3"/>
  <c r="K933" i="3"/>
  <c r="B934" i="3"/>
  <c r="P934" i="3" s="1"/>
  <c r="F934" i="3"/>
  <c r="J934" i="3"/>
  <c r="K934" i="3"/>
  <c r="B935" i="3"/>
  <c r="C935" i="3" s="1"/>
  <c r="F935" i="3"/>
  <c r="J935" i="3"/>
  <c r="K935" i="3"/>
  <c r="B936" i="3"/>
  <c r="F936" i="3"/>
  <c r="J936" i="3"/>
  <c r="K936" i="3"/>
  <c r="B937" i="3"/>
  <c r="P937" i="3" s="1"/>
  <c r="F937" i="3"/>
  <c r="J937" i="3"/>
  <c r="K937" i="3"/>
  <c r="B938" i="3"/>
  <c r="C938" i="3" s="1"/>
  <c r="F938" i="3"/>
  <c r="J938" i="3"/>
  <c r="K938" i="3"/>
  <c r="B939" i="3"/>
  <c r="P939" i="3" s="1"/>
  <c r="F939" i="3"/>
  <c r="J939" i="3"/>
  <c r="K939" i="3"/>
  <c r="B940" i="3"/>
  <c r="F940" i="3"/>
  <c r="J940" i="3"/>
  <c r="K940" i="3"/>
  <c r="B941" i="3"/>
  <c r="P941" i="3" s="1"/>
  <c r="F941" i="3"/>
  <c r="J941" i="3"/>
  <c r="K941" i="3"/>
  <c r="B942" i="3"/>
  <c r="C942" i="3" s="1"/>
  <c r="F942" i="3"/>
  <c r="J942" i="3"/>
  <c r="K942" i="3"/>
  <c r="B943" i="3"/>
  <c r="C943" i="3" s="1"/>
  <c r="F943" i="3"/>
  <c r="J943" i="3"/>
  <c r="K943" i="3"/>
  <c r="B944" i="3"/>
  <c r="C944" i="3" s="1"/>
  <c r="F944" i="3"/>
  <c r="J944" i="3"/>
  <c r="K944" i="3"/>
  <c r="B945" i="3"/>
  <c r="C945" i="3" s="1"/>
  <c r="F945" i="3"/>
  <c r="J945" i="3"/>
  <c r="K945" i="3"/>
  <c r="B946" i="3"/>
  <c r="C946" i="3" s="1"/>
  <c r="F946" i="3"/>
  <c r="J946" i="3"/>
  <c r="K946" i="3"/>
  <c r="B947" i="3"/>
  <c r="C947" i="3" s="1"/>
  <c r="F947" i="3"/>
  <c r="J947" i="3"/>
  <c r="K947" i="3"/>
  <c r="B948" i="3"/>
  <c r="P948" i="3" s="1"/>
  <c r="F948" i="3"/>
  <c r="J948" i="3"/>
  <c r="K948" i="3"/>
  <c r="B949" i="3"/>
  <c r="P949" i="3" s="1"/>
  <c r="F949" i="3"/>
  <c r="J949" i="3"/>
  <c r="K949" i="3"/>
  <c r="B950" i="3"/>
  <c r="C950" i="3" s="1"/>
  <c r="F950" i="3"/>
  <c r="J950" i="3"/>
  <c r="K950" i="3"/>
  <c r="B951" i="3"/>
  <c r="P951" i="3" s="1"/>
  <c r="F951" i="3"/>
  <c r="J951" i="3"/>
  <c r="K951" i="3"/>
  <c r="B952" i="3"/>
  <c r="P952" i="3" s="1"/>
  <c r="F952" i="3"/>
  <c r="J952" i="3"/>
  <c r="K952" i="3"/>
  <c r="B953" i="3"/>
  <c r="P953" i="3" s="1"/>
  <c r="F953" i="3"/>
  <c r="J953" i="3"/>
  <c r="K953" i="3"/>
  <c r="B954" i="3"/>
  <c r="P954" i="3" s="1"/>
  <c r="F954" i="3"/>
  <c r="J954" i="3"/>
  <c r="K954" i="3"/>
  <c r="B955" i="3"/>
  <c r="P955" i="3" s="1"/>
  <c r="F955" i="3"/>
  <c r="J955" i="3"/>
  <c r="K955" i="3"/>
  <c r="B956" i="3"/>
  <c r="F956" i="3"/>
  <c r="J956" i="3"/>
  <c r="K956" i="3"/>
  <c r="B957" i="3"/>
  <c r="P957" i="3" s="1"/>
  <c r="F957" i="3"/>
  <c r="J957" i="3"/>
  <c r="K957" i="3"/>
  <c r="B958" i="3"/>
  <c r="P958" i="3" s="1"/>
  <c r="F958" i="3"/>
  <c r="J958" i="3"/>
  <c r="K958" i="3"/>
  <c r="B959" i="3"/>
  <c r="C959" i="3" s="1"/>
  <c r="F959" i="3"/>
  <c r="J959" i="3"/>
  <c r="K959" i="3"/>
  <c r="B960" i="3"/>
  <c r="P960" i="3" s="1"/>
  <c r="F960" i="3"/>
  <c r="J960" i="3"/>
  <c r="K960" i="3"/>
  <c r="B961" i="3"/>
  <c r="C961" i="3" s="1"/>
  <c r="F961" i="3"/>
  <c r="J961" i="3"/>
  <c r="K961" i="3"/>
  <c r="B962" i="3"/>
  <c r="P962" i="3" s="1"/>
  <c r="F962" i="3"/>
  <c r="J962" i="3"/>
  <c r="K962" i="3"/>
  <c r="B963" i="3"/>
  <c r="C963" i="3" s="1"/>
  <c r="F963" i="3"/>
  <c r="J963" i="3"/>
  <c r="K963" i="3"/>
  <c r="B964" i="3"/>
  <c r="C964" i="3" s="1"/>
  <c r="F964" i="3"/>
  <c r="J964" i="3"/>
  <c r="K964" i="3"/>
  <c r="B965" i="3"/>
  <c r="P965" i="3" s="1"/>
  <c r="F965" i="3"/>
  <c r="J965" i="3"/>
  <c r="K965" i="3"/>
  <c r="B966" i="3"/>
  <c r="P966" i="3" s="1"/>
  <c r="F966" i="3"/>
  <c r="J966" i="3"/>
  <c r="K966" i="3"/>
  <c r="B967" i="3"/>
  <c r="P967" i="3" s="1"/>
  <c r="F967" i="3"/>
  <c r="J967" i="3"/>
  <c r="K967" i="3"/>
  <c r="B968" i="3"/>
  <c r="P968" i="3" s="1"/>
  <c r="F968" i="3"/>
  <c r="J968" i="3"/>
  <c r="K968" i="3"/>
  <c r="B969" i="3"/>
  <c r="P969" i="3" s="1"/>
  <c r="F969" i="3"/>
  <c r="J969" i="3"/>
  <c r="K969" i="3"/>
  <c r="B970" i="3"/>
  <c r="P970" i="3" s="1"/>
  <c r="F970" i="3"/>
  <c r="J970" i="3"/>
  <c r="K970" i="3"/>
  <c r="B971" i="3"/>
  <c r="P971" i="3" s="1"/>
  <c r="F971" i="3"/>
  <c r="J971" i="3"/>
  <c r="K971" i="3"/>
  <c r="B972" i="3"/>
  <c r="F972" i="3"/>
  <c r="J972" i="3"/>
  <c r="K972" i="3"/>
  <c r="B973" i="3"/>
  <c r="P973" i="3" s="1"/>
  <c r="F973" i="3"/>
  <c r="J973" i="3"/>
  <c r="K973" i="3"/>
  <c r="B974" i="3"/>
  <c r="C974" i="3" s="1"/>
  <c r="F974" i="3"/>
  <c r="J974" i="3"/>
  <c r="K974" i="3"/>
  <c r="B975" i="3"/>
  <c r="C975" i="3" s="1"/>
  <c r="F975" i="3"/>
  <c r="J975" i="3"/>
  <c r="K975" i="3"/>
  <c r="B976" i="3"/>
  <c r="C976" i="3" s="1"/>
  <c r="F976" i="3"/>
  <c r="J976" i="3"/>
  <c r="K976" i="3"/>
  <c r="B977" i="3"/>
  <c r="C977" i="3" s="1"/>
  <c r="F977" i="3"/>
  <c r="J977" i="3"/>
  <c r="K977" i="3"/>
  <c r="B978" i="3"/>
  <c r="C978" i="3" s="1"/>
  <c r="F978" i="3"/>
  <c r="J978" i="3"/>
  <c r="K978" i="3"/>
  <c r="B979" i="3"/>
  <c r="C979" i="3" s="1"/>
  <c r="F979" i="3"/>
  <c r="J979" i="3"/>
  <c r="K979" i="3"/>
  <c r="B980" i="3"/>
  <c r="C980" i="3" s="1"/>
  <c r="F980" i="3"/>
  <c r="J980" i="3"/>
  <c r="K980" i="3"/>
  <c r="B981" i="3"/>
  <c r="P981" i="3" s="1"/>
  <c r="F981" i="3"/>
  <c r="J981" i="3"/>
  <c r="K981" i="3"/>
  <c r="B982" i="3"/>
  <c r="P982" i="3" s="1"/>
  <c r="F982" i="3"/>
  <c r="J982" i="3"/>
  <c r="K982" i="3"/>
  <c r="B983" i="3"/>
  <c r="P983" i="3" s="1"/>
  <c r="F983" i="3"/>
  <c r="J983" i="3"/>
  <c r="K983" i="3"/>
  <c r="B984" i="3"/>
  <c r="P984" i="3" s="1"/>
  <c r="F984" i="3"/>
  <c r="J984" i="3"/>
  <c r="K984" i="3"/>
  <c r="B985" i="3"/>
  <c r="P985" i="3" s="1"/>
  <c r="F985" i="3"/>
  <c r="J985" i="3"/>
  <c r="K985" i="3"/>
  <c r="B986" i="3"/>
  <c r="P986" i="3" s="1"/>
  <c r="F986" i="3"/>
  <c r="J986" i="3"/>
  <c r="K986" i="3"/>
  <c r="B987" i="3"/>
  <c r="P987" i="3" s="1"/>
  <c r="F987" i="3"/>
  <c r="J987" i="3"/>
  <c r="K987" i="3"/>
  <c r="B988" i="3"/>
  <c r="P988" i="3" s="1"/>
  <c r="F988" i="3"/>
  <c r="J988" i="3"/>
  <c r="K988" i="3"/>
  <c r="B989" i="3"/>
  <c r="P989" i="3" s="1"/>
  <c r="F989" i="3"/>
  <c r="J989" i="3"/>
  <c r="K989" i="3"/>
  <c r="B990" i="3"/>
  <c r="P990" i="3" s="1"/>
  <c r="F990" i="3"/>
  <c r="J990" i="3"/>
  <c r="K990" i="3"/>
  <c r="B991" i="3"/>
  <c r="P991" i="3" s="1"/>
  <c r="F991" i="3"/>
  <c r="J991" i="3"/>
  <c r="K991" i="3"/>
  <c r="B992" i="3"/>
  <c r="C992" i="3" s="1"/>
  <c r="F992" i="3"/>
  <c r="J992" i="3"/>
  <c r="K992" i="3"/>
  <c r="B993" i="3"/>
  <c r="C993" i="3" s="1"/>
  <c r="F993" i="3"/>
  <c r="J993" i="3"/>
  <c r="K993" i="3"/>
  <c r="B994" i="3"/>
  <c r="C994" i="3" s="1"/>
  <c r="F994" i="3"/>
  <c r="J994" i="3"/>
  <c r="K994" i="3"/>
  <c r="B995" i="3"/>
  <c r="C995" i="3" s="1"/>
  <c r="F995" i="3"/>
  <c r="J995" i="3"/>
  <c r="K995" i="3"/>
  <c r="B996" i="3"/>
  <c r="C996" i="3" s="1"/>
  <c r="F996" i="3"/>
  <c r="J996" i="3"/>
  <c r="K996" i="3"/>
  <c r="B997" i="3"/>
  <c r="P997" i="3" s="1"/>
  <c r="F997" i="3"/>
  <c r="J997" i="3"/>
  <c r="K997" i="3"/>
  <c r="B998" i="3"/>
  <c r="P998" i="3" s="1"/>
  <c r="F998" i="3"/>
  <c r="J998" i="3"/>
  <c r="K998" i="3"/>
  <c r="B999" i="3"/>
  <c r="P999" i="3" s="1"/>
  <c r="F999" i="3"/>
  <c r="J999" i="3"/>
  <c r="K999" i="3"/>
  <c r="B1000" i="3"/>
  <c r="P1000" i="3" s="1"/>
  <c r="F1000" i="3"/>
  <c r="J1000" i="3"/>
  <c r="K1000" i="3"/>
  <c r="B1001" i="3"/>
  <c r="P1001" i="3" s="1"/>
  <c r="F1001" i="3"/>
  <c r="J1001" i="3"/>
  <c r="K1001" i="3"/>
  <c r="B8" i="3"/>
  <c r="C8" i="3" s="1"/>
  <c r="D8" i="3"/>
  <c r="D9" i="3" s="1"/>
  <c r="F8" i="3"/>
  <c r="J8" i="3"/>
  <c r="K8" i="3"/>
  <c r="B9" i="3"/>
  <c r="C9" i="3" s="1"/>
  <c r="F9" i="3"/>
  <c r="J9" i="3"/>
  <c r="K9" i="3"/>
  <c r="U10" i="3"/>
  <c r="T10" i="3"/>
  <c r="V10" i="3" s="1"/>
  <c r="T9" i="3"/>
  <c r="V9" i="3" s="1"/>
  <c r="T8" i="3"/>
  <c r="V8" i="3" s="1"/>
  <c r="V7" i="3"/>
  <c r="T7" i="3"/>
  <c r="U7" i="3" s="1"/>
  <c r="U6" i="3"/>
  <c r="T6" i="3"/>
  <c r="V6" i="3" s="1"/>
  <c r="T5" i="3"/>
  <c r="V5" i="3" s="1"/>
  <c r="T4" i="3"/>
  <c r="V4" i="3" s="1"/>
  <c r="V3" i="3"/>
  <c r="T3" i="3"/>
  <c r="U3" i="3" s="1"/>
  <c r="U2" i="3"/>
  <c r="T2" i="3"/>
  <c r="V2" i="3" s="1"/>
  <c r="K7" i="3"/>
  <c r="K6" i="3"/>
  <c r="K5" i="3"/>
  <c r="K4" i="3"/>
  <c r="K3" i="3"/>
  <c r="K2" i="3"/>
  <c r="J7" i="3"/>
  <c r="J6" i="3"/>
  <c r="J5" i="3"/>
  <c r="J4" i="3"/>
  <c r="J3" i="3"/>
  <c r="J2" i="3"/>
  <c r="F3" i="3"/>
  <c r="F4" i="3"/>
  <c r="F5" i="3"/>
  <c r="F6" i="3"/>
  <c r="F7" i="3"/>
  <c r="F2" i="3"/>
  <c r="D4" i="3"/>
  <c r="D5" i="3" s="1"/>
  <c r="D6" i="3" s="1"/>
  <c r="D7" i="3" s="1"/>
  <c r="D3" i="3"/>
  <c r="B3" i="3"/>
  <c r="C3" i="3" s="1"/>
  <c r="B4" i="3"/>
  <c r="C4" i="3" s="1"/>
  <c r="B5" i="3"/>
  <c r="C5" i="3" s="1"/>
  <c r="B6" i="3"/>
  <c r="C6" i="3" s="1"/>
  <c r="B7" i="3"/>
  <c r="C7" i="3" s="1"/>
  <c r="B2" i="3"/>
  <c r="P2" i="3" s="1"/>
  <c r="C3" i="12"/>
  <c r="B3" i="12"/>
  <c r="P363" i="3" l="1"/>
  <c r="C444" i="3"/>
  <c r="C252" i="3"/>
  <c r="C267" i="3"/>
  <c r="C415" i="3"/>
  <c r="C968" i="3"/>
  <c r="P628" i="3"/>
  <c r="P472" i="3"/>
  <c r="C310" i="3"/>
  <c r="C170" i="3"/>
  <c r="C74" i="3"/>
  <c r="P933" i="3"/>
  <c r="P391" i="3"/>
  <c r="C516" i="3"/>
  <c r="C84" i="3"/>
  <c r="C187" i="3"/>
  <c r="P380" i="3"/>
  <c r="P245" i="3"/>
  <c r="P935" i="3"/>
  <c r="C467" i="3"/>
  <c r="C928" i="3"/>
  <c r="C494" i="3"/>
  <c r="C126" i="3"/>
  <c r="P942" i="3"/>
  <c r="C752" i="3"/>
  <c r="C616" i="3"/>
  <c r="C200" i="3"/>
  <c r="P995" i="3"/>
  <c r="C988" i="3"/>
  <c r="C807" i="3"/>
  <c r="C471" i="3"/>
  <c r="C248" i="3"/>
  <c r="P173" i="3"/>
  <c r="C400" i="3"/>
  <c r="C16" i="3"/>
  <c r="C948" i="3"/>
  <c r="P266" i="3"/>
  <c r="C337" i="3"/>
  <c r="C955" i="3"/>
  <c r="C78" i="3"/>
  <c r="C611" i="3"/>
  <c r="C383" i="3"/>
  <c r="C293" i="3"/>
  <c r="P190" i="3"/>
  <c r="P73" i="3"/>
  <c r="C42" i="3"/>
  <c r="P10" i="3"/>
  <c r="C884" i="3"/>
  <c r="C757" i="3"/>
  <c r="C222" i="3"/>
  <c r="C852" i="3"/>
  <c r="P163" i="3"/>
  <c r="C685" i="3"/>
  <c r="C116" i="3"/>
  <c r="C907" i="3"/>
  <c r="P502" i="3"/>
  <c r="C1000" i="3"/>
  <c r="C542" i="3"/>
  <c r="C370" i="3"/>
  <c r="P326" i="3"/>
  <c r="C319" i="3"/>
  <c r="C186" i="3"/>
  <c r="C412" i="3"/>
  <c r="C397" i="3"/>
  <c r="C390" i="3"/>
  <c r="C55" i="3"/>
  <c r="P668" i="3"/>
  <c r="C754" i="3"/>
  <c r="C703" i="3"/>
  <c r="P273" i="3"/>
  <c r="P885" i="3"/>
  <c r="C819" i="3"/>
  <c r="C788" i="3"/>
  <c r="P671" i="3"/>
  <c r="P483" i="3"/>
  <c r="P184" i="3"/>
  <c r="C177" i="3"/>
  <c r="C77" i="3"/>
  <c r="C687" i="3"/>
  <c r="C396" i="3"/>
  <c r="C385" i="3"/>
  <c r="C347" i="3"/>
  <c r="C258" i="3"/>
  <c r="C46" i="3"/>
  <c r="P38" i="3"/>
  <c r="C799" i="3"/>
  <c r="P701" i="3"/>
  <c r="C698" i="3"/>
  <c r="C265" i="3"/>
  <c r="C958" i="3"/>
  <c r="C873" i="3"/>
  <c r="P755" i="3"/>
  <c r="P927" i="3"/>
  <c r="C771" i="3"/>
  <c r="P704" i="3"/>
  <c r="P440" i="3"/>
  <c r="C153" i="3"/>
  <c r="C985" i="3"/>
  <c r="C141" i="3"/>
  <c r="C114" i="3"/>
  <c r="C64" i="3"/>
  <c r="C623" i="3"/>
  <c r="C564" i="3"/>
  <c r="C509" i="3"/>
  <c r="C291" i="3"/>
  <c r="C168" i="3"/>
  <c r="C129" i="3"/>
  <c r="C106" i="3"/>
  <c r="P40" i="3"/>
  <c r="C817" i="3"/>
  <c r="P719" i="3"/>
  <c r="C560" i="3"/>
  <c r="C474" i="3"/>
  <c r="C401" i="3"/>
  <c r="C376" i="3"/>
  <c r="C98" i="3"/>
  <c r="C627" i="3"/>
  <c r="C312" i="3"/>
  <c r="C195" i="3"/>
  <c r="C138" i="3"/>
  <c r="C61" i="3"/>
  <c r="C20" i="3"/>
  <c r="C452" i="3"/>
  <c r="C421" i="3"/>
  <c r="C399" i="3"/>
  <c r="C392" i="3"/>
  <c r="C379" i="3"/>
  <c r="C364" i="3"/>
  <c r="C232" i="3"/>
  <c r="C167" i="3"/>
  <c r="C145" i="3"/>
  <c r="C130" i="3"/>
  <c r="C90" i="3"/>
  <c r="C68" i="3"/>
  <c r="C12" i="3"/>
  <c r="C981" i="3"/>
  <c r="P820" i="3"/>
  <c r="C810" i="3"/>
  <c r="C772" i="3"/>
  <c r="C649" i="3"/>
  <c r="C588" i="3"/>
  <c r="P488" i="3"/>
  <c r="P473" i="3"/>
  <c r="C410" i="3"/>
  <c r="P388" i="3"/>
  <c r="C289" i="3"/>
  <c r="C217" i="3"/>
  <c r="P26" i="3"/>
  <c r="P166" i="3"/>
  <c r="P56" i="3"/>
  <c r="C999" i="3"/>
  <c r="C859" i="3"/>
  <c r="C840" i="3"/>
  <c r="C764" i="3"/>
  <c r="P700" i="3"/>
  <c r="P587" i="3"/>
  <c r="C530" i="3"/>
  <c r="P208" i="3"/>
  <c r="C194" i="3"/>
  <c r="C97" i="3"/>
  <c r="C60" i="3"/>
  <c r="C49" i="3"/>
  <c r="C855" i="3"/>
  <c r="C813" i="3"/>
  <c r="C798" i="3"/>
  <c r="C775" i="3"/>
  <c r="C682" i="3"/>
  <c r="C656" i="3"/>
  <c r="P632" i="3"/>
  <c r="C591" i="3"/>
  <c r="C549" i="3"/>
  <c r="C526" i="3"/>
  <c r="C470" i="3"/>
  <c r="P359" i="3"/>
  <c r="C318" i="3"/>
  <c r="C250" i="3"/>
  <c r="C122" i="3"/>
  <c r="C100" i="3"/>
  <c r="P70" i="3"/>
  <c r="P976" i="3"/>
  <c r="C932" i="3"/>
  <c r="C753" i="3"/>
  <c r="P706" i="3"/>
  <c r="P162" i="3"/>
  <c r="P737" i="3"/>
  <c r="P339" i="3"/>
  <c r="P179" i="3"/>
  <c r="P121" i="3"/>
  <c r="P88" i="3"/>
  <c r="P979" i="3"/>
  <c r="C965" i="3"/>
  <c r="C905" i="3"/>
  <c r="C778" i="3"/>
  <c r="C714" i="3"/>
  <c r="C606" i="3"/>
  <c r="C579" i="3"/>
  <c r="C552" i="3"/>
  <c r="C466" i="3"/>
  <c r="C384" i="3"/>
  <c r="P298" i="3"/>
  <c r="C238" i="3"/>
  <c r="C219" i="3"/>
  <c r="C176" i="3"/>
  <c r="P165" i="3"/>
  <c r="C125" i="3"/>
  <c r="P189" i="3"/>
  <c r="C957" i="3"/>
  <c r="C916" i="3"/>
  <c r="P669" i="3"/>
  <c r="C544" i="3"/>
  <c r="C302" i="3"/>
  <c r="C226" i="3"/>
  <c r="C110" i="3"/>
  <c r="P672" i="3"/>
  <c r="P501" i="3"/>
  <c r="P316" i="3"/>
  <c r="P24" i="3"/>
  <c r="C986" i="3"/>
  <c r="C934" i="3"/>
  <c r="C684" i="3"/>
  <c r="C666" i="3"/>
  <c r="C505" i="3"/>
  <c r="C490" i="3"/>
  <c r="P157" i="3"/>
  <c r="P120" i="3"/>
  <c r="C102" i="3"/>
  <c r="C997" i="3"/>
  <c r="C923" i="3"/>
  <c r="P751" i="3"/>
  <c r="C748" i="3"/>
  <c r="C218" i="3"/>
  <c r="C192" i="3"/>
  <c r="C182" i="3"/>
  <c r="C58" i="3"/>
  <c r="P889" i="3"/>
  <c r="P794" i="3"/>
  <c r="P749" i="3"/>
  <c r="P728" i="3"/>
  <c r="C971" i="3"/>
  <c r="C960" i="3"/>
  <c r="P910" i="3"/>
  <c r="C883" i="3"/>
  <c r="P818" i="3"/>
  <c r="C732" i="3"/>
  <c r="P610" i="3"/>
  <c r="P430" i="3"/>
  <c r="C416" i="3"/>
  <c r="C413" i="3"/>
  <c r="C325" i="3"/>
  <c r="C261" i="3"/>
  <c r="C254" i="3"/>
  <c r="C161" i="3"/>
  <c r="C136" i="3"/>
  <c r="C119" i="3"/>
  <c r="C82" i="3"/>
  <c r="C30" i="3"/>
  <c r="P977" i="3"/>
  <c r="P921" i="3"/>
  <c r="P903" i="3"/>
  <c r="P871" i="3"/>
  <c r="P824" i="3"/>
  <c r="P808" i="3"/>
  <c r="P758" i="3"/>
  <c r="P650" i="3"/>
  <c r="P536" i="3"/>
  <c r="P274" i="3"/>
  <c r="P959" i="3"/>
  <c r="C925" i="3"/>
  <c r="C875" i="3"/>
  <c r="C868" i="3"/>
  <c r="P864" i="3"/>
  <c r="C815" i="3"/>
  <c r="P811" i="3"/>
  <c r="P765" i="3"/>
  <c r="C746" i="3"/>
  <c r="P731" i="3"/>
  <c r="C725" i="3"/>
  <c r="C707" i="3"/>
  <c r="C595" i="3"/>
  <c r="C492" i="3"/>
  <c r="P456" i="3"/>
  <c r="P381" i="3"/>
  <c r="C278" i="3"/>
  <c r="P253" i="3"/>
  <c r="C215" i="3"/>
  <c r="C197" i="3"/>
  <c r="C132" i="3"/>
  <c r="P118" i="3"/>
  <c r="C112" i="3"/>
  <c r="C861" i="3"/>
  <c r="P842" i="3"/>
  <c r="P584" i="3"/>
  <c r="P463" i="3"/>
  <c r="C371" i="3"/>
  <c r="P242" i="3"/>
  <c r="P994" i="3"/>
  <c r="C991" i="3"/>
  <c r="C984" i="3"/>
  <c r="P594" i="3"/>
  <c r="P214" i="3"/>
  <c r="P25" i="3"/>
  <c r="C1001" i="3"/>
  <c r="C970" i="3"/>
  <c r="C952" i="3"/>
  <c r="C878" i="3"/>
  <c r="C846" i="3"/>
  <c r="C797" i="3"/>
  <c r="C783" i="3"/>
  <c r="P741" i="3"/>
  <c r="C717" i="3"/>
  <c r="C613" i="3"/>
  <c r="C558" i="3"/>
  <c r="P459" i="3"/>
  <c r="C353" i="3"/>
  <c r="P313" i="3"/>
  <c r="C307" i="3"/>
  <c r="P210" i="3"/>
  <c r="C135" i="3"/>
  <c r="P124" i="3"/>
  <c r="C81" i="3"/>
  <c r="C71" i="3"/>
  <c r="C36" i="3"/>
  <c r="C22" i="3"/>
  <c r="C973" i="3"/>
  <c r="C941" i="3"/>
  <c r="P930" i="3"/>
  <c r="C899" i="3"/>
  <c r="C867" i="3"/>
  <c r="P863" i="3"/>
  <c r="C814" i="3"/>
  <c r="P782" i="3"/>
  <c r="C745" i="3"/>
  <c r="P716" i="3"/>
  <c r="C653" i="3"/>
  <c r="C642" i="3"/>
  <c r="P619" i="3"/>
  <c r="C528" i="3"/>
  <c r="C360" i="3"/>
  <c r="C183" i="3"/>
  <c r="C111" i="3"/>
  <c r="C94" i="3"/>
  <c r="C87" i="3"/>
  <c r="C32" i="3"/>
  <c r="P943" i="3"/>
  <c r="C891" i="3"/>
  <c r="P887" i="3"/>
  <c r="P792" i="3"/>
  <c r="P726" i="3"/>
  <c r="P593" i="3"/>
  <c r="P340" i="3"/>
  <c r="P287" i="3"/>
  <c r="P230" i="3"/>
  <c r="P147" i="3"/>
  <c r="P86" i="3"/>
  <c r="P571" i="3"/>
  <c r="C436" i="3"/>
  <c r="P424" i="3"/>
  <c r="P333" i="3"/>
  <c r="P185" i="3"/>
  <c r="P89" i="3"/>
  <c r="C80" i="3"/>
  <c r="P41" i="3"/>
  <c r="P901" i="3"/>
  <c r="P829" i="3"/>
  <c r="P822" i="3"/>
  <c r="P736" i="3"/>
  <c r="P365" i="3"/>
  <c r="C276" i="3"/>
  <c r="C255" i="3"/>
  <c r="P237" i="3"/>
  <c r="P205" i="3"/>
  <c r="C137" i="3"/>
  <c r="C103" i="3"/>
  <c r="P96" i="3"/>
  <c r="C45" i="3"/>
  <c r="P34" i="3"/>
  <c r="C17" i="3"/>
  <c r="P946" i="3"/>
  <c r="C898" i="3"/>
  <c r="C866" i="3"/>
  <c r="P825" i="3"/>
  <c r="P722" i="3"/>
  <c r="P715" i="3"/>
  <c r="P589" i="3"/>
  <c r="P315" i="3"/>
  <c r="P272" i="3"/>
  <c r="C926" i="3"/>
  <c r="C816" i="3"/>
  <c r="P784" i="3"/>
  <c r="C774" i="3"/>
  <c r="P766" i="3"/>
  <c r="C708" i="3"/>
  <c r="C673" i="3"/>
  <c r="C604" i="3"/>
  <c r="C486" i="3"/>
  <c r="P482" i="3"/>
  <c r="P427" i="3"/>
  <c r="C369" i="3"/>
  <c r="C322" i="3"/>
  <c r="P297" i="3"/>
  <c r="C216" i="3"/>
  <c r="C198" i="3"/>
  <c r="C158" i="3"/>
  <c r="C140" i="3"/>
  <c r="C113" i="3"/>
  <c r="C76" i="3"/>
  <c r="P72" i="3"/>
  <c r="C66" i="3"/>
  <c r="C48" i="3"/>
  <c r="P992" i="3"/>
  <c r="C983" i="3"/>
  <c r="C967" i="3"/>
  <c r="P963" i="3"/>
  <c r="C954" i="3"/>
  <c r="P950" i="3"/>
  <c r="C915" i="3"/>
  <c r="C912" i="3"/>
  <c r="C909" i="3"/>
  <c r="C896" i="3"/>
  <c r="C893" i="3"/>
  <c r="P879" i="3"/>
  <c r="C870" i="3"/>
  <c r="C857" i="3"/>
  <c r="C854" i="3"/>
  <c r="C851" i="3"/>
  <c r="P834" i="3"/>
  <c r="P802" i="3"/>
  <c r="C796" i="3"/>
  <c r="C790" i="3"/>
  <c r="P761" i="3"/>
  <c r="C740" i="3"/>
  <c r="C733" i="3"/>
  <c r="C730" i="3"/>
  <c r="C689" i="3"/>
  <c r="P643" i="3"/>
  <c r="C634" i="3"/>
  <c r="C618" i="3"/>
  <c r="C582" i="3"/>
  <c r="C576" i="3"/>
  <c r="P556" i="3"/>
  <c r="C540" i="3"/>
  <c r="C533" i="3"/>
  <c r="C520" i="3"/>
  <c r="C458" i="3"/>
  <c r="C455" i="3"/>
  <c r="C442" i="3"/>
  <c r="C439" i="3"/>
  <c r="C420" i="3"/>
  <c r="C395" i="3"/>
  <c r="P350" i="3"/>
  <c r="C341" i="3"/>
  <c r="C338" i="3"/>
  <c r="C328" i="3"/>
  <c r="C306" i="3"/>
  <c r="C280" i="3"/>
  <c r="C244" i="3"/>
  <c r="C202" i="3"/>
  <c r="C174" i="3"/>
  <c r="C152" i="3"/>
  <c r="C142" i="3"/>
  <c r="P710" i="3"/>
  <c r="P578" i="3"/>
  <c r="P562" i="3"/>
  <c r="P506" i="3"/>
  <c r="P451" i="3"/>
  <c r="P435" i="3"/>
  <c r="P372" i="3"/>
  <c r="P330" i="3"/>
  <c r="P282" i="3"/>
  <c r="P109" i="3"/>
  <c r="P54" i="3"/>
  <c r="P18" i="3"/>
  <c r="C937" i="3"/>
  <c r="C931" i="3"/>
  <c r="P914" i="3"/>
  <c r="P911" i="3"/>
  <c r="C902" i="3"/>
  <c r="P895" i="3"/>
  <c r="C886" i="3"/>
  <c r="P869" i="3"/>
  <c r="P795" i="3"/>
  <c r="P789" i="3"/>
  <c r="P779" i="3"/>
  <c r="C720" i="3"/>
  <c r="C692" i="3"/>
  <c r="C676" i="3"/>
  <c r="C660" i="3"/>
  <c r="C630" i="3"/>
  <c r="C569" i="3"/>
  <c r="C546" i="3"/>
  <c r="P532" i="3"/>
  <c r="C523" i="3"/>
  <c r="C510" i="3"/>
  <c r="C500" i="3"/>
  <c r="C493" i="3"/>
  <c r="P460" i="3"/>
  <c r="P457" i="3"/>
  <c r="C448" i="3"/>
  <c r="P441" i="3"/>
  <c r="C432" i="3"/>
  <c r="C429" i="3"/>
  <c r="C426" i="3"/>
  <c r="C404" i="3"/>
  <c r="C344" i="3"/>
  <c r="C321" i="3"/>
  <c r="C309" i="3"/>
  <c r="C296" i="3"/>
  <c r="C286" i="3"/>
  <c r="C263" i="3"/>
  <c r="C247" i="3"/>
  <c r="P57" i="3"/>
  <c r="C28" i="3"/>
  <c r="P862" i="3"/>
  <c r="P836" i="3"/>
  <c r="P826" i="3"/>
  <c r="P804" i="3"/>
  <c r="P694" i="3"/>
  <c r="P678" i="3"/>
  <c r="P662" i="3"/>
  <c r="P659" i="3"/>
  <c r="P629" i="3"/>
  <c r="P600" i="3"/>
  <c r="P568" i="3"/>
  <c r="P512" i="3"/>
  <c r="P428" i="3"/>
  <c r="P406" i="3"/>
  <c r="P314" i="3"/>
  <c r="P50" i="3"/>
  <c r="P978" i="3"/>
  <c r="P975" i="3"/>
  <c r="C966" i="3"/>
  <c r="C830" i="3"/>
  <c r="C776" i="3"/>
  <c r="P763" i="3"/>
  <c r="C636" i="3"/>
  <c r="P626" i="3"/>
  <c r="C620" i="3"/>
  <c r="C607" i="3"/>
  <c r="C597" i="3"/>
  <c r="C581" i="3"/>
  <c r="P548" i="3"/>
  <c r="C539" i="3"/>
  <c r="P515" i="3"/>
  <c r="C476" i="3"/>
  <c r="C454" i="3"/>
  <c r="C438" i="3"/>
  <c r="C422" i="3"/>
  <c r="C394" i="3"/>
  <c r="C356" i="3"/>
  <c r="P352" i="3"/>
  <c r="P349" i="3"/>
  <c r="C305" i="3"/>
  <c r="P301" i="3"/>
  <c r="C269" i="3"/>
  <c r="P229" i="3"/>
  <c r="C223" i="3"/>
  <c r="C220" i="3"/>
  <c r="P188" i="3"/>
  <c r="P169" i="3"/>
  <c r="C154" i="3"/>
  <c r="C44" i="3"/>
  <c r="P913" i="3"/>
  <c r="P894" i="3"/>
  <c r="P712" i="3"/>
  <c r="C691" i="3"/>
  <c r="C639" i="3"/>
  <c r="P577" i="3"/>
  <c r="P374" i="3"/>
  <c r="P329" i="3"/>
  <c r="C320" i="3"/>
  <c r="P281" i="3"/>
  <c r="C262" i="3"/>
  <c r="C239" i="3"/>
  <c r="C236" i="3"/>
  <c r="P108" i="3"/>
  <c r="C949" i="3"/>
  <c r="C939" i="3"/>
  <c r="P845" i="3"/>
  <c r="C833" i="3"/>
  <c r="C823" i="3"/>
  <c r="C801" i="3"/>
  <c r="P781" i="3"/>
  <c r="C769" i="3"/>
  <c r="C760" i="3"/>
  <c r="P609" i="3"/>
  <c r="P586" i="3"/>
  <c r="C555" i="3"/>
  <c r="C525" i="3"/>
  <c r="P478" i="3"/>
  <c r="P446" i="3"/>
  <c r="P358" i="3"/>
  <c r="C323" i="3"/>
  <c r="C317" i="3"/>
  <c r="P294" i="3"/>
  <c r="C249" i="3"/>
  <c r="P225" i="3"/>
  <c r="C207" i="3"/>
  <c r="P178" i="3"/>
  <c r="P146" i="3"/>
  <c r="C14" i="3"/>
  <c r="P974" i="3"/>
  <c r="P919" i="3"/>
  <c r="P838" i="3"/>
  <c r="P835" i="3"/>
  <c r="P803" i="3"/>
  <c r="P768" i="3"/>
  <c r="P762" i="3"/>
  <c r="P696" i="3"/>
  <c r="P680" i="3"/>
  <c r="P664" i="3"/>
  <c r="P625" i="3"/>
  <c r="P602" i="3"/>
  <c r="P514" i="3"/>
  <c r="P484" i="3"/>
  <c r="P468" i="3"/>
  <c r="P417" i="3"/>
  <c r="P408" i="3"/>
  <c r="P367" i="3"/>
  <c r="P351" i="3"/>
  <c r="P348" i="3"/>
  <c r="P212" i="3"/>
  <c r="P209" i="3"/>
  <c r="P206" i="3"/>
  <c r="P993" i="3"/>
  <c r="P880" i="3"/>
  <c r="P806" i="3"/>
  <c r="P756" i="3"/>
  <c r="P750" i="3"/>
  <c r="P744" i="3"/>
  <c r="C655" i="3"/>
  <c r="P648" i="3"/>
  <c r="C541" i="3"/>
  <c r="P398" i="3"/>
  <c r="C342" i="3"/>
  <c r="C284" i="3"/>
  <c r="P193" i="3"/>
  <c r="P944" i="3"/>
  <c r="C900" i="3"/>
  <c r="C721" i="3"/>
  <c r="P699" i="3"/>
  <c r="P683" i="3"/>
  <c r="P667" i="3"/>
  <c r="C638" i="3"/>
  <c r="C622" i="3"/>
  <c r="P605" i="3"/>
  <c r="C570" i="3"/>
  <c r="P563" i="3"/>
  <c r="P411" i="3"/>
  <c r="C271" i="3"/>
  <c r="C235" i="3"/>
  <c r="P199" i="3"/>
  <c r="C156" i="3"/>
  <c r="P104" i="3"/>
  <c r="C62" i="3"/>
  <c r="C33" i="3"/>
  <c r="C23" i="3"/>
  <c r="P793" i="3"/>
  <c r="P777" i="3"/>
  <c r="C759" i="3"/>
  <c r="C651" i="3"/>
  <c r="C567" i="3"/>
  <c r="C524" i="3"/>
  <c r="C517" i="3"/>
  <c r="C511" i="3"/>
  <c r="P477" i="3"/>
  <c r="P461" i="3"/>
  <c r="P257" i="3"/>
  <c r="P221" i="3"/>
  <c r="P180" i="3"/>
  <c r="P107" i="3"/>
  <c r="P8" i="3"/>
  <c r="C990" i="3"/>
  <c r="C951" i="3"/>
  <c r="C877" i="3"/>
  <c r="P847" i="3"/>
  <c r="P657" i="3"/>
  <c r="C641" i="3"/>
  <c r="C557" i="3"/>
  <c r="C481" i="3"/>
  <c r="P382" i="3"/>
  <c r="C354" i="3"/>
  <c r="C303" i="3"/>
  <c r="P299" i="3"/>
  <c r="C277" i="3"/>
  <c r="C251" i="3"/>
  <c r="C65" i="3"/>
  <c r="C52" i="3"/>
  <c r="C39" i="3"/>
  <c r="C998" i="3"/>
  <c r="C982" i="3"/>
  <c r="C969" i="3"/>
  <c r="P920" i="3"/>
  <c r="C920" i="3"/>
  <c r="P856" i="3"/>
  <c r="C856" i="3"/>
  <c r="C812" i="3"/>
  <c r="P996" i="3"/>
  <c r="P980" i="3"/>
  <c r="P956" i="3"/>
  <c r="C956" i="3"/>
  <c r="C843" i="3"/>
  <c r="P843" i="3"/>
  <c r="P853" i="3"/>
  <c r="C853" i="3"/>
  <c r="C809" i="3"/>
  <c r="P809" i="3"/>
  <c r="P964" i="3"/>
  <c r="C987" i="3"/>
  <c r="C953" i="3"/>
  <c r="P947" i="3"/>
  <c r="C918" i="3"/>
  <c r="C882" i="3"/>
  <c r="P773" i="3"/>
  <c r="C773" i="3"/>
  <c r="C989" i="3"/>
  <c r="C962" i="3"/>
  <c r="P917" i="3"/>
  <c r="P888" i="3"/>
  <c r="C888" i="3"/>
  <c r="P924" i="3"/>
  <c r="C924" i="3"/>
  <c r="P892" i="3"/>
  <c r="C892" i="3"/>
  <c r="P936" i="3"/>
  <c r="C936" i="3"/>
  <c r="P961" i="3"/>
  <c r="P938" i="3"/>
  <c r="P929" i="3"/>
  <c r="P908" i="3"/>
  <c r="C908" i="3"/>
  <c r="P906" i="3"/>
  <c r="C906" i="3"/>
  <c r="C897" i="3"/>
  <c r="P897" i="3"/>
  <c r="P705" i="3"/>
  <c r="C705" i="3"/>
  <c r="P9" i="3"/>
  <c r="P922" i="3"/>
  <c r="C922" i="3"/>
  <c r="C881" i="3"/>
  <c r="P881" i="3"/>
  <c r="P904" i="3"/>
  <c r="C904" i="3"/>
  <c r="C839" i="3"/>
  <c r="P972" i="3"/>
  <c r="C972" i="3"/>
  <c r="P945" i="3"/>
  <c r="P940" i="3"/>
  <c r="C940" i="3"/>
  <c r="P872" i="3"/>
  <c r="C872" i="3"/>
  <c r="C865" i="3"/>
  <c r="P865" i="3"/>
  <c r="C848" i="3"/>
  <c r="C844" i="3"/>
  <c r="C831" i="3"/>
  <c r="P739" i="3"/>
  <c r="C739" i="3"/>
  <c r="P780" i="3"/>
  <c r="C780" i="3"/>
  <c r="C702" i="3"/>
  <c r="P702" i="3"/>
  <c r="C849" i="3"/>
  <c r="P787" i="3"/>
  <c r="C787" i="3"/>
  <c r="C890" i="3"/>
  <c r="C874" i="3"/>
  <c r="C858" i="3"/>
  <c r="C850" i="3"/>
  <c r="C832" i="3"/>
  <c r="C828" i="3"/>
  <c r="P738" i="3"/>
  <c r="C738" i="3"/>
  <c r="P499" i="3"/>
  <c r="C499" i="3"/>
  <c r="P837" i="3"/>
  <c r="C837" i="3"/>
  <c r="C637" i="3"/>
  <c r="P637" i="3"/>
  <c r="C876" i="3"/>
  <c r="C860" i="3"/>
  <c r="P800" i="3"/>
  <c r="C800" i="3"/>
  <c r="C767" i="3"/>
  <c r="P827" i="3"/>
  <c r="P658" i="3"/>
  <c r="C658" i="3"/>
  <c r="P786" i="3"/>
  <c r="C786" i="3"/>
  <c r="P841" i="3"/>
  <c r="P711" i="3"/>
  <c r="C711" i="3"/>
  <c r="P617" i="3"/>
  <c r="C617" i="3"/>
  <c r="P601" i="3"/>
  <c r="C601" i="3"/>
  <c r="C598" i="3"/>
  <c r="P598" i="3"/>
  <c r="P770" i="3"/>
  <c r="P535" i="3"/>
  <c r="C535" i="3"/>
  <c r="C614" i="3"/>
  <c r="P614" i="3"/>
  <c r="C603" i="3"/>
  <c r="P603" i="3"/>
  <c r="P724" i="3"/>
  <c r="C675" i="3"/>
  <c r="P608" i="3"/>
  <c r="C608" i="3"/>
  <c r="P565" i="3"/>
  <c r="C565" i="3"/>
  <c r="P693" i="3"/>
  <c r="C693" i="3"/>
  <c r="P677" i="3"/>
  <c r="C677" i="3"/>
  <c r="C735" i="3"/>
  <c r="P688" i="3"/>
  <c r="P674" i="3"/>
  <c r="P729" i="3"/>
  <c r="P690" i="3"/>
  <c r="C621" i="3"/>
  <c r="P621" i="3"/>
  <c r="P585" i="3"/>
  <c r="C585" i="3"/>
  <c r="C742" i="3"/>
  <c r="P645" i="3"/>
  <c r="C645" i="3"/>
  <c r="C821" i="3"/>
  <c r="C805" i="3"/>
  <c r="P747" i="3"/>
  <c r="P734" i="3"/>
  <c r="P727" i="3"/>
  <c r="C727" i="3"/>
  <c r="C723" i="3"/>
  <c r="P709" i="3"/>
  <c r="C709" i="3"/>
  <c r="C670" i="3"/>
  <c r="P670" i="3"/>
  <c r="C596" i="3"/>
  <c r="P596" i="3"/>
  <c r="C791" i="3"/>
  <c r="C743" i="3"/>
  <c r="P652" i="3"/>
  <c r="C652" i="3"/>
  <c r="P633" i="3"/>
  <c r="C633" i="3"/>
  <c r="C686" i="3"/>
  <c r="P686" i="3"/>
  <c r="P718" i="3"/>
  <c r="C529" i="3"/>
  <c r="P529" i="3"/>
  <c r="P713" i="3"/>
  <c r="C713" i="3"/>
  <c r="P495" i="3"/>
  <c r="C661" i="3"/>
  <c r="C646" i="3"/>
  <c r="P644" i="3"/>
  <c r="C615" i="3"/>
  <c r="C599" i="3"/>
  <c r="C580" i="3"/>
  <c r="P580" i="3"/>
  <c r="P624" i="3"/>
  <c r="C624" i="3"/>
  <c r="P592" i="3"/>
  <c r="C592" i="3"/>
  <c r="P590" i="3"/>
  <c r="C590" i="3"/>
  <c r="C695" i="3"/>
  <c r="C679" i="3"/>
  <c r="C663" i="3"/>
  <c r="C654" i="3"/>
  <c r="C647" i="3"/>
  <c r="C640" i="3"/>
  <c r="C631" i="3"/>
  <c r="P573" i="3"/>
  <c r="C573" i="3"/>
  <c r="C551" i="3"/>
  <c r="P551" i="3"/>
  <c r="C697" i="3"/>
  <c r="C681" i="3"/>
  <c r="C665" i="3"/>
  <c r="C545" i="3"/>
  <c r="P545" i="3"/>
  <c r="P612" i="3"/>
  <c r="P518" i="3"/>
  <c r="C518" i="3"/>
  <c r="P635" i="3"/>
  <c r="P550" i="3"/>
  <c r="C550" i="3"/>
  <c r="P559" i="3"/>
  <c r="C559" i="3"/>
  <c r="P531" i="3"/>
  <c r="C583" i="3"/>
  <c r="C572" i="3"/>
  <c r="P485" i="3"/>
  <c r="C485" i="3"/>
  <c r="C475" i="3"/>
  <c r="P475" i="3"/>
  <c r="P513" i="3"/>
  <c r="P496" i="3"/>
  <c r="C496" i="3"/>
  <c r="C574" i="3"/>
  <c r="C519" i="3"/>
  <c r="P462" i="3"/>
  <c r="C462" i="3"/>
  <c r="C504" i="3"/>
  <c r="P504" i="3"/>
  <c r="P465" i="3"/>
  <c r="C465" i="3"/>
  <c r="C575" i="3"/>
  <c r="C566" i="3"/>
  <c r="C554" i="3"/>
  <c r="P538" i="3"/>
  <c r="C538" i="3"/>
  <c r="C491" i="3"/>
  <c r="P491" i="3"/>
  <c r="C431" i="3"/>
  <c r="P431" i="3"/>
  <c r="P553" i="3"/>
  <c r="P547" i="3"/>
  <c r="P522" i="3"/>
  <c r="C522" i="3"/>
  <c r="P445" i="3"/>
  <c r="C445" i="3"/>
  <c r="P479" i="3"/>
  <c r="C479" i="3"/>
  <c r="P561" i="3"/>
  <c r="C534" i="3"/>
  <c r="P497" i="3"/>
  <c r="C497" i="3"/>
  <c r="C507" i="3"/>
  <c r="P507" i="3"/>
  <c r="P503" i="3"/>
  <c r="C503" i="3"/>
  <c r="P450" i="3"/>
  <c r="C450" i="3"/>
  <c r="C368" i="3"/>
  <c r="P368" i="3"/>
  <c r="C402" i="3"/>
  <c r="P402" i="3"/>
  <c r="C537" i="3"/>
  <c r="C521" i="3"/>
  <c r="C508" i="3"/>
  <c r="C498" i="3"/>
  <c r="C480" i="3"/>
  <c r="P489" i="3"/>
  <c r="P469" i="3"/>
  <c r="C469" i="3"/>
  <c r="P389" i="3"/>
  <c r="C389" i="3"/>
  <c r="C386" i="3"/>
  <c r="P386" i="3"/>
  <c r="P447" i="3"/>
  <c r="P419" i="3"/>
  <c r="C419" i="3"/>
  <c r="C414" i="3"/>
  <c r="P414" i="3"/>
  <c r="P355" i="3"/>
  <c r="C355" i="3"/>
  <c r="P434" i="3"/>
  <c r="C434" i="3"/>
  <c r="C543" i="3"/>
  <c r="C527" i="3"/>
  <c r="C487" i="3"/>
  <c r="P423" i="3"/>
  <c r="C423" i="3"/>
  <c r="C464" i="3"/>
  <c r="P418" i="3"/>
  <c r="C418" i="3"/>
  <c r="P449" i="3"/>
  <c r="C449" i="3"/>
  <c r="C443" i="3"/>
  <c r="P443" i="3"/>
  <c r="C433" i="3"/>
  <c r="C403" i="3"/>
  <c r="P393" i="3"/>
  <c r="C393" i="3"/>
  <c r="C387" i="3"/>
  <c r="C300" i="3"/>
  <c r="P300" i="3"/>
  <c r="P213" i="3"/>
  <c r="C213" i="3"/>
  <c r="C453" i="3"/>
  <c r="C437" i="3"/>
  <c r="P335" i="3"/>
  <c r="C335" i="3"/>
  <c r="P375" i="3"/>
  <c r="C375" i="3"/>
  <c r="P366" i="3"/>
  <c r="P425" i="3"/>
  <c r="P407" i="3"/>
  <c r="C196" i="3"/>
  <c r="P196" i="3"/>
  <c r="P409" i="3"/>
  <c r="C409" i="3"/>
  <c r="P405" i="3"/>
  <c r="C405" i="3"/>
  <c r="C334" i="3"/>
  <c r="P334" i="3"/>
  <c r="C336" i="3"/>
  <c r="C285" i="3"/>
  <c r="C275" i="3"/>
  <c r="P275" i="3"/>
  <c r="P264" i="3"/>
  <c r="C264" i="3"/>
  <c r="C373" i="3"/>
  <c r="C357" i="3"/>
  <c r="C343" i="3"/>
  <c r="C332" i="3"/>
  <c r="P324" i="3"/>
  <c r="C324" i="3"/>
  <c r="C268" i="3"/>
  <c r="P233" i="3"/>
  <c r="C233" i="3"/>
  <c r="C201" i="3"/>
  <c r="P201" i="3"/>
  <c r="C377" i="3"/>
  <c r="C361" i="3"/>
  <c r="C345" i="3"/>
  <c r="C304" i="3"/>
  <c r="C378" i="3"/>
  <c r="C362" i="3"/>
  <c r="C346" i="3"/>
  <c r="P331" i="3"/>
  <c r="P241" i="3"/>
  <c r="C241" i="3"/>
  <c r="C227" i="3"/>
  <c r="P227" i="3"/>
  <c r="P290" i="3"/>
  <c r="C290" i="3"/>
  <c r="P288" i="3"/>
  <c r="C288" i="3"/>
  <c r="C246" i="3"/>
  <c r="P246" i="3"/>
  <c r="C164" i="3"/>
  <c r="P164" i="3"/>
  <c r="P283" i="3"/>
  <c r="C224" i="3"/>
  <c r="P224" i="3"/>
  <c r="C231" i="3"/>
  <c r="C234" i="3"/>
  <c r="C228" i="3"/>
  <c r="C308" i="3"/>
  <c r="C292" i="3"/>
  <c r="C279" i="3"/>
  <c r="C270" i="3"/>
  <c r="C260" i="3"/>
  <c r="P243" i="3"/>
  <c r="P240" i="3"/>
  <c r="P191" i="3"/>
  <c r="C191" i="3"/>
  <c r="C327" i="3"/>
  <c r="C311" i="3"/>
  <c r="C295" i="3"/>
  <c r="P259" i="3"/>
  <c r="C181" i="3"/>
  <c r="P181" i="3"/>
  <c r="P155" i="3"/>
  <c r="C155" i="3"/>
  <c r="P256" i="3"/>
  <c r="P211" i="3"/>
  <c r="C91" i="3"/>
  <c r="P91" i="3"/>
  <c r="C151" i="3"/>
  <c r="C105" i="3"/>
  <c r="P105" i="3"/>
  <c r="C149" i="3"/>
  <c r="P144" i="3"/>
  <c r="C144" i="3"/>
  <c r="P134" i="3"/>
  <c r="C134" i="3"/>
  <c r="C203" i="3"/>
  <c r="C204" i="3"/>
  <c r="P171" i="3"/>
  <c r="C171" i="3"/>
  <c r="P148" i="3"/>
  <c r="P175" i="3"/>
  <c r="C175" i="3"/>
  <c r="C133" i="3"/>
  <c r="P133" i="3"/>
  <c r="C128" i="3"/>
  <c r="P128" i="3"/>
  <c r="P29" i="3"/>
  <c r="C29" i="3"/>
  <c r="C172" i="3"/>
  <c r="C150" i="3"/>
  <c r="P115" i="3"/>
  <c r="C115" i="3"/>
  <c r="P160" i="3"/>
  <c r="C160" i="3"/>
  <c r="P139" i="3"/>
  <c r="C139" i="3"/>
  <c r="P95" i="3"/>
  <c r="C95" i="3"/>
  <c r="C43" i="3"/>
  <c r="P43" i="3"/>
  <c r="C93" i="3"/>
  <c r="P92" i="3"/>
  <c r="C11" i="3"/>
  <c r="P11" i="3"/>
  <c r="C59" i="3"/>
  <c r="P59" i="3"/>
  <c r="C75" i="3"/>
  <c r="P75" i="3"/>
  <c r="C159" i="3"/>
  <c r="C143" i="3"/>
  <c r="C131" i="3"/>
  <c r="C127" i="3"/>
  <c r="C13" i="3"/>
  <c r="P101" i="3"/>
  <c r="C101" i="3"/>
  <c r="C27" i="3"/>
  <c r="P27" i="3"/>
  <c r="P99" i="3"/>
  <c r="C99" i="3"/>
  <c r="P117" i="3"/>
  <c r="C117" i="3"/>
  <c r="P123" i="3"/>
  <c r="P79" i="3"/>
  <c r="C79" i="3"/>
  <c r="C63" i="3"/>
  <c r="C47" i="3"/>
  <c r="C31" i="3"/>
  <c r="C15" i="3"/>
  <c r="C83" i="3"/>
  <c r="C67" i="3"/>
  <c r="C51" i="3"/>
  <c r="C35" i="3"/>
  <c r="C19" i="3"/>
  <c r="C85" i="3"/>
  <c r="C69" i="3"/>
  <c r="C53" i="3"/>
  <c r="C37" i="3"/>
  <c r="C21" i="3"/>
  <c r="U4" i="3"/>
  <c r="U8" i="3"/>
  <c r="U5" i="3"/>
  <c r="U9" i="3"/>
  <c r="P7" i="3"/>
  <c r="P6" i="3"/>
  <c r="P5" i="3"/>
  <c r="P4" i="3"/>
  <c r="P3" i="3"/>
  <c r="C2" i="3"/>
  <c r="M3" i="11" l="1"/>
  <c r="M2" i="1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004" i="10"/>
  <c r="G2005" i="10"/>
  <c r="G2006" i="10"/>
  <c r="G2007" i="10"/>
  <c r="G2008" i="10"/>
  <c r="G2009" i="10"/>
  <c r="G2010" i="10"/>
  <c r="G2011" i="10"/>
  <c r="G2012" i="10"/>
  <c r="G2013" i="10"/>
  <c r="G2014" i="10"/>
  <c r="G2015" i="10"/>
  <c r="G2016" i="10"/>
  <c r="G2017" i="10"/>
  <c r="G2018" i="10"/>
  <c r="G2019" i="10"/>
  <c r="G2020" i="10"/>
  <c r="G2021" i="10"/>
  <c r="G2022" i="10"/>
  <c r="G2023" i="10"/>
  <c r="G2024" i="10"/>
  <c r="G2025" i="10"/>
  <c r="G2026" i="10"/>
  <c r="G2027" i="10"/>
  <c r="G2028" i="10"/>
  <c r="G2029" i="10"/>
  <c r="G2030" i="10"/>
  <c r="G2031" i="10"/>
  <c r="G2032" i="10"/>
  <c r="G2033" i="10"/>
  <c r="G2034" i="10"/>
  <c r="G2035" i="10"/>
  <c r="G2036" i="10"/>
  <c r="G2037" i="10"/>
  <c r="G2038" i="10"/>
  <c r="G2039" i="10"/>
  <c r="G2040" i="10"/>
  <c r="G2041" i="10"/>
  <c r="G2042" i="10"/>
  <c r="G2043" i="10"/>
  <c r="G2044" i="10"/>
  <c r="G2045" i="10"/>
  <c r="G2046" i="10"/>
  <c r="G2047" i="10"/>
  <c r="G2048" i="10"/>
  <c r="G2049" i="10"/>
  <c r="G2050" i="10"/>
  <c r="G2051" i="10"/>
  <c r="G2052" i="10"/>
  <c r="G2053" i="10"/>
  <c r="G2054" i="10"/>
  <c r="G2055" i="10"/>
  <c r="G2056" i="10"/>
  <c r="G2057" i="10"/>
  <c r="G2058" i="10"/>
  <c r="G2059" i="10"/>
  <c r="G2060" i="10"/>
  <c r="G2061" i="10"/>
  <c r="G2062" i="10"/>
  <c r="G2063" i="10"/>
  <c r="G2064" i="10"/>
  <c r="G2065" i="10"/>
  <c r="G2066" i="10"/>
  <c r="G2067" i="10"/>
  <c r="G2068" i="10"/>
  <c r="G2069" i="10"/>
  <c r="G2070" i="10"/>
  <c r="G2071" i="10"/>
  <c r="G2072" i="10"/>
  <c r="G2073" i="10"/>
  <c r="G2074" i="10"/>
  <c r="G2075" i="10"/>
  <c r="G2076" i="10"/>
  <c r="G2077" i="10"/>
  <c r="G2078" i="10"/>
  <c r="G2079" i="10"/>
  <c r="G2080" i="10"/>
  <c r="G2081" i="10"/>
  <c r="G2082" i="10"/>
  <c r="G2083" i="10"/>
  <c r="G2084" i="10"/>
  <c r="G2085" i="10"/>
  <c r="G2086" i="10"/>
  <c r="G2087" i="10"/>
  <c r="G2088" i="10"/>
  <c r="G2089" i="10"/>
  <c r="G2090" i="10"/>
  <c r="G2091" i="10"/>
  <c r="G2092" i="10"/>
  <c r="G2093" i="10"/>
  <c r="G2094" i="10"/>
  <c r="G2095" i="10"/>
  <c r="G2096" i="10"/>
  <c r="G2097" i="10"/>
  <c r="G2098" i="10"/>
  <c r="G2099" i="10"/>
  <c r="G2100" i="10"/>
  <c r="G2101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2122" i="10"/>
  <c r="G2123" i="10"/>
  <c r="G2124" i="10"/>
  <c r="G2125" i="10"/>
  <c r="G2126" i="10"/>
  <c r="G2127" i="10"/>
  <c r="G2128" i="10"/>
  <c r="G2129" i="10"/>
  <c r="G2130" i="10"/>
  <c r="G2131" i="10"/>
  <c r="G2132" i="10"/>
  <c r="G2133" i="10"/>
  <c r="G2134" i="10"/>
  <c r="G2135" i="10"/>
  <c r="G2136" i="10"/>
  <c r="G2137" i="10"/>
  <c r="G2138" i="10"/>
  <c r="G2139" i="10"/>
  <c r="G2140" i="10"/>
  <c r="G2141" i="10"/>
  <c r="G2142" i="10"/>
  <c r="G2143" i="10"/>
  <c r="G2144" i="10"/>
  <c r="G2145" i="10"/>
  <c r="G2146" i="10"/>
  <c r="G2147" i="10"/>
  <c r="G2148" i="10"/>
  <c r="G2149" i="10"/>
  <c r="G2150" i="10"/>
  <c r="G2151" i="10"/>
  <c r="G2152" i="10"/>
  <c r="G2153" i="10"/>
  <c r="G2154" i="10"/>
  <c r="G2155" i="10"/>
  <c r="G2156" i="10"/>
  <c r="G2157" i="10"/>
  <c r="G2158" i="10"/>
  <c r="G2159" i="10"/>
  <c r="G2160" i="10"/>
  <c r="G2161" i="10"/>
  <c r="G2162" i="10"/>
  <c r="G2163" i="10"/>
  <c r="G2164" i="10"/>
  <c r="G2165" i="10"/>
  <c r="G2166" i="10"/>
  <c r="G2167" i="10"/>
  <c r="G2168" i="10"/>
  <c r="G2169" i="10"/>
  <c r="G2170" i="10"/>
  <c r="G2171" i="10"/>
  <c r="G2172" i="10"/>
  <c r="G2173" i="10"/>
  <c r="G2174" i="10"/>
  <c r="G2175" i="10"/>
  <c r="G2176" i="10"/>
  <c r="G2177" i="10"/>
  <c r="G2178" i="10"/>
  <c r="G2179" i="10"/>
  <c r="G2180" i="10"/>
  <c r="G2181" i="10"/>
  <c r="G2182" i="10"/>
  <c r="G2183" i="10"/>
  <c r="G2184" i="10"/>
  <c r="G2185" i="10"/>
  <c r="G2186" i="10"/>
  <c r="G2187" i="10"/>
  <c r="G2188" i="10"/>
  <c r="G2189" i="10"/>
  <c r="G2190" i="10"/>
  <c r="G2191" i="10"/>
  <c r="G2192" i="10"/>
  <c r="G2193" i="10"/>
  <c r="G2194" i="10"/>
  <c r="G2195" i="10"/>
  <c r="G2196" i="10"/>
  <c r="G2197" i="10"/>
  <c r="G2198" i="10"/>
  <c r="G2199" i="10"/>
  <c r="G2200" i="10"/>
  <c r="G2201" i="10"/>
  <c r="G2202" i="10"/>
  <c r="G2203" i="10"/>
  <c r="G2204" i="10"/>
  <c r="G2205" i="10"/>
  <c r="G2206" i="10"/>
  <c r="G2207" i="10"/>
  <c r="G2208" i="10"/>
  <c r="G2209" i="10"/>
  <c r="G2210" i="10"/>
  <c r="G2211" i="10"/>
  <c r="G2212" i="10"/>
  <c r="G2213" i="10"/>
  <c r="G2214" i="10"/>
  <c r="G2215" i="10"/>
  <c r="G2216" i="10"/>
  <c r="G2217" i="10"/>
  <c r="G2218" i="10"/>
  <c r="G2219" i="10"/>
  <c r="G2220" i="10"/>
  <c r="G2221" i="10"/>
  <c r="G2222" i="10"/>
  <c r="G2223" i="10"/>
  <c r="G2224" i="10"/>
  <c r="G2225" i="10"/>
  <c r="G2226" i="10"/>
  <c r="G2227" i="10"/>
  <c r="G2228" i="10"/>
  <c r="G2229" i="10"/>
  <c r="G2230" i="10"/>
  <c r="G2231" i="10"/>
  <c r="G2232" i="10"/>
  <c r="G2233" i="10"/>
  <c r="G2234" i="10"/>
  <c r="G2235" i="10"/>
  <c r="G2236" i="10"/>
  <c r="G2237" i="10"/>
  <c r="G2238" i="10"/>
  <c r="G2239" i="10"/>
  <c r="G2240" i="10"/>
  <c r="G2241" i="10"/>
  <c r="G2242" i="10"/>
  <c r="G2243" i="10"/>
  <c r="G2244" i="10"/>
  <c r="G2245" i="10"/>
  <c r="G2246" i="10"/>
  <c r="G2247" i="10"/>
  <c r="G2248" i="10"/>
  <c r="G2249" i="10"/>
  <c r="G2250" i="10"/>
  <c r="G2251" i="10"/>
  <c r="G2252" i="10"/>
  <c r="G2253" i="10"/>
  <c r="G2254" i="10"/>
  <c r="G2255" i="10"/>
  <c r="G2256" i="10"/>
  <c r="G2257" i="10"/>
  <c r="G2258" i="10"/>
  <c r="G2259" i="10"/>
  <c r="G2260" i="10"/>
  <c r="G2261" i="10"/>
  <c r="G2262" i="10"/>
  <c r="G2263" i="10"/>
  <c r="G2264" i="10"/>
  <c r="G2265" i="10"/>
  <c r="G2266" i="10"/>
  <c r="G2267" i="10"/>
  <c r="G2268" i="10"/>
  <c r="G2269" i="10"/>
  <c r="G2270" i="10"/>
  <c r="G2271" i="10"/>
  <c r="G2272" i="10"/>
  <c r="G2273" i="10"/>
  <c r="G2274" i="10"/>
  <c r="G2275" i="10"/>
  <c r="G2276" i="10"/>
  <c r="G2277" i="10"/>
  <c r="G2278" i="10"/>
  <c r="G2279" i="10"/>
  <c r="G2280" i="10"/>
  <c r="G2281" i="10"/>
  <c r="G2282" i="10"/>
  <c r="G2283" i="10"/>
  <c r="G2284" i="10"/>
  <c r="G2285" i="10"/>
  <c r="G2286" i="10"/>
  <c r="G2287" i="10"/>
  <c r="G2288" i="10"/>
  <c r="G2289" i="10"/>
  <c r="G2290" i="10"/>
  <c r="G2291" i="10"/>
  <c r="G2292" i="10"/>
  <c r="G2293" i="10"/>
  <c r="G2294" i="10"/>
  <c r="G2295" i="10"/>
  <c r="G2296" i="10"/>
  <c r="G2297" i="10"/>
  <c r="G2298" i="10"/>
  <c r="G2299" i="10"/>
  <c r="G2300" i="10"/>
  <c r="G2301" i="10"/>
  <c r="G2302" i="10"/>
  <c r="G2303" i="10"/>
  <c r="G2304" i="10"/>
  <c r="G2305" i="10"/>
  <c r="G2306" i="10"/>
  <c r="G2307" i="10"/>
  <c r="G2308" i="10"/>
  <c r="G2309" i="10"/>
  <c r="G2310" i="10"/>
  <c r="G2311" i="10"/>
  <c r="G2312" i="10"/>
  <c r="G2313" i="10"/>
  <c r="G2314" i="10"/>
  <c r="G2315" i="10"/>
  <c r="G2316" i="10"/>
  <c r="G2317" i="10"/>
  <c r="G2318" i="10"/>
  <c r="G2319" i="10"/>
  <c r="G2320" i="10"/>
  <c r="G2321" i="10"/>
  <c r="G2322" i="10"/>
  <c r="G2323" i="10"/>
  <c r="G2324" i="10"/>
  <c r="G2325" i="10"/>
  <c r="G2326" i="10"/>
  <c r="G2327" i="10"/>
  <c r="G2328" i="10"/>
  <c r="G2329" i="10"/>
  <c r="G2330" i="10"/>
  <c r="G2331" i="10"/>
  <c r="G2332" i="10"/>
  <c r="G2333" i="10"/>
  <c r="G2334" i="10"/>
  <c r="G2335" i="10"/>
  <c r="G2336" i="10"/>
  <c r="G2337" i="10"/>
  <c r="G2338" i="10"/>
  <c r="G2339" i="10"/>
  <c r="G2340" i="10"/>
  <c r="G2341" i="10"/>
  <c r="G2342" i="10"/>
  <c r="G2343" i="10"/>
  <c r="G2344" i="10"/>
  <c r="G2345" i="10"/>
  <c r="G2346" i="10"/>
  <c r="G2347" i="10"/>
  <c r="G2348" i="10"/>
  <c r="G2349" i="10"/>
  <c r="G2350" i="10"/>
  <c r="G2351" i="10"/>
  <c r="G2352" i="10"/>
  <c r="G2353" i="10"/>
  <c r="G2354" i="10"/>
  <c r="G2355" i="10"/>
  <c r="G2356" i="10"/>
  <c r="G2357" i="10"/>
  <c r="G2358" i="10"/>
  <c r="G2359" i="10"/>
  <c r="G2360" i="10"/>
  <c r="G2361" i="10"/>
  <c r="G2362" i="10"/>
  <c r="G2363" i="10"/>
  <c r="G2364" i="10"/>
  <c r="G2365" i="10"/>
  <c r="G2366" i="10"/>
  <c r="G2367" i="10"/>
  <c r="G2368" i="10"/>
  <c r="G2369" i="10"/>
  <c r="G2370" i="10"/>
  <c r="G2371" i="10"/>
  <c r="G2372" i="10"/>
  <c r="G2373" i="10"/>
  <c r="G2374" i="10"/>
  <c r="G2375" i="10"/>
  <c r="G2376" i="10"/>
  <c r="G2377" i="10"/>
  <c r="G2378" i="10"/>
  <c r="G2379" i="10"/>
  <c r="G2380" i="10"/>
  <c r="G2381" i="10"/>
  <c r="G2382" i="10"/>
  <c r="G2383" i="10"/>
  <c r="G2384" i="10"/>
  <c r="G2385" i="10"/>
  <c r="G2386" i="10"/>
  <c r="G2387" i="10"/>
  <c r="G2388" i="10"/>
  <c r="G2389" i="10"/>
  <c r="G2390" i="10"/>
  <c r="G2391" i="10"/>
  <c r="G2392" i="10"/>
  <c r="G2393" i="10"/>
  <c r="G2394" i="10"/>
  <c r="G2395" i="10"/>
  <c r="G2396" i="10"/>
  <c r="G2397" i="10"/>
  <c r="G2398" i="10"/>
  <c r="G2399" i="10"/>
  <c r="G2400" i="10"/>
  <c r="G2401" i="10"/>
  <c r="G2402" i="10"/>
  <c r="G2403" i="10"/>
  <c r="G2404" i="10"/>
  <c r="G2405" i="10"/>
  <c r="G2406" i="10"/>
  <c r="G2407" i="10"/>
  <c r="G2408" i="10"/>
  <c r="G2409" i="10"/>
  <c r="G2410" i="10"/>
  <c r="G2411" i="10"/>
  <c r="G2412" i="10"/>
  <c r="G2413" i="10"/>
  <c r="G2414" i="10"/>
  <c r="G2415" i="10"/>
  <c r="G2416" i="10"/>
  <c r="G2417" i="10"/>
  <c r="G2418" i="10"/>
  <c r="G2419" i="10"/>
  <c r="G2420" i="10"/>
  <c r="G2421" i="10"/>
  <c r="G2422" i="10"/>
  <c r="G2423" i="10"/>
  <c r="G2424" i="10"/>
  <c r="G2425" i="10"/>
  <c r="G2426" i="10"/>
  <c r="G2427" i="10"/>
  <c r="G2428" i="10"/>
  <c r="G2429" i="10"/>
  <c r="G2430" i="10"/>
  <c r="G2431" i="10"/>
  <c r="G2432" i="10"/>
  <c r="G2433" i="10"/>
  <c r="G2434" i="10"/>
  <c r="G2435" i="10"/>
  <c r="G2436" i="10"/>
  <c r="G2437" i="10"/>
  <c r="G2438" i="10"/>
  <c r="G2439" i="10"/>
  <c r="G2440" i="10"/>
  <c r="G2441" i="10"/>
  <c r="G2442" i="10"/>
  <c r="G2443" i="10"/>
  <c r="G2444" i="10"/>
  <c r="G2445" i="10"/>
  <c r="G2446" i="10"/>
  <c r="G2447" i="10"/>
  <c r="G2448" i="10"/>
  <c r="G2449" i="10"/>
  <c r="G2450" i="10"/>
  <c r="G2451" i="10"/>
  <c r="G2452" i="10"/>
  <c r="G2453" i="10"/>
  <c r="G2454" i="10"/>
  <c r="G2455" i="10"/>
  <c r="G2456" i="10"/>
  <c r="G2457" i="10"/>
  <c r="G2458" i="10"/>
  <c r="G2459" i="10"/>
  <c r="G2460" i="10"/>
  <c r="G2461" i="10"/>
  <c r="G2462" i="10"/>
  <c r="G2463" i="10"/>
  <c r="G2464" i="10"/>
  <c r="G2465" i="10"/>
  <c r="G2466" i="10"/>
  <c r="G2467" i="10"/>
  <c r="G2468" i="10"/>
  <c r="G2469" i="10"/>
  <c r="G2470" i="10"/>
  <c r="G2471" i="10"/>
  <c r="G2472" i="10"/>
  <c r="G2473" i="10"/>
  <c r="G2474" i="10"/>
  <c r="G2475" i="10"/>
  <c r="G2476" i="10"/>
  <c r="G2477" i="10"/>
  <c r="G2478" i="10"/>
  <c r="G2479" i="10"/>
  <c r="G2480" i="10"/>
  <c r="G2481" i="10"/>
  <c r="G2482" i="10"/>
  <c r="G2483" i="10"/>
  <c r="G2484" i="10"/>
  <c r="G2485" i="10"/>
  <c r="G2486" i="10"/>
  <c r="G2487" i="10"/>
  <c r="G2488" i="10"/>
  <c r="G2489" i="10"/>
  <c r="G2490" i="10"/>
  <c r="G2491" i="10"/>
  <c r="G2492" i="10"/>
  <c r="G2493" i="10"/>
  <c r="G2494" i="10"/>
  <c r="G2495" i="10"/>
  <c r="G2496" i="10"/>
  <c r="G2497" i="10"/>
  <c r="G2498" i="10"/>
  <c r="G2499" i="10"/>
  <c r="G2500" i="10"/>
  <c r="G2501" i="10"/>
  <c r="G2502" i="10"/>
  <c r="G2503" i="10"/>
  <c r="G2504" i="10"/>
  <c r="G2505" i="10"/>
  <c r="G2506" i="10"/>
  <c r="G2507" i="10"/>
  <c r="G2508" i="10"/>
  <c r="G2509" i="10"/>
  <c r="G2510" i="10"/>
  <c r="G2511" i="10"/>
  <c r="G2512" i="10"/>
  <c r="G2513" i="10"/>
  <c r="G2514" i="10"/>
  <c r="G2515" i="10"/>
  <c r="G2516" i="10"/>
  <c r="G2517" i="10"/>
  <c r="G2518" i="10"/>
  <c r="G2519" i="10"/>
  <c r="G2520" i="10"/>
  <c r="G2521" i="10"/>
  <c r="G2522" i="10"/>
  <c r="G2523" i="10"/>
  <c r="G2524" i="10"/>
  <c r="G2525" i="10"/>
  <c r="G2526" i="10"/>
  <c r="G2527" i="10"/>
  <c r="G2528" i="10"/>
  <c r="G2529" i="10"/>
  <c r="G2530" i="10"/>
  <c r="G2531" i="10"/>
  <c r="G2532" i="10"/>
  <c r="G2533" i="10"/>
  <c r="G2534" i="10"/>
  <c r="G2535" i="10"/>
  <c r="G2536" i="10"/>
  <c r="G2537" i="10"/>
  <c r="G2538" i="10"/>
  <c r="G2539" i="10"/>
  <c r="G2540" i="10"/>
  <c r="G2541" i="10"/>
  <c r="G2542" i="10"/>
  <c r="G2543" i="10"/>
  <c r="G2544" i="10"/>
  <c r="G2545" i="10"/>
  <c r="G2546" i="10"/>
  <c r="G2547" i="10"/>
  <c r="G2548" i="10"/>
  <c r="G2549" i="10"/>
  <c r="G2550" i="10"/>
  <c r="G2551" i="10"/>
  <c r="G2552" i="10"/>
  <c r="G2553" i="10"/>
  <c r="G2554" i="10"/>
  <c r="G2555" i="10"/>
  <c r="G2556" i="10"/>
  <c r="G2557" i="10"/>
  <c r="G2558" i="10"/>
  <c r="G2559" i="10"/>
  <c r="G2560" i="10"/>
  <c r="G2561" i="10"/>
  <c r="G2562" i="10"/>
  <c r="G2563" i="10"/>
  <c r="G2564" i="10"/>
  <c r="G2565" i="10"/>
  <c r="G2566" i="10"/>
  <c r="G2567" i="10"/>
  <c r="G2568" i="10"/>
  <c r="G2569" i="10"/>
  <c r="G2570" i="10"/>
  <c r="G2571" i="10"/>
  <c r="G2572" i="10"/>
  <c r="G2573" i="10"/>
  <c r="G2574" i="10"/>
  <c r="G2575" i="10"/>
  <c r="G2576" i="10"/>
  <c r="G2577" i="10"/>
  <c r="G2578" i="10"/>
  <c r="G2579" i="10"/>
  <c r="G2580" i="10"/>
  <c r="G2581" i="10"/>
  <c r="G2582" i="10"/>
  <c r="G2583" i="10"/>
  <c r="G2584" i="10"/>
  <c r="G2585" i="10"/>
  <c r="G2586" i="10"/>
  <c r="G2587" i="10"/>
  <c r="G2588" i="10"/>
  <c r="G2589" i="10"/>
  <c r="G2590" i="10"/>
  <c r="G2591" i="10"/>
  <c r="G2592" i="10"/>
  <c r="G2593" i="10"/>
  <c r="G2594" i="10"/>
  <c r="G2595" i="10"/>
  <c r="G2596" i="10"/>
  <c r="G2597" i="10"/>
  <c r="G2598" i="10"/>
  <c r="G2599" i="10"/>
  <c r="G2600" i="10"/>
  <c r="G2601" i="10"/>
  <c r="G2602" i="10"/>
  <c r="G2603" i="10"/>
  <c r="G2604" i="10"/>
  <c r="G2605" i="10"/>
  <c r="G2606" i="10"/>
  <c r="G2607" i="10"/>
  <c r="G2608" i="10"/>
  <c r="G2609" i="10"/>
  <c r="G2610" i="10"/>
  <c r="G2611" i="10"/>
  <c r="G2612" i="10"/>
  <c r="G2613" i="10"/>
  <c r="G2614" i="10"/>
  <c r="G2615" i="10"/>
  <c r="G2616" i="10"/>
  <c r="G2617" i="10"/>
  <c r="G2618" i="10"/>
  <c r="G2619" i="10"/>
  <c r="G2620" i="10"/>
  <c r="G2621" i="10"/>
  <c r="G2622" i="10"/>
  <c r="G2623" i="10"/>
  <c r="G2624" i="10"/>
  <c r="G2625" i="10"/>
  <c r="G2626" i="10"/>
  <c r="G2627" i="10"/>
  <c r="G2628" i="10"/>
  <c r="G2629" i="10"/>
  <c r="G2630" i="10"/>
  <c r="G2631" i="10"/>
  <c r="G2632" i="10"/>
  <c r="G2633" i="10"/>
  <c r="G2634" i="10"/>
  <c r="G2635" i="10"/>
  <c r="G2636" i="10"/>
  <c r="G2637" i="10"/>
  <c r="G2638" i="10"/>
  <c r="G2639" i="10"/>
  <c r="G2640" i="10"/>
  <c r="G2641" i="10"/>
  <c r="G2642" i="10"/>
  <c r="G2643" i="10"/>
  <c r="G2644" i="10"/>
  <c r="G2645" i="10"/>
  <c r="G2646" i="10"/>
  <c r="G2647" i="10"/>
  <c r="G2648" i="10"/>
  <c r="G2649" i="10"/>
  <c r="G2650" i="10"/>
  <c r="G2651" i="10"/>
  <c r="G2652" i="10"/>
  <c r="G2653" i="10"/>
  <c r="G2654" i="10"/>
  <c r="G2655" i="10"/>
  <c r="G2656" i="10"/>
  <c r="G2657" i="10"/>
  <c r="G2658" i="10"/>
  <c r="G2659" i="10"/>
  <c r="G2660" i="10"/>
  <c r="G2661" i="10"/>
  <c r="G2662" i="10"/>
  <c r="G2663" i="10"/>
  <c r="G2664" i="10"/>
  <c r="G2665" i="10"/>
  <c r="G2666" i="10"/>
  <c r="G2667" i="10"/>
  <c r="G2668" i="10"/>
  <c r="G2669" i="10"/>
  <c r="G2670" i="10"/>
  <c r="G2671" i="10"/>
  <c r="G2672" i="10"/>
  <c r="G2673" i="10"/>
  <c r="G2674" i="10"/>
  <c r="G2675" i="10"/>
  <c r="G2676" i="10"/>
  <c r="G2677" i="10"/>
  <c r="G2678" i="10"/>
  <c r="G2679" i="10"/>
  <c r="G2680" i="10"/>
  <c r="G2681" i="10"/>
  <c r="G2682" i="10"/>
  <c r="G2683" i="10"/>
  <c r="G2684" i="10"/>
  <c r="G2685" i="10"/>
  <c r="G2686" i="10"/>
  <c r="G2687" i="10"/>
  <c r="G2688" i="10"/>
  <c r="G2689" i="10"/>
  <c r="G2690" i="10"/>
  <c r="G2691" i="10"/>
  <c r="G2692" i="10"/>
  <c r="G2693" i="10"/>
  <c r="G2694" i="10"/>
  <c r="G2695" i="10"/>
  <c r="G2696" i="10"/>
  <c r="G2697" i="10"/>
  <c r="G2698" i="10"/>
  <c r="G2699" i="10"/>
  <c r="G2700" i="10"/>
  <c r="G2701" i="10"/>
  <c r="G2702" i="10"/>
  <c r="G2703" i="10"/>
  <c r="G2704" i="10"/>
  <c r="G2705" i="10"/>
  <c r="G2706" i="10"/>
  <c r="G2707" i="10"/>
  <c r="G2708" i="10"/>
  <c r="G2709" i="10"/>
  <c r="G2710" i="10"/>
  <c r="G2711" i="10"/>
  <c r="G2712" i="10"/>
  <c r="G2713" i="10"/>
  <c r="G2714" i="10"/>
  <c r="G2715" i="10"/>
  <c r="G2716" i="10"/>
  <c r="G2717" i="10"/>
  <c r="G2718" i="10"/>
  <c r="G2719" i="10"/>
  <c r="G2720" i="10"/>
  <c r="G2721" i="10"/>
  <c r="G2722" i="10"/>
  <c r="G2723" i="10"/>
  <c r="G2724" i="10"/>
  <c r="G2725" i="10"/>
  <c r="G2726" i="10"/>
  <c r="G2727" i="10"/>
  <c r="G2728" i="10"/>
  <c r="G2729" i="10"/>
  <c r="G2730" i="10"/>
  <c r="G2731" i="10"/>
  <c r="G2732" i="10"/>
  <c r="G2733" i="10"/>
  <c r="G2734" i="10"/>
  <c r="G2735" i="10"/>
  <c r="G2736" i="10"/>
  <c r="G2737" i="10"/>
  <c r="G2738" i="10"/>
  <c r="G2739" i="10"/>
  <c r="G2740" i="10"/>
  <c r="G2741" i="10"/>
  <c r="G2742" i="10"/>
  <c r="G2743" i="10"/>
  <c r="G2744" i="10"/>
  <c r="G2745" i="10"/>
  <c r="G2746" i="10"/>
  <c r="G2747" i="10"/>
  <c r="G2748" i="10"/>
  <c r="G2749" i="10"/>
  <c r="G2750" i="10"/>
  <c r="G2751" i="10"/>
  <c r="G2752" i="10"/>
  <c r="G2753" i="10"/>
  <c r="G2754" i="10"/>
  <c r="G2755" i="10"/>
  <c r="G2756" i="10"/>
  <c r="G2757" i="10"/>
  <c r="G2758" i="10"/>
  <c r="G2759" i="10"/>
  <c r="G2760" i="10"/>
  <c r="G2761" i="10"/>
  <c r="G2762" i="10"/>
  <c r="G2763" i="10"/>
  <c r="G2764" i="10"/>
  <c r="G2765" i="10"/>
  <c r="G2766" i="10"/>
  <c r="G2767" i="10"/>
  <c r="G2768" i="10"/>
  <c r="G2769" i="10"/>
  <c r="G2770" i="10"/>
  <c r="G2771" i="10"/>
  <c r="G2772" i="10"/>
  <c r="G2773" i="10"/>
  <c r="G2774" i="10"/>
  <c r="G2775" i="10"/>
  <c r="G2776" i="10"/>
  <c r="G2777" i="10"/>
  <c r="G2778" i="10"/>
  <c r="G2779" i="10"/>
  <c r="G2780" i="10"/>
  <c r="G2781" i="10"/>
  <c r="G2782" i="10"/>
  <c r="G2783" i="10"/>
  <c r="G2784" i="10"/>
  <c r="G2785" i="10"/>
  <c r="G2786" i="10"/>
  <c r="G2787" i="10"/>
  <c r="G2788" i="10"/>
  <c r="G2789" i="10"/>
  <c r="G2790" i="10"/>
  <c r="G2791" i="10"/>
  <c r="G2792" i="10"/>
  <c r="G2793" i="10"/>
  <c r="G2794" i="10"/>
  <c r="G2795" i="10"/>
  <c r="G2796" i="10"/>
  <c r="G2797" i="10"/>
  <c r="G2798" i="10"/>
  <c r="G2799" i="10"/>
  <c r="G2800" i="10"/>
  <c r="G2801" i="10"/>
  <c r="G2802" i="10"/>
  <c r="G2803" i="10"/>
  <c r="G2804" i="10"/>
  <c r="G2805" i="10"/>
  <c r="G2806" i="10"/>
  <c r="G2807" i="10"/>
  <c r="G2808" i="10"/>
  <c r="G2809" i="10"/>
  <c r="G2810" i="10"/>
  <c r="G2811" i="10"/>
  <c r="G2812" i="10"/>
  <c r="G2813" i="10"/>
  <c r="G2814" i="10"/>
  <c r="G2815" i="10"/>
  <c r="G2816" i="10"/>
  <c r="G2817" i="10"/>
  <c r="G2818" i="10"/>
  <c r="G2819" i="10"/>
  <c r="G2820" i="10"/>
  <c r="G2821" i="10"/>
  <c r="G2822" i="10"/>
  <c r="G2823" i="10"/>
  <c r="G2824" i="10"/>
  <c r="G2825" i="10"/>
  <c r="G2826" i="10"/>
  <c r="G2827" i="10"/>
  <c r="G2828" i="10"/>
  <c r="G2829" i="10"/>
  <c r="G2830" i="10"/>
  <c r="G2831" i="10"/>
  <c r="G2832" i="10"/>
  <c r="G2833" i="10"/>
  <c r="G2834" i="10"/>
  <c r="G2835" i="10"/>
  <c r="G2836" i="10"/>
  <c r="G2837" i="10"/>
  <c r="G2838" i="10"/>
  <c r="G2839" i="10"/>
  <c r="G2840" i="10"/>
  <c r="G2841" i="10"/>
  <c r="G2842" i="10"/>
  <c r="G2843" i="10"/>
  <c r="G2844" i="10"/>
  <c r="G2845" i="10"/>
  <c r="G2846" i="10"/>
  <c r="G2847" i="10"/>
  <c r="G2848" i="10"/>
  <c r="G2849" i="10"/>
  <c r="G2850" i="10"/>
  <c r="G2851" i="10"/>
  <c r="G2852" i="10"/>
  <c r="G2853" i="10"/>
  <c r="G2854" i="10"/>
  <c r="G2855" i="10"/>
  <c r="G2856" i="10"/>
  <c r="G2857" i="10"/>
  <c r="G2858" i="10"/>
  <c r="G2859" i="10"/>
  <c r="G2860" i="10"/>
  <c r="G2861" i="10"/>
  <c r="G2862" i="10"/>
  <c r="G2863" i="10"/>
  <c r="G2864" i="10"/>
  <c r="G2865" i="10"/>
  <c r="G2866" i="10"/>
  <c r="G2867" i="10"/>
  <c r="G2868" i="10"/>
  <c r="G2869" i="10"/>
  <c r="G2870" i="10"/>
  <c r="G2871" i="10"/>
  <c r="G2872" i="10"/>
  <c r="G2873" i="10"/>
  <c r="G2874" i="10"/>
  <c r="G2875" i="10"/>
  <c r="G2876" i="10"/>
  <c r="G2877" i="10"/>
  <c r="G2878" i="10"/>
  <c r="G2879" i="10"/>
  <c r="G2880" i="10"/>
  <c r="G2881" i="10"/>
  <c r="G2882" i="10"/>
  <c r="G2883" i="10"/>
  <c r="G2884" i="10"/>
  <c r="G2885" i="10"/>
  <c r="G2886" i="10"/>
  <c r="G2887" i="10"/>
  <c r="G2888" i="10"/>
  <c r="G2889" i="10"/>
  <c r="G2890" i="10"/>
  <c r="G2891" i="10"/>
  <c r="G2892" i="10"/>
  <c r="G2893" i="10"/>
  <c r="G2894" i="10"/>
  <c r="G2895" i="10"/>
  <c r="G2896" i="10"/>
  <c r="G2897" i="10"/>
  <c r="G2898" i="10"/>
  <c r="G2899" i="10"/>
  <c r="G2900" i="10"/>
  <c r="G2901" i="10"/>
  <c r="G2902" i="10"/>
  <c r="G2903" i="10"/>
  <c r="G2904" i="10"/>
  <c r="G2905" i="10"/>
  <c r="G2906" i="10"/>
  <c r="G2907" i="10"/>
  <c r="G2908" i="10"/>
  <c r="G2909" i="10"/>
  <c r="G2910" i="10"/>
  <c r="G2911" i="10"/>
  <c r="G2912" i="10"/>
  <c r="G2913" i="10"/>
  <c r="G2914" i="10"/>
  <c r="G2915" i="10"/>
  <c r="G2916" i="10"/>
  <c r="G2917" i="10"/>
  <c r="G2918" i="10"/>
  <c r="G2919" i="10"/>
  <c r="G2920" i="10"/>
  <c r="G2921" i="10"/>
  <c r="G2922" i="10"/>
  <c r="G2923" i="10"/>
  <c r="G2924" i="10"/>
  <c r="G2925" i="10"/>
  <c r="G2926" i="10"/>
  <c r="G2927" i="10"/>
  <c r="G2928" i="10"/>
  <c r="G2929" i="10"/>
  <c r="G2930" i="10"/>
  <c r="G2931" i="10"/>
  <c r="G2932" i="10"/>
  <c r="G2933" i="10"/>
  <c r="G2934" i="10"/>
  <c r="G2935" i="10"/>
  <c r="G2936" i="10"/>
  <c r="G2937" i="10"/>
  <c r="G2938" i="10"/>
  <c r="G2939" i="10"/>
  <c r="G2940" i="10"/>
  <c r="G2941" i="10"/>
  <c r="G2942" i="10"/>
  <c r="G2943" i="10"/>
  <c r="G2944" i="10"/>
  <c r="G2945" i="10"/>
  <c r="G2946" i="10"/>
  <c r="G2947" i="10"/>
  <c r="G2948" i="10"/>
  <c r="G2949" i="10"/>
  <c r="G2950" i="10"/>
  <c r="G2951" i="10"/>
  <c r="G2952" i="10"/>
  <c r="G2953" i="10"/>
  <c r="G2954" i="10"/>
  <c r="G2955" i="10"/>
  <c r="G2956" i="10"/>
  <c r="G2957" i="10"/>
  <c r="G2958" i="10"/>
  <c r="G2959" i="10"/>
  <c r="G2960" i="10"/>
  <c r="G2961" i="10"/>
  <c r="G2962" i="10"/>
  <c r="G2963" i="10"/>
  <c r="G2964" i="10"/>
  <c r="G2965" i="10"/>
  <c r="G2966" i="10"/>
  <c r="G2967" i="10"/>
  <c r="G2968" i="10"/>
  <c r="G2969" i="10"/>
  <c r="G2970" i="10"/>
  <c r="G2971" i="10"/>
  <c r="G2972" i="10"/>
  <c r="G2973" i="10"/>
  <c r="G2974" i="10"/>
  <c r="G2975" i="10"/>
  <c r="G2976" i="10"/>
  <c r="G2977" i="10"/>
  <c r="G2978" i="10"/>
  <c r="G2979" i="10"/>
  <c r="G2980" i="10"/>
  <c r="G2981" i="10"/>
  <c r="G2982" i="10"/>
  <c r="G2983" i="10"/>
  <c r="G2984" i="10"/>
  <c r="G2985" i="10"/>
  <c r="G2986" i="10"/>
  <c r="G2987" i="10"/>
  <c r="G2988" i="10"/>
  <c r="G2989" i="10"/>
  <c r="G2990" i="10"/>
  <c r="G2991" i="10"/>
  <c r="G2992" i="10"/>
  <c r="G2993" i="10"/>
  <c r="G2994" i="10"/>
  <c r="G2995" i="10"/>
  <c r="G2996" i="10"/>
  <c r="G2997" i="10"/>
  <c r="G2998" i="10"/>
  <c r="G2999" i="10"/>
  <c r="G3000" i="10"/>
  <c r="G3001" i="10"/>
  <c r="G3002" i="10"/>
  <c r="G3003" i="10"/>
  <c r="G3004" i="10"/>
  <c r="G3005" i="10"/>
  <c r="G3006" i="10"/>
  <c r="G3007" i="10"/>
  <c r="G3008" i="10"/>
  <c r="G3009" i="10"/>
  <c r="G3010" i="10"/>
  <c r="G3011" i="10"/>
  <c r="G3012" i="10"/>
  <c r="G3013" i="10"/>
  <c r="G3014" i="10"/>
  <c r="G3015" i="10"/>
  <c r="G3016" i="10"/>
  <c r="G3017" i="10"/>
  <c r="G3018" i="10"/>
  <c r="G3019" i="10"/>
  <c r="G3020" i="10"/>
  <c r="G3021" i="10"/>
  <c r="G3022" i="10"/>
  <c r="G3023" i="10"/>
  <c r="G3024" i="10"/>
  <c r="G3025" i="10"/>
  <c r="G3026" i="10"/>
  <c r="G3027" i="10"/>
  <c r="G3028" i="10"/>
  <c r="G3029" i="10"/>
  <c r="G3030" i="10"/>
  <c r="G3031" i="10"/>
  <c r="G3032" i="10"/>
  <c r="G3033" i="10"/>
  <c r="G3034" i="10"/>
  <c r="G3035" i="10"/>
  <c r="G3036" i="10"/>
  <c r="G3037" i="10"/>
  <c r="G3038" i="10"/>
  <c r="G3039" i="10"/>
  <c r="G3040" i="10"/>
  <c r="G3041" i="10"/>
  <c r="G3042" i="10"/>
  <c r="G3043" i="10"/>
  <c r="G3044" i="10"/>
  <c r="G3045" i="10"/>
  <c r="G3046" i="10"/>
  <c r="G3047" i="10"/>
  <c r="G3048" i="10"/>
  <c r="G3049" i="10"/>
  <c r="G3050" i="10"/>
  <c r="G3051" i="10"/>
  <c r="G3052" i="10"/>
  <c r="G3053" i="10"/>
  <c r="G3054" i="10"/>
  <c r="G3055" i="10"/>
  <c r="G3056" i="10"/>
  <c r="G3057" i="10"/>
  <c r="G3058" i="10"/>
  <c r="G3059" i="10"/>
  <c r="G3060" i="10"/>
  <c r="G3061" i="10"/>
  <c r="G3062" i="10"/>
  <c r="G3063" i="10"/>
  <c r="G3064" i="10"/>
  <c r="G3065" i="10"/>
  <c r="G3066" i="10"/>
  <c r="G3067" i="10"/>
  <c r="G3068" i="10"/>
  <c r="G3069" i="10"/>
  <c r="G3070" i="10"/>
  <c r="G3071" i="10"/>
  <c r="G3072" i="10"/>
  <c r="G3073" i="10"/>
  <c r="G3074" i="10"/>
  <c r="G3075" i="10"/>
  <c r="G3076" i="10"/>
  <c r="G3077" i="10"/>
  <c r="G3078" i="10"/>
  <c r="G3079" i="10"/>
  <c r="G3080" i="10"/>
  <c r="G3081" i="10"/>
  <c r="G3082" i="10"/>
  <c r="G3083" i="10"/>
  <c r="G3084" i="10"/>
  <c r="G3085" i="10"/>
  <c r="G3086" i="10"/>
  <c r="G3087" i="10"/>
  <c r="G3088" i="10"/>
  <c r="G3089" i="10"/>
  <c r="G3090" i="10"/>
  <c r="G3091" i="10"/>
  <c r="G3092" i="10"/>
  <c r="G3093" i="10"/>
  <c r="G3094" i="10"/>
  <c r="G3095" i="10"/>
  <c r="G3096" i="10"/>
  <c r="G3097" i="10"/>
  <c r="G3098" i="10"/>
  <c r="G3099" i="10"/>
  <c r="G3100" i="10"/>
  <c r="G3101" i="10"/>
  <c r="G3102" i="10"/>
  <c r="G3103" i="10"/>
  <c r="G3104" i="10"/>
  <c r="G3105" i="10"/>
  <c r="G3106" i="10"/>
  <c r="G3107" i="10"/>
  <c r="G3108" i="10"/>
  <c r="G3109" i="10"/>
  <c r="G3110" i="10"/>
  <c r="G3111" i="10"/>
  <c r="G3112" i="10"/>
  <c r="G3113" i="10"/>
  <c r="G3114" i="10"/>
  <c r="G3115" i="10"/>
  <c r="G3116" i="10"/>
  <c r="G3117" i="10"/>
  <c r="G3118" i="10"/>
  <c r="G3119" i="10"/>
  <c r="G3120" i="10"/>
  <c r="G3121" i="10"/>
  <c r="G3122" i="10"/>
  <c r="G3123" i="10"/>
  <c r="G3124" i="10"/>
  <c r="G3125" i="10"/>
  <c r="G3126" i="10"/>
  <c r="G3127" i="10"/>
  <c r="G3128" i="10"/>
  <c r="G3129" i="10"/>
  <c r="G3130" i="10"/>
  <c r="G3131" i="10"/>
  <c r="G3132" i="10"/>
  <c r="G3133" i="10"/>
  <c r="G3134" i="10"/>
  <c r="G3135" i="10"/>
  <c r="G3136" i="10"/>
  <c r="G3137" i="10"/>
  <c r="G3138" i="10"/>
  <c r="G3139" i="10"/>
  <c r="G3140" i="10"/>
  <c r="G3141" i="10"/>
  <c r="G3142" i="10"/>
  <c r="G3143" i="10"/>
  <c r="G3144" i="10"/>
  <c r="G3145" i="10"/>
  <c r="G3146" i="10"/>
  <c r="G3147" i="10"/>
  <c r="G3148" i="10"/>
  <c r="G3149" i="10"/>
  <c r="G3150" i="10"/>
  <c r="G3151" i="10"/>
  <c r="G3152" i="10"/>
  <c r="G3153" i="10"/>
  <c r="G3154" i="10"/>
  <c r="G3155" i="10"/>
  <c r="G3156" i="10"/>
  <c r="G3157" i="10"/>
  <c r="G3158" i="10"/>
  <c r="G3159" i="10"/>
  <c r="G3160" i="10"/>
  <c r="G3161" i="10"/>
  <c r="G3162" i="10"/>
  <c r="G3163" i="10"/>
  <c r="G3164" i="10"/>
  <c r="G3165" i="10"/>
  <c r="G3166" i="10"/>
  <c r="G3167" i="10"/>
  <c r="G3168" i="10"/>
  <c r="G3169" i="10"/>
  <c r="G3170" i="10"/>
  <c r="G3171" i="10"/>
  <c r="G3172" i="10"/>
  <c r="G3173" i="10"/>
  <c r="G3174" i="10"/>
  <c r="G3175" i="10"/>
  <c r="G3176" i="10"/>
  <c r="G3177" i="10"/>
  <c r="G3178" i="10"/>
  <c r="G3179" i="10"/>
  <c r="G3180" i="10"/>
  <c r="G3181" i="10"/>
  <c r="G3182" i="10"/>
  <c r="G3183" i="10"/>
  <c r="G3184" i="10"/>
  <c r="G3185" i="10"/>
  <c r="G3186" i="10"/>
  <c r="G3187" i="10"/>
  <c r="G3188" i="10"/>
  <c r="G3189" i="10"/>
  <c r="G3190" i="10"/>
  <c r="G3191" i="10"/>
  <c r="G3192" i="10"/>
  <c r="G3193" i="10"/>
  <c r="G3194" i="10"/>
  <c r="G3195" i="10"/>
  <c r="G3196" i="10"/>
  <c r="G3197" i="10"/>
  <c r="G3198" i="10"/>
  <c r="G3199" i="10"/>
  <c r="G3200" i="10"/>
  <c r="G3201" i="10"/>
  <c r="G3202" i="10"/>
  <c r="G3203" i="10"/>
  <c r="G3204" i="10"/>
  <c r="G3205" i="10"/>
  <c r="G3206" i="10"/>
  <c r="G3207" i="10"/>
  <c r="G3208" i="10"/>
  <c r="G3209" i="10"/>
  <c r="G3210" i="10"/>
  <c r="G3211" i="10"/>
  <c r="G3212" i="10"/>
  <c r="G3213" i="10"/>
  <c r="G3214" i="10"/>
  <c r="G3215" i="10"/>
  <c r="G3216" i="10"/>
  <c r="G3217" i="10"/>
  <c r="G3218" i="10"/>
  <c r="G3219" i="10"/>
  <c r="G3220" i="10"/>
  <c r="G3221" i="10"/>
  <c r="G3222" i="10"/>
  <c r="G3223" i="10"/>
  <c r="G3224" i="10"/>
  <c r="G3225" i="10"/>
  <c r="G3226" i="10"/>
  <c r="G3227" i="10"/>
  <c r="G3228" i="10"/>
  <c r="G3229" i="10"/>
  <c r="G3230" i="10"/>
  <c r="G3231" i="10"/>
  <c r="G3232" i="10"/>
  <c r="G3233" i="10"/>
  <c r="G3234" i="10"/>
  <c r="G3235" i="10"/>
  <c r="G3236" i="10"/>
  <c r="G3237" i="10"/>
  <c r="G3238" i="10"/>
  <c r="G3239" i="10"/>
  <c r="G3240" i="10"/>
  <c r="G3241" i="10"/>
  <c r="G3242" i="10"/>
  <c r="G3243" i="10"/>
  <c r="G3244" i="10"/>
  <c r="G3245" i="10"/>
  <c r="G3246" i="10"/>
  <c r="G3247" i="10"/>
  <c r="G3248" i="10"/>
  <c r="G3249" i="10"/>
  <c r="G3250" i="10"/>
  <c r="G3251" i="10"/>
  <c r="G3252" i="10"/>
  <c r="G3253" i="10"/>
  <c r="G3254" i="10"/>
  <c r="G3255" i="10"/>
  <c r="G3256" i="10"/>
  <c r="G3257" i="10"/>
  <c r="G3258" i="10"/>
  <c r="G3259" i="10"/>
  <c r="G3260" i="10"/>
  <c r="G3261" i="10"/>
  <c r="G3262" i="10"/>
  <c r="G3263" i="10"/>
  <c r="G3264" i="10"/>
  <c r="G3265" i="10"/>
  <c r="G3266" i="10"/>
  <c r="G3267" i="10"/>
  <c r="G3268" i="10"/>
  <c r="G3269" i="10"/>
  <c r="G3270" i="10"/>
  <c r="G3271" i="10"/>
  <c r="G3272" i="10"/>
  <c r="G3273" i="10"/>
  <c r="G3274" i="10"/>
  <c r="G3275" i="10"/>
  <c r="G3276" i="10"/>
  <c r="G3277" i="10"/>
  <c r="G3278" i="10"/>
  <c r="G3279" i="10"/>
  <c r="G3280" i="10"/>
  <c r="G3281" i="10"/>
  <c r="G3282" i="10"/>
  <c r="G3283" i="10"/>
  <c r="G3284" i="10"/>
  <c r="G3285" i="10"/>
  <c r="G3286" i="10"/>
  <c r="G3287" i="10"/>
  <c r="G3288" i="10"/>
  <c r="G3289" i="10"/>
  <c r="G3290" i="10"/>
  <c r="G3291" i="10"/>
  <c r="G3292" i="10"/>
  <c r="G3293" i="10"/>
  <c r="G3294" i="10"/>
  <c r="G3295" i="10"/>
  <c r="G3296" i="10"/>
  <c r="G3297" i="10"/>
  <c r="G3298" i="10"/>
  <c r="G3299" i="10"/>
  <c r="G3300" i="10"/>
  <c r="G3301" i="10"/>
  <c r="G3302" i="10"/>
  <c r="G3303" i="10"/>
  <c r="G3304" i="10"/>
  <c r="G3305" i="10"/>
  <c r="G3306" i="10"/>
  <c r="G3307" i="10"/>
  <c r="G3308" i="10"/>
  <c r="G3309" i="10"/>
  <c r="G3310" i="10"/>
  <c r="G3311" i="10"/>
  <c r="G3312" i="10"/>
  <c r="G3313" i="10"/>
  <c r="G3314" i="10"/>
  <c r="G3315" i="10"/>
  <c r="G3316" i="10"/>
  <c r="G3317" i="10"/>
  <c r="G3318" i="10"/>
  <c r="G3319" i="10"/>
  <c r="G3320" i="10"/>
  <c r="G3321" i="10"/>
  <c r="G3322" i="10"/>
  <c r="G3323" i="10"/>
  <c r="G3324" i="10"/>
  <c r="G3325" i="10"/>
  <c r="G3326" i="10"/>
  <c r="G3327" i="10"/>
  <c r="G3328" i="10"/>
  <c r="G3329" i="10"/>
  <c r="G3330" i="10"/>
  <c r="G3331" i="10"/>
  <c r="G3332" i="10"/>
  <c r="G3333" i="10"/>
  <c r="G3334" i="10"/>
  <c r="G3335" i="10"/>
  <c r="G3336" i="10"/>
  <c r="G3337" i="10"/>
  <c r="G3338" i="10"/>
  <c r="G3339" i="10"/>
  <c r="G3340" i="10"/>
  <c r="G3341" i="10"/>
  <c r="G3342" i="10"/>
  <c r="G3343" i="10"/>
  <c r="G3344" i="10"/>
  <c r="G3345" i="10"/>
  <c r="G3346" i="10"/>
  <c r="G3347" i="10"/>
  <c r="G3348" i="10"/>
  <c r="G3349" i="10"/>
  <c r="G3350" i="10"/>
  <c r="G3351" i="10"/>
  <c r="G3352" i="10"/>
  <c r="G3353" i="10"/>
  <c r="G3354" i="10"/>
  <c r="G3355" i="10"/>
  <c r="G3356" i="10"/>
  <c r="G3357" i="10"/>
  <c r="G3358" i="10"/>
  <c r="G3359" i="10"/>
  <c r="G3360" i="10"/>
  <c r="G3361" i="10"/>
  <c r="G3362" i="10"/>
  <c r="G3363" i="10"/>
  <c r="G3364" i="10"/>
  <c r="G3365" i="10"/>
  <c r="G3366" i="10"/>
  <c r="G3367" i="10"/>
  <c r="G3368" i="10"/>
  <c r="G3369" i="10"/>
  <c r="G3370" i="10"/>
  <c r="G3371" i="10"/>
  <c r="G3372" i="10"/>
  <c r="G3373" i="10"/>
  <c r="G3374" i="10"/>
  <c r="G3375" i="10"/>
  <c r="G3376" i="10"/>
  <c r="G3377" i="10"/>
  <c r="G3378" i="10"/>
  <c r="G3379" i="10"/>
  <c r="G3380" i="10"/>
  <c r="G3381" i="10"/>
  <c r="G3382" i="10"/>
  <c r="G3383" i="10"/>
  <c r="G3384" i="10"/>
  <c r="G3385" i="10"/>
  <c r="G3386" i="10"/>
  <c r="G3387" i="10"/>
  <c r="G3388" i="10"/>
  <c r="G3389" i="10"/>
  <c r="G3390" i="10"/>
  <c r="G3391" i="10"/>
  <c r="G3392" i="10"/>
  <c r="G3393" i="10"/>
  <c r="G3394" i="10"/>
  <c r="G3395" i="10"/>
  <c r="G3396" i="10"/>
  <c r="G3397" i="10"/>
  <c r="G3398" i="10"/>
  <c r="G3399" i="10"/>
  <c r="G3400" i="10"/>
  <c r="G3401" i="10"/>
  <c r="G3402" i="10"/>
  <c r="G3403" i="10"/>
  <c r="G3404" i="10"/>
  <c r="G3405" i="10"/>
  <c r="G3406" i="10"/>
  <c r="G3407" i="10"/>
  <c r="G3408" i="10"/>
  <c r="G3409" i="10"/>
  <c r="G3410" i="10"/>
  <c r="G3411" i="10"/>
  <c r="G3412" i="10"/>
  <c r="G3413" i="10"/>
  <c r="G3414" i="10"/>
  <c r="G3415" i="10"/>
  <c r="G3416" i="10"/>
  <c r="G3417" i="10"/>
  <c r="G3418" i="10"/>
  <c r="G3419" i="10"/>
  <c r="G3420" i="10"/>
  <c r="G3421" i="10"/>
  <c r="G3422" i="10"/>
  <c r="G3423" i="10"/>
  <c r="G3424" i="10"/>
  <c r="G3425" i="10"/>
  <c r="G3426" i="10"/>
  <c r="G3427" i="10"/>
  <c r="G3428" i="10"/>
  <c r="G3429" i="10"/>
  <c r="G3430" i="10"/>
  <c r="G3431" i="10"/>
  <c r="G3432" i="10"/>
  <c r="G3433" i="10"/>
  <c r="G3434" i="10"/>
  <c r="G3435" i="10"/>
  <c r="G3436" i="10"/>
  <c r="G3437" i="10"/>
  <c r="G3438" i="10"/>
  <c r="G3439" i="10"/>
  <c r="G3440" i="10"/>
  <c r="G3441" i="10"/>
  <c r="G3442" i="10"/>
  <c r="G3443" i="10"/>
  <c r="G3444" i="10"/>
  <c r="G3445" i="10"/>
  <c r="G3446" i="10"/>
  <c r="G3447" i="10"/>
  <c r="G3448" i="10"/>
  <c r="G3449" i="10"/>
  <c r="G3450" i="10"/>
  <c r="G3451" i="10"/>
  <c r="G3452" i="10"/>
  <c r="G3453" i="10"/>
  <c r="G3454" i="10"/>
  <c r="G3455" i="10"/>
  <c r="G3456" i="10"/>
  <c r="G3457" i="10"/>
  <c r="G3458" i="10"/>
  <c r="G3459" i="10"/>
  <c r="G3460" i="10"/>
  <c r="G3461" i="10"/>
  <c r="G3462" i="10"/>
  <c r="G3463" i="10"/>
  <c r="G3464" i="10"/>
  <c r="G3465" i="10"/>
  <c r="G3466" i="10"/>
  <c r="G3467" i="10"/>
  <c r="G3468" i="10"/>
  <c r="G3469" i="10"/>
  <c r="G3470" i="10"/>
  <c r="G3471" i="10"/>
  <c r="G3472" i="10"/>
  <c r="G3473" i="10"/>
  <c r="G3474" i="10"/>
  <c r="G3475" i="10"/>
  <c r="G3476" i="10"/>
  <c r="G3477" i="10"/>
  <c r="G3478" i="10"/>
  <c r="G3479" i="10"/>
  <c r="G3480" i="10"/>
  <c r="G3481" i="10"/>
  <c r="G3482" i="10"/>
  <c r="G3483" i="10"/>
  <c r="G3484" i="10"/>
  <c r="G3485" i="10"/>
  <c r="G3486" i="10"/>
  <c r="G3487" i="10"/>
  <c r="G3488" i="10"/>
  <c r="G3489" i="10"/>
  <c r="G3490" i="10"/>
  <c r="G3491" i="10"/>
  <c r="G3492" i="10"/>
  <c r="G3493" i="10"/>
  <c r="G3494" i="10"/>
  <c r="G3495" i="10"/>
  <c r="G3496" i="10"/>
  <c r="G3497" i="10"/>
  <c r="G3498" i="10"/>
  <c r="G2" i="10"/>
  <c r="E3498" i="10"/>
  <c r="E3497" i="10"/>
  <c r="E3496" i="10"/>
  <c r="D3496" i="10"/>
  <c r="D3497" i="10" s="1"/>
  <c r="D3498" i="10" s="1"/>
  <c r="E3495" i="10"/>
  <c r="D3495" i="10"/>
  <c r="E3494" i="10"/>
  <c r="D3494" i="10"/>
  <c r="E3493" i="10"/>
  <c r="D3493" i="10"/>
  <c r="E3492" i="10"/>
  <c r="D3492" i="10"/>
  <c r="E3491" i="10"/>
  <c r="D3491" i="10"/>
  <c r="E3490" i="10"/>
  <c r="D3490" i="10"/>
  <c r="E3489" i="10"/>
  <c r="D3489" i="10"/>
  <c r="E3488" i="10"/>
  <c r="D3488" i="10"/>
  <c r="E3487" i="10"/>
  <c r="D3487" i="10"/>
  <c r="E3486" i="10"/>
  <c r="D3486" i="10"/>
  <c r="E3485" i="10"/>
  <c r="D3485" i="10"/>
  <c r="E3484" i="10"/>
  <c r="D3484" i="10"/>
  <c r="E3483" i="10"/>
  <c r="D3483" i="10"/>
  <c r="E3482" i="10"/>
  <c r="D3482" i="10"/>
  <c r="E3481" i="10"/>
  <c r="D3481" i="10"/>
  <c r="E3480" i="10"/>
  <c r="D3480" i="10"/>
  <c r="E3479" i="10"/>
  <c r="D3479" i="10"/>
  <c r="E3478" i="10"/>
  <c r="D3478" i="10"/>
  <c r="E3477" i="10"/>
  <c r="D3477" i="10"/>
  <c r="E3476" i="10"/>
  <c r="D3476" i="10"/>
  <c r="E3475" i="10"/>
  <c r="D3475" i="10"/>
  <c r="E3474" i="10"/>
  <c r="D3474" i="10"/>
  <c r="E3473" i="10"/>
  <c r="D3473" i="10"/>
  <c r="E3472" i="10"/>
  <c r="D3472" i="10"/>
  <c r="E3471" i="10"/>
  <c r="D3471" i="10"/>
  <c r="E3470" i="10"/>
  <c r="D3470" i="10"/>
  <c r="E3469" i="10"/>
  <c r="D3469" i="10"/>
  <c r="E3468" i="10"/>
  <c r="D3468" i="10"/>
  <c r="E3467" i="10"/>
  <c r="D3467" i="10"/>
  <c r="E3466" i="10"/>
  <c r="D3466" i="10"/>
  <c r="E3465" i="10"/>
  <c r="D3465" i="10"/>
  <c r="E3464" i="10"/>
  <c r="D3464" i="10"/>
  <c r="E3463" i="10"/>
  <c r="D3463" i="10"/>
  <c r="E3462" i="10"/>
  <c r="D3462" i="10"/>
  <c r="E3461" i="10"/>
  <c r="D3461" i="10"/>
  <c r="E3460" i="10"/>
  <c r="D3460" i="10"/>
  <c r="E3459" i="10"/>
  <c r="D3459" i="10"/>
  <c r="E3458" i="10"/>
  <c r="D3458" i="10"/>
  <c r="E3457" i="10"/>
  <c r="D3457" i="10"/>
  <c r="E3456" i="10"/>
  <c r="D3456" i="10"/>
  <c r="E3455" i="10"/>
  <c r="D3455" i="10"/>
  <c r="E3454" i="10"/>
  <c r="D3454" i="10"/>
  <c r="E3453" i="10"/>
  <c r="D3453" i="10"/>
  <c r="E3452" i="10"/>
  <c r="D3452" i="10"/>
  <c r="E3451" i="10"/>
  <c r="D3451" i="10"/>
  <c r="E3450" i="10"/>
  <c r="D3450" i="10"/>
  <c r="E3449" i="10"/>
  <c r="D3449" i="10"/>
  <c r="E3448" i="10"/>
  <c r="D3448" i="10"/>
  <c r="E3447" i="10"/>
  <c r="D3447" i="10"/>
  <c r="E3446" i="10"/>
  <c r="D3446" i="10"/>
  <c r="E3445" i="10"/>
  <c r="D3445" i="10"/>
  <c r="E3444" i="10"/>
  <c r="D3444" i="10"/>
  <c r="E3443" i="10"/>
  <c r="D3443" i="10"/>
  <c r="E3442" i="10"/>
  <c r="D3442" i="10"/>
  <c r="E3441" i="10"/>
  <c r="D3441" i="10"/>
  <c r="E3440" i="10"/>
  <c r="D3440" i="10"/>
  <c r="E3439" i="10"/>
  <c r="D3439" i="10"/>
  <c r="E3438" i="10"/>
  <c r="D3438" i="10"/>
  <c r="E3437" i="10"/>
  <c r="D3437" i="10"/>
  <c r="E3436" i="10"/>
  <c r="D3436" i="10"/>
  <c r="E3435" i="10"/>
  <c r="D3435" i="10"/>
  <c r="E3434" i="10"/>
  <c r="D3434" i="10"/>
  <c r="E3433" i="10"/>
  <c r="D3433" i="10"/>
  <c r="E3432" i="10"/>
  <c r="D3432" i="10"/>
  <c r="E3431" i="10"/>
  <c r="D3431" i="10"/>
  <c r="E3430" i="10"/>
  <c r="D3430" i="10"/>
  <c r="E3429" i="10"/>
  <c r="D3429" i="10"/>
  <c r="E3428" i="10"/>
  <c r="D3428" i="10"/>
  <c r="E3427" i="10"/>
  <c r="D3427" i="10"/>
  <c r="E3426" i="10"/>
  <c r="D3426" i="10"/>
  <c r="E3425" i="10"/>
  <c r="D3425" i="10"/>
  <c r="E3424" i="10"/>
  <c r="D3424" i="10"/>
  <c r="E3423" i="10"/>
  <c r="D3423" i="10"/>
  <c r="E3422" i="10"/>
  <c r="D3422" i="10"/>
  <c r="E3421" i="10"/>
  <c r="D3421" i="10"/>
  <c r="E3420" i="10"/>
  <c r="D3420" i="10"/>
  <c r="E3419" i="10"/>
  <c r="D3419" i="10"/>
  <c r="E3418" i="10"/>
  <c r="D3418" i="10"/>
  <c r="E3417" i="10"/>
  <c r="D3417" i="10"/>
  <c r="E3416" i="10"/>
  <c r="D3416" i="10"/>
  <c r="E3415" i="10"/>
  <c r="D3415" i="10"/>
  <c r="E3414" i="10"/>
  <c r="D3414" i="10"/>
  <c r="E3413" i="10"/>
  <c r="D3413" i="10"/>
  <c r="E3412" i="10"/>
  <c r="D3412" i="10"/>
  <c r="E3411" i="10"/>
  <c r="D3411" i="10"/>
  <c r="E3410" i="10"/>
  <c r="D3410" i="10"/>
  <c r="E3409" i="10"/>
  <c r="D3409" i="10"/>
  <c r="E3408" i="10"/>
  <c r="D3408" i="10"/>
  <c r="E3407" i="10"/>
  <c r="D3407" i="10"/>
  <c r="E3406" i="10"/>
  <c r="D3406" i="10"/>
  <c r="E3405" i="10"/>
  <c r="D3405" i="10"/>
  <c r="E3404" i="10"/>
  <c r="D3404" i="10"/>
  <c r="E3403" i="10"/>
  <c r="D3403" i="10"/>
  <c r="E3402" i="10"/>
  <c r="D3402" i="10"/>
  <c r="E3401" i="10"/>
  <c r="D3401" i="10"/>
  <c r="E3400" i="10"/>
  <c r="D3400" i="10"/>
  <c r="E3399" i="10"/>
  <c r="D3399" i="10"/>
  <c r="E3398" i="10"/>
  <c r="D3398" i="10"/>
  <c r="E3397" i="10"/>
  <c r="D3397" i="10"/>
  <c r="E3396" i="10"/>
  <c r="D3396" i="10"/>
  <c r="E3395" i="10"/>
  <c r="D3395" i="10"/>
  <c r="E3394" i="10"/>
  <c r="D3394" i="10"/>
  <c r="E3393" i="10"/>
  <c r="D3393" i="10"/>
  <c r="E3392" i="10"/>
  <c r="D3392" i="10"/>
  <c r="E3391" i="10"/>
  <c r="D3391" i="10"/>
  <c r="E3390" i="10"/>
  <c r="D3390" i="10"/>
  <c r="E3389" i="10"/>
  <c r="D3389" i="10"/>
  <c r="E3388" i="10"/>
  <c r="D3388" i="10"/>
  <c r="E3387" i="10"/>
  <c r="D3387" i="10"/>
  <c r="E3386" i="10"/>
  <c r="D3386" i="10"/>
  <c r="E3385" i="10"/>
  <c r="D3385" i="10"/>
  <c r="E3384" i="10"/>
  <c r="D3384" i="10"/>
  <c r="E3383" i="10"/>
  <c r="D3383" i="10"/>
  <c r="E3382" i="10"/>
  <c r="D3382" i="10"/>
  <c r="E3381" i="10"/>
  <c r="D3381" i="10"/>
  <c r="E3380" i="10"/>
  <c r="D3380" i="10"/>
  <c r="E3379" i="10"/>
  <c r="D3379" i="10"/>
  <c r="E3378" i="10"/>
  <c r="D3378" i="10"/>
  <c r="E3377" i="10"/>
  <c r="D3377" i="10"/>
  <c r="E3376" i="10"/>
  <c r="D3376" i="10"/>
  <c r="E3375" i="10"/>
  <c r="D3375" i="10"/>
  <c r="E3374" i="10"/>
  <c r="D3374" i="10"/>
  <c r="E3373" i="10"/>
  <c r="D3373" i="10"/>
  <c r="E3372" i="10"/>
  <c r="D3372" i="10"/>
  <c r="E3371" i="10"/>
  <c r="D3371" i="10"/>
  <c r="E3370" i="10"/>
  <c r="D3370" i="10"/>
  <c r="E3369" i="10"/>
  <c r="D3369" i="10"/>
  <c r="E3368" i="10"/>
  <c r="D3368" i="10"/>
  <c r="E3367" i="10"/>
  <c r="D3367" i="10"/>
  <c r="E3366" i="10"/>
  <c r="D3366" i="10"/>
  <c r="E3365" i="10"/>
  <c r="D3365" i="10"/>
  <c r="E3364" i="10"/>
  <c r="D3364" i="10"/>
  <c r="E3363" i="10"/>
  <c r="D3363" i="10"/>
  <c r="E3362" i="10"/>
  <c r="D3362" i="10"/>
  <c r="E3361" i="10"/>
  <c r="D3361" i="10"/>
  <c r="E3360" i="10"/>
  <c r="D3360" i="10"/>
  <c r="E3359" i="10"/>
  <c r="D3359" i="10"/>
  <c r="E3358" i="10"/>
  <c r="D3358" i="10"/>
  <c r="E3357" i="10"/>
  <c r="D3357" i="10"/>
  <c r="E3356" i="10"/>
  <c r="D3356" i="10"/>
  <c r="E3355" i="10"/>
  <c r="D3355" i="10"/>
  <c r="E3354" i="10"/>
  <c r="D3354" i="10"/>
  <c r="E3353" i="10"/>
  <c r="D3353" i="10"/>
  <c r="E3352" i="10"/>
  <c r="D3352" i="10"/>
  <c r="E3351" i="10"/>
  <c r="D3351" i="10"/>
  <c r="E3350" i="10"/>
  <c r="D3350" i="10"/>
  <c r="E3349" i="10"/>
  <c r="D3349" i="10"/>
  <c r="E3348" i="10"/>
  <c r="D3348" i="10"/>
  <c r="E3347" i="10"/>
  <c r="D3347" i="10"/>
  <c r="E3346" i="10"/>
  <c r="D3346" i="10"/>
  <c r="E3345" i="10"/>
  <c r="D3345" i="10"/>
  <c r="E3344" i="10"/>
  <c r="D3344" i="10"/>
  <c r="E3343" i="10"/>
  <c r="D3343" i="10"/>
  <c r="E3342" i="10"/>
  <c r="D3342" i="10"/>
  <c r="E3341" i="10"/>
  <c r="D3341" i="10"/>
  <c r="E3340" i="10"/>
  <c r="D3340" i="10"/>
  <c r="E3339" i="10"/>
  <c r="D3339" i="10"/>
  <c r="E3338" i="10"/>
  <c r="D3338" i="10"/>
  <c r="E3337" i="10"/>
  <c r="D3337" i="10"/>
  <c r="E3336" i="10"/>
  <c r="D3336" i="10"/>
  <c r="E3335" i="10"/>
  <c r="D3335" i="10"/>
  <c r="E3334" i="10"/>
  <c r="D3334" i="10"/>
  <c r="E3333" i="10"/>
  <c r="D3333" i="10"/>
  <c r="E3332" i="10"/>
  <c r="D3332" i="10"/>
  <c r="E3331" i="10"/>
  <c r="D3331" i="10"/>
  <c r="E3330" i="10"/>
  <c r="D3330" i="10"/>
  <c r="E3329" i="10"/>
  <c r="D3329" i="10"/>
  <c r="E3328" i="10"/>
  <c r="D3328" i="10"/>
  <c r="E3327" i="10"/>
  <c r="D3327" i="10"/>
  <c r="E3326" i="10"/>
  <c r="D3326" i="10"/>
  <c r="E3325" i="10"/>
  <c r="D3325" i="10"/>
  <c r="E3324" i="10"/>
  <c r="D3324" i="10"/>
  <c r="E3323" i="10"/>
  <c r="D3323" i="10"/>
  <c r="E3322" i="10"/>
  <c r="D3322" i="10"/>
  <c r="E3321" i="10"/>
  <c r="D3321" i="10"/>
  <c r="E3320" i="10"/>
  <c r="D3320" i="10"/>
  <c r="E3319" i="10"/>
  <c r="D3319" i="10"/>
  <c r="E3318" i="10"/>
  <c r="D3318" i="10"/>
  <c r="E3317" i="10"/>
  <c r="D3317" i="10"/>
  <c r="E3316" i="10"/>
  <c r="D3316" i="10"/>
  <c r="E3315" i="10"/>
  <c r="D3315" i="10"/>
  <c r="E3314" i="10"/>
  <c r="D3314" i="10"/>
  <c r="E3313" i="10"/>
  <c r="D3313" i="10"/>
  <c r="E3312" i="10"/>
  <c r="D3312" i="10"/>
  <c r="E3311" i="10"/>
  <c r="D3311" i="10"/>
  <c r="E3310" i="10"/>
  <c r="D3310" i="10"/>
  <c r="E3309" i="10"/>
  <c r="D3309" i="10"/>
  <c r="E3308" i="10"/>
  <c r="D3308" i="10"/>
  <c r="E3307" i="10"/>
  <c r="D3307" i="10"/>
  <c r="E3306" i="10"/>
  <c r="D3306" i="10"/>
  <c r="E3305" i="10"/>
  <c r="D3305" i="10"/>
  <c r="E3304" i="10"/>
  <c r="D3304" i="10"/>
  <c r="E3303" i="10"/>
  <c r="D3303" i="10"/>
  <c r="E3302" i="10"/>
  <c r="D3302" i="10"/>
  <c r="E3301" i="10"/>
  <c r="D3301" i="10"/>
  <c r="E3300" i="10"/>
  <c r="D3300" i="10"/>
  <c r="E3299" i="10"/>
  <c r="D3299" i="10"/>
  <c r="E3298" i="10"/>
  <c r="D3298" i="10"/>
  <c r="E3297" i="10"/>
  <c r="D3297" i="10"/>
  <c r="E3296" i="10"/>
  <c r="D3296" i="10"/>
  <c r="E3295" i="10"/>
  <c r="D3295" i="10"/>
  <c r="E3294" i="10"/>
  <c r="D3294" i="10"/>
  <c r="E3293" i="10"/>
  <c r="D3293" i="10"/>
  <c r="E3292" i="10"/>
  <c r="D3292" i="10"/>
  <c r="E3291" i="10"/>
  <c r="D3291" i="10"/>
  <c r="E3290" i="10"/>
  <c r="D3290" i="10"/>
  <c r="E3289" i="10"/>
  <c r="D3289" i="10"/>
  <c r="E3288" i="10"/>
  <c r="D3288" i="10"/>
  <c r="E3287" i="10"/>
  <c r="D3287" i="10"/>
  <c r="E3286" i="10"/>
  <c r="D3286" i="10"/>
  <c r="E3285" i="10"/>
  <c r="D3285" i="10"/>
  <c r="E3284" i="10"/>
  <c r="D3284" i="10"/>
  <c r="E3283" i="10"/>
  <c r="D3283" i="10"/>
  <c r="E3282" i="10"/>
  <c r="D3282" i="10"/>
  <c r="E3281" i="10"/>
  <c r="D3281" i="10"/>
  <c r="E3280" i="10"/>
  <c r="D3280" i="10"/>
  <c r="E3279" i="10"/>
  <c r="D3279" i="10"/>
  <c r="E3278" i="10"/>
  <c r="D3278" i="10"/>
  <c r="E3277" i="10"/>
  <c r="D3277" i="10"/>
  <c r="E3276" i="10"/>
  <c r="D3276" i="10"/>
  <c r="E3275" i="10"/>
  <c r="D3275" i="10"/>
  <c r="E3274" i="10"/>
  <c r="D3274" i="10"/>
  <c r="E3273" i="10"/>
  <c r="D3273" i="10"/>
  <c r="E3272" i="10"/>
  <c r="D3272" i="10"/>
  <c r="E3271" i="10"/>
  <c r="D3271" i="10"/>
  <c r="E3270" i="10"/>
  <c r="D3270" i="10"/>
  <c r="E3269" i="10"/>
  <c r="D3269" i="10"/>
  <c r="E3268" i="10"/>
  <c r="D3268" i="10"/>
  <c r="E3267" i="10"/>
  <c r="D3267" i="10"/>
  <c r="E3266" i="10"/>
  <c r="D3266" i="10"/>
  <c r="E3265" i="10"/>
  <c r="D3265" i="10"/>
  <c r="E3264" i="10"/>
  <c r="D3264" i="10"/>
  <c r="E3263" i="10"/>
  <c r="D3263" i="10"/>
  <c r="E3262" i="10"/>
  <c r="D3262" i="10"/>
  <c r="E3261" i="10"/>
  <c r="D3261" i="10"/>
  <c r="E3260" i="10"/>
  <c r="D3260" i="10"/>
  <c r="E3259" i="10"/>
  <c r="D3259" i="10"/>
  <c r="E3258" i="10"/>
  <c r="D3258" i="10"/>
  <c r="E3257" i="10"/>
  <c r="D3257" i="10"/>
  <c r="E3256" i="10"/>
  <c r="D3256" i="10"/>
  <c r="E3255" i="10"/>
  <c r="D3255" i="10"/>
  <c r="E3254" i="10"/>
  <c r="D3254" i="10"/>
  <c r="E3253" i="10"/>
  <c r="D3253" i="10"/>
  <c r="E3252" i="10"/>
  <c r="D3252" i="10"/>
  <c r="E3251" i="10"/>
  <c r="D3251" i="10"/>
  <c r="E3250" i="10"/>
  <c r="D3250" i="10"/>
  <c r="E3249" i="10"/>
  <c r="D3249" i="10"/>
  <c r="E3248" i="10"/>
  <c r="D3248" i="10"/>
  <c r="E3247" i="10"/>
  <c r="D3247" i="10"/>
  <c r="E3246" i="10"/>
  <c r="D3246" i="10"/>
  <c r="E3245" i="10"/>
  <c r="D3245" i="10"/>
  <c r="E3244" i="10"/>
  <c r="D3244" i="10"/>
  <c r="E3243" i="10"/>
  <c r="D3243" i="10"/>
  <c r="E3242" i="10"/>
  <c r="D3242" i="10"/>
  <c r="E3241" i="10"/>
  <c r="D3241" i="10"/>
  <c r="E3240" i="10"/>
  <c r="D3240" i="10"/>
  <c r="E3239" i="10"/>
  <c r="D3239" i="10"/>
  <c r="E3238" i="10"/>
  <c r="D3238" i="10"/>
  <c r="E3237" i="10"/>
  <c r="D3237" i="10"/>
  <c r="E3236" i="10"/>
  <c r="D3236" i="10"/>
  <c r="E3235" i="10"/>
  <c r="D3235" i="10"/>
  <c r="E3234" i="10"/>
  <c r="D3234" i="10"/>
  <c r="E3233" i="10"/>
  <c r="D3233" i="10"/>
  <c r="E3232" i="10"/>
  <c r="D3232" i="10"/>
  <c r="E3231" i="10"/>
  <c r="D3231" i="10"/>
  <c r="E3230" i="10"/>
  <c r="D3230" i="10"/>
  <c r="E3229" i="10"/>
  <c r="D3229" i="10"/>
  <c r="E3228" i="10"/>
  <c r="D3228" i="10"/>
  <c r="E3227" i="10"/>
  <c r="D3227" i="10"/>
  <c r="E3226" i="10"/>
  <c r="D3226" i="10"/>
  <c r="E3225" i="10"/>
  <c r="D3225" i="10"/>
  <c r="E3224" i="10"/>
  <c r="D3224" i="10"/>
  <c r="E3223" i="10"/>
  <c r="D3223" i="10"/>
  <c r="E3222" i="10"/>
  <c r="D3222" i="10"/>
  <c r="E3221" i="10"/>
  <c r="D3221" i="10"/>
  <c r="E3220" i="10"/>
  <c r="D3220" i="10"/>
  <c r="E3219" i="10"/>
  <c r="D3219" i="10"/>
  <c r="E3218" i="10"/>
  <c r="D3218" i="10"/>
  <c r="E3217" i="10"/>
  <c r="D3217" i="10"/>
  <c r="E3216" i="10"/>
  <c r="D3216" i="10"/>
  <c r="E3215" i="10"/>
  <c r="D3215" i="10"/>
  <c r="E3214" i="10"/>
  <c r="D3214" i="10"/>
  <c r="E3213" i="10"/>
  <c r="D3213" i="10"/>
  <c r="E3212" i="10"/>
  <c r="D3212" i="10"/>
  <c r="E3211" i="10"/>
  <c r="D3211" i="10"/>
  <c r="E3210" i="10"/>
  <c r="D3210" i="10"/>
  <c r="E3209" i="10"/>
  <c r="D3209" i="10"/>
  <c r="E3208" i="10"/>
  <c r="D3208" i="10"/>
  <c r="E3207" i="10"/>
  <c r="D3207" i="10"/>
  <c r="E3206" i="10"/>
  <c r="D3206" i="10"/>
  <c r="E3205" i="10"/>
  <c r="D3205" i="10"/>
  <c r="E3204" i="10"/>
  <c r="D3204" i="10"/>
  <c r="E3203" i="10"/>
  <c r="D3203" i="10"/>
  <c r="E3202" i="10"/>
  <c r="D3202" i="10"/>
  <c r="E3201" i="10"/>
  <c r="D3201" i="10"/>
  <c r="E3200" i="10"/>
  <c r="D3200" i="10"/>
  <c r="E3199" i="10"/>
  <c r="D3199" i="10"/>
  <c r="E3198" i="10"/>
  <c r="D3198" i="10"/>
  <c r="E3197" i="10"/>
  <c r="D3197" i="10"/>
  <c r="E3196" i="10"/>
  <c r="D3196" i="10"/>
  <c r="E3195" i="10"/>
  <c r="D3195" i="10"/>
  <c r="E3194" i="10"/>
  <c r="D3194" i="10"/>
  <c r="E3193" i="10"/>
  <c r="D3193" i="10"/>
  <c r="E3192" i="10"/>
  <c r="D3192" i="10"/>
  <c r="E3191" i="10"/>
  <c r="D3191" i="10"/>
  <c r="E3190" i="10"/>
  <c r="D3190" i="10"/>
  <c r="E3189" i="10"/>
  <c r="D3189" i="10"/>
  <c r="E3188" i="10"/>
  <c r="D3188" i="10"/>
  <c r="E3187" i="10"/>
  <c r="D3187" i="10"/>
  <c r="E3186" i="10"/>
  <c r="D3186" i="10"/>
  <c r="E3185" i="10"/>
  <c r="D3185" i="10"/>
  <c r="E3184" i="10"/>
  <c r="D3184" i="10"/>
  <c r="E3183" i="10"/>
  <c r="D3183" i="10"/>
  <c r="E3182" i="10"/>
  <c r="D3182" i="10"/>
  <c r="E3181" i="10"/>
  <c r="D3181" i="10"/>
  <c r="E3180" i="10"/>
  <c r="D3180" i="10"/>
  <c r="E3179" i="10"/>
  <c r="D3179" i="10"/>
  <c r="E3178" i="10"/>
  <c r="D3178" i="10"/>
  <c r="E3177" i="10"/>
  <c r="D3177" i="10"/>
  <c r="E3176" i="10"/>
  <c r="D3176" i="10"/>
  <c r="E3175" i="10"/>
  <c r="D3175" i="10"/>
  <c r="E3174" i="10"/>
  <c r="D3174" i="10"/>
  <c r="E3173" i="10"/>
  <c r="D3173" i="10"/>
  <c r="E3172" i="10"/>
  <c r="D3172" i="10"/>
  <c r="E3171" i="10"/>
  <c r="D3171" i="10"/>
  <c r="E3170" i="10"/>
  <c r="D3170" i="10"/>
  <c r="E3169" i="10"/>
  <c r="D3169" i="10"/>
  <c r="E3168" i="10"/>
  <c r="D3168" i="10"/>
  <c r="E3167" i="10"/>
  <c r="D3167" i="10"/>
  <c r="E3166" i="10"/>
  <c r="D3166" i="10"/>
  <c r="E3165" i="10"/>
  <c r="D3165" i="10"/>
  <c r="E3164" i="10"/>
  <c r="D3164" i="10"/>
  <c r="E3163" i="10"/>
  <c r="D3163" i="10"/>
  <c r="E3162" i="10"/>
  <c r="D3162" i="10"/>
  <c r="E3161" i="10"/>
  <c r="D3161" i="10"/>
  <c r="E3160" i="10"/>
  <c r="D3160" i="10"/>
  <c r="E3159" i="10"/>
  <c r="D3159" i="10"/>
  <c r="E3158" i="10"/>
  <c r="D3158" i="10"/>
  <c r="E3157" i="10"/>
  <c r="D3157" i="10"/>
  <c r="E3156" i="10"/>
  <c r="D3156" i="10"/>
  <c r="E3155" i="10"/>
  <c r="D3155" i="10"/>
  <c r="E3154" i="10"/>
  <c r="D3154" i="10"/>
  <c r="E3153" i="10"/>
  <c r="D3153" i="10"/>
  <c r="E3152" i="10"/>
  <c r="D3152" i="10"/>
  <c r="E3151" i="10"/>
  <c r="D3151" i="10"/>
  <c r="E3150" i="10"/>
  <c r="D3150" i="10"/>
  <c r="E3149" i="10"/>
  <c r="D3149" i="10"/>
  <c r="E3148" i="10"/>
  <c r="D3148" i="10"/>
  <c r="E3147" i="10"/>
  <c r="D3147" i="10"/>
  <c r="E3146" i="10"/>
  <c r="D3146" i="10"/>
  <c r="E3145" i="10"/>
  <c r="D3145" i="10"/>
  <c r="E3144" i="10"/>
  <c r="D3144" i="10"/>
  <c r="E3143" i="10"/>
  <c r="D3143" i="10"/>
  <c r="E3142" i="10"/>
  <c r="D3142" i="10"/>
  <c r="E3141" i="10"/>
  <c r="D3141" i="10"/>
  <c r="E3140" i="10"/>
  <c r="D3140" i="10"/>
  <c r="E3139" i="10"/>
  <c r="D3139" i="10"/>
  <c r="E3138" i="10"/>
  <c r="D3138" i="10"/>
  <c r="E3137" i="10"/>
  <c r="D3137" i="10"/>
  <c r="E3136" i="10"/>
  <c r="D3136" i="10"/>
  <c r="E3135" i="10"/>
  <c r="D3135" i="10"/>
  <c r="E3134" i="10"/>
  <c r="D3134" i="10"/>
  <c r="E3133" i="10"/>
  <c r="D3133" i="10"/>
  <c r="E3132" i="10"/>
  <c r="D3132" i="10"/>
  <c r="E3131" i="10"/>
  <c r="D3131" i="10"/>
  <c r="E3130" i="10"/>
  <c r="D3130" i="10"/>
  <c r="E3129" i="10"/>
  <c r="D3129" i="10"/>
  <c r="E3128" i="10"/>
  <c r="D3128" i="10"/>
  <c r="E3127" i="10"/>
  <c r="D3127" i="10"/>
  <c r="E3126" i="10"/>
  <c r="D3126" i="10"/>
  <c r="E3125" i="10"/>
  <c r="D3125" i="10"/>
  <c r="E3124" i="10"/>
  <c r="D3124" i="10"/>
  <c r="E3123" i="10"/>
  <c r="D3123" i="10"/>
  <c r="E3122" i="10"/>
  <c r="D3122" i="10"/>
  <c r="E3121" i="10"/>
  <c r="D3121" i="10"/>
  <c r="E3120" i="10"/>
  <c r="D3120" i="10"/>
  <c r="E3119" i="10"/>
  <c r="D3119" i="10"/>
  <c r="E3118" i="10"/>
  <c r="D3118" i="10"/>
  <c r="E3117" i="10"/>
  <c r="D3117" i="10"/>
  <c r="E3116" i="10"/>
  <c r="D3116" i="10"/>
  <c r="E3115" i="10"/>
  <c r="D3115" i="10"/>
  <c r="E3114" i="10"/>
  <c r="D3114" i="10"/>
  <c r="E3113" i="10"/>
  <c r="D3113" i="10"/>
  <c r="E3112" i="10"/>
  <c r="D3112" i="10"/>
  <c r="E3111" i="10"/>
  <c r="D3111" i="10"/>
  <c r="E3110" i="10"/>
  <c r="D3110" i="10"/>
  <c r="E3109" i="10"/>
  <c r="D3109" i="10"/>
  <c r="E3108" i="10"/>
  <c r="D3108" i="10"/>
  <c r="E3107" i="10"/>
  <c r="D3107" i="10"/>
  <c r="E3106" i="10"/>
  <c r="D3106" i="10"/>
  <c r="E3105" i="10"/>
  <c r="D3105" i="10"/>
  <c r="E3104" i="10"/>
  <c r="D3104" i="10"/>
  <c r="E3103" i="10"/>
  <c r="D3103" i="10"/>
  <c r="E3102" i="10"/>
  <c r="D3102" i="10"/>
  <c r="E3101" i="10"/>
  <c r="D3101" i="10"/>
  <c r="E3100" i="10"/>
  <c r="D3100" i="10"/>
  <c r="E3099" i="10"/>
  <c r="D3099" i="10"/>
  <c r="E3098" i="10"/>
  <c r="D3098" i="10"/>
  <c r="E3097" i="10"/>
  <c r="D3097" i="10"/>
  <c r="E3096" i="10"/>
  <c r="D3096" i="10"/>
  <c r="E3095" i="10"/>
  <c r="D3095" i="10"/>
  <c r="E3094" i="10"/>
  <c r="D3094" i="10"/>
  <c r="E3093" i="10"/>
  <c r="D3093" i="10"/>
  <c r="E3092" i="10"/>
  <c r="D3092" i="10"/>
  <c r="E3091" i="10"/>
  <c r="D3091" i="10"/>
  <c r="E3090" i="10"/>
  <c r="D3090" i="10"/>
  <c r="E3089" i="10"/>
  <c r="D3089" i="10"/>
  <c r="E3088" i="10"/>
  <c r="D3088" i="10"/>
  <c r="E3087" i="10"/>
  <c r="D3087" i="10"/>
  <c r="E3086" i="10"/>
  <c r="D3086" i="10"/>
  <c r="E3085" i="10"/>
  <c r="D3085" i="10"/>
  <c r="E3084" i="10"/>
  <c r="D3084" i="10"/>
  <c r="E3083" i="10"/>
  <c r="D3083" i="10"/>
  <c r="E3082" i="10"/>
  <c r="D3082" i="10"/>
  <c r="E3081" i="10"/>
  <c r="D3081" i="10"/>
  <c r="E3080" i="10"/>
  <c r="D3080" i="10"/>
  <c r="E3079" i="10"/>
  <c r="D3079" i="10"/>
  <c r="E3078" i="10"/>
  <c r="D3078" i="10"/>
  <c r="E3077" i="10"/>
  <c r="D3077" i="10"/>
  <c r="E3076" i="10"/>
  <c r="D3076" i="10"/>
  <c r="E3075" i="10"/>
  <c r="D3075" i="10"/>
  <c r="E3074" i="10"/>
  <c r="D3074" i="10"/>
  <c r="E3073" i="10"/>
  <c r="D3073" i="10"/>
  <c r="E3072" i="10"/>
  <c r="D3072" i="10"/>
  <c r="E3071" i="10"/>
  <c r="D3071" i="10"/>
  <c r="E3070" i="10"/>
  <c r="D3070" i="10"/>
  <c r="E3069" i="10"/>
  <c r="D3069" i="10"/>
  <c r="E3068" i="10"/>
  <c r="D3068" i="10"/>
  <c r="E3067" i="10"/>
  <c r="D3067" i="10"/>
  <c r="E3066" i="10"/>
  <c r="D3066" i="10"/>
  <c r="E3065" i="10"/>
  <c r="D3065" i="10"/>
  <c r="E3064" i="10"/>
  <c r="D3064" i="10"/>
  <c r="E3063" i="10"/>
  <c r="D3063" i="10"/>
  <c r="E3062" i="10"/>
  <c r="D3062" i="10"/>
  <c r="E3061" i="10"/>
  <c r="D3061" i="10"/>
  <c r="E3060" i="10"/>
  <c r="D3060" i="10"/>
  <c r="E3059" i="10"/>
  <c r="D3059" i="10"/>
  <c r="E3058" i="10"/>
  <c r="D3058" i="10"/>
  <c r="E3057" i="10"/>
  <c r="D3057" i="10"/>
  <c r="E3056" i="10"/>
  <c r="D3056" i="10"/>
  <c r="E3055" i="10"/>
  <c r="D3055" i="10"/>
  <c r="E3054" i="10"/>
  <c r="D3054" i="10"/>
  <c r="E3053" i="10"/>
  <c r="D3053" i="10"/>
  <c r="E3052" i="10"/>
  <c r="D3052" i="10"/>
  <c r="E3051" i="10"/>
  <c r="D3051" i="10"/>
  <c r="E3050" i="10"/>
  <c r="D3050" i="10"/>
  <c r="E3049" i="10"/>
  <c r="D3049" i="10"/>
  <c r="E3048" i="10"/>
  <c r="D3048" i="10"/>
  <c r="E3047" i="10"/>
  <c r="D3047" i="10"/>
  <c r="E3046" i="10"/>
  <c r="D3046" i="10"/>
  <c r="E3045" i="10"/>
  <c r="D3045" i="10"/>
  <c r="E3044" i="10"/>
  <c r="D3044" i="10"/>
  <c r="E3043" i="10"/>
  <c r="D3043" i="10"/>
  <c r="E3042" i="10"/>
  <c r="D3042" i="10"/>
  <c r="E3041" i="10"/>
  <c r="D3041" i="10"/>
  <c r="E3040" i="10"/>
  <c r="D3040" i="10"/>
  <c r="E3039" i="10"/>
  <c r="D3039" i="10"/>
  <c r="E3038" i="10"/>
  <c r="D3038" i="10"/>
  <c r="E3037" i="10"/>
  <c r="D3037" i="10"/>
  <c r="E3036" i="10"/>
  <c r="D3036" i="10"/>
  <c r="E3035" i="10"/>
  <c r="D3035" i="10"/>
  <c r="E3034" i="10"/>
  <c r="D3034" i="10"/>
  <c r="E3033" i="10"/>
  <c r="D3033" i="10"/>
  <c r="E3032" i="10"/>
  <c r="D3032" i="10"/>
  <c r="E3031" i="10"/>
  <c r="D3031" i="10"/>
  <c r="E3030" i="10"/>
  <c r="D3030" i="10"/>
  <c r="E3029" i="10"/>
  <c r="D3029" i="10"/>
  <c r="E3028" i="10"/>
  <c r="D3028" i="10"/>
  <c r="E3027" i="10"/>
  <c r="D3027" i="10"/>
  <c r="E3026" i="10"/>
  <c r="D3026" i="10"/>
  <c r="E3025" i="10"/>
  <c r="D3025" i="10"/>
  <c r="E3024" i="10"/>
  <c r="D3024" i="10"/>
  <c r="E3023" i="10"/>
  <c r="D3023" i="10"/>
  <c r="E3022" i="10"/>
  <c r="D3022" i="10"/>
  <c r="E3021" i="10"/>
  <c r="D3021" i="10"/>
  <c r="E3020" i="10"/>
  <c r="D3020" i="10"/>
  <c r="E3019" i="10"/>
  <c r="D3019" i="10"/>
  <c r="E3018" i="10"/>
  <c r="D3018" i="10"/>
  <c r="E3017" i="10"/>
  <c r="D3017" i="10"/>
  <c r="E3016" i="10"/>
  <c r="D3016" i="10"/>
  <c r="E3015" i="10"/>
  <c r="D3015" i="10"/>
  <c r="E3014" i="10"/>
  <c r="D3014" i="10"/>
  <c r="E3013" i="10"/>
  <c r="D3013" i="10"/>
  <c r="E3012" i="10"/>
  <c r="D3012" i="10"/>
  <c r="E3011" i="10"/>
  <c r="D3011" i="10"/>
  <c r="E3010" i="10"/>
  <c r="D3010" i="10"/>
  <c r="E3009" i="10"/>
  <c r="D3009" i="10"/>
  <c r="E3008" i="10"/>
  <c r="D3008" i="10"/>
  <c r="E3007" i="10"/>
  <c r="D3007" i="10"/>
  <c r="E3006" i="10"/>
  <c r="D3006" i="10"/>
  <c r="E3005" i="10"/>
  <c r="D3005" i="10"/>
  <c r="E3004" i="10"/>
  <c r="D3004" i="10"/>
  <c r="E3003" i="10"/>
  <c r="D3003" i="10"/>
  <c r="E3002" i="10"/>
  <c r="D3002" i="10"/>
  <c r="E3001" i="10"/>
  <c r="D3001" i="10"/>
  <c r="E3000" i="10"/>
  <c r="D3000" i="10"/>
  <c r="E2999" i="10"/>
  <c r="D2999" i="10"/>
  <c r="E2998" i="10"/>
  <c r="D2998" i="10"/>
  <c r="E2997" i="10"/>
  <c r="D2997" i="10"/>
  <c r="E2996" i="10"/>
  <c r="D2996" i="10"/>
  <c r="E2995" i="10"/>
  <c r="D2995" i="10"/>
  <c r="E2994" i="10"/>
  <c r="D2994" i="10"/>
  <c r="E2993" i="10"/>
  <c r="D2993" i="10"/>
  <c r="E2992" i="10"/>
  <c r="D2992" i="10"/>
  <c r="E2991" i="10"/>
  <c r="D2991" i="10"/>
  <c r="E2990" i="10"/>
  <c r="D2990" i="10"/>
  <c r="E2989" i="10"/>
  <c r="D2989" i="10"/>
  <c r="E2988" i="10"/>
  <c r="D2988" i="10"/>
  <c r="E2987" i="10"/>
  <c r="D2987" i="10"/>
  <c r="E2986" i="10"/>
  <c r="D2986" i="10"/>
  <c r="E2985" i="10"/>
  <c r="D2985" i="10"/>
  <c r="E2984" i="10"/>
  <c r="D2984" i="10"/>
  <c r="E2983" i="10"/>
  <c r="D2983" i="10"/>
  <c r="E2982" i="10"/>
  <c r="D2982" i="10"/>
  <c r="E2981" i="10"/>
  <c r="D2981" i="10"/>
  <c r="E2980" i="10"/>
  <c r="D2980" i="10"/>
  <c r="E2979" i="10"/>
  <c r="D2979" i="10"/>
  <c r="E2978" i="10"/>
  <c r="D2978" i="10"/>
  <c r="E2977" i="10"/>
  <c r="D2977" i="10"/>
  <c r="E2976" i="10"/>
  <c r="D2976" i="10"/>
  <c r="E2975" i="10"/>
  <c r="D2975" i="10"/>
  <c r="E2974" i="10"/>
  <c r="D2974" i="10"/>
  <c r="E2973" i="10"/>
  <c r="D2973" i="10"/>
  <c r="E2972" i="10"/>
  <c r="D2972" i="10"/>
  <c r="E2971" i="10"/>
  <c r="D2971" i="10"/>
  <c r="E2970" i="10"/>
  <c r="D2970" i="10"/>
  <c r="E2969" i="10"/>
  <c r="D2969" i="10"/>
  <c r="E2968" i="10"/>
  <c r="D2968" i="10"/>
  <c r="E2967" i="10"/>
  <c r="D2967" i="10"/>
  <c r="E2966" i="10"/>
  <c r="D2966" i="10"/>
  <c r="E2965" i="10"/>
  <c r="D2965" i="10"/>
  <c r="E2964" i="10"/>
  <c r="D2964" i="10"/>
  <c r="E2963" i="10"/>
  <c r="D2963" i="10"/>
  <c r="E2962" i="10"/>
  <c r="D2962" i="10"/>
  <c r="E2961" i="10"/>
  <c r="D2961" i="10"/>
  <c r="E2960" i="10"/>
  <c r="D2960" i="10"/>
  <c r="E2959" i="10"/>
  <c r="D2959" i="10"/>
  <c r="E2958" i="10"/>
  <c r="D2958" i="10"/>
  <c r="E2957" i="10"/>
  <c r="D2957" i="10"/>
  <c r="E2956" i="10"/>
  <c r="D2956" i="10"/>
  <c r="E2955" i="10"/>
  <c r="D2955" i="10"/>
  <c r="E2954" i="10"/>
  <c r="D2954" i="10"/>
  <c r="E2953" i="10"/>
  <c r="D2953" i="10"/>
  <c r="E2952" i="10"/>
  <c r="D2952" i="10"/>
  <c r="E2951" i="10"/>
  <c r="D2951" i="10"/>
  <c r="E2950" i="10"/>
  <c r="D2950" i="10"/>
  <c r="E2949" i="10"/>
  <c r="D2949" i="10"/>
  <c r="E2948" i="10"/>
  <c r="D2948" i="10"/>
  <c r="E2947" i="10"/>
  <c r="D2947" i="10"/>
  <c r="E2946" i="10"/>
  <c r="D2946" i="10"/>
  <c r="E2945" i="10"/>
  <c r="D2945" i="10"/>
  <c r="E2944" i="10"/>
  <c r="D2944" i="10"/>
  <c r="E2943" i="10"/>
  <c r="D2943" i="10"/>
  <c r="E2942" i="10"/>
  <c r="D2942" i="10"/>
  <c r="E2941" i="10"/>
  <c r="D2941" i="10"/>
  <c r="E2940" i="10"/>
  <c r="D2940" i="10"/>
  <c r="E2939" i="10"/>
  <c r="D2939" i="10"/>
  <c r="E2938" i="10"/>
  <c r="D2938" i="10"/>
  <c r="E2937" i="10"/>
  <c r="D2937" i="10"/>
  <c r="E2936" i="10"/>
  <c r="D2936" i="10"/>
  <c r="E2935" i="10"/>
  <c r="D2935" i="10"/>
  <c r="E2934" i="10"/>
  <c r="D2934" i="10"/>
  <c r="E2933" i="10"/>
  <c r="D2933" i="10"/>
  <c r="E2932" i="10"/>
  <c r="D2932" i="10"/>
  <c r="E2931" i="10"/>
  <c r="D2931" i="10"/>
  <c r="E2930" i="10"/>
  <c r="D2930" i="10"/>
  <c r="E2929" i="10"/>
  <c r="D2929" i="10"/>
  <c r="E2928" i="10"/>
  <c r="D2928" i="10"/>
  <c r="E2927" i="10"/>
  <c r="D2927" i="10"/>
  <c r="E2926" i="10"/>
  <c r="D2926" i="10"/>
  <c r="E2925" i="10"/>
  <c r="D2925" i="10"/>
  <c r="E2924" i="10"/>
  <c r="D2924" i="10"/>
  <c r="E2923" i="10"/>
  <c r="D2923" i="10"/>
  <c r="E2922" i="10"/>
  <c r="D2922" i="10"/>
  <c r="E2921" i="10"/>
  <c r="D2921" i="10"/>
  <c r="E2920" i="10"/>
  <c r="D2920" i="10"/>
  <c r="E2919" i="10"/>
  <c r="D2919" i="10"/>
  <c r="E2918" i="10"/>
  <c r="D2918" i="10"/>
  <c r="E2917" i="10"/>
  <c r="D2917" i="10"/>
  <c r="E2916" i="10"/>
  <c r="D2916" i="10"/>
  <c r="E2915" i="10"/>
  <c r="D2915" i="10"/>
  <c r="E2914" i="10"/>
  <c r="D2914" i="10"/>
  <c r="E2913" i="10"/>
  <c r="D2913" i="10"/>
  <c r="E2912" i="10"/>
  <c r="D2912" i="10"/>
  <c r="E2911" i="10"/>
  <c r="D2911" i="10"/>
  <c r="E2910" i="10"/>
  <c r="D2910" i="10"/>
  <c r="E2909" i="10"/>
  <c r="D2909" i="10"/>
  <c r="E2908" i="10"/>
  <c r="D2908" i="10"/>
  <c r="E2907" i="10"/>
  <c r="D2907" i="10"/>
  <c r="E2906" i="10"/>
  <c r="D2906" i="10"/>
  <c r="E2905" i="10"/>
  <c r="D2905" i="10"/>
  <c r="E2904" i="10"/>
  <c r="D2904" i="10"/>
  <c r="E2903" i="10"/>
  <c r="D2903" i="10"/>
  <c r="E2902" i="10"/>
  <c r="D2902" i="10"/>
  <c r="E2901" i="10"/>
  <c r="D2901" i="10"/>
  <c r="E2900" i="10"/>
  <c r="D2900" i="10"/>
  <c r="E2899" i="10"/>
  <c r="D2899" i="10"/>
  <c r="E2898" i="10"/>
  <c r="D2898" i="10"/>
  <c r="E2897" i="10"/>
  <c r="D2897" i="10"/>
  <c r="E2896" i="10"/>
  <c r="D2896" i="10"/>
  <c r="E2895" i="10"/>
  <c r="D2895" i="10"/>
  <c r="E2894" i="10"/>
  <c r="D2894" i="10"/>
  <c r="E2893" i="10"/>
  <c r="D2893" i="10"/>
  <c r="E2892" i="10"/>
  <c r="D2892" i="10"/>
  <c r="E2891" i="10"/>
  <c r="D2891" i="10"/>
  <c r="E2890" i="10"/>
  <c r="D2890" i="10"/>
  <c r="E2889" i="10"/>
  <c r="D2889" i="10"/>
  <c r="E2888" i="10"/>
  <c r="D2888" i="10"/>
  <c r="E2887" i="10"/>
  <c r="D2887" i="10"/>
  <c r="E2886" i="10"/>
  <c r="D2886" i="10"/>
  <c r="E2885" i="10"/>
  <c r="D2885" i="10"/>
  <c r="E2884" i="10"/>
  <c r="D2884" i="10"/>
  <c r="E2883" i="10"/>
  <c r="D2883" i="10"/>
  <c r="E2882" i="10"/>
  <c r="D2882" i="10"/>
  <c r="E2881" i="10"/>
  <c r="D2881" i="10"/>
  <c r="E2880" i="10"/>
  <c r="D2880" i="10"/>
  <c r="E2879" i="10"/>
  <c r="D2879" i="10"/>
  <c r="E2878" i="10"/>
  <c r="D2878" i="10"/>
  <c r="E2877" i="10"/>
  <c r="D2877" i="10"/>
  <c r="E2876" i="10"/>
  <c r="D2876" i="10"/>
  <c r="E2875" i="10"/>
  <c r="D2875" i="10"/>
  <c r="E2874" i="10"/>
  <c r="D2874" i="10"/>
  <c r="E2873" i="10"/>
  <c r="D2873" i="10"/>
  <c r="E2872" i="10"/>
  <c r="D2872" i="10"/>
  <c r="E2871" i="10"/>
  <c r="D2871" i="10"/>
  <c r="E2870" i="10"/>
  <c r="D2870" i="10"/>
  <c r="E2869" i="10"/>
  <c r="D2869" i="10"/>
  <c r="E2868" i="10"/>
  <c r="D2868" i="10"/>
  <c r="E2867" i="10"/>
  <c r="D2867" i="10"/>
  <c r="E2866" i="10"/>
  <c r="D2866" i="10"/>
  <c r="E2865" i="10"/>
  <c r="D2865" i="10"/>
  <c r="E2864" i="10"/>
  <c r="D2864" i="10"/>
  <c r="E2863" i="10"/>
  <c r="D2863" i="10"/>
  <c r="E2862" i="10"/>
  <c r="D2862" i="10"/>
  <c r="E2861" i="10"/>
  <c r="D2861" i="10"/>
  <c r="E2860" i="10"/>
  <c r="D2860" i="10"/>
  <c r="E2859" i="10"/>
  <c r="D2859" i="10"/>
  <c r="E2858" i="10"/>
  <c r="D2858" i="10"/>
  <c r="E2857" i="10"/>
  <c r="D2857" i="10"/>
  <c r="E2856" i="10"/>
  <c r="D2856" i="10"/>
  <c r="E2855" i="10"/>
  <c r="D2855" i="10"/>
  <c r="E2854" i="10"/>
  <c r="D2854" i="10"/>
  <c r="E2853" i="10"/>
  <c r="D2853" i="10"/>
  <c r="E2852" i="10"/>
  <c r="D2852" i="10"/>
  <c r="E2851" i="10"/>
  <c r="D2851" i="10"/>
  <c r="E2850" i="10"/>
  <c r="D2850" i="10"/>
  <c r="E2849" i="10"/>
  <c r="D2849" i="10"/>
  <c r="E2848" i="10"/>
  <c r="D2848" i="10"/>
  <c r="E2847" i="10"/>
  <c r="D2847" i="10"/>
  <c r="E2846" i="10"/>
  <c r="D2846" i="10"/>
  <c r="E2845" i="10"/>
  <c r="D2845" i="10"/>
  <c r="E2844" i="10"/>
  <c r="D2844" i="10"/>
  <c r="E2843" i="10"/>
  <c r="D2843" i="10"/>
  <c r="E2842" i="10"/>
  <c r="D2842" i="10"/>
  <c r="E2841" i="10"/>
  <c r="D2841" i="10"/>
  <c r="E2840" i="10"/>
  <c r="D2840" i="10"/>
  <c r="E2839" i="10"/>
  <c r="D2839" i="10"/>
  <c r="E2838" i="10"/>
  <c r="D2838" i="10"/>
  <c r="E2837" i="10"/>
  <c r="D2837" i="10"/>
  <c r="E2836" i="10"/>
  <c r="D2836" i="10"/>
  <c r="E2835" i="10"/>
  <c r="D2835" i="10"/>
  <c r="E2834" i="10"/>
  <c r="D2834" i="10"/>
  <c r="E2833" i="10"/>
  <c r="D2833" i="10"/>
  <c r="E2832" i="10"/>
  <c r="D2832" i="10"/>
  <c r="E2831" i="10"/>
  <c r="D2831" i="10"/>
  <c r="E2830" i="10"/>
  <c r="D2830" i="10"/>
  <c r="E2829" i="10"/>
  <c r="D2829" i="10"/>
  <c r="E2828" i="10"/>
  <c r="D2828" i="10"/>
  <c r="E2827" i="10"/>
  <c r="D2827" i="10"/>
  <c r="E2826" i="10"/>
  <c r="D2826" i="10"/>
  <c r="E2825" i="10"/>
  <c r="D2825" i="10"/>
  <c r="E2824" i="10"/>
  <c r="D2824" i="10"/>
  <c r="E2823" i="10"/>
  <c r="D2823" i="10"/>
  <c r="E2822" i="10"/>
  <c r="D2822" i="10"/>
  <c r="E2821" i="10"/>
  <c r="D2821" i="10"/>
  <c r="E2820" i="10"/>
  <c r="D2820" i="10"/>
  <c r="E2819" i="10"/>
  <c r="D2819" i="10"/>
  <c r="E2818" i="10"/>
  <c r="D2818" i="10"/>
  <c r="E2817" i="10"/>
  <c r="D2817" i="10"/>
  <c r="E2816" i="10"/>
  <c r="D2816" i="10"/>
  <c r="E2815" i="10"/>
  <c r="D2815" i="10"/>
  <c r="E2814" i="10"/>
  <c r="D2814" i="10"/>
  <c r="E2813" i="10"/>
  <c r="D2813" i="10"/>
  <c r="E2812" i="10"/>
  <c r="D2812" i="10"/>
  <c r="E2811" i="10"/>
  <c r="D2811" i="10"/>
  <c r="E2810" i="10"/>
  <c r="D2810" i="10"/>
  <c r="E2809" i="10"/>
  <c r="D2809" i="10"/>
  <c r="E2808" i="10"/>
  <c r="D2808" i="10"/>
  <c r="E2807" i="10"/>
  <c r="D2807" i="10"/>
  <c r="E2806" i="10"/>
  <c r="D2806" i="10"/>
  <c r="E2805" i="10"/>
  <c r="D2805" i="10"/>
  <c r="E2804" i="10"/>
  <c r="D2804" i="10"/>
  <c r="E2803" i="10"/>
  <c r="D2803" i="10"/>
  <c r="E2802" i="10"/>
  <c r="D2802" i="10"/>
  <c r="E2801" i="10"/>
  <c r="D2801" i="10"/>
  <c r="E2800" i="10"/>
  <c r="D2800" i="10"/>
  <c r="E2799" i="10"/>
  <c r="D2799" i="10"/>
  <c r="E2798" i="10"/>
  <c r="D2798" i="10"/>
  <c r="E2797" i="10"/>
  <c r="D2797" i="10"/>
  <c r="E2796" i="10"/>
  <c r="D2796" i="10"/>
  <c r="E2795" i="10"/>
  <c r="D2795" i="10"/>
  <c r="E2794" i="10"/>
  <c r="D2794" i="10"/>
  <c r="E2793" i="10"/>
  <c r="D2793" i="10"/>
  <c r="E2792" i="10"/>
  <c r="D2792" i="10"/>
  <c r="E2791" i="10"/>
  <c r="D2791" i="10"/>
  <c r="E2790" i="10"/>
  <c r="D2790" i="10"/>
  <c r="E2789" i="10"/>
  <c r="D2789" i="10"/>
  <c r="E2788" i="10"/>
  <c r="D2788" i="10"/>
  <c r="E2787" i="10"/>
  <c r="D2787" i="10"/>
  <c r="E2786" i="10"/>
  <c r="D2786" i="10"/>
  <c r="E2785" i="10"/>
  <c r="D2785" i="10"/>
  <c r="E2784" i="10"/>
  <c r="D2784" i="10"/>
  <c r="E2783" i="10"/>
  <c r="D2783" i="10"/>
  <c r="E2782" i="10"/>
  <c r="D2782" i="10"/>
  <c r="E2781" i="10"/>
  <c r="D2781" i="10"/>
  <c r="E2780" i="10"/>
  <c r="D2780" i="10"/>
  <c r="E2779" i="10"/>
  <c r="D2779" i="10"/>
  <c r="E2778" i="10"/>
  <c r="D2778" i="10"/>
  <c r="E2777" i="10"/>
  <c r="D2777" i="10"/>
  <c r="E2776" i="10"/>
  <c r="D2776" i="10"/>
  <c r="E2775" i="10"/>
  <c r="D2775" i="10"/>
  <c r="E2774" i="10"/>
  <c r="D2774" i="10"/>
  <c r="E2773" i="10"/>
  <c r="D2773" i="10"/>
  <c r="E2772" i="10"/>
  <c r="D2772" i="10"/>
  <c r="E2771" i="10"/>
  <c r="D2771" i="10"/>
  <c r="E2770" i="10"/>
  <c r="D2770" i="10"/>
  <c r="E2769" i="10"/>
  <c r="D2769" i="10"/>
  <c r="E2768" i="10"/>
  <c r="D2768" i="10"/>
  <c r="E2767" i="10"/>
  <c r="D2767" i="10"/>
  <c r="E2766" i="10"/>
  <c r="D2766" i="10"/>
  <c r="E2765" i="10"/>
  <c r="D2765" i="10"/>
  <c r="E2764" i="10"/>
  <c r="D2764" i="10"/>
  <c r="E2763" i="10"/>
  <c r="D2763" i="10"/>
  <c r="E2762" i="10"/>
  <c r="D2762" i="10"/>
  <c r="E2761" i="10"/>
  <c r="D2761" i="10"/>
  <c r="E2760" i="10"/>
  <c r="D2760" i="10"/>
  <c r="E2759" i="10"/>
  <c r="D2759" i="10"/>
  <c r="E2758" i="10"/>
  <c r="D2758" i="10"/>
  <c r="E2757" i="10"/>
  <c r="D2757" i="10"/>
  <c r="E2756" i="10"/>
  <c r="D2756" i="10"/>
  <c r="E2755" i="10"/>
  <c r="D2755" i="10"/>
  <c r="E2754" i="10"/>
  <c r="D2754" i="10"/>
  <c r="E2753" i="10"/>
  <c r="D2753" i="10"/>
  <c r="E2752" i="10"/>
  <c r="D2752" i="10"/>
  <c r="E2751" i="10"/>
  <c r="D2751" i="10"/>
  <c r="E2750" i="10"/>
  <c r="D2750" i="10"/>
  <c r="E2749" i="10"/>
  <c r="D2749" i="10"/>
  <c r="E2748" i="10"/>
  <c r="D2748" i="10"/>
  <c r="E2747" i="10"/>
  <c r="D2747" i="10"/>
  <c r="E2746" i="10"/>
  <c r="D2746" i="10"/>
  <c r="E2745" i="10"/>
  <c r="D2745" i="10"/>
  <c r="E2744" i="10"/>
  <c r="D2744" i="10"/>
  <c r="E2743" i="10"/>
  <c r="D2743" i="10"/>
  <c r="E2742" i="10"/>
  <c r="D2742" i="10"/>
  <c r="E2741" i="10"/>
  <c r="D2741" i="10"/>
  <c r="E2740" i="10"/>
  <c r="D2740" i="10"/>
  <c r="E2739" i="10"/>
  <c r="D2739" i="10"/>
  <c r="E2738" i="10"/>
  <c r="D2738" i="10"/>
  <c r="E2737" i="10"/>
  <c r="D2737" i="10"/>
  <c r="E2736" i="10"/>
  <c r="D2736" i="10"/>
  <c r="E2735" i="10"/>
  <c r="D2735" i="10"/>
  <c r="E2734" i="10"/>
  <c r="D2734" i="10"/>
  <c r="E2733" i="10"/>
  <c r="D2733" i="10"/>
  <c r="E2732" i="10"/>
  <c r="D2732" i="10"/>
  <c r="E2731" i="10"/>
  <c r="D2731" i="10"/>
  <c r="E2730" i="10"/>
  <c r="D2730" i="10"/>
  <c r="E2729" i="10"/>
  <c r="D2729" i="10"/>
  <c r="E2728" i="10"/>
  <c r="D2728" i="10"/>
  <c r="E2727" i="10"/>
  <c r="D2727" i="10"/>
  <c r="E2726" i="10"/>
  <c r="D2726" i="10"/>
  <c r="E2725" i="10"/>
  <c r="D2725" i="10"/>
  <c r="E2724" i="10"/>
  <c r="D2724" i="10"/>
  <c r="E2723" i="10"/>
  <c r="D2723" i="10"/>
  <c r="E2722" i="10"/>
  <c r="D2722" i="10"/>
  <c r="E2721" i="10"/>
  <c r="D2721" i="10"/>
  <c r="E2720" i="10"/>
  <c r="D2720" i="10"/>
  <c r="E2719" i="10"/>
  <c r="D2719" i="10"/>
  <c r="E2718" i="10"/>
  <c r="D2718" i="10"/>
  <c r="E2717" i="10"/>
  <c r="D2717" i="10"/>
  <c r="E2716" i="10"/>
  <c r="D2716" i="10"/>
  <c r="E2715" i="10"/>
  <c r="D2715" i="10"/>
  <c r="E2714" i="10"/>
  <c r="D2714" i="10"/>
  <c r="E2713" i="10"/>
  <c r="D2713" i="10"/>
  <c r="E2712" i="10"/>
  <c r="D2712" i="10"/>
  <c r="E2711" i="10"/>
  <c r="D2711" i="10"/>
  <c r="E2710" i="10"/>
  <c r="D2710" i="10"/>
  <c r="E2709" i="10"/>
  <c r="D2709" i="10"/>
  <c r="E2708" i="10"/>
  <c r="D2708" i="10"/>
  <c r="E2707" i="10"/>
  <c r="D2707" i="10"/>
  <c r="E2706" i="10"/>
  <c r="D2706" i="10"/>
  <c r="E2705" i="10"/>
  <c r="D2705" i="10"/>
  <c r="E2704" i="10"/>
  <c r="D2704" i="10"/>
  <c r="E2703" i="10"/>
  <c r="D2703" i="10"/>
  <c r="E2702" i="10"/>
  <c r="D2702" i="10"/>
  <c r="E2701" i="10"/>
  <c r="D2701" i="10"/>
  <c r="E2700" i="10"/>
  <c r="D2700" i="10"/>
  <c r="E2699" i="10"/>
  <c r="D2699" i="10"/>
  <c r="E2698" i="10"/>
  <c r="D2698" i="10"/>
  <c r="E2697" i="10"/>
  <c r="D2697" i="10"/>
  <c r="E2696" i="10"/>
  <c r="D2696" i="10"/>
  <c r="E2695" i="10"/>
  <c r="D2695" i="10"/>
  <c r="E2694" i="10"/>
  <c r="D2694" i="10"/>
  <c r="E2693" i="10"/>
  <c r="D2693" i="10"/>
  <c r="E2692" i="10"/>
  <c r="D2692" i="10"/>
  <c r="E2691" i="10"/>
  <c r="D2691" i="10"/>
  <c r="E2690" i="10"/>
  <c r="D2690" i="10"/>
  <c r="E2689" i="10"/>
  <c r="D2689" i="10"/>
  <c r="E2688" i="10"/>
  <c r="D2688" i="10"/>
  <c r="E2687" i="10"/>
  <c r="D2687" i="10"/>
  <c r="E2686" i="10"/>
  <c r="D2686" i="10"/>
  <c r="E2685" i="10"/>
  <c r="D2685" i="10"/>
  <c r="E2684" i="10"/>
  <c r="D2684" i="10"/>
  <c r="E2683" i="10"/>
  <c r="D2683" i="10"/>
  <c r="E2682" i="10"/>
  <c r="D2682" i="10"/>
  <c r="E2681" i="10"/>
  <c r="D2681" i="10"/>
  <c r="E2680" i="10"/>
  <c r="D2680" i="10"/>
  <c r="E2679" i="10"/>
  <c r="D2679" i="10"/>
  <c r="E2678" i="10"/>
  <c r="D2678" i="10"/>
  <c r="E2677" i="10"/>
  <c r="D2677" i="10"/>
  <c r="E2676" i="10"/>
  <c r="D2676" i="10"/>
  <c r="E2675" i="10"/>
  <c r="D2675" i="10"/>
  <c r="E2674" i="10"/>
  <c r="D2674" i="10"/>
  <c r="E2673" i="10"/>
  <c r="D2673" i="10"/>
  <c r="E2672" i="10"/>
  <c r="D2672" i="10"/>
  <c r="E2671" i="10"/>
  <c r="D2671" i="10"/>
  <c r="E2670" i="10"/>
  <c r="D2670" i="10"/>
  <c r="E2669" i="10"/>
  <c r="D2669" i="10"/>
  <c r="E2668" i="10"/>
  <c r="D2668" i="10"/>
  <c r="E2667" i="10"/>
  <c r="D2667" i="10"/>
  <c r="E2666" i="10"/>
  <c r="D2666" i="10"/>
  <c r="E2665" i="10"/>
  <c r="D2665" i="10"/>
  <c r="E2664" i="10"/>
  <c r="D2664" i="10"/>
  <c r="E2663" i="10"/>
  <c r="D2663" i="10"/>
  <c r="E2662" i="10"/>
  <c r="D2662" i="10"/>
  <c r="E2661" i="10"/>
  <c r="D2661" i="10"/>
  <c r="E2660" i="10"/>
  <c r="D2660" i="10"/>
  <c r="E2659" i="10"/>
  <c r="D2659" i="10"/>
  <c r="E2658" i="10"/>
  <c r="D2658" i="10"/>
  <c r="E2657" i="10"/>
  <c r="D2657" i="10"/>
  <c r="E2656" i="10"/>
  <c r="D2656" i="10"/>
  <c r="E2655" i="10"/>
  <c r="D2655" i="10"/>
  <c r="E2654" i="10"/>
  <c r="D2654" i="10"/>
  <c r="E2653" i="10"/>
  <c r="D2653" i="10"/>
  <c r="E2652" i="10"/>
  <c r="D2652" i="10"/>
  <c r="E2651" i="10"/>
  <c r="D2651" i="10"/>
  <c r="E2650" i="10"/>
  <c r="D2650" i="10"/>
  <c r="E2649" i="10"/>
  <c r="D2649" i="10"/>
  <c r="E2648" i="10"/>
  <c r="D2648" i="10"/>
  <c r="E2647" i="10"/>
  <c r="D2647" i="10"/>
  <c r="E2646" i="10"/>
  <c r="D2646" i="10"/>
  <c r="E2645" i="10"/>
  <c r="D2645" i="10"/>
  <c r="E2644" i="10"/>
  <c r="D2644" i="10"/>
  <c r="E2643" i="10"/>
  <c r="D2643" i="10"/>
  <c r="E2642" i="10"/>
  <c r="D2642" i="10"/>
  <c r="E2641" i="10"/>
  <c r="D2641" i="10"/>
  <c r="E2640" i="10"/>
  <c r="D2640" i="10"/>
  <c r="E2639" i="10"/>
  <c r="D2639" i="10"/>
  <c r="E2638" i="10"/>
  <c r="D2638" i="10"/>
  <c r="E2637" i="10"/>
  <c r="D2637" i="10"/>
  <c r="E2636" i="10"/>
  <c r="D2636" i="10"/>
  <c r="E2635" i="10"/>
  <c r="D2635" i="10"/>
  <c r="E2634" i="10"/>
  <c r="D2634" i="10"/>
  <c r="E2633" i="10"/>
  <c r="D2633" i="10"/>
  <c r="E2632" i="10"/>
  <c r="D2632" i="10"/>
  <c r="E2631" i="10"/>
  <c r="D2631" i="10"/>
  <c r="E2630" i="10"/>
  <c r="D2630" i="10"/>
  <c r="E2629" i="10"/>
  <c r="D2629" i="10"/>
  <c r="E2628" i="10"/>
  <c r="D2628" i="10"/>
  <c r="E2627" i="10"/>
  <c r="D2627" i="10"/>
  <c r="E2626" i="10"/>
  <c r="D2626" i="10"/>
  <c r="E2625" i="10"/>
  <c r="D2625" i="10"/>
  <c r="E2624" i="10"/>
  <c r="D2624" i="10"/>
  <c r="E2623" i="10"/>
  <c r="D2623" i="10"/>
  <c r="E2622" i="10"/>
  <c r="D2622" i="10"/>
  <c r="E2621" i="10"/>
  <c r="D2621" i="10"/>
  <c r="E2620" i="10"/>
  <c r="D2620" i="10"/>
  <c r="E2619" i="10"/>
  <c r="D2619" i="10"/>
  <c r="E2618" i="10"/>
  <c r="D2618" i="10"/>
  <c r="E2617" i="10"/>
  <c r="D2617" i="10"/>
  <c r="E2616" i="10"/>
  <c r="D2616" i="10"/>
  <c r="E2615" i="10"/>
  <c r="D2615" i="10"/>
  <c r="E2614" i="10"/>
  <c r="D2614" i="10"/>
  <c r="E2613" i="10"/>
  <c r="D2613" i="10"/>
  <c r="E2612" i="10"/>
  <c r="D2612" i="10"/>
  <c r="E2611" i="10"/>
  <c r="D2611" i="10"/>
  <c r="E2610" i="10"/>
  <c r="D2610" i="10"/>
  <c r="E2609" i="10"/>
  <c r="D2609" i="10"/>
  <c r="E2608" i="10"/>
  <c r="D2608" i="10"/>
  <c r="E2607" i="10"/>
  <c r="D2607" i="10"/>
  <c r="E2606" i="10"/>
  <c r="D2606" i="10"/>
  <c r="E2605" i="10"/>
  <c r="D2605" i="10"/>
  <c r="E2604" i="10"/>
  <c r="D2604" i="10"/>
  <c r="E2603" i="10"/>
  <c r="D2603" i="10"/>
  <c r="E2602" i="10"/>
  <c r="D2602" i="10"/>
  <c r="E2601" i="10"/>
  <c r="D2601" i="10"/>
  <c r="E2600" i="10"/>
  <c r="D2600" i="10"/>
  <c r="E2599" i="10"/>
  <c r="D2599" i="10"/>
  <c r="E2598" i="10"/>
  <c r="D2598" i="10"/>
  <c r="E2597" i="10"/>
  <c r="D2597" i="10"/>
  <c r="E2596" i="10"/>
  <c r="D2596" i="10"/>
  <c r="E2595" i="10"/>
  <c r="D2595" i="10"/>
  <c r="E2594" i="10"/>
  <c r="D2594" i="10"/>
  <c r="E2593" i="10"/>
  <c r="D2593" i="10"/>
  <c r="E2592" i="10"/>
  <c r="D2592" i="10"/>
  <c r="E2591" i="10"/>
  <c r="D2591" i="10"/>
  <c r="E2590" i="10"/>
  <c r="D2590" i="10"/>
  <c r="E2589" i="10"/>
  <c r="D2589" i="10"/>
  <c r="E2588" i="10"/>
  <c r="D2588" i="10"/>
  <c r="E2587" i="10"/>
  <c r="D2587" i="10"/>
  <c r="E2586" i="10"/>
  <c r="D2586" i="10"/>
  <c r="E2585" i="10"/>
  <c r="D2585" i="10"/>
  <c r="E2584" i="10"/>
  <c r="D2584" i="10"/>
  <c r="E2583" i="10"/>
  <c r="D2583" i="10"/>
  <c r="E2582" i="10"/>
  <c r="D2582" i="10"/>
  <c r="E2581" i="10"/>
  <c r="D2581" i="10"/>
  <c r="E2580" i="10"/>
  <c r="D2580" i="10"/>
  <c r="E2579" i="10"/>
  <c r="D2579" i="10"/>
  <c r="E2578" i="10"/>
  <c r="D2578" i="10"/>
  <c r="E2577" i="10"/>
  <c r="D2577" i="10"/>
  <c r="E2576" i="10"/>
  <c r="D2576" i="10"/>
  <c r="E2575" i="10"/>
  <c r="D2575" i="10"/>
  <c r="E2574" i="10"/>
  <c r="D2574" i="10"/>
  <c r="E2573" i="10"/>
  <c r="D2573" i="10"/>
  <c r="E2572" i="10"/>
  <c r="D2572" i="10"/>
  <c r="E2571" i="10"/>
  <c r="D2571" i="10"/>
  <c r="E2570" i="10"/>
  <c r="D2570" i="10"/>
  <c r="E2569" i="10"/>
  <c r="D2569" i="10"/>
  <c r="E2568" i="10"/>
  <c r="D2568" i="10"/>
  <c r="E2567" i="10"/>
  <c r="D2567" i="10"/>
  <c r="E2566" i="10"/>
  <c r="D2566" i="10"/>
  <c r="E2565" i="10"/>
  <c r="D2565" i="10"/>
  <c r="E2564" i="10"/>
  <c r="D2564" i="10"/>
  <c r="E2563" i="10"/>
  <c r="D2563" i="10"/>
  <c r="E2562" i="10"/>
  <c r="D2562" i="10"/>
  <c r="E2561" i="10"/>
  <c r="D2561" i="10"/>
  <c r="E2560" i="10"/>
  <c r="D2560" i="10"/>
  <c r="E2559" i="10"/>
  <c r="D2559" i="10"/>
  <c r="E2558" i="10"/>
  <c r="D2558" i="10"/>
  <c r="E2557" i="10"/>
  <c r="D2557" i="10"/>
  <c r="E2556" i="10"/>
  <c r="D2556" i="10"/>
  <c r="E2555" i="10"/>
  <c r="D2555" i="10"/>
  <c r="E2554" i="10"/>
  <c r="D2554" i="10"/>
  <c r="E2553" i="10"/>
  <c r="D2553" i="10"/>
  <c r="E2552" i="10"/>
  <c r="D2552" i="10"/>
  <c r="E2551" i="10"/>
  <c r="D2551" i="10"/>
  <c r="E2550" i="10"/>
  <c r="D2550" i="10"/>
  <c r="E2549" i="10"/>
  <c r="D2549" i="10"/>
  <c r="E2548" i="10"/>
  <c r="D2548" i="10"/>
  <c r="E2547" i="10"/>
  <c r="D2547" i="10"/>
  <c r="E2546" i="10"/>
  <c r="D2546" i="10"/>
  <c r="E2545" i="10"/>
  <c r="D2545" i="10"/>
  <c r="E2544" i="10"/>
  <c r="D2544" i="10"/>
  <c r="E2543" i="10"/>
  <c r="D2543" i="10"/>
  <c r="E2542" i="10"/>
  <c r="D2542" i="10"/>
  <c r="E2541" i="10"/>
  <c r="D2541" i="10"/>
  <c r="E2540" i="10"/>
  <c r="D2540" i="10"/>
  <c r="E2539" i="10"/>
  <c r="D2539" i="10"/>
  <c r="E2538" i="10"/>
  <c r="D2538" i="10"/>
  <c r="E2537" i="10"/>
  <c r="D2537" i="10"/>
  <c r="E2536" i="10"/>
  <c r="D2536" i="10"/>
  <c r="E2535" i="10"/>
  <c r="D2535" i="10"/>
  <c r="E2534" i="10"/>
  <c r="D2534" i="10"/>
  <c r="E2533" i="10"/>
  <c r="D2533" i="10"/>
  <c r="E2532" i="10"/>
  <c r="D2532" i="10"/>
  <c r="E2531" i="10"/>
  <c r="D2531" i="10"/>
  <c r="E2530" i="10"/>
  <c r="D2530" i="10"/>
  <c r="E2529" i="10"/>
  <c r="D2529" i="10"/>
  <c r="E2528" i="10"/>
  <c r="D2528" i="10"/>
  <c r="E2527" i="10"/>
  <c r="D2527" i="10"/>
  <c r="E2526" i="10"/>
  <c r="D2526" i="10"/>
  <c r="E2525" i="10"/>
  <c r="D2525" i="10"/>
  <c r="E2524" i="10"/>
  <c r="D2524" i="10"/>
  <c r="E2523" i="10"/>
  <c r="D2523" i="10"/>
  <c r="E2522" i="10"/>
  <c r="D2522" i="10"/>
  <c r="E2521" i="10"/>
  <c r="D2521" i="10"/>
  <c r="E2520" i="10"/>
  <c r="D2520" i="10"/>
  <c r="E2519" i="10"/>
  <c r="D2519" i="10"/>
  <c r="E2518" i="10"/>
  <c r="D2518" i="10"/>
  <c r="E2517" i="10"/>
  <c r="D2517" i="10"/>
  <c r="E2516" i="10"/>
  <c r="D2516" i="10"/>
  <c r="E2515" i="10"/>
  <c r="D2515" i="10"/>
  <c r="E2514" i="10"/>
  <c r="D2514" i="10"/>
  <c r="E2513" i="10"/>
  <c r="D2513" i="10"/>
  <c r="E2512" i="10"/>
  <c r="D2512" i="10"/>
  <c r="E2511" i="10"/>
  <c r="D2511" i="10"/>
  <c r="E2510" i="10"/>
  <c r="D2510" i="10"/>
  <c r="E2509" i="10"/>
  <c r="D2509" i="10"/>
  <c r="E2508" i="10"/>
  <c r="D2508" i="10"/>
  <c r="E2507" i="10"/>
  <c r="D2507" i="10"/>
  <c r="E2506" i="10"/>
  <c r="D2506" i="10"/>
  <c r="E2505" i="10"/>
  <c r="D2505" i="10"/>
  <c r="E2504" i="10"/>
  <c r="D2504" i="10"/>
  <c r="E2503" i="10"/>
  <c r="D2503" i="10"/>
  <c r="E2502" i="10"/>
  <c r="D2502" i="10"/>
  <c r="E2501" i="10"/>
  <c r="D2501" i="10"/>
  <c r="E2500" i="10"/>
  <c r="D2500" i="10"/>
  <c r="E2499" i="10"/>
  <c r="D2499" i="10"/>
  <c r="E2498" i="10"/>
  <c r="D2498" i="10"/>
  <c r="E2497" i="10"/>
  <c r="D2497" i="10"/>
  <c r="E2496" i="10"/>
  <c r="D2496" i="10"/>
  <c r="E2495" i="10"/>
  <c r="D2495" i="10"/>
  <c r="E2494" i="10"/>
  <c r="D2494" i="10"/>
  <c r="E2493" i="10"/>
  <c r="D2493" i="10"/>
  <c r="E2492" i="10"/>
  <c r="D2492" i="10"/>
  <c r="E2491" i="10"/>
  <c r="D2491" i="10"/>
  <c r="E2490" i="10"/>
  <c r="D2490" i="10"/>
  <c r="E2489" i="10"/>
  <c r="D2489" i="10"/>
  <c r="E2488" i="10"/>
  <c r="D2488" i="10"/>
  <c r="E2487" i="10"/>
  <c r="D2487" i="10"/>
  <c r="E2486" i="10"/>
  <c r="D2486" i="10"/>
  <c r="E2485" i="10"/>
  <c r="D2485" i="10"/>
  <c r="E2484" i="10"/>
  <c r="D2484" i="10"/>
  <c r="E2483" i="10"/>
  <c r="D2483" i="10"/>
  <c r="E2482" i="10"/>
  <c r="D2482" i="10"/>
  <c r="E2481" i="10"/>
  <c r="D2481" i="10"/>
  <c r="E2480" i="10"/>
  <c r="D2480" i="10"/>
  <c r="E2479" i="10"/>
  <c r="D2479" i="10"/>
  <c r="E2478" i="10"/>
  <c r="D2478" i="10"/>
  <c r="E2477" i="10"/>
  <c r="D2477" i="10"/>
  <c r="E2476" i="10"/>
  <c r="D2476" i="10"/>
  <c r="E2475" i="10"/>
  <c r="D2475" i="10"/>
  <c r="E2474" i="10"/>
  <c r="D2474" i="10"/>
  <c r="E2473" i="10"/>
  <c r="D2473" i="10"/>
  <c r="E2472" i="10"/>
  <c r="D2472" i="10"/>
  <c r="E2471" i="10"/>
  <c r="D2471" i="10"/>
  <c r="E2470" i="10"/>
  <c r="D2470" i="10"/>
  <c r="E2469" i="10"/>
  <c r="D2469" i="10"/>
  <c r="E2468" i="10"/>
  <c r="D2468" i="10"/>
  <c r="E2467" i="10"/>
  <c r="D2467" i="10"/>
  <c r="E2466" i="10"/>
  <c r="D2466" i="10"/>
  <c r="E2465" i="10"/>
  <c r="D2465" i="10"/>
  <c r="E2464" i="10"/>
  <c r="D2464" i="10"/>
  <c r="E2463" i="10"/>
  <c r="D2463" i="10"/>
  <c r="E2462" i="10"/>
  <c r="D2462" i="10"/>
  <c r="E2461" i="10"/>
  <c r="D2461" i="10"/>
  <c r="E2460" i="10"/>
  <c r="D2460" i="10"/>
  <c r="E2459" i="10"/>
  <c r="D2459" i="10"/>
  <c r="E2458" i="10"/>
  <c r="D2458" i="10"/>
  <c r="E2457" i="10"/>
  <c r="D2457" i="10"/>
  <c r="E2456" i="10"/>
  <c r="D2456" i="10"/>
  <c r="E2455" i="10"/>
  <c r="D2455" i="10"/>
  <c r="E2454" i="10"/>
  <c r="D2454" i="10"/>
  <c r="E2453" i="10"/>
  <c r="D2453" i="10"/>
  <c r="E2452" i="10"/>
  <c r="D2452" i="10"/>
  <c r="E2451" i="10"/>
  <c r="D2451" i="10"/>
  <c r="E2450" i="10"/>
  <c r="D2450" i="10"/>
  <c r="E2449" i="10"/>
  <c r="D2449" i="10"/>
  <c r="E2448" i="10"/>
  <c r="D2448" i="10"/>
  <c r="E2447" i="10"/>
  <c r="D2447" i="10"/>
  <c r="E2446" i="10"/>
  <c r="D2446" i="10"/>
  <c r="E2445" i="10"/>
  <c r="D2445" i="10"/>
  <c r="E2444" i="10"/>
  <c r="D2444" i="10"/>
  <c r="E2443" i="10"/>
  <c r="D2443" i="10"/>
  <c r="E2442" i="10"/>
  <c r="D2442" i="10"/>
  <c r="E2441" i="10"/>
  <c r="D2441" i="10"/>
  <c r="E2440" i="10"/>
  <c r="D2440" i="10"/>
  <c r="E2439" i="10"/>
  <c r="D2439" i="10"/>
  <c r="E2438" i="10"/>
  <c r="D2438" i="10"/>
  <c r="E2437" i="10"/>
  <c r="D2437" i="10"/>
  <c r="E2436" i="10"/>
  <c r="D2436" i="10"/>
  <c r="E2435" i="10"/>
  <c r="D2435" i="10"/>
  <c r="E2434" i="10"/>
  <c r="D2434" i="10"/>
  <c r="E2433" i="10"/>
  <c r="D2433" i="10"/>
  <c r="E2432" i="10"/>
  <c r="D2432" i="10"/>
  <c r="E2431" i="10"/>
  <c r="D2431" i="10"/>
  <c r="E2430" i="10"/>
  <c r="D2430" i="10"/>
  <c r="E2429" i="10"/>
  <c r="D2429" i="10"/>
  <c r="E2428" i="10"/>
  <c r="D2428" i="10"/>
  <c r="E2427" i="10"/>
  <c r="D2427" i="10"/>
  <c r="E2426" i="10"/>
  <c r="D2426" i="10"/>
  <c r="E2425" i="10"/>
  <c r="D2425" i="10"/>
  <c r="E2424" i="10"/>
  <c r="D2424" i="10"/>
  <c r="E2423" i="10"/>
  <c r="D2423" i="10"/>
  <c r="E2422" i="10"/>
  <c r="D2422" i="10"/>
  <c r="E2421" i="10"/>
  <c r="D2421" i="10"/>
  <c r="E2420" i="10"/>
  <c r="D2420" i="10"/>
  <c r="E2419" i="10"/>
  <c r="D2419" i="10"/>
  <c r="E2418" i="10"/>
  <c r="D2418" i="10"/>
  <c r="E2417" i="10"/>
  <c r="D2417" i="10"/>
  <c r="E2416" i="10"/>
  <c r="D2416" i="10"/>
  <c r="E2415" i="10"/>
  <c r="D2415" i="10"/>
  <c r="E2414" i="10"/>
  <c r="D2414" i="10"/>
  <c r="E2413" i="10"/>
  <c r="D2413" i="10"/>
  <c r="E2412" i="10"/>
  <c r="D2412" i="10"/>
  <c r="E2411" i="10"/>
  <c r="D2411" i="10"/>
  <c r="E2410" i="10"/>
  <c r="D2410" i="10"/>
  <c r="E2409" i="10"/>
  <c r="D2409" i="10"/>
  <c r="E2408" i="10"/>
  <c r="D2408" i="10"/>
  <c r="E2407" i="10"/>
  <c r="D2407" i="10"/>
  <c r="E2406" i="10"/>
  <c r="D2406" i="10"/>
  <c r="E2405" i="10"/>
  <c r="D2405" i="10"/>
  <c r="E2404" i="10"/>
  <c r="D2404" i="10"/>
  <c r="E2403" i="10"/>
  <c r="D2403" i="10"/>
  <c r="E2402" i="10"/>
  <c r="D2402" i="10"/>
  <c r="E2401" i="10"/>
  <c r="D2401" i="10"/>
  <c r="E2400" i="10"/>
  <c r="D2400" i="10"/>
  <c r="E2399" i="10"/>
  <c r="D2399" i="10"/>
  <c r="E2398" i="10"/>
  <c r="D2398" i="10"/>
  <c r="E2397" i="10"/>
  <c r="D2397" i="10"/>
  <c r="E2396" i="10"/>
  <c r="D2396" i="10"/>
  <c r="E2395" i="10"/>
  <c r="D2395" i="10"/>
  <c r="E2394" i="10"/>
  <c r="D2394" i="10"/>
  <c r="E2393" i="10"/>
  <c r="D2393" i="10"/>
  <c r="E2392" i="10"/>
  <c r="D2392" i="10"/>
  <c r="E2391" i="10"/>
  <c r="D2391" i="10"/>
  <c r="E2390" i="10"/>
  <c r="D2390" i="10"/>
  <c r="E2389" i="10"/>
  <c r="D2389" i="10"/>
  <c r="E2388" i="10"/>
  <c r="D2388" i="10"/>
  <c r="E2387" i="10"/>
  <c r="D2387" i="10"/>
  <c r="E2386" i="10"/>
  <c r="D2386" i="10"/>
  <c r="E2385" i="10"/>
  <c r="D2385" i="10"/>
  <c r="E2384" i="10"/>
  <c r="D2384" i="10"/>
  <c r="E2383" i="10"/>
  <c r="D2383" i="10"/>
  <c r="E2382" i="10"/>
  <c r="D2382" i="10"/>
  <c r="E2381" i="10"/>
  <c r="D2381" i="10"/>
  <c r="E2380" i="10"/>
  <c r="D2380" i="10"/>
  <c r="E2379" i="10"/>
  <c r="D2379" i="10"/>
  <c r="E2378" i="10"/>
  <c r="D2378" i="10"/>
  <c r="E2377" i="10"/>
  <c r="D2377" i="10"/>
  <c r="E2376" i="10"/>
  <c r="D2376" i="10"/>
  <c r="E2375" i="10"/>
  <c r="D2375" i="10"/>
  <c r="E2374" i="10"/>
  <c r="D2374" i="10"/>
  <c r="E2373" i="10"/>
  <c r="D2373" i="10"/>
  <c r="E2372" i="10"/>
  <c r="D2372" i="10"/>
  <c r="E2371" i="10"/>
  <c r="D2371" i="10"/>
  <c r="E2370" i="10"/>
  <c r="D2370" i="10"/>
  <c r="E2369" i="10"/>
  <c r="D2369" i="10"/>
  <c r="E2368" i="10"/>
  <c r="D2368" i="10"/>
  <c r="E2367" i="10"/>
  <c r="D2367" i="10"/>
  <c r="E2366" i="10"/>
  <c r="D2366" i="10"/>
  <c r="E2365" i="10"/>
  <c r="D2365" i="10"/>
  <c r="E2364" i="10"/>
  <c r="D2364" i="10"/>
  <c r="E2363" i="10"/>
  <c r="D2363" i="10"/>
  <c r="E2362" i="10"/>
  <c r="D2362" i="10"/>
  <c r="E2361" i="10"/>
  <c r="D2361" i="10"/>
  <c r="E2360" i="10"/>
  <c r="D2360" i="10"/>
  <c r="E2359" i="10"/>
  <c r="D2359" i="10"/>
  <c r="E2358" i="10"/>
  <c r="D2358" i="10"/>
  <c r="E2357" i="10"/>
  <c r="D2357" i="10"/>
  <c r="E2356" i="10"/>
  <c r="D2356" i="10"/>
  <c r="E2355" i="10"/>
  <c r="D2355" i="10"/>
  <c r="E2354" i="10"/>
  <c r="D2354" i="10"/>
  <c r="E2353" i="10"/>
  <c r="D2353" i="10"/>
  <c r="E2352" i="10"/>
  <c r="D2352" i="10"/>
  <c r="E2351" i="10"/>
  <c r="D2351" i="10"/>
  <c r="E2350" i="10"/>
  <c r="D2350" i="10"/>
  <c r="E2349" i="10"/>
  <c r="D2349" i="10"/>
  <c r="E2348" i="10"/>
  <c r="D2348" i="10"/>
  <c r="E2347" i="10"/>
  <c r="D2347" i="10"/>
  <c r="E2346" i="10"/>
  <c r="D2346" i="10"/>
  <c r="E2345" i="10"/>
  <c r="D2345" i="10"/>
  <c r="E2344" i="10"/>
  <c r="D2344" i="10"/>
  <c r="E2343" i="10"/>
  <c r="D2343" i="10"/>
  <c r="E2342" i="10"/>
  <c r="D2342" i="10"/>
  <c r="E2341" i="10"/>
  <c r="D2341" i="10"/>
  <c r="E2340" i="10"/>
  <c r="D2340" i="10"/>
  <c r="E2339" i="10"/>
  <c r="D2339" i="10"/>
  <c r="E2338" i="10"/>
  <c r="D2338" i="10"/>
  <c r="E2337" i="10"/>
  <c r="D2337" i="10"/>
  <c r="E2336" i="10"/>
  <c r="D2336" i="10"/>
  <c r="E2335" i="10"/>
  <c r="D2335" i="10"/>
  <c r="E2334" i="10"/>
  <c r="D2334" i="10"/>
  <c r="E2333" i="10"/>
  <c r="D2333" i="10"/>
  <c r="E2332" i="10"/>
  <c r="D2332" i="10"/>
  <c r="E2331" i="10"/>
  <c r="D2331" i="10"/>
  <c r="E2330" i="10"/>
  <c r="D2330" i="10"/>
  <c r="E2329" i="10"/>
  <c r="D2329" i="10"/>
  <c r="E2328" i="10"/>
  <c r="D2328" i="10"/>
  <c r="E2327" i="10"/>
  <c r="D2327" i="10"/>
  <c r="E2326" i="10"/>
  <c r="D2326" i="10"/>
  <c r="E2325" i="10"/>
  <c r="D2325" i="10"/>
  <c r="E2324" i="10"/>
  <c r="D2324" i="10"/>
  <c r="E2323" i="10"/>
  <c r="D2323" i="10"/>
  <c r="E2322" i="10"/>
  <c r="D2322" i="10"/>
  <c r="E2321" i="10"/>
  <c r="D2321" i="10"/>
  <c r="E2320" i="10"/>
  <c r="D2320" i="10"/>
  <c r="E2319" i="10"/>
  <c r="D2319" i="10"/>
  <c r="E2318" i="10"/>
  <c r="D2318" i="10"/>
  <c r="E2317" i="10"/>
  <c r="D2317" i="10"/>
  <c r="E2316" i="10"/>
  <c r="D2316" i="10"/>
  <c r="E2315" i="10"/>
  <c r="D2315" i="10"/>
  <c r="E2314" i="10"/>
  <c r="D2314" i="10"/>
  <c r="E2313" i="10"/>
  <c r="D2313" i="10"/>
  <c r="E2312" i="10"/>
  <c r="D2312" i="10"/>
  <c r="E2311" i="10"/>
  <c r="D2311" i="10"/>
  <c r="E2310" i="10"/>
  <c r="D2310" i="10"/>
  <c r="E2309" i="10"/>
  <c r="D2309" i="10"/>
  <c r="E2308" i="10"/>
  <c r="D2308" i="10"/>
  <c r="E2307" i="10"/>
  <c r="D2307" i="10"/>
  <c r="E2306" i="10"/>
  <c r="D2306" i="10"/>
  <c r="E2305" i="10"/>
  <c r="D2305" i="10"/>
  <c r="E2304" i="10"/>
  <c r="D2304" i="10"/>
  <c r="E2303" i="10"/>
  <c r="D2303" i="10"/>
  <c r="E2302" i="10"/>
  <c r="D2302" i="10"/>
  <c r="E2301" i="10"/>
  <c r="D2301" i="10"/>
  <c r="E2300" i="10"/>
  <c r="D2300" i="10"/>
  <c r="E2299" i="10"/>
  <c r="D2299" i="10"/>
  <c r="E2298" i="10"/>
  <c r="D2298" i="10"/>
  <c r="E2297" i="10"/>
  <c r="D2297" i="10"/>
  <c r="E2296" i="10"/>
  <c r="D2296" i="10"/>
  <c r="E2295" i="10"/>
  <c r="D2295" i="10"/>
  <c r="E2294" i="10"/>
  <c r="D2294" i="10"/>
  <c r="E2293" i="10"/>
  <c r="D2293" i="10"/>
  <c r="E2292" i="10"/>
  <c r="D2292" i="10"/>
  <c r="E2291" i="10"/>
  <c r="D2291" i="10"/>
  <c r="E2290" i="10"/>
  <c r="D2290" i="10"/>
  <c r="E2289" i="10"/>
  <c r="D2289" i="10"/>
  <c r="E2288" i="10"/>
  <c r="D2288" i="10"/>
  <c r="E2287" i="10"/>
  <c r="D2287" i="10"/>
  <c r="E2286" i="10"/>
  <c r="D2286" i="10"/>
  <c r="E2285" i="10"/>
  <c r="D2285" i="10"/>
  <c r="E2284" i="10"/>
  <c r="D2284" i="10"/>
  <c r="E2283" i="10"/>
  <c r="D2283" i="10"/>
  <c r="E2282" i="10"/>
  <c r="D2282" i="10"/>
  <c r="E2281" i="10"/>
  <c r="D2281" i="10"/>
  <c r="E2280" i="10"/>
  <c r="D2280" i="10"/>
  <c r="E2279" i="10"/>
  <c r="D2279" i="10"/>
  <c r="E2278" i="10"/>
  <c r="D2278" i="10"/>
  <c r="E2277" i="10"/>
  <c r="D2277" i="10"/>
  <c r="E2276" i="10"/>
  <c r="D2276" i="10"/>
  <c r="E2275" i="10"/>
  <c r="D2275" i="10"/>
  <c r="E2274" i="10"/>
  <c r="D2274" i="10"/>
  <c r="E2273" i="10"/>
  <c r="D2273" i="10"/>
  <c r="E2272" i="10"/>
  <c r="D2272" i="10"/>
  <c r="E2271" i="10"/>
  <c r="D2271" i="10"/>
  <c r="E2270" i="10"/>
  <c r="D2270" i="10"/>
  <c r="E2269" i="10"/>
  <c r="D2269" i="10"/>
  <c r="E2268" i="10"/>
  <c r="D2268" i="10"/>
  <c r="E2267" i="10"/>
  <c r="D2267" i="10"/>
  <c r="E2266" i="10"/>
  <c r="D2266" i="10"/>
  <c r="E2265" i="10"/>
  <c r="D2265" i="10"/>
  <c r="E2264" i="10"/>
  <c r="D2264" i="10"/>
  <c r="E2263" i="10"/>
  <c r="D2263" i="10"/>
  <c r="E2262" i="10"/>
  <c r="D2262" i="10"/>
  <c r="E2261" i="10"/>
  <c r="D2261" i="10"/>
  <c r="E2260" i="10"/>
  <c r="D2260" i="10"/>
  <c r="E2259" i="10"/>
  <c r="D2259" i="10"/>
  <c r="E2258" i="10"/>
  <c r="D2258" i="10"/>
  <c r="E2257" i="10"/>
  <c r="D2257" i="10"/>
  <c r="E2256" i="10"/>
  <c r="D2256" i="10"/>
  <c r="E2255" i="10"/>
  <c r="D2255" i="10"/>
  <c r="E2254" i="10"/>
  <c r="D2254" i="10"/>
  <c r="E2253" i="10"/>
  <c r="D2253" i="10"/>
  <c r="E2252" i="10"/>
  <c r="D2252" i="10"/>
  <c r="E2251" i="10"/>
  <c r="D2251" i="10"/>
  <c r="E2250" i="10"/>
  <c r="D2250" i="10"/>
  <c r="E2249" i="10"/>
  <c r="D2249" i="10"/>
  <c r="E2248" i="10"/>
  <c r="D2248" i="10"/>
  <c r="E2247" i="10"/>
  <c r="D2247" i="10"/>
  <c r="E2246" i="10"/>
  <c r="D2246" i="10"/>
  <c r="E2245" i="10"/>
  <c r="D2245" i="10"/>
  <c r="E2244" i="10"/>
  <c r="D2244" i="10"/>
  <c r="E2243" i="10"/>
  <c r="D2243" i="10"/>
  <c r="E2242" i="10"/>
  <c r="D2242" i="10"/>
  <c r="E2241" i="10"/>
  <c r="D2241" i="10"/>
  <c r="E2240" i="10"/>
  <c r="D2240" i="10"/>
  <c r="E2239" i="10"/>
  <c r="D2239" i="10"/>
  <c r="E2238" i="10"/>
  <c r="D2238" i="10"/>
  <c r="E2237" i="10"/>
  <c r="D2237" i="10"/>
  <c r="E2236" i="10"/>
  <c r="D2236" i="10"/>
  <c r="E2235" i="10"/>
  <c r="D2235" i="10"/>
  <c r="E2234" i="10"/>
  <c r="D2234" i="10"/>
  <c r="E2233" i="10"/>
  <c r="D2233" i="10"/>
  <c r="E2232" i="10"/>
  <c r="D2232" i="10"/>
  <c r="E2231" i="10"/>
  <c r="D2231" i="10"/>
  <c r="E2230" i="10"/>
  <c r="D2230" i="10"/>
  <c r="E2229" i="10"/>
  <c r="D2229" i="10"/>
  <c r="E2228" i="10"/>
  <c r="D2228" i="10"/>
  <c r="E2227" i="10"/>
  <c r="D2227" i="10"/>
  <c r="E2226" i="10"/>
  <c r="D2226" i="10"/>
  <c r="E2225" i="10"/>
  <c r="D2225" i="10"/>
  <c r="E2224" i="10"/>
  <c r="D2224" i="10"/>
  <c r="E2223" i="10"/>
  <c r="D2223" i="10"/>
  <c r="E2222" i="10"/>
  <c r="D2222" i="10"/>
  <c r="E2221" i="10"/>
  <c r="D2221" i="10"/>
  <c r="E2220" i="10"/>
  <c r="D2220" i="10"/>
  <c r="E2219" i="10"/>
  <c r="D2219" i="10"/>
  <c r="E2218" i="10"/>
  <c r="D2218" i="10"/>
  <c r="E2217" i="10"/>
  <c r="D2217" i="10"/>
  <c r="E2216" i="10"/>
  <c r="D2216" i="10"/>
  <c r="E2215" i="10"/>
  <c r="D2215" i="10"/>
  <c r="E2214" i="10"/>
  <c r="D2214" i="10"/>
  <c r="E2213" i="10"/>
  <c r="D2213" i="10"/>
  <c r="E2212" i="10"/>
  <c r="D2212" i="10"/>
  <c r="E2211" i="10"/>
  <c r="D2211" i="10"/>
  <c r="E2210" i="10"/>
  <c r="D2210" i="10"/>
  <c r="E2209" i="10"/>
  <c r="D2209" i="10"/>
  <c r="E2208" i="10"/>
  <c r="D2208" i="10"/>
  <c r="E2207" i="10"/>
  <c r="D2207" i="10"/>
  <c r="E2206" i="10"/>
  <c r="D2206" i="10"/>
  <c r="E2205" i="10"/>
  <c r="D2205" i="10"/>
  <c r="E2204" i="10"/>
  <c r="D2204" i="10"/>
  <c r="E2203" i="10"/>
  <c r="D2203" i="10"/>
  <c r="E2202" i="10"/>
  <c r="D2202" i="10"/>
  <c r="E2201" i="10"/>
  <c r="D2201" i="10"/>
  <c r="E2200" i="10"/>
  <c r="D2200" i="10"/>
  <c r="E2199" i="10"/>
  <c r="D2199" i="10"/>
  <c r="E2198" i="10"/>
  <c r="D2198" i="10"/>
  <c r="E2197" i="10"/>
  <c r="D2197" i="10"/>
  <c r="E2196" i="10"/>
  <c r="D2196" i="10"/>
  <c r="E2195" i="10"/>
  <c r="D2195" i="10"/>
  <c r="E2194" i="10"/>
  <c r="D2194" i="10"/>
  <c r="E2193" i="10"/>
  <c r="D2193" i="10"/>
  <c r="E2192" i="10"/>
  <c r="D2192" i="10"/>
  <c r="E2191" i="10"/>
  <c r="D2191" i="10"/>
  <c r="E2190" i="10"/>
  <c r="D2190" i="10"/>
  <c r="E2189" i="10"/>
  <c r="D2189" i="10"/>
  <c r="E2188" i="10"/>
  <c r="D2188" i="10"/>
  <c r="E2187" i="10"/>
  <c r="D2187" i="10"/>
  <c r="E2186" i="10"/>
  <c r="D2186" i="10"/>
  <c r="E2185" i="10"/>
  <c r="D2185" i="10"/>
  <c r="E2184" i="10"/>
  <c r="D2184" i="10"/>
  <c r="E2183" i="10"/>
  <c r="D2183" i="10"/>
  <c r="E2182" i="10"/>
  <c r="D2182" i="10"/>
  <c r="E2181" i="10"/>
  <c r="D2181" i="10"/>
  <c r="E2180" i="10"/>
  <c r="D2180" i="10"/>
  <c r="E2179" i="10"/>
  <c r="D2179" i="10"/>
  <c r="E2178" i="10"/>
  <c r="D2178" i="10"/>
  <c r="E2177" i="10"/>
  <c r="D2177" i="10"/>
  <c r="E2176" i="10"/>
  <c r="D2176" i="10"/>
  <c r="E2175" i="10"/>
  <c r="D2175" i="10"/>
  <c r="E2174" i="10"/>
  <c r="D2174" i="10"/>
  <c r="E2173" i="10"/>
  <c r="D2173" i="10"/>
  <c r="E2172" i="10"/>
  <c r="D2172" i="10"/>
  <c r="E2171" i="10"/>
  <c r="D2171" i="10"/>
  <c r="E2170" i="10"/>
  <c r="D2170" i="10"/>
  <c r="E2169" i="10"/>
  <c r="D2169" i="10"/>
  <c r="E2168" i="10"/>
  <c r="D2168" i="10"/>
  <c r="E2167" i="10"/>
  <c r="D2167" i="10"/>
  <c r="E2166" i="10"/>
  <c r="D2166" i="10"/>
  <c r="E2165" i="10"/>
  <c r="D2165" i="10"/>
  <c r="E2164" i="10"/>
  <c r="D2164" i="10"/>
  <c r="E2163" i="10"/>
  <c r="D2163" i="10"/>
  <c r="E2162" i="10"/>
  <c r="D2162" i="10"/>
  <c r="E2161" i="10"/>
  <c r="D2161" i="10"/>
  <c r="E2160" i="10"/>
  <c r="D2160" i="10"/>
  <c r="E2159" i="10"/>
  <c r="D2159" i="10"/>
  <c r="E2158" i="10"/>
  <c r="D2158" i="10"/>
  <c r="E2157" i="10"/>
  <c r="D2157" i="10"/>
  <c r="E2156" i="10"/>
  <c r="D2156" i="10"/>
  <c r="E2155" i="10"/>
  <c r="D2155" i="10"/>
  <c r="E2154" i="10"/>
  <c r="D2154" i="10"/>
  <c r="E2153" i="10"/>
  <c r="D2153" i="10"/>
  <c r="E2152" i="10"/>
  <c r="D2152" i="10"/>
  <c r="E2151" i="10"/>
  <c r="D2151" i="10"/>
  <c r="E2150" i="10"/>
  <c r="D2150" i="10"/>
  <c r="E2149" i="10"/>
  <c r="D2149" i="10"/>
  <c r="E2148" i="10"/>
  <c r="D2148" i="10"/>
  <c r="E2147" i="10"/>
  <c r="D2147" i="10"/>
  <c r="E2146" i="10"/>
  <c r="D2146" i="10"/>
  <c r="E2145" i="10"/>
  <c r="D2145" i="10"/>
  <c r="E2144" i="10"/>
  <c r="D2144" i="10"/>
  <c r="E2143" i="10"/>
  <c r="D2143" i="10"/>
  <c r="E2142" i="10"/>
  <c r="D2142" i="10"/>
  <c r="E2141" i="10"/>
  <c r="D2141" i="10"/>
  <c r="E2140" i="10"/>
  <c r="D2140" i="10"/>
  <c r="E2139" i="10"/>
  <c r="D2139" i="10"/>
  <c r="E2138" i="10"/>
  <c r="D2138" i="10"/>
  <c r="E2137" i="10"/>
  <c r="D2137" i="10"/>
  <c r="E2136" i="10"/>
  <c r="D2136" i="10"/>
  <c r="E2135" i="10"/>
  <c r="D2135" i="10"/>
  <c r="E2134" i="10"/>
  <c r="D2134" i="10"/>
  <c r="E2133" i="10"/>
  <c r="D2133" i="10"/>
  <c r="E2132" i="10"/>
  <c r="D2132" i="10"/>
  <c r="E2131" i="10"/>
  <c r="D2131" i="10"/>
  <c r="E2130" i="10"/>
  <c r="D2130" i="10"/>
  <c r="E2129" i="10"/>
  <c r="D2129" i="10"/>
  <c r="E2128" i="10"/>
  <c r="D2128" i="10"/>
  <c r="E2127" i="10"/>
  <c r="D2127" i="10"/>
  <c r="E2126" i="10"/>
  <c r="D2126" i="10"/>
  <c r="E2125" i="10"/>
  <c r="D2125" i="10"/>
  <c r="E2124" i="10"/>
  <c r="D2124" i="10"/>
  <c r="E2123" i="10"/>
  <c r="D2123" i="10"/>
  <c r="E2122" i="10"/>
  <c r="D2122" i="10"/>
  <c r="E2121" i="10"/>
  <c r="D2121" i="10"/>
  <c r="E2120" i="10"/>
  <c r="D2120" i="10"/>
  <c r="E2119" i="10"/>
  <c r="D2119" i="10"/>
  <c r="E2118" i="10"/>
  <c r="D2118" i="10"/>
  <c r="E2117" i="10"/>
  <c r="D2117" i="10"/>
  <c r="E2116" i="10"/>
  <c r="D2116" i="10"/>
  <c r="E2115" i="10"/>
  <c r="D2115" i="10"/>
  <c r="E2114" i="10"/>
  <c r="D2114" i="10"/>
  <c r="E2113" i="10"/>
  <c r="D2113" i="10"/>
  <c r="E2112" i="10"/>
  <c r="D2112" i="10"/>
  <c r="E2111" i="10"/>
  <c r="D2111" i="10"/>
  <c r="E2110" i="10"/>
  <c r="D2110" i="10"/>
  <c r="E2109" i="10"/>
  <c r="D2109" i="10"/>
  <c r="E2108" i="10"/>
  <c r="D2108" i="10"/>
  <c r="E2107" i="10"/>
  <c r="D2107" i="10"/>
  <c r="E2106" i="10"/>
  <c r="D2106" i="10"/>
  <c r="E2105" i="10"/>
  <c r="D2105" i="10"/>
  <c r="E2104" i="10"/>
  <c r="D2104" i="10"/>
  <c r="E2103" i="10"/>
  <c r="D2103" i="10"/>
  <c r="E2102" i="10"/>
  <c r="D2102" i="10"/>
  <c r="E2101" i="10"/>
  <c r="D2101" i="10"/>
  <c r="E2100" i="10"/>
  <c r="D2100" i="10"/>
  <c r="E2099" i="10"/>
  <c r="D2099" i="10"/>
  <c r="E2098" i="10"/>
  <c r="D2098" i="10"/>
  <c r="E2097" i="10"/>
  <c r="D2097" i="10"/>
  <c r="E2096" i="10"/>
  <c r="D2096" i="10"/>
  <c r="E2095" i="10"/>
  <c r="D2095" i="10"/>
  <c r="E2094" i="10"/>
  <c r="D2094" i="10"/>
  <c r="E2093" i="10"/>
  <c r="D2093" i="10"/>
  <c r="E2092" i="10"/>
  <c r="D2092" i="10"/>
  <c r="E2091" i="10"/>
  <c r="D2091" i="10"/>
  <c r="E2090" i="10"/>
  <c r="D2090" i="10"/>
  <c r="E2089" i="10"/>
  <c r="D2089" i="10"/>
  <c r="E2088" i="10"/>
  <c r="D2088" i="10"/>
  <c r="E2087" i="10"/>
  <c r="D2087" i="10"/>
  <c r="E2086" i="10"/>
  <c r="D2086" i="10"/>
  <c r="E2085" i="10"/>
  <c r="D2085" i="10"/>
  <c r="E2084" i="10"/>
  <c r="D2084" i="10"/>
  <c r="E2083" i="10"/>
  <c r="D2083" i="10"/>
  <c r="E2082" i="10"/>
  <c r="D2082" i="10"/>
  <c r="E2081" i="10"/>
  <c r="D2081" i="10"/>
  <c r="E2080" i="10"/>
  <c r="D2080" i="10"/>
  <c r="E2079" i="10"/>
  <c r="D2079" i="10"/>
  <c r="E2078" i="10"/>
  <c r="D2078" i="10"/>
  <c r="E2077" i="10"/>
  <c r="D2077" i="10"/>
  <c r="E2076" i="10"/>
  <c r="D2076" i="10"/>
  <c r="E2075" i="10"/>
  <c r="D2075" i="10"/>
  <c r="E2074" i="10"/>
  <c r="D2074" i="10"/>
  <c r="E2073" i="10"/>
  <c r="D2073" i="10"/>
  <c r="E2072" i="10"/>
  <c r="D2072" i="10"/>
  <c r="E2071" i="10"/>
  <c r="D2071" i="10"/>
  <c r="E2070" i="10"/>
  <c r="D2070" i="10"/>
  <c r="E2069" i="10"/>
  <c r="D2069" i="10"/>
  <c r="E2068" i="10"/>
  <c r="D2068" i="10"/>
  <c r="E2067" i="10"/>
  <c r="D2067" i="10"/>
  <c r="E2066" i="10"/>
  <c r="D2066" i="10"/>
  <c r="E2065" i="10"/>
  <c r="D2065" i="10"/>
  <c r="E2064" i="10"/>
  <c r="D2064" i="10"/>
  <c r="E2063" i="10"/>
  <c r="D2063" i="10"/>
  <c r="E2062" i="10"/>
  <c r="D2062" i="10"/>
  <c r="E2061" i="10"/>
  <c r="D2061" i="10"/>
  <c r="E2060" i="10"/>
  <c r="D2060" i="10"/>
  <c r="E2059" i="10"/>
  <c r="D2059" i="10"/>
  <c r="E2058" i="10"/>
  <c r="D2058" i="10"/>
  <c r="E2057" i="10"/>
  <c r="D2057" i="10"/>
  <c r="E2056" i="10"/>
  <c r="D2056" i="10"/>
  <c r="E2055" i="10"/>
  <c r="D2055" i="10"/>
  <c r="E2054" i="10"/>
  <c r="D2054" i="10"/>
  <c r="E2053" i="10"/>
  <c r="D2053" i="10"/>
  <c r="E2052" i="10"/>
  <c r="D2052" i="10"/>
  <c r="E2051" i="10"/>
  <c r="D2051" i="10"/>
  <c r="E2050" i="10"/>
  <c r="D2050" i="10"/>
  <c r="E2049" i="10"/>
  <c r="D2049" i="10"/>
  <c r="E2048" i="10"/>
  <c r="D2048" i="10"/>
  <c r="E2047" i="10"/>
  <c r="D2047" i="10"/>
  <c r="E2046" i="10"/>
  <c r="D2046" i="10"/>
  <c r="E2045" i="10"/>
  <c r="D2045" i="10"/>
  <c r="E2044" i="10"/>
  <c r="D2044" i="10"/>
  <c r="E2043" i="10"/>
  <c r="D2043" i="10"/>
  <c r="E2042" i="10"/>
  <c r="D2042" i="10"/>
  <c r="E2041" i="10"/>
  <c r="D2041" i="10"/>
  <c r="E2040" i="10"/>
  <c r="D2040" i="10"/>
  <c r="E2039" i="10"/>
  <c r="D2039" i="10"/>
  <c r="E2038" i="10"/>
  <c r="D2038" i="10"/>
  <c r="E2037" i="10"/>
  <c r="D2037" i="10"/>
  <c r="E2036" i="10"/>
  <c r="D2036" i="10"/>
  <c r="E2035" i="10"/>
  <c r="D2035" i="10"/>
  <c r="E2034" i="10"/>
  <c r="D2034" i="10"/>
  <c r="E2033" i="10"/>
  <c r="D2033" i="10"/>
  <c r="E2032" i="10"/>
  <c r="D2032" i="10"/>
  <c r="E2031" i="10"/>
  <c r="D2031" i="10"/>
  <c r="E2030" i="10"/>
  <c r="D2030" i="10"/>
  <c r="E2029" i="10"/>
  <c r="D2029" i="10"/>
  <c r="E2028" i="10"/>
  <c r="D2028" i="10"/>
  <c r="E2027" i="10"/>
  <c r="D2027" i="10"/>
  <c r="E2026" i="10"/>
  <c r="D2026" i="10"/>
  <c r="E2025" i="10"/>
  <c r="D2025" i="10"/>
  <c r="E2024" i="10"/>
  <c r="D2024" i="10"/>
  <c r="E2023" i="10"/>
  <c r="D2023" i="10"/>
  <c r="E2022" i="10"/>
  <c r="D2022" i="10"/>
  <c r="E2021" i="10"/>
  <c r="D2021" i="10"/>
  <c r="E2020" i="10"/>
  <c r="D2020" i="10"/>
  <c r="E2019" i="10"/>
  <c r="D2019" i="10"/>
  <c r="E2018" i="10"/>
  <c r="D2018" i="10"/>
  <c r="E2017" i="10"/>
  <c r="D2017" i="10"/>
  <c r="E2016" i="10"/>
  <c r="D2016" i="10"/>
  <c r="E2015" i="10"/>
  <c r="D2015" i="10"/>
  <c r="E2014" i="10"/>
  <c r="D2014" i="10"/>
  <c r="E2013" i="10"/>
  <c r="D2013" i="10"/>
  <c r="E2012" i="10"/>
  <c r="D2012" i="10"/>
  <c r="E2011" i="10"/>
  <c r="D2011" i="10"/>
  <c r="E2010" i="10"/>
  <c r="D2010" i="10"/>
  <c r="E2009" i="10"/>
  <c r="D2009" i="10"/>
  <c r="E2008" i="10"/>
  <c r="D2008" i="10"/>
  <c r="E2007" i="10"/>
  <c r="D2007" i="10"/>
  <c r="E2006" i="10"/>
  <c r="D2006" i="10"/>
  <c r="E2005" i="10"/>
  <c r="D2005" i="10"/>
  <c r="E2004" i="10"/>
  <c r="D2004" i="10"/>
  <c r="E2003" i="10"/>
  <c r="D2003" i="10"/>
  <c r="E2002" i="10"/>
  <c r="D2002" i="10"/>
  <c r="E2001" i="10"/>
  <c r="D2001" i="10"/>
  <c r="E2000" i="10"/>
  <c r="D2000" i="10"/>
  <c r="E1999" i="10"/>
  <c r="D1999" i="10"/>
  <c r="E1998" i="10"/>
  <c r="D1998" i="10"/>
  <c r="E1997" i="10"/>
  <c r="D1997" i="10"/>
  <c r="E1996" i="10"/>
  <c r="D1996" i="10"/>
  <c r="E1995" i="10"/>
  <c r="D1995" i="10"/>
  <c r="E1994" i="10"/>
  <c r="D1994" i="10"/>
  <c r="E1993" i="10"/>
  <c r="D1993" i="10"/>
  <c r="E1992" i="10"/>
  <c r="D1992" i="10"/>
  <c r="E1991" i="10"/>
  <c r="D1991" i="10"/>
  <c r="E1990" i="10"/>
  <c r="D1990" i="10"/>
  <c r="E1989" i="10"/>
  <c r="D1989" i="10"/>
  <c r="E1988" i="10"/>
  <c r="D1988" i="10"/>
  <c r="E1987" i="10"/>
  <c r="D1987" i="10"/>
  <c r="E1986" i="10"/>
  <c r="D1986" i="10"/>
  <c r="E1985" i="10"/>
  <c r="D1985" i="10"/>
  <c r="E1984" i="10"/>
  <c r="D1984" i="10"/>
  <c r="E1983" i="10"/>
  <c r="D1983" i="10"/>
  <c r="E1982" i="10"/>
  <c r="D1982" i="10"/>
  <c r="E1981" i="10"/>
  <c r="D1981" i="10"/>
  <c r="E1980" i="10"/>
  <c r="D1980" i="10"/>
  <c r="E1979" i="10"/>
  <c r="D1979" i="10"/>
  <c r="E1978" i="10"/>
  <c r="D1978" i="10"/>
  <c r="E1977" i="10"/>
  <c r="D1977" i="10"/>
  <c r="E1976" i="10"/>
  <c r="D1976" i="10"/>
  <c r="E1975" i="10"/>
  <c r="D1975" i="10"/>
  <c r="E1974" i="10"/>
  <c r="D1974" i="10"/>
  <c r="E1973" i="10"/>
  <c r="D1973" i="10"/>
  <c r="E1972" i="10"/>
  <c r="D1972" i="10"/>
  <c r="E1971" i="10"/>
  <c r="D1971" i="10"/>
  <c r="E1970" i="10"/>
  <c r="D1970" i="10"/>
  <c r="E1969" i="10"/>
  <c r="D1969" i="10"/>
  <c r="E1968" i="10"/>
  <c r="D1968" i="10"/>
  <c r="E1967" i="10"/>
  <c r="D1967" i="10"/>
  <c r="E1966" i="10"/>
  <c r="D1966" i="10"/>
  <c r="E1965" i="10"/>
  <c r="D1965" i="10"/>
  <c r="E1964" i="10"/>
  <c r="D1964" i="10"/>
  <c r="E1963" i="10"/>
  <c r="D1963" i="10"/>
  <c r="E1962" i="10"/>
  <c r="D1962" i="10"/>
  <c r="E1961" i="10"/>
  <c r="D1961" i="10"/>
  <c r="E1960" i="10"/>
  <c r="D1960" i="10"/>
  <c r="E1959" i="10"/>
  <c r="D1959" i="10"/>
  <c r="E1958" i="10"/>
  <c r="D1958" i="10"/>
  <c r="E1957" i="10"/>
  <c r="D1957" i="10"/>
  <c r="E1956" i="10"/>
  <c r="D1956" i="10"/>
  <c r="E1955" i="10"/>
  <c r="D1955" i="10"/>
  <c r="E1954" i="10"/>
  <c r="D1954" i="10"/>
  <c r="E1953" i="10"/>
  <c r="D1953" i="10"/>
  <c r="E1952" i="10"/>
  <c r="D1952" i="10"/>
  <c r="E1951" i="10"/>
  <c r="D1951" i="10"/>
  <c r="E1950" i="10"/>
  <c r="D1950" i="10"/>
  <c r="E1949" i="10"/>
  <c r="D1949" i="10"/>
  <c r="E1948" i="10"/>
  <c r="D1948" i="10"/>
  <c r="E1947" i="10"/>
  <c r="D1947" i="10"/>
  <c r="E1946" i="10"/>
  <c r="D1946" i="10"/>
  <c r="E1945" i="10"/>
  <c r="D1945" i="10"/>
  <c r="E1944" i="10"/>
  <c r="D1944" i="10"/>
  <c r="E1943" i="10"/>
  <c r="D1943" i="10"/>
  <c r="E1942" i="10"/>
  <c r="D1942" i="10"/>
  <c r="E1941" i="10"/>
  <c r="D1941" i="10"/>
  <c r="E1940" i="10"/>
  <c r="D1940" i="10"/>
  <c r="E1939" i="10"/>
  <c r="D1939" i="10"/>
  <c r="E1938" i="10"/>
  <c r="D1938" i="10"/>
  <c r="E1937" i="10"/>
  <c r="D1937" i="10"/>
  <c r="E1936" i="10"/>
  <c r="D1936" i="10"/>
  <c r="E1935" i="10"/>
  <c r="D1935" i="10"/>
  <c r="E1934" i="10"/>
  <c r="D1934" i="10"/>
  <c r="E1933" i="10"/>
  <c r="D1933" i="10"/>
  <c r="E1932" i="10"/>
  <c r="D1932" i="10"/>
  <c r="E1931" i="10"/>
  <c r="D1931" i="10"/>
  <c r="E1930" i="10"/>
  <c r="D1930" i="10"/>
  <c r="E1929" i="10"/>
  <c r="D1929" i="10"/>
  <c r="E1928" i="10"/>
  <c r="D1928" i="10"/>
  <c r="E1927" i="10"/>
  <c r="D1927" i="10"/>
  <c r="E1926" i="10"/>
  <c r="D1926" i="10"/>
  <c r="E1925" i="10"/>
  <c r="D1925" i="10"/>
  <c r="E1924" i="10"/>
  <c r="D1924" i="10"/>
  <c r="E1923" i="10"/>
  <c r="D1923" i="10"/>
  <c r="E1922" i="10"/>
  <c r="D1922" i="10"/>
  <c r="E1921" i="10"/>
  <c r="D1921" i="10"/>
  <c r="E1920" i="10"/>
  <c r="D1920" i="10"/>
  <c r="E1919" i="10"/>
  <c r="D1919" i="10"/>
  <c r="E1918" i="10"/>
  <c r="D1918" i="10"/>
  <c r="E1917" i="10"/>
  <c r="D1917" i="10"/>
  <c r="E1916" i="10"/>
  <c r="D1916" i="10"/>
  <c r="E1915" i="10"/>
  <c r="D1915" i="10"/>
  <c r="E1914" i="10"/>
  <c r="D1914" i="10"/>
  <c r="E1913" i="10"/>
  <c r="D1913" i="10"/>
  <c r="E1912" i="10"/>
  <c r="D1912" i="10"/>
  <c r="E1911" i="10"/>
  <c r="D1911" i="10"/>
  <c r="E1910" i="10"/>
  <c r="D1910" i="10"/>
  <c r="E1909" i="10"/>
  <c r="D1909" i="10"/>
  <c r="E1908" i="10"/>
  <c r="D1908" i="10"/>
  <c r="E1907" i="10"/>
  <c r="D1907" i="10"/>
  <c r="E1906" i="10"/>
  <c r="D1906" i="10"/>
  <c r="E1905" i="10"/>
  <c r="D1905" i="10"/>
  <c r="E1904" i="10"/>
  <c r="D1904" i="10"/>
  <c r="E1903" i="10"/>
  <c r="D1903" i="10"/>
  <c r="E1902" i="10"/>
  <c r="D1902" i="10"/>
  <c r="E1901" i="10"/>
  <c r="D1901" i="10"/>
  <c r="E1900" i="10"/>
  <c r="D1900" i="10"/>
  <c r="E1899" i="10"/>
  <c r="D1899" i="10"/>
  <c r="E1898" i="10"/>
  <c r="D1898" i="10"/>
  <c r="E1897" i="10"/>
  <c r="D1897" i="10"/>
  <c r="E1896" i="10"/>
  <c r="D1896" i="10"/>
  <c r="E1895" i="10"/>
  <c r="D1895" i="10"/>
  <c r="E1894" i="10"/>
  <c r="D1894" i="10"/>
  <c r="E1893" i="10"/>
  <c r="D1893" i="10"/>
  <c r="E1892" i="10"/>
  <c r="D1892" i="10"/>
  <c r="E1891" i="10"/>
  <c r="D1891" i="10"/>
  <c r="E1890" i="10"/>
  <c r="D1890" i="10"/>
  <c r="E1889" i="10"/>
  <c r="D1889" i="10"/>
  <c r="E1888" i="10"/>
  <c r="D1888" i="10"/>
  <c r="E1887" i="10"/>
  <c r="D1887" i="10"/>
  <c r="E1886" i="10"/>
  <c r="D1886" i="10"/>
  <c r="E1885" i="10"/>
  <c r="D1885" i="10"/>
  <c r="E1884" i="10"/>
  <c r="D1884" i="10"/>
  <c r="E1883" i="10"/>
  <c r="D1883" i="10"/>
  <c r="E1882" i="10"/>
  <c r="D1882" i="10"/>
  <c r="E1881" i="10"/>
  <c r="D1881" i="10"/>
  <c r="E1880" i="10"/>
  <c r="D1880" i="10"/>
  <c r="E1879" i="10"/>
  <c r="D1879" i="10"/>
  <c r="E1878" i="10"/>
  <c r="D1878" i="10"/>
  <c r="E1877" i="10"/>
  <c r="D1877" i="10"/>
  <c r="E1876" i="10"/>
  <c r="D1876" i="10"/>
  <c r="E1875" i="10"/>
  <c r="D1875" i="10"/>
  <c r="E1874" i="10"/>
  <c r="D1874" i="10"/>
  <c r="E1873" i="10"/>
  <c r="D1873" i="10"/>
  <c r="E1872" i="10"/>
  <c r="D1872" i="10"/>
  <c r="E1871" i="10"/>
  <c r="D1871" i="10"/>
  <c r="E1870" i="10"/>
  <c r="D1870" i="10"/>
  <c r="E1869" i="10"/>
  <c r="D1869" i="10"/>
  <c r="E1868" i="10"/>
  <c r="D1868" i="10"/>
  <c r="E1867" i="10"/>
  <c r="D1867" i="10"/>
  <c r="E1866" i="10"/>
  <c r="D1866" i="10"/>
  <c r="E1865" i="10"/>
  <c r="D1865" i="10"/>
  <c r="E1864" i="10"/>
  <c r="D1864" i="10"/>
  <c r="E1863" i="10"/>
  <c r="D1863" i="10"/>
  <c r="E1862" i="10"/>
  <c r="D1862" i="10"/>
  <c r="E1861" i="10"/>
  <c r="D1861" i="10"/>
  <c r="E1860" i="10"/>
  <c r="D1860" i="10"/>
  <c r="E1859" i="10"/>
  <c r="D1859" i="10"/>
  <c r="E1858" i="10"/>
  <c r="D1858" i="10"/>
  <c r="E1857" i="10"/>
  <c r="D1857" i="10"/>
  <c r="E1856" i="10"/>
  <c r="D1856" i="10"/>
  <c r="E1855" i="10"/>
  <c r="D1855" i="10"/>
  <c r="E1854" i="10"/>
  <c r="D1854" i="10"/>
  <c r="E1853" i="10"/>
  <c r="D1853" i="10"/>
  <c r="E1852" i="10"/>
  <c r="D1852" i="10"/>
  <c r="E1851" i="10"/>
  <c r="D1851" i="10"/>
  <c r="E1850" i="10"/>
  <c r="D1850" i="10"/>
  <c r="E1849" i="10"/>
  <c r="D1849" i="10"/>
  <c r="E1848" i="10"/>
  <c r="D1848" i="10"/>
  <c r="E1847" i="10"/>
  <c r="D1847" i="10"/>
  <c r="E1846" i="10"/>
  <c r="D1846" i="10"/>
  <c r="E1845" i="10"/>
  <c r="D1845" i="10"/>
  <c r="E1844" i="10"/>
  <c r="D1844" i="10"/>
  <c r="E1843" i="10"/>
  <c r="D1843" i="10"/>
  <c r="E1842" i="10"/>
  <c r="D1842" i="10"/>
  <c r="E1841" i="10"/>
  <c r="D1841" i="10"/>
  <c r="E1840" i="10"/>
  <c r="D1840" i="10"/>
  <c r="E1839" i="10"/>
  <c r="D1839" i="10"/>
  <c r="E1838" i="10"/>
  <c r="D1838" i="10"/>
  <c r="E1837" i="10"/>
  <c r="D1837" i="10"/>
  <c r="E1836" i="10"/>
  <c r="D1836" i="10"/>
  <c r="E1835" i="10"/>
  <c r="D1835" i="10"/>
  <c r="E1834" i="10"/>
  <c r="D1834" i="10"/>
  <c r="E1833" i="10"/>
  <c r="D1833" i="10"/>
  <c r="E1832" i="10"/>
  <c r="D1832" i="10"/>
  <c r="E1831" i="10"/>
  <c r="D1831" i="10"/>
  <c r="E1830" i="10"/>
  <c r="D1830" i="10"/>
  <c r="E1829" i="10"/>
  <c r="D1829" i="10"/>
  <c r="E1828" i="10"/>
  <c r="D1828" i="10"/>
  <c r="E1827" i="10"/>
  <c r="D1827" i="10"/>
  <c r="E1826" i="10"/>
  <c r="D1826" i="10"/>
  <c r="E1825" i="10"/>
  <c r="D1825" i="10"/>
  <c r="E1824" i="10"/>
  <c r="D1824" i="10"/>
  <c r="E1823" i="10"/>
  <c r="D1823" i="10"/>
  <c r="E1822" i="10"/>
  <c r="D1822" i="10"/>
  <c r="E1821" i="10"/>
  <c r="D1821" i="10"/>
  <c r="E1820" i="10"/>
  <c r="D1820" i="10"/>
  <c r="E1819" i="10"/>
  <c r="D1819" i="10"/>
  <c r="E1818" i="10"/>
  <c r="D1818" i="10"/>
  <c r="E1817" i="10"/>
  <c r="D1817" i="10"/>
  <c r="E1816" i="10"/>
  <c r="D1816" i="10"/>
  <c r="E1815" i="10"/>
  <c r="D1815" i="10"/>
  <c r="E1814" i="10"/>
  <c r="D1814" i="10"/>
  <c r="E1813" i="10"/>
  <c r="D1813" i="10"/>
  <c r="E1812" i="10"/>
  <c r="D1812" i="10"/>
  <c r="E1811" i="10"/>
  <c r="D1811" i="10"/>
  <c r="E1810" i="10"/>
  <c r="D1810" i="10"/>
  <c r="E1809" i="10"/>
  <c r="D1809" i="10"/>
  <c r="E1808" i="10"/>
  <c r="D1808" i="10"/>
  <c r="E1807" i="10"/>
  <c r="D1807" i="10"/>
  <c r="E1806" i="10"/>
  <c r="D1806" i="10"/>
  <c r="E1805" i="10"/>
  <c r="D1805" i="10"/>
  <c r="E1804" i="10"/>
  <c r="D1804" i="10"/>
  <c r="E1803" i="10"/>
  <c r="D1803" i="10"/>
  <c r="E1802" i="10"/>
  <c r="D1802" i="10"/>
  <c r="E1801" i="10"/>
  <c r="D1801" i="10"/>
  <c r="E1800" i="10"/>
  <c r="D1800" i="10"/>
  <c r="E1799" i="10"/>
  <c r="D1799" i="10"/>
  <c r="E1798" i="10"/>
  <c r="D1798" i="10"/>
  <c r="E1797" i="10"/>
  <c r="D1797" i="10"/>
  <c r="E1796" i="10"/>
  <c r="D1796" i="10"/>
  <c r="E1795" i="10"/>
  <c r="D1795" i="10"/>
  <c r="E1794" i="10"/>
  <c r="D1794" i="10"/>
  <c r="E1793" i="10"/>
  <c r="D1793" i="10"/>
  <c r="E1792" i="10"/>
  <c r="D1792" i="10"/>
  <c r="E1791" i="10"/>
  <c r="D1791" i="10"/>
  <c r="E1790" i="10"/>
  <c r="D1790" i="10"/>
  <c r="E1789" i="10"/>
  <c r="D1789" i="10"/>
  <c r="E1788" i="10"/>
  <c r="D1788" i="10"/>
  <c r="E1787" i="10"/>
  <c r="D1787" i="10"/>
  <c r="E1786" i="10"/>
  <c r="D1786" i="10"/>
  <c r="E1785" i="10"/>
  <c r="D1785" i="10"/>
  <c r="E1784" i="10"/>
  <c r="D1784" i="10"/>
  <c r="E1783" i="10"/>
  <c r="D1783" i="10"/>
  <c r="E1782" i="10"/>
  <c r="D1782" i="10"/>
  <c r="E1781" i="10"/>
  <c r="D1781" i="10"/>
  <c r="E1780" i="10"/>
  <c r="D1780" i="10"/>
  <c r="E1779" i="10"/>
  <c r="D1779" i="10"/>
  <c r="E1778" i="10"/>
  <c r="D1778" i="10"/>
  <c r="E1777" i="10"/>
  <c r="D1777" i="10"/>
  <c r="E1776" i="10"/>
  <c r="D1776" i="10"/>
  <c r="E1775" i="10"/>
  <c r="D1775" i="10"/>
  <c r="E1774" i="10"/>
  <c r="D1774" i="10"/>
  <c r="E1773" i="10"/>
  <c r="D1773" i="10"/>
  <c r="E1772" i="10"/>
  <c r="D1772" i="10"/>
  <c r="E1771" i="10"/>
  <c r="D1771" i="10"/>
  <c r="E1770" i="10"/>
  <c r="D1770" i="10"/>
  <c r="E1769" i="10"/>
  <c r="D1769" i="10"/>
  <c r="E1768" i="10"/>
  <c r="D1768" i="10"/>
  <c r="E1767" i="10"/>
  <c r="D1767" i="10"/>
  <c r="E1766" i="10"/>
  <c r="D1766" i="10"/>
  <c r="E1765" i="10"/>
  <c r="D1765" i="10"/>
  <c r="E1764" i="10"/>
  <c r="D1764" i="10"/>
  <c r="E1763" i="10"/>
  <c r="D1763" i="10"/>
  <c r="E1762" i="10"/>
  <c r="D1762" i="10"/>
  <c r="E1761" i="10"/>
  <c r="D1761" i="10"/>
  <c r="E1760" i="10"/>
  <c r="D1760" i="10"/>
  <c r="E1759" i="10"/>
  <c r="D1759" i="10"/>
  <c r="E1758" i="10"/>
  <c r="D1758" i="10"/>
  <c r="E1757" i="10"/>
  <c r="D1757" i="10"/>
  <c r="E1756" i="10"/>
  <c r="D1756" i="10"/>
  <c r="E1755" i="10"/>
  <c r="D1755" i="10"/>
  <c r="E1754" i="10"/>
  <c r="D1754" i="10"/>
  <c r="E1753" i="10"/>
  <c r="D1753" i="10"/>
  <c r="E1752" i="10"/>
  <c r="D1752" i="10"/>
  <c r="E1751" i="10"/>
  <c r="D1751" i="10"/>
  <c r="E1750" i="10"/>
  <c r="D1750" i="10"/>
  <c r="E1749" i="10"/>
  <c r="D1749" i="10"/>
  <c r="E1748" i="10"/>
  <c r="D1748" i="10"/>
  <c r="E1747" i="10"/>
  <c r="D1747" i="10"/>
  <c r="E1746" i="10"/>
  <c r="D1746" i="10"/>
  <c r="E1745" i="10"/>
  <c r="D1745" i="10"/>
  <c r="E1744" i="10"/>
  <c r="D1744" i="10"/>
  <c r="E1743" i="10"/>
  <c r="D1743" i="10"/>
  <c r="E1742" i="10"/>
  <c r="D1742" i="10"/>
  <c r="E1741" i="10"/>
  <c r="D1741" i="10"/>
  <c r="E1740" i="10"/>
  <c r="D1740" i="10"/>
  <c r="E1739" i="10"/>
  <c r="D1739" i="10"/>
  <c r="E1738" i="10"/>
  <c r="D1738" i="10"/>
  <c r="E1737" i="10"/>
  <c r="D1737" i="10"/>
  <c r="E1736" i="10"/>
  <c r="D1736" i="10"/>
  <c r="E1735" i="10"/>
  <c r="D1735" i="10"/>
  <c r="E1734" i="10"/>
  <c r="D1734" i="10"/>
  <c r="E1733" i="10"/>
  <c r="D1733" i="10"/>
  <c r="E1732" i="10"/>
  <c r="D1732" i="10"/>
  <c r="E1731" i="10"/>
  <c r="D1731" i="10"/>
  <c r="E1730" i="10"/>
  <c r="D1730" i="10"/>
  <c r="E1729" i="10"/>
  <c r="D1729" i="10"/>
  <c r="E1728" i="10"/>
  <c r="D1728" i="10"/>
  <c r="E1727" i="10"/>
  <c r="D1727" i="10"/>
  <c r="E1726" i="10"/>
  <c r="D1726" i="10"/>
  <c r="E1725" i="10"/>
  <c r="D1725" i="10"/>
  <c r="E1724" i="10"/>
  <c r="D1724" i="10"/>
  <c r="E1723" i="10"/>
  <c r="D1723" i="10"/>
  <c r="E1722" i="10"/>
  <c r="D1722" i="10"/>
  <c r="E1721" i="10"/>
  <c r="D1721" i="10"/>
  <c r="E1720" i="10"/>
  <c r="D1720" i="10"/>
  <c r="E1719" i="10"/>
  <c r="D1719" i="10"/>
  <c r="E1718" i="10"/>
  <c r="D1718" i="10"/>
  <c r="E1717" i="10"/>
  <c r="D1717" i="10"/>
  <c r="E1716" i="10"/>
  <c r="D1716" i="10"/>
  <c r="E1715" i="10"/>
  <c r="D1715" i="10"/>
  <c r="E1714" i="10"/>
  <c r="D1714" i="10"/>
  <c r="E1713" i="10"/>
  <c r="D1713" i="10"/>
  <c r="E1712" i="10"/>
  <c r="D1712" i="10"/>
  <c r="E1711" i="10"/>
  <c r="D1711" i="10"/>
  <c r="E1710" i="10"/>
  <c r="D1710" i="10"/>
  <c r="E1709" i="10"/>
  <c r="D1709" i="10"/>
  <c r="E1708" i="10"/>
  <c r="D1708" i="10"/>
  <c r="E1707" i="10"/>
  <c r="D1707" i="10"/>
  <c r="E1706" i="10"/>
  <c r="D1706" i="10"/>
  <c r="E1705" i="10"/>
  <c r="D1705" i="10"/>
  <c r="E1704" i="10"/>
  <c r="D1704" i="10"/>
  <c r="E1703" i="10"/>
  <c r="D1703" i="10"/>
  <c r="E1702" i="10"/>
  <c r="D1702" i="10"/>
  <c r="E1701" i="10"/>
  <c r="D1701" i="10"/>
  <c r="E1700" i="10"/>
  <c r="D1700" i="10"/>
  <c r="E1699" i="10"/>
  <c r="D1699" i="10"/>
  <c r="E1698" i="10"/>
  <c r="D1698" i="10"/>
  <c r="E1697" i="10"/>
  <c r="D1697" i="10"/>
  <c r="E1696" i="10"/>
  <c r="D1696" i="10"/>
  <c r="E1695" i="10"/>
  <c r="D1695" i="10"/>
  <c r="E1694" i="10"/>
  <c r="D1694" i="10"/>
  <c r="E1693" i="10"/>
  <c r="D1693" i="10"/>
  <c r="E1692" i="10"/>
  <c r="D1692" i="10"/>
  <c r="E1691" i="10"/>
  <c r="D1691" i="10"/>
  <c r="E1690" i="10"/>
  <c r="D1690" i="10"/>
  <c r="E1689" i="10"/>
  <c r="D1689" i="10"/>
  <c r="E1688" i="10"/>
  <c r="D1688" i="10"/>
  <c r="E1687" i="10"/>
  <c r="D1687" i="10"/>
  <c r="E1686" i="10"/>
  <c r="D1686" i="10"/>
  <c r="E1685" i="10"/>
  <c r="D1685" i="10"/>
  <c r="E1684" i="10"/>
  <c r="D1684" i="10"/>
  <c r="E1683" i="10"/>
  <c r="D1683" i="10"/>
  <c r="E1682" i="10"/>
  <c r="D1682" i="10"/>
  <c r="E1681" i="10"/>
  <c r="D1681" i="10"/>
  <c r="E1680" i="10"/>
  <c r="D1680" i="10"/>
  <c r="E1679" i="10"/>
  <c r="D1679" i="10"/>
  <c r="E1678" i="10"/>
  <c r="D1678" i="10"/>
  <c r="E1677" i="10"/>
  <c r="D1677" i="10"/>
  <c r="E1676" i="10"/>
  <c r="D1676" i="10"/>
  <c r="E1675" i="10"/>
  <c r="D1675" i="10"/>
  <c r="E1674" i="10"/>
  <c r="D1674" i="10"/>
  <c r="E1673" i="10"/>
  <c r="D1673" i="10"/>
  <c r="E1672" i="10"/>
  <c r="D1672" i="10"/>
  <c r="E1671" i="10"/>
  <c r="D1671" i="10"/>
  <c r="E1670" i="10"/>
  <c r="D1670" i="10"/>
  <c r="E1669" i="10"/>
  <c r="D1669" i="10"/>
  <c r="E1668" i="10"/>
  <c r="D1668" i="10"/>
  <c r="E1667" i="10"/>
  <c r="D1667" i="10"/>
  <c r="E1666" i="10"/>
  <c r="D1666" i="10"/>
  <c r="E1665" i="10"/>
  <c r="D1665" i="10"/>
  <c r="E1664" i="10"/>
  <c r="D1664" i="10"/>
  <c r="E1663" i="10"/>
  <c r="D1663" i="10"/>
  <c r="E1662" i="10"/>
  <c r="D1662" i="10"/>
  <c r="E1661" i="10"/>
  <c r="D1661" i="10"/>
  <c r="E1660" i="10"/>
  <c r="D1660" i="10"/>
  <c r="E1659" i="10"/>
  <c r="D1659" i="10"/>
  <c r="E1658" i="10"/>
  <c r="D1658" i="10"/>
  <c r="E1657" i="10"/>
  <c r="D1657" i="10"/>
  <c r="E1656" i="10"/>
  <c r="D1656" i="10"/>
  <c r="E1655" i="10"/>
  <c r="D1655" i="10"/>
  <c r="E1654" i="10"/>
  <c r="D1654" i="10"/>
  <c r="E1653" i="10"/>
  <c r="D1653" i="10"/>
  <c r="E1652" i="10"/>
  <c r="D1652" i="10"/>
  <c r="E1651" i="10"/>
  <c r="D1651" i="10"/>
  <c r="E1650" i="10"/>
  <c r="D1650" i="10"/>
  <c r="E1649" i="10"/>
  <c r="D1649" i="10"/>
  <c r="E1648" i="10"/>
  <c r="D1648" i="10"/>
  <c r="E1647" i="10"/>
  <c r="D1647" i="10"/>
  <c r="E1646" i="10"/>
  <c r="D1646" i="10"/>
  <c r="E1645" i="10"/>
  <c r="D1645" i="10"/>
  <c r="E1644" i="10"/>
  <c r="D1644" i="10"/>
  <c r="E1643" i="10"/>
  <c r="D1643" i="10"/>
  <c r="E1642" i="10"/>
  <c r="D1642" i="10"/>
  <c r="E1641" i="10"/>
  <c r="D1641" i="10"/>
  <c r="E1640" i="10"/>
  <c r="D1640" i="10"/>
  <c r="E1639" i="10"/>
  <c r="D1639" i="10"/>
  <c r="E1638" i="10"/>
  <c r="D1638" i="10"/>
  <c r="E1637" i="10"/>
  <c r="D1637" i="10"/>
  <c r="E1636" i="10"/>
  <c r="D1636" i="10"/>
  <c r="E1635" i="10"/>
  <c r="D1635" i="10"/>
  <c r="E1634" i="10"/>
  <c r="D1634" i="10"/>
  <c r="E1633" i="10"/>
  <c r="D1633" i="10"/>
  <c r="E1632" i="10"/>
  <c r="D1632" i="10"/>
  <c r="E1631" i="10"/>
  <c r="D1631" i="10"/>
  <c r="E1630" i="10"/>
  <c r="D1630" i="10"/>
  <c r="E1629" i="10"/>
  <c r="D1629" i="10"/>
  <c r="E1628" i="10"/>
  <c r="D1628" i="10"/>
  <c r="E1627" i="10"/>
  <c r="D1627" i="10"/>
  <c r="E1626" i="10"/>
  <c r="D1626" i="10"/>
  <c r="E1625" i="10"/>
  <c r="D1625" i="10"/>
  <c r="E1624" i="10"/>
  <c r="D1624" i="10"/>
  <c r="E1623" i="10"/>
  <c r="D1623" i="10"/>
  <c r="E1622" i="10"/>
  <c r="D1622" i="10"/>
  <c r="E1621" i="10"/>
  <c r="D1621" i="10"/>
  <c r="E1620" i="10"/>
  <c r="D1620" i="10"/>
  <c r="E1619" i="10"/>
  <c r="D1619" i="10"/>
  <c r="E1618" i="10"/>
  <c r="D1618" i="10"/>
  <c r="E1617" i="10"/>
  <c r="D1617" i="10"/>
  <c r="E1616" i="10"/>
  <c r="D1616" i="10"/>
  <c r="E1615" i="10"/>
  <c r="D1615" i="10"/>
  <c r="E1614" i="10"/>
  <c r="D1614" i="10"/>
  <c r="E1613" i="10"/>
  <c r="D1613" i="10"/>
  <c r="E1612" i="10"/>
  <c r="D1612" i="10"/>
  <c r="E1611" i="10"/>
  <c r="D1611" i="10"/>
  <c r="E1610" i="10"/>
  <c r="D1610" i="10"/>
  <c r="E1609" i="10"/>
  <c r="D1609" i="10"/>
  <c r="E1608" i="10"/>
  <c r="D1608" i="10"/>
  <c r="E1607" i="10"/>
  <c r="D1607" i="10"/>
  <c r="E1606" i="10"/>
  <c r="D1606" i="10"/>
  <c r="E1605" i="10"/>
  <c r="D1605" i="10"/>
  <c r="E1604" i="10"/>
  <c r="D1604" i="10"/>
  <c r="E1603" i="10"/>
  <c r="D1603" i="10"/>
  <c r="E1602" i="10"/>
  <c r="D1602" i="10"/>
  <c r="E1601" i="10"/>
  <c r="D1601" i="10"/>
  <c r="E1600" i="10"/>
  <c r="D1600" i="10"/>
  <c r="E1599" i="10"/>
  <c r="D1599" i="10"/>
  <c r="E1598" i="10"/>
  <c r="D1598" i="10"/>
  <c r="E1597" i="10"/>
  <c r="D1597" i="10"/>
  <c r="E1596" i="10"/>
  <c r="D1596" i="10"/>
  <c r="E1595" i="10"/>
  <c r="D1595" i="10"/>
  <c r="E1594" i="10"/>
  <c r="D1594" i="10"/>
  <c r="E1593" i="10"/>
  <c r="D1593" i="10"/>
  <c r="E1592" i="10"/>
  <c r="D1592" i="10"/>
  <c r="E1591" i="10"/>
  <c r="D1591" i="10"/>
  <c r="E1590" i="10"/>
  <c r="D1590" i="10"/>
  <c r="E1589" i="10"/>
  <c r="D1589" i="10"/>
  <c r="E1588" i="10"/>
  <c r="D1588" i="10"/>
  <c r="E1587" i="10"/>
  <c r="D1587" i="10"/>
  <c r="E1586" i="10"/>
  <c r="D1586" i="10"/>
  <c r="E1585" i="10"/>
  <c r="D1585" i="10"/>
  <c r="E1584" i="10"/>
  <c r="D1584" i="10"/>
  <c r="E1583" i="10"/>
  <c r="D1583" i="10"/>
  <c r="E1582" i="10"/>
  <c r="D1582" i="10"/>
  <c r="E1581" i="10"/>
  <c r="D1581" i="10"/>
  <c r="E1580" i="10"/>
  <c r="D1580" i="10"/>
  <c r="E1579" i="10"/>
  <c r="D1579" i="10"/>
  <c r="E1578" i="10"/>
  <c r="D1578" i="10"/>
  <c r="E1577" i="10"/>
  <c r="D1577" i="10"/>
  <c r="E1576" i="10"/>
  <c r="D1576" i="10"/>
  <c r="E1575" i="10"/>
  <c r="D1575" i="10"/>
  <c r="E1574" i="10"/>
  <c r="D1574" i="10"/>
  <c r="E1573" i="10"/>
  <c r="D1573" i="10"/>
  <c r="E1572" i="10"/>
  <c r="D1572" i="10"/>
  <c r="E1571" i="10"/>
  <c r="D1571" i="10"/>
  <c r="E1570" i="10"/>
  <c r="D1570" i="10"/>
  <c r="E1569" i="10"/>
  <c r="D1569" i="10"/>
  <c r="E1568" i="10"/>
  <c r="D1568" i="10"/>
  <c r="E1567" i="10"/>
  <c r="D1567" i="10"/>
  <c r="E1566" i="10"/>
  <c r="D1566" i="10"/>
  <c r="E1565" i="10"/>
  <c r="D1565" i="10"/>
  <c r="E1564" i="10"/>
  <c r="D1564" i="10"/>
  <c r="E1563" i="10"/>
  <c r="D1563" i="10"/>
  <c r="E1562" i="10"/>
  <c r="D1562" i="10"/>
  <c r="E1561" i="10"/>
  <c r="D1561" i="10"/>
  <c r="E1560" i="10"/>
  <c r="D1560" i="10"/>
  <c r="E1559" i="10"/>
  <c r="D1559" i="10"/>
  <c r="E1558" i="10"/>
  <c r="D1558" i="10"/>
  <c r="E1557" i="10"/>
  <c r="D1557" i="10"/>
  <c r="E1556" i="10"/>
  <c r="D1556" i="10"/>
  <c r="E1555" i="10"/>
  <c r="D1555" i="10"/>
  <c r="E1554" i="10"/>
  <c r="D1554" i="10"/>
  <c r="E1553" i="10"/>
  <c r="D1553" i="10"/>
  <c r="E1552" i="10"/>
  <c r="D1552" i="10"/>
  <c r="E1551" i="10"/>
  <c r="D1551" i="10"/>
  <c r="E1550" i="10"/>
  <c r="D1550" i="10"/>
  <c r="E1549" i="10"/>
  <c r="D1549" i="10"/>
  <c r="E1548" i="10"/>
  <c r="D1548" i="10"/>
  <c r="E1547" i="10"/>
  <c r="D1547" i="10"/>
  <c r="E1546" i="10"/>
  <c r="D1546" i="10"/>
  <c r="E1545" i="10"/>
  <c r="D1545" i="10"/>
  <c r="E1544" i="10"/>
  <c r="D1544" i="10"/>
  <c r="E1543" i="10"/>
  <c r="D1543" i="10"/>
  <c r="E1542" i="10"/>
  <c r="D1542" i="10"/>
  <c r="E1541" i="10"/>
  <c r="D1541" i="10"/>
  <c r="E1540" i="10"/>
  <c r="D1540" i="10"/>
  <c r="E1539" i="10"/>
  <c r="D1539" i="10"/>
  <c r="E1538" i="10"/>
  <c r="D1538" i="10"/>
  <c r="E1537" i="10"/>
  <c r="D1537" i="10"/>
  <c r="E1536" i="10"/>
  <c r="D1536" i="10"/>
  <c r="E1535" i="10"/>
  <c r="D1535" i="10"/>
  <c r="E1534" i="10"/>
  <c r="D1534" i="10"/>
  <c r="E1533" i="10"/>
  <c r="D1533" i="10"/>
  <c r="E1532" i="10"/>
  <c r="D1532" i="10"/>
  <c r="E1531" i="10"/>
  <c r="D1531" i="10"/>
  <c r="E1530" i="10"/>
  <c r="D1530" i="10"/>
  <c r="E1529" i="10"/>
  <c r="D1529" i="10"/>
  <c r="E1528" i="10"/>
  <c r="D1528" i="10"/>
  <c r="E1527" i="10"/>
  <c r="D1527" i="10"/>
  <c r="E1526" i="10"/>
  <c r="D1526" i="10"/>
  <c r="E1525" i="10"/>
  <c r="D1525" i="10"/>
  <c r="E1524" i="10"/>
  <c r="D1524" i="10"/>
  <c r="E1523" i="10"/>
  <c r="D1523" i="10"/>
  <c r="E1522" i="10"/>
  <c r="D1522" i="10"/>
  <c r="E1521" i="10"/>
  <c r="D1521" i="10"/>
  <c r="E1520" i="10"/>
  <c r="D1520" i="10"/>
  <c r="E1519" i="10"/>
  <c r="D1519" i="10"/>
  <c r="E1518" i="10"/>
  <c r="D1518" i="10"/>
  <c r="E1517" i="10"/>
  <c r="D1517" i="10"/>
  <c r="E1516" i="10"/>
  <c r="D1516" i="10"/>
  <c r="E1515" i="10"/>
  <c r="D1515" i="10"/>
  <c r="E1514" i="10"/>
  <c r="D1514" i="10"/>
  <c r="E1513" i="10"/>
  <c r="D1513" i="10"/>
  <c r="E1512" i="10"/>
  <c r="D1512" i="10"/>
  <c r="E1511" i="10"/>
  <c r="D1511" i="10"/>
  <c r="E1510" i="10"/>
  <c r="D1510" i="10"/>
  <c r="E1509" i="10"/>
  <c r="D1509" i="10"/>
  <c r="E1508" i="10"/>
  <c r="D1508" i="10"/>
  <c r="E1507" i="10"/>
  <c r="D1507" i="10"/>
  <c r="E1506" i="10"/>
  <c r="D1506" i="10"/>
  <c r="E1505" i="10"/>
  <c r="D1505" i="10"/>
  <c r="E1504" i="10"/>
  <c r="D1504" i="10"/>
  <c r="E1503" i="10"/>
  <c r="D1503" i="10"/>
  <c r="E1502" i="10"/>
  <c r="D1502" i="10"/>
  <c r="E1501" i="10"/>
  <c r="D1501" i="10"/>
  <c r="E1500" i="10"/>
  <c r="D1500" i="10"/>
  <c r="E1499" i="10"/>
  <c r="D1499" i="10"/>
  <c r="E1498" i="10"/>
  <c r="D1498" i="10"/>
  <c r="E1497" i="10"/>
  <c r="D1497" i="10"/>
  <c r="E1496" i="10"/>
  <c r="D1496" i="10"/>
  <c r="E1495" i="10"/>
  <c r="D1495" i="10"/>
  <c r="E1494" i="10"/>
  <c r="D1494" i="10"/>
  <c r="E1493" i="10"/>
  <c r="D1493" i="10"/>
  <c r="E1492" i="10"/>
  <c r="D1492" i="10"/>
  <c r="E1491" i="10"/>
  <c r="D1491" i="10"/>
  <c r="E1490" i="10"/>
  <c r="D1490" i="10"/>
  <c r="E1489" i="10"/>
  <c r="D1489" i="10"/>
  <c r="E1488" i="10"/>
  <c r="D1488" i="10"/>
  <c r="E1487" i="10"/>
  <c r="D1487" i="10"/>
  <c r="E1486" i="10"/>
  <c r="D1486" i="10"/>
  <c r="E1485" i="10"/>
  <c r="D1485" i="10"/>
  <c r="E1484" i="10"/>
  <c r="D1484" i="10"/>
  <c r="E1483" i="10"/>
  <c r="D1483" i="10"/>
  <c r="E1482" i="10"/>
  <c r="D1482" i="10"/>
  <c r="E1481" i="10"/>
  <c r="D1481" i="10"/>
  <c r="E1480" i="10"/>
  <c r="D1480" i="10"/>
  <c r="E1479" i="10"/>
  <c r="D1479" i="10"/>
  <c r="E1478" i="10"/>
  <c r="D1478" i="10"/>
  <c r="E1477" i="10"/>
  <c r="D1477" i="10"/>
  <c r="E1476" i="10"/>
  <c r="D1476" i="10"/>
  <c r="E1475" i="10"/>
  <c r="D1475" i="10"/>
  <c r="E1474" i="10"/>
  <c r="D1474" i="10"/>
  <c r="E1473" i="10"/>
  <c r="D1473" i="10"/>
  <c r="E1472" i="10"/>
  <c r="D1472" i="10"/>
  <c r="E1471" i="10"/>
  <c r="D1471" i="10"/>
  <c r="E1470" i="10"/>
  <c r="D1470" i="10"/>
  <c r="E1469" i="10"/>
  <c r="D1469" i="10"/>
  <c r="E1468" i="10"/>
  <c r="D1468" i="10"/>
  <c r="E1467" i="10"/>
  <c r="D1467" i="10"/>
  <c r="E1466" i="10"/>
  <c r="D1466" i="10"/>
  <c r="E1465" i="10"/>
  <c r="D1465" i="10"/>
  <c r="E1464" i="10"/>
  <c r="D1464" i="10"/>
  <c r="E1463" i="10"/>
  <c r="D1463" i="10"/>
  <c r="E1462" i="10"/>
  <c r="D1462" i="10"/>
  <c r="E1461" i="10"/>
  <c r="D1461" i="10"/>
  <c r="E1460" i="10"/>
  <c r="D1460" i="10"/>
  <c r="E1459" i="10"/>
  <c r="D1459" i="10"/>
  <c r="E1458" i="10"/>
  <c r="D1458" i="10"/>
  <c r="E1457" i="10"/>
  <c r="D1457" i="10"/>
  <c r="E1456" i="10"/>
  <c r="D1456" i="10"/>
  <c r="E1455" i="10"/>
  <c r="D1455" i="10"/>
  <c r="E1454" i="10"/>
  <c r="D1454" i="10"/>
  <c r="E1453" i="10"/>
  <c r="D1453" i="10"/>
  <c r="E1452" i="10"/>
  <c r="D1452" i="10"/>
  <c r="E1451" i="10"/>
  <c r="D1451" i="10"/>
  <c r="E1450" i="10"/>
  <c r="D1450" i="10"/>
  <c r="E1449" i="10"/>
  <c r="D1449" i="10"/>
  <c r="E1448" i="10"/>
  <c r="D1448" i="10"/>
  <c r="E1447" i="10"/>
  <c r="D1447" i="10"/>
  <c r="E1446" i="10"/>
  <c r="D1446" i="10"/>
  <c r="E1445" i="10"/>
  <c r="D1445" i="10"/>
  <c r="E1444" i="10"/>
  <c r="D1444" i="10"/>
  <c r="E1443" i="10"/>
  <c r="D1443" i="10"/>
  <c r="E1442" i="10"/>
  <c r="D1442" i="10"/>
  <c r="E1441" i="10"/>
  <c r="D1441" i="10"/>
  <c r="E1440" i="10"/>
  <c r="D1440" i="10"/>
  <c r="E1439" i="10"/>
  <c r="D1439" i="10"/>
  <c r="E1438" i="10"/>
  <c r="D1438" i="10"/>
  <c r="E1437" i="10"/>
  <c r="D1437" i="10"/>
  <c r="E1436" i="10"/>
  <c r="D1436" i="10"/>
  <c r="E1435" i="10"/>
  <c r="D1435" i="10"/>
  <c r="E1434" i="10"/>
  <c r="D1434" i="10"/>
  <c r="E1433" i="10"/>
  <c r="D1433" i="10"/>
  <c r="E1432" i="10"/>
  <c r="D1432" i="10"/>
  <c r="E1431" i="10"/>
  <c r="D1431" i="10"/>
  <c r="E1430" i="10"/>
  <c r="D1430" i="10"/>
  <c r="E1429" i="10"/>
  <c r="D1429" i="10"/>
  <c r="E1428" i="10"/>
  <c r="D1428" i="10"/>
  <c r="E1427" i="10"/>
  <c r="D1427" i="10"/>
  <c r="E1426" i="10"/>
  <c r="D1426" i="10"/>
  <c r="E1425" i="10"/>
  <c r="D1425" i="10"/>
  <c r="E1424" i="10"/>
  <c r="D1424" i="10"/>
  <c r="E1423" i="10"/>
  <c r="D1423" i="10"/>
  <c r="E1422" i="10"/>
  <c r="D1422" i="10"/>
  <c r="E1421" i="10"/>
  <c r="D1421" i="10"/>
  <c r="E1420" i="10"/>
  <c r="D1420" i="10"/>
  <c r="E1419" i="10"/>
  <c r="D1419" i="10"/>
  <c r="E1418" i="10"/>
  <c r="D1418" i="10"/>
  <c r="E1417" i="10"/>
  <c r="D1417" i="10"/>
  <c r="E1416" i="10"/>
  <c r="D1416" i="10"/>
  <c r="E1415" i="10"/>
  <c r="D1415" i="10"/>
  <c r="E1414" i="10"/>
  <c r="D1414" i="10"/>
  <c r="E1413" i="10"/>
  <c r="D1413" i="10"/>
  <c r="E1412" i="10"/>
  <c r="D1412" i="10"/>
  <c r="E1411" i="10"/>
  <c r="D1411" i="10"/>
  <c r="E1410" i="10"/>
  <c r="D1410" i="10"/>
  <c r="E1409" i="10"/>
  <c r="D1409" i="10"/>
  <c r="E1408" i="10"/>
  <c r="D1408" i="10"/>
  <c r="E1407" i="10"/>
  <c r="D1407" i="10"/>
  <c r="E1406" i="10"/>
  <c r="D1406" i="10"/>
  <c r="E1405" i="10"/>
  <c r="D1405" i="10"/>
  <c r="E1404" i="10"/>
  <c r="D1404" i="10"/>
  <c r="E1403" i="10"/>
  <c r="D1403" i="10"/>
  <c r="E1402" i="10"/>
  <c r="D1402" i="10"/>
  <c r="E1401" i="10"/>
  <c r="D1401" i="10"/>
  <c r="E1400" i="10"/>
  <c r="D1400" i="10"/>
  <c r="E1399" i="10"/>
  <c r="D1399" i="10"/>
  <c r="E1398" i="10"/>
  <c r="D1398" i="10"/>
  <c r="E1397" i="10"/>
  <c r="D1397" i="10"/>
  <c r="E1396" i="10"/>
  <c r="D1396" i="10"/>
  <c r="E1395" i="10"/>
  <c r="D1395" i="10"/>
  <c r="E1394" i="10"/>
  <c r="D1394" i="10"/>
  <c r="E1393" i="10"/>
  <c r="D1393" i="10"/>
  <c r="E1392" i="10"/>
  <c r="D1392" i="10"/>
  <c r="E1391" i="10"/>
  <c r="D1391" i="10"/>
  <c r="E1390" i="10"/>
  <c r="D1390" i="10"/>
  <c r="E1389" i="10"/>
  <c r="D1389" i="10"/>
  <c r="E1388" i="10"/>
  <c r="D1388" i="10"/>
  <c r="E1387" i="10"/>
  <c r="D1387" i="10"/>
  <c r="E1386" i="10"/>
  <c r="D1386" i="10"/>
  <c r="E1385" i="10"/>
  <c r="D1385" i="10"/>
  <c r="E1384" i="10"/>
  <c r="D1384" i="10"/>
  <c r="E1383" i="10"/>
  <c r="D1383" i="10"/>
  <c r="E1382" i="10"/>
  <c r="D1382" i="10"/>
  <c r="E1381" i="10"/>
  <c r="D1381" i="10"/>
  <c r="E1380" i="10"/>
  <c r="D1380" i="10"/>
  <c r="E1379" i="10"/>
  <c r="D1379" i="10"/>
  <c r="E1378" i="10"/>
  <c r="D1378" i="10"/>
  <c r="E1377" i="10"/>
  <c r="D1377" i="10"/>
  <c r="E1376" i="10"/>
  <c r="D1376" i="10"/>
  <c r="E1375" i="10"/>
  <c r="D1375" i="10"/>
  <c r="E1374" i="10"/>
  <c r="D1374" i="10"/>
  <c r="E1373" i="10"/>
  <c r="D1373" i="10"/>
  <c r="E1372" i="10"/>
  <c r="D1372" i="10"/>
  <c r="E1371" i="10"/>
  <c r="D1371" i="10"/>
  <c r="E1370" i="10"/>
  <c r="D1370" i="10"/>
  <c r="E1369" i="10"/>
  <c r="D1369" i="10"/>
  <c r="E1368" i="10"/>
  <c r="D1368" i="10"/>
  <c r="E1367" i="10"/>
  <c r="D1367" i="10"/>
  <c r="E1366" i="10"/>
  <c r="D1366" i="10"/>
  <c r="E1365" i="10"/>
  <c r="D1365" i="10"/>
  <c r="E1364" i="10"/>
  <c r="D1364" i="10"/>
  <c r="E1363" i="10"/>
  <c r="D1363" i="10"/>
  <c r="E1362" i="10"/>
  <c r="D1362" i="10"/>
  <c r="E1361" i="10"/>
  <c r="D1361" i="10"/>
  <c r="E1360" i="10"/>
  <c r="D1360" i="10"/>
  <c r="E1359" i="10"/>
  <c r="D1359" i="10"/>
  <c r="E1358" i="10"/>
  <c r="D1358" i="10"/>
  <c r="E1357" i="10"/>
  <c r="D1357" i="10"/>
  <c r="E1356" i="10"/>
  <c r="D1356" i="10"/>
  <c r="E1355" i="10"/>
  <c r="D1355" i="10"/>
  <c r="E1354" i="10"/>
  <c r="D1354" i="10"/>
  <c r="E1353" i="10"/>
  <c r="D1353" i="10"/>
  <c r="E1352" i="10"/>
  <c r="D1352" i="10"/>
  <c r="E1351" i="10"/>
  <c r="D1351" i="10"/>
  <c r="E1350" i="10"/>
  <c r="D1350" i="10"/>
  <c r="E1349" i="10"/>
  <c r="D1349" i="10"/>
  <c r="E1348" i="10"/>
  <c r="D1348" i="10"/>
  <c r="E1347" i="10"/>
  <c r="D1347" i="10"/>
  <c r="E1346" i="10"/>
  <c r="D1346" i="10"/>
  <c r="E1345" i="10"/>
  <c r="D1345" i="10"/>
  <c r="E1344" i="10"/>
  <c r="D1344" i="10"/>
  <c r="E1343" i="10"/>
  <c r="D1343" i="10"/>
  <c r="E1342" i="10"/>
  <c r="D1342" i="10"/>
  <c r="E1341" i="10"/>
  <c r="D1341" i="10"/>
  <c r="E1340" i="10"/>
  <c r="D1340" i="10"/>
  <c r="E1339" i="10"/>
  <c r="D1339" i="10"/>
  <c r="E1338" i="10"/>
  <c r="D1338" i="10"/>
  <c r="E1337" i="10"/>
  <c r="D1337" i="10"/>
  <c r="E1336" i="10"/>
  <c r="D1336" i="10"/>
  <c r="E1335" i="10"/>
  <c r="D1335" i="10"/>
  <c r="E1334" i="10"/>
  <c r="D1334" i="10"/>
  <c r="E1333" i="10"/>
  <c r="D1333" i="10"/>
  <c r="E1332" i="10"/>
  <c r="D1332" i="10"/>
  <c r="E1331" i="10"/>
  <c r="D1331" i="10"/>
  <c r="E1330" i="10"/>
  <c r="D1330" i="10"/>
  <c r="E1329" i="10"/>
  <c r="D1329" i="10"/>
  <c r="E1328" i="10"/>
  <c r="D1328" i="10"/>
  <c r="E1327" i="10"/>
  <c r="D1327" i="10"/>
  <c r="E1326" i="10"/>
  <c r="D1326" i="10"/>
  <c r="E1325" i="10"/>
  <c r="D1325" i="10"/>
  <c r="E1324" i="10"/>
  <c r="D1324" i="10"/>
  <c r="E1323" i="10"/>
  <c r="D1323" i="10"/>
  <c r="E1322" i="10"/>
  <c r="D1322" i="10"/>
  <c r="E1321" i="10"/>
  <c r="D1321" i="10"/>
  <c r="E1320" i="10"/>
  <c r="D1320" i="10"/>
  <c r="E1319" i="10"/>
  <c r="D1319" i="10"/>
  <c r="E1318" i="10"/>
  <c r="D1318" i="10"/>
  <c r="E1317" i="10"/>
  <c r="D1317" i="10"/>
  <c r="E1316" i="10"/>
  <c r="D1316" i="10"/>
  <c r="E1315" i="10"/>
  <c r="D1315" i="10"/>
  <c r="E1314" i="10"/>
  <c r="D1314" i="10"/>
  <c r="E1313" i="10"/>
  <c r="D1313" i="10"/>
  <c r="E1312" i="10"/>
  <c r="D1312" i="10"/>
  <c r="E1311" i="10"/>
  <c r="D1311" i="10"/>
  <c r="E1310" i="10"/>
  <c r="D1310" i="10"/>
  <c r="E1309" i="10"/>
  <c r="D1309" i="10"/>
  <c r="E1308" i="10"/>
  <c r="D1308" i="10"/>
  <c r="E1307" i="10"/>
  <c r="D1307" i="10"/>
  <c r="E1306" i="10"/>
  <c r="D1306" i="10"/>
  <c r="E1305" i="10"/>
  <c r="D1305" i="10"/>
  <c r="E1304" i="10"/>
  <c r="D1304" i="10"/>
  <c r="E1303" i="10"/>
  <c r="D1303" i="10"/>
  <c r="E1302" i="10"/>
  <c r="D1302" i="10"/>
  <c r="E1301" i="10"/>
  <c r="D1301" i="10"/>
  <c r="E1300" i="10"/>
  <c r="D1300" i="10"/>
  <c r="E1299" i="10"/>
  <c r="D1299" i="10"/>
  <c r="E1298" i="10"/>
  <c r="D1298" i="10"/>
  <c r="E1297" i="10"/>
  <c r="D1297" i="10"/>
  <c r="E1296" i="10"/>
  <c r="D1296" i="10"/>
  <c r="E1295" i="10"/>
  <c r="D1295" i="10"/>
  <c r="E1294" i="10"/>
  <c r="D1294" i="10"/>
  <c r="E1293" i="10"/>
  <c r="D1293" i="10"/>
  <c r="E1292" i="10"/>
  <c r="D1292" i="10"/>
  <c r="E1291" i="10"/>
  <c r="D1291" i="10"/>
  <c r="E1290" i="10"/>
  <c r="D1290" i="10"/>
  <c r="E1289" i="10"/>
  <c r="D1289" i="10"/>
  <c r="E1288" i="10"/>
  <c r="D1288" i="10"/>
  <c r="E1287" i="10"/>
  <c r="D1287" i="10"/>
  <c r="E1286" i="10"/>
  <c r="D1286" i="10"/>
  <c r="E1285" i="10"/>
  <c r="D1285" i="10"/>
  <c r="E1284" i="10"/>
  <c r="D1284" i="10"/>
  <c r="E1283" i="10"/>
  <c r="D1283" i="10"/>
  <c r="E1282" i="10"/>
  <c r="D1282" i="10"/>
  <c r="E1281" i="10"/>
  <c r="D1281" i="10"/>
  <c r="E1280" i="10"/>
  <c r="D1280" i="10"/>
  <c r="E1279" i="10"/>
  <c r="D1279" i="10"/>
  <c r="E1278" i="10"/>
  <c r="D1278" i="10"/>
  <c r="E1277" i="10"/>
  <c r="D1277" i="10"/>
  <c r="E1276" i="10"/>
  <c r="D1276" i="10"/>
  <c r="E1275" i="10"/>
  <c r="D1275" i="10"/>
  <c r="E1274" i="10"/>
  <c r="D1274" i="10"/>
  <c r="E1273" i="10"/>
  <c r="D1273" i="10"/>
  <c r="E1272" i="10"/>
  <c r="D1272" i="10"/>
  <c r="E1271" i="10"/>
  <c r="D1271" i="10"/>
  <c r="E1270" i="10"/>
  <c r="D1270" i="10"/>
  <c r="E1269" i="10"/>
  <c r="D1269" i="10"/>
  <c r="E1268" i="10"/>
  <c r="D1268" i="10"/>
  <c r="E1267" i="10"/>
  <c r="D1267" i="10"/>
  <c r="E1266" i="10"/>
  <c r="D1266" i="10"/>
  <c r="E1265" i="10"/>
  <c r="D1265" i="10"/>
  <c r="E1264" i="10"/>
  <c r="D1264" i="10"/>
  <c r="E1263" i="10"/>
  <c r="D1263" i="10"/>
  <c r="E1262" i="10"/>
  <c r="D1262" i="10"/>
  <c r="E1261" i="10"/>
  <c r="D1261" i="10"/>
  <c r="E1260" i="10"/>
  <c r="D1260" i="10"/>
  <c r="E1259" i="10"/>
  <c r="D1259" i="10"/>
  <c r="E1258" i="10"/>
  <c r="D1258" i="10"/>
  <c r="E1257" i="10"/>
  <c r="D1257" i="10"/>
  <c r="E1256" i="10"/>
  <c r="D1256" i="10"/>
  <c r="E1255" i="10"/>
  <c r="D1255" i="10"/>
  <c r="E1254" i="10"/>
  <c r="D1254" i="10"/>
  <c r="E1253" i="10"/>
  <c r="D1253" i="10"/>
  <c r="E1252" i="10"/>
  <c r="D1252" i="10"/>
  <c r="E1251" i="10"/>
  <c r="D1251" i="10"/>
  <c r="E1250" i="10"/>
  <c r="D1250" i="10"/>
  <c r="E1249" i="10"/>
  <c r="D1249" i="10"/>
  <c r="E1248" i="10"/>
  <c r="D1248" i="10"/>
  <c r="E1247" i="10"/>
  <c r="D1247" i="10"/>
  <c r="E1246" i="10"/>
  <c r="D1246" i="10"/>
  <c r="E1245" i="10"/>
  <c r="D1245" i="10"/>
  <c r="E1244" i="10"/>
  <c r="D1244" i="10"/>
  <c r="E1243" i="10"/>
  <c r="D1243" i="10"/>
  <c r="E1242" i="10"/>
  <c r="D1242" i="10"/>
  <c r="E1241" i="10"/>
  <c r="D1241" i="10"/>
  <c r="E1240" i="10"/>
  <c r="D1240" i="10"/>
  <c r="E1239" i="10"/>
  <c r="D1239" i="10"/>
  <c r="E1238" i="10"/>
  <c r="D1238" i="10"/>
  <c r="E1237" i="10"/>
  <c r="D1237" i="10"/>
  <c r="E1236" i="10"/>
  <c r="D1236" i="10"/>
  <c r="E1235" i="10"/>
  <c r="D1235" i="10"/>
  <c r="E1234" i="10"/>
  <c r="D1234" i="10"/>
  <c r="E1233" i="10"/>
  <c r="D1233" i="10"/>
  <c r="E1232" i="10"/>
  <c r="D1232" i="10"/>
  <c r="E1231" i="10"/>
  <c r="D1231" i="10"/>
  <c r="E1230" i="10"/>
  <c r="D1230" i="10"/>
  <c r="E1229" i="10"/>
  <c r="D1229" i="10"/>
  <c r="E1228" i="10"/>
  <c r="D1228" i="10"/>
  <c r="E1227" i="10"/>
  <c r="D1227" i="10"/>
  <c r="E1226" i="10"/>
  <c r="D1226" i="10"/>
  <c r="E1225" i="10"/>
  <c r="D1225" i="10"/>
  <c r="E1224" i="10"/>
  <c r="D1224" i="10"/>
  <c r="E1223" i="10"/>
  <c r="D1223" i="10"/>
  <c r="E1222" i="10"/>
  <c r="D1222" i="10"/>
  <c r="E1221" i="10"/>
  <c r="D1221" i="10"/>
  <c r="E1220" i="10"/>
  <c r="D1220" i="10"/>
  <c r="E1219" i="10"/>
  <c r="D1219" i="10"/>
  <c r="E1218" i="10"/>
  <c r="D1218" i="10"/>
  <c r="E1217" i="10"/>
  <c r="D1217" i="10"/>
  <c r="E1216" i="10"/>
  <c r="D1216" i="10"/>
  <c r="E1215" i="10"/>
  <c r="D1215" i="10"/>
  <c r="E1214" i="10"/>
  <c r="D1214" i="10"/>
  <c r="E1213" i="10"/>
  <c r="D1213" i="10"/>
  <c r="E1212" i="10"/>
  <c r="D1212" i="10"/>
  <c r="E1211" i="10"/>
  <c r="D1211" i="10"/>
  <c r="E1210" i="10"/>
  <c r="D1210" i="10"/>
  <c r="E1209" i="10"/>
  <c r="D1209" i="10"/>
  <c r="E1208" i="10"/>
  <c r="D1208" i="10"/>
  <c r="E1207" i="10"/>
  <c r="D1207" i="10"/>
  <c r="E1206" i="10"/>
  <c r="D1206" i="10"/>
  <c r="E1205" i="10"/>
  <c r="D1205" i="10"/>
  <c r="E1204" i="10"/>
  <c r="D1204" i="10"/>
  <c r="E1203" i="10"/>
  <c r="D1203" i="10"/>
  <c r="E1202" i="10"/>
  <c r="D1202" i="10"/>
  <c r="E1201" i="10"/>
  <c r="D1201" i="10"/>
  <c r="E1200" i="10"/>
  <c r="D1200" i="10"/>
  <c r="E1199" i="10"/>
  <c r="D1199" i="10"/>
  <c r="E1198" i="10"/>
  <c r="D1198" i="10"/>
  <c r="E1197" i="10"/>
  <c r="D1197" i="10"/>
  <c r="E1196" i="10"/>
  <c r="D1196" i="10"/>
  <c r="E1195" i="10"/>
  <c r="D1195" i="10"/>
  <c r="E1194" i="10"/>
  <c r="D1194" i="10"/>
  <c r="E1193" i="10"/>
  <c r="D1193" i="10"/>
  <c r="E1192" i="10"/>
  <c r="D1192" i="10"/>
  <c r="E1191" i="10"/>
  <c r="D1191" i="10"/>
  <c r="E1190" i="10"/>
  <c r="D1190" i="10"/>
  <c r="E1189" i="10"/>
  <c r="D1189" i="10"/>
  <c r="E1188" i="10"/>
  <c r="D1188" i="10"/>
  <c r="E1187" i="10"/>
  <c r="D1187" i="10"/>
  <c r="E1186" i="10"/>
  <c r="D1186" i="10"/>
  <c r="E1185" i="10"/>
  <c r="D1185" i="10"/>
  <c r="E1184" i="10"/>
  <c r="D1184" i="10"/>
  <c r="E1183" i="10"/>
  <c r="D1183" i="10"/>
  <c r="E1182" i="10"/>
  <c r="D1182" i="10"/>
  <c r="E1181" i="10"/>
  <c r="D1181" i="10"/>
  <c r="E1180" i="10"/>
  <c r="D1180" i="10"/>
  <c r="E1179" i="10"/>
  <c r="D1179" i="10"/>
  <c r="E1178" i="10"/>
  <c r="D1178" i="10"/>
  <c r="E1177" i="10"/>
  <c r="D1177" i="10"/>
  <c r="E1176" i="10"/>
  <c r="D1176" i="10"/>
  <c r="E1175" i="10"/>
  <c r="D1175" i="10"/>
  <c r="E1174" i="10"/>
  <c r="D1174" i="10"/>
  <c r="E1173" i="10"/>
  <c r="D1173" i="10"/>
  <c r="E1172" i="10"/>
  <c r="D1172" i="10"/>
  <c r="E1171" i="10"/>
  <c r="D1171" i="10"/>
  <c r="E1170" i="10"/>
  <c r="D1170" i="10"/>
  <c r="E1169" i="10"/>
  <c r="D1169" i="10"/>
  <c r="E1168" i="10"/>
  <c r="D1168" i="10"/>
  <c r="E1167" i="10"/>
  <c r="D1167" i="10"/>
  <c r="E1166" i="10"/>
  <c r="D1166" i="10"/>
  <c r="E1165" i="10"/>
  <c r="D1165" i="10"/>
  <c r="E1164" i="10"/>
  <c r="D1164" i="10"/>
  <c r="E1163" i="10"/>
  <c r="D1163" i="10"/>
  <c r="E1162" i="10"/>
  <c r="D1162" i="10"/>
  <c r="E1161" i="10"/>
  <c r="D1161" i="10"/>
  <c r="E1160" i="10"/>
  <c r="D1160" i="10"/>
  <c r="E1159" i="10"/>
  <c r="D1159" i="10"/>
  <c r="E1158" i="10"/>
  <c r="D1158" i="10"/>
  <c r="E1157" i="10"/>
  <c r="D1157" i="10"/>
  <c r="E1156" i="10"/>
  <c r="D1156" i="10"/>
  <c r="E1155" i="10"/>
  <c r="D1155" i="10"/>
  <c r="E1154" i="10"/>
  <c r="D1154" i="10"/>
  <c r="E1153" i="10"/>
  <c r="D1153" i="10"/>
  <c r="E1152" i="10"/>
  <c r="D1152" i="10"/>
  <c r="E1151" i="10"/>
  <c r="D1151" i="10"/>
  <c r="E1150" i="10"/>
  <c r="D1150" i="10"/>
  <c r="E1149" i="10"/>
  <c r="D1149" i="10"/>
  <c r="E1148" i="10"/>
  <c r="D1148" i="10"/>
  <c r="E1147" i="10"/>
  <c r="D1147" i="10"/>
  <c r="E1146" i="10"/>
  <c r="D1146" i="10"/>
  <c r="E1145" i="10"/>
  <c r="D1145" i="10"/>
  <c r="E1144" i="10"/>
  <c r="D1144" i="10"/>
  <c r="E1143" i="10"/>
  <c r="D1143" i="10"/>
  <c r="E1142" i="10"/>
  <c r="D1142" i="10"/>
  <c r="E1141" i="10"/>
  <c r="D1141" i="10"/>
  <c r="E1140" i="10"/>
  <c r="D1140" i="10"/>
  <c r="E1139" i="10"/>
  <c r="D1139" i="10"/>
  <c r="E1138" i="10"/>
  <c r="D1138" i="10"/>
  <c r="E1137" i="10"/>
  <c r="D1137" i="10"/>
  <c r="E1136" i="10"/>
  <c r="D1136" i="10"/>
  <c r="E1135" i="10"/>
  <c r="D1135" i="10"/>
  <c r="E1134" i="10"/>
  <c r="D1134" i="10"/>
  <c r="E1133" i="10"/>
  <c r="D1133" i="10"/>
  <c r="E1132" i="10"/>
  <c r="D1132" i="10"/>
  <c r="E1131" i="10"/>
  <c r="D1131" i="10"/>
  <c r="E1130" i="10"/>
  <c r="D1130" i="10"/>
  <c r="E1129" i="10"/>
  <c r="D1129" i="10"/>
  <c r="E1128" i="10"/>
  <c r="D1128" i="10"/>
  <c r="E1127" i="10"/>
  <c r="D1127" i="10"/>
  <c r="E1126" i="10"/>
  <c r="D1126" i="10"/>
  <c r="E1125" i="10"/>
  <c r="D1125" i="10"/>
  <c r="E1124" i="10"/>
  <c r="D1124" i="10"/>
  <c r="E1123" i="10"/>
  <c r="D1123" i="10"/>
  <c r="E1122" i="10"/>
  <c r="D1122" i="10"/>
  <c r="E1121" i="10"/>
  <c r="D1121" i="10"/>
  <c r="E1120" i="10"/>
  <c r="D1120" i="10"/>
  <c r="E1119" i="10"/>
  <c r="D1119" i="10"/>
  <c r="E1118" i="10"/>
  <c r="D1118" i="10"/>
  <c r="E1117" i="10"/>
  <c r="D1117" i="10"/>
  <c r="E1116" i="10"/>
  <c r="D1116" i="10"/>
  <c r="E1115" i="10"/>
  <c r="D1115" i="10"/>
  <c r="E1114" i="10"/>
  <c r="D1114" i="10"/>
  <c r="E1113" i="10"/>
  <c r="D1113" i="10"/>
  <c r="E1112" i="10"/>
  <c r="D1112" i="10"/>
  <c r="E1111" i="10"/>
  <c r="D1111" i="10"/>
  <c r="E1110" i="10"/>
  <c r="D1110" i="10"/>
  <c r="E1109" i="10"/>
  <c r="D1109" i="10"/>
  <c r="E1108" i="10"/>
  <c r="D1108" i="10"/>
  <c r="E1107" i="10"/>
  <c r="D1107" i="10"/>
  <c r="E1106" i="10"/>
  <c r="D1106" i="10"/>
  <c r="E1105" i="10"/>
  <c r="D1105" i="10"/>
  <c r="E1104" i="10"/>
  <c r="D1104" i="10"/>
  <c r="E1103" i="10"/>
  <c r="D1103" i="10"/>
  <c r="E1102" i="10"/>
  <c r="D1102" i="10"/>
  <c r="E1101" i="10"/>
  <c r="D1101" i="10"/>
  <c r="E1100" i="10"/>
  <c r="D1100" i="10"/>
  <c r="E1099" i="10"/>
  <c r="D1099" i="10"/>
  <c r="E1098" i="10"/>
  <c r="D1098" i="10"/>
  <c r="E1097" i="10"/>
  <c r="D1097" i="10"/>
  <c r="E1096" i="10"/>
  <c r="D1096" i="10"/>
  <c r="E1095" i="10"/>
  <c r="D1095" i="10"/>
  <c r="E1094" i="10"/>
  <c r="D1094" i="10"/>
  <c r="E1093" i="10"/>
  <c r="D1093" i="10"/>
  <c r="E1092" i="10"/>
  <c r="D1092" i="10"/>
  <c r="E1091" i="10"/>
  <c r="D1091" i="10"/>
  <c r="E1090" i="10"/>
  <c r="D1090" i="10"/>
  <c r="E1089" i="10"/>
  <c r="D1089" i="10"/>
  <c r="E1088" i="10"/>
  <c r="D1088" i="10"/>
  <c r="E1087" i="10"/>
  <c r="D1087" i="10"/>
  <c r="E1086" i="10"/>
  <c r="D1086" i="10"/>
  <c r="E1085" i="10"/>
  <c r="D1085" i="10"/>
  <c r="E1084" i="10"/>
  <c r="D1084" i="10"/>
  <c r="E1083" i="10"/>
  <c r="D1083" i="10"/>
  <c r="E1082" i="10"/>
  <c r="D1082" i="10"/>
  <c r="E1081" i="10"/>
  <c r="D1081" i="10"/>
  <c r="E1080" i="10"/>
  <c r="D1080" i="10"/>
  <c r="E1079" i="10"/>
  <c r="D1079" i="10"/>
  <c r="E1078" i="10"/>
  <c r="D1078" i="10"/>
  <c r="E1077" i="10"/>
  <c r="D1077" i="10"/>
  <c r="E1076" i="10"/>
  <c r="D1076" i="10"/>
  <c r="E1075" i="10"/>
  <c r="D1075" i="10"/>
  <c r="E1074" i="10"/>
  <c r="D1074" i="10"/>
  <c r="E1073" i="10"/>
  <c r="D1073" i="10"/>
  <c r="E1072" i="10"/>
  <c r="D1072" i="10"/>
  <c r="E1071" i="10"/>
  <c r="D1071" i="10"/>
  <c r="E1070" i="10"/>
  <c r="D1070" i="10"/>
  <c r="E1069" i="10"/>
  <c r="D1069" i="10"/>
  <c r="E1068" i="10"/>
  <c r="D1068" i="10"/>
  <c r="E1067" i="10"/>
  <c r="D1067" i="10"/>
  <c r="E1066" i="10"/>
  <c r="D1066" i="10"/>
  <c r="E1065" i="10"/>
  <c r="D1065" i="10"/>
  <c r="E1064" i="10"/>
  <c r="D1064" i="10"/>
  <c r="E1063" i="10"/>
  <c r="D1063" i="10"/>
  <c r="E1062" i="10"/>
  <c r="D1062" i="10"/>
  <c r="E1061" i="10"/>
  <c r="D1061" i="10"/>
  <c r="E1060" i="10"/>
  <c r="D1060" i="10"/>
  <c r="E1059" i="10"/>
  <c r="D1059" i="10"/>
  <c r="E1058" i="10"/>
  <c r="D1058" i="10"/>
  <c r="E1057" i="10"/>
  <c r="D1057" i="10"/>
  <c r="E1056" i="10"/>
  <c r="D1056" i="10"/>
  <c r="E1055" i="10"/>
  <c r="D1055" i="10"/>
  <c r="E1054" i="10"/>
  <c r="D1054" i="10"/>
  <c r="E1053" i="10"/>
  <c r="D1053" i="10"/>
  <c r="E1052" i="10"/>
  <c r="D1052" i="10"/>
  <c r="E1051" i="10"/>
  <c r="D1051" i="10"/>
  <c r="E1050" i="10"/>
  <c r="D1050" i="10"/>
  <c r="E1049" i="10"/>
  <c r="D1049" i="10"/>
  <c r="E1048" i="10"/>
  <c r="D1048" i="10"/>
  <c r="E1047" i="10"/>
  <c r="D1047" i="10"/>
  <c r="E1046" i="10"/>
  <c r="D1046" i="10"/>
  <c r="E1045" i="10"/>
  <c r="D1045" i="10"/>
  <c r="E1044" i="10"/>
  <c r="D1044" i="10"/>
  <c r="E1043" i="10"/>
  <c r="D1043" i="10"/>
  <c r="E1042" i="10"/>
  <c r="D1042" i="10"/>
  <c r="E1041" i="10"/>
  <c r="D1041" i="10"/>
  <c r="E1040" i="10"/>
  <c r="D1040" i="10"/>
  <c r="E1039" i="10"/>
  <c r="D1039" i="10"/>
  <c r="E1038" i="10"/>
  <c r="D1038" i="10"/>
  <c r="E1037" i="10"/>
  <c r="D1037" i="10"/>
  <c r="E1036" i="10"/>
  <c r="D1036" i="10"/>
  <c r="E1035" i="10"/>
  <c r="D1035" i="10"/>
  <c r="E1034" i="10"/>
  <c r="D1034" i="10"/>
  <c r="E1033" i="10"/>
  <c r="D1033" i="10"/>
  <c r="E1032" i="10"/>
  <c r="D1032" i="10"/>
  <c r="E1031" i="10"/>
  <c r="D1031" i="10"/>
  <c r="E1030" i="10"/>
  <c r="D1030" i="10"/>
  <c r="E1029" i="10"/>
  <c r="D1029" i="10"/>
  <c r="E1028" i="10"/>
  <c r="D1028" i="10"/>
  <c r="E1027" i="10"/>
  <c r="D1027" i="10"/>
  <c r="E1026" i="10"/>
  <c r="D1026" i="10"/>
  <c r="E1025" i="10"/>
  <c r="D1025" i="10"/>
  <c r="E1024" i="10"/>
  <c r="D1024" i="10"/>
  <c r="E1023" i="10"/>
  <c r="D1023" i="10"/>
  <c r="E1022" i="10"/>
  <c r="D1022" i="10"/>
  <c r="E1021" i="10"/>
  <c r="D1021" i="10"/>
  <c r="E1020" i="10"/>
  <c r="D1020" i="10"/>
  <c r="E1019" i="10"/>
  <c r="D1019" i="10"/>
  <c r="E1018" i="10"/>
  <c r="D1018" i="10"/>
  <c r="E1017" i="10"/>
  <c r="D1017" i="10"/>
  <c r="E1016" i="10"/>
  <c r="D1016" i="10"/>
  <c r="E1015" i="10"/>
  <c r="D1015" i="10"/>
  <c r="E1014" i="10"/>
  <c r="D1014" i="10"/>
  <c r="E1013" i="10"/>
  <c r="D1013" i="10"/>
  <c r="E1012" i="10"/>
  <c r="D1012" i="10"/>
  <c r="E1011" i="10"/>
  <c r="D1011" i="10"/>
  <c r="E1010" i="10"/>
  <c r="D1010" i="10"/>
  <c r="E1009" i="10"/>
  <c r="D1009" i="10"/>
  <c r="E1008" i="10"/>
  <c r="D1008" i="10"/>
  <c r="E1007" i="10"/>
  <c r="D1007" i="10"/>
  <c r="E1006" i="10"/>
  <c r="D1006" i="10"/>
  <c r="E1005" i="10"/>
  <c r="D1005" i="10"/>
  <c r="E1004" i="10"/>
  <c r="D1004" i="10"/>
  <c r="E1003" i="10"/>
  <c r="D1003" i="10"/>
  <c r="E1002" i="10"/>
  <c r="D1002" i="10"/>
  <c r="E1001" i="10"/>
  <c r="D1001" i="10"/>
  <c r="E1000" i="10"/>
  <c r="D1000" i="10"/>
  <c r="E999" i="10"/>
  <c r="D999" i="10"/>
  <c r="E998" i="10"/>
  <c r="D998" i="10"/>
  <c r="E997" i="10"/>
  <c r="D997" i="10"/>
  <c r="E996" i="10"/>
  <c r="D996" i="10"/>
  <c r="E995" i="10"/>
  <c r="D995" i="10"/>
  <c r="E994" i="10"/>
  <c r="D994" i="10"/>
  <c r="E993" i="10"/>
  <c r="D993" i="10"/>
  <c r="E992" i="10"/>
  <c r="D992" i="10"/>
  <c r="E991" i="10"/>
  <c r="D991" i="10"/>
  <c r="E990" i="10"/>
  <c r="D990" i="10"/>
  <c r="E989" i="10"/>
  <c r="D989" i="10"/>
  <c r="E988" i="10"/>
  <c r="D988" i="10"/>
  <c r="E987" i="10"/>
  <c r="D987" i="10"/>
  <c r="E986" i="10"/>
  <c r="D986" i="10"/>
  <c r="E985" i="10"/>
  <c r="D985" i="10"/>
  <c r="E984" i="10"/>
  <c r="D984" i="10"/>
  <c r="E983" i="10"/>
  <c r="D983" i="10"/>
  <c r="E982" i="10"/>
  <c r="D982" i="10"/>
  <c r="E981" i="10"/>
  <c r="D981" i="10"/>
  <c r="E980" i="10"/>
  <c r="D980" i="10"/>
  <c r="E979" i="10"/>
  <c r="D979" i="10"/>
  <c r="E978" i="10"/>
  <c r="D978" i="10"/>
  <c r="E977" i="10"/>
  <c r="D977" i="10"/>
  <c r="E976" i="10"/>
  <c r="D976" i="10"/>
  <c r="E975" i="10"/>
  <c r="D975" i="10"/>
  <c r="E974" i="10"/>
  <c r="D974" i="10"/>
  <c r="E973" i="10"/>
  <c r="D973" i="10"/>
  <c r="E972" i="10"/>
  <c r="D972" i="10"/>
  <c r="E971" i="10"/>
  <c r="D971" i="10"/>
  <c r="E970" i="10"/>
  <c r="D970" i="10"/>
  <c r="E969" i="10"/>
  <c r="D969" i="10"/>
  <c r="E968" i="10"/>
  <c r="D968" i="10"/>
  <c r="E967" i="10"/>
  <c r="D967" i="10"/>
  <c r="E966" i="10"/>
  <c r="D966" i="10"/>
  <c r="E965" i="10"/>
  <c r="D965" i="10"/>
  <c r="E964" i="10"/>
  <c r="D964" i="10"/>
  <c r="E963" i="10"/>
  <c r="D963" i="10"/>
  <c r="E962" i="10"/>
  <c r="D962" i="10"/>
  <c r="E961" i="10"/>
  <c r="D961" i="10"/>
  <c r="E960" i="10"/>
  <c r="D960" i="10"/>
  <c r="E959" i="10"/>
  <c r="D959" i="10"/>
  <c r="E958" i="10"/>
  <c r="D958" i="10"/>
  <c r="E957" i="10"/>
  <c r="D957" i="10"/>
  <c r="E956" i="10"/>
  <c r="D956" i="10"/>
  <c r="E955" i="10"/>
  <c r="D955" i="10"/>
  <c r="E954" i="10"/>
  <c r="D954" i="10"/>
  <c r="E953" i="10"/>
  <c r="D953" i="10"/>
  <c r="E952" i="10"/>
  <c r="D952" i="10"/>
  <c r="E951" i="10"/>
  <c r="D951" i="10"/>
  <c r="E950" i="10"/>
  <c r="D950" i="10"/>
  <c r="E949" i="10"/>
  <c r="D949" i="10"/>
  <c r="E948" i="10"/>
  <c r="D948" i="10"/>
  <c r="E947" i="10"/>
  <c r="D947" i="10"/>
  <c r="E946" i="10"/>
  <c r="D946" i="10"/>
  <c r="E945" i="10"/>
  <c r="D945" i="10"/>
  <c r="E944" i="10"/>
  <c r="D944" i="10"/>
  <c r="E943" i="10"/>
  <c r="D943" i="10"/>
  <c r="E942" i="10"/>
  <c r="D942" i="10"/>
  <c r="E941" i="10"/>
  <c r="D941" i="10"/>
  <c r="E940" i="10"/>
  <c r="D940" i="10"/>
  <c r="E939" i="10"/>
  <c r="D939" i="10"/>
  <c r="E938" i="10"/>
  <c r="D938" i="10"/>
  <c r="E937" i="10"/>
  <c r="D937" i="10"/>
  <c r="E936" i="10"/>
  <c r="D936" i="10"/>
  <c r="E935" i="10"/>
  <c r="D935" i="10"/>
  <c r="E934" i="10"/>
  <c r="D934" i="10"/>
  <c r="E933" i="10"/>
  <c r="D933" i="10"/>
  <c r="E932" i="10"/>
  <c r="D932" i="10"/>
  <c r="E931" i="10"/>
  <c r="D931" i="10"/>
  <c r="E930" i="10"/>
  <c r="D930" i="10"/>
  <c r="E929" i="10"/>
  <c r="D929" i="10"/>
  <c r="E928" i="10"/>
  <c r="D928" i="10"/>
  <c r="E927" i="10"/>
  <c r="D927" i="10"/>
  <c r="E926" i="10"/>
  <c r="D926" i="10"/>
  <c r="E925" i="10"/>
  <c r="D925" i="10"/>
  <c r="E924" i="10"/>
  <c r="D924" i="10"/>
  <c r="E923" i="10"/>
  <c r="D923" i="10"/>
  <c r="E922" i="10"/>
  <c r="D922" i="10"/>
  <c r="E921" i="10"/>
  <c r="D921" i="10"/>
  <c r="E920" i="10"/>
  <c r="D920" i="10"/>
  <c r="E919" i="10"/>
  <c r="D919" i="10"/>
  <c r="E918" i="10"/>
  <c r="D918" i="10"/>
  <c r="E917" i="10"/>
  <c r="D917" i="10"/>
  <c r="E916" i="10"/>
  <c r="D916" i="10"/>
  <c r="E915" i="10"/>
  <c r="D915" i="10"/>
  <c r="E914" i="10"/>
  <c r="D914" i="10"/>
  <c r="E913" i="10"/>
  <c r="D913" i="10"/>
  <c r="E912" i="10"/>
  <c r="D912" i="10"/>
  <c r="E911" i="10"/>
  <c r="D911" i="10"/>
  <c r="E910" i="10"/>
  <c r="D910" i="10"/>
  <c r="E909" i="10"/>
  <c r="D909" i="10"/>
  <c r="E908" i="10"/>
  <c r="D908" i="10"/>
  <c r="E907" i="10"/>
  <c r="D907" i="10"/>
  <c r="E906" i="10"/>
  <c r="D906" i="10"/>
  <c r="E905" i="10"/>
  <c r="D905" i="10"/>
  <c r="E904" i="10"/>
  <c r="D904" i="10"/>
  <c r="E903" i="10"/>
  <c r="D903" i="10"/>
  <c r="E902" i="10"/>
  <c r="D902" i="10"/>
  <c r="E901" i="10"/>
  <c r="D901" i="10"/>
  <c r="E900" i="10"/>
  <c r="D900" i="10"/>
  <c r="E899" i="10"/>
  <c r="D899" i="10"/>
  <c r="E898" i="10"/>
  <c r="D898" i="10"/>
  <c r="E897" i="10"/>
  <c r="D897" i="10"/>
  <c r="E896" i="10"/>
  <c r="D896" i="10"/>
  <c r="E895" i="10"/>
  <c r="D895" i="10"/>
  <c r="E894" i="10"/>
  <c r="D894" i="10"/>
  <c r="E893" i="10"/>
  <c r="D893" i="10"/>
  <c r="E892" i="10"/>
  <c r="D892" i="10"/>
  <c r="E891" i="10"/>
  <c r="D891" i="10"/>
  <c r="E890" i="10"/>
  <c r="D890" i="10"/>
  <c r="E889" i="10"/>
  <c r="D889" i="10"/>
  <c r="E888" i="10"/>
  <c r="D888" i="10"/>
  <c r="E887" i="10"/>
  <c r="D887" i="10"/>
  <c r="E886" i="10"/>
  <c r="D886" i="10"/>
  <c r="E885" i="10"/>
  <c r="D885" i="10"/>
  <c r="E884" i="10"/>
  <c r="D884" i="10"/>
  <c r="E883" i="10"/>
  <c r="D883" i="10"/>
  <c r="E882" i="10"/>
  <c r="D882" i="10"/>
  <c r="E881" i="10"/>
  <c r="D881" i="10"/>
  <c r="E880" i="10"/>
  <c r="D880" i="10"/>
  <c r="E879" i="10"/>
  <c r="D879" i="10"/>
  <c r="E878" i="10"/>
  <c r="D878" i="10"/>
  <c r="E877" i="10"/>
  <c r="D877" i="10"/>
  <c r="E876" i="10"/>
  <c r="D876" i="10"/>
  <c r="E875" i="10"/>
  <c r="D875" i="10"/>
  <c r="E874" i="10"/>
  <c r="D874" i="10"/>
  <c r="E873" i="10"/>
  <c r="D873" i="10"/>
  <c r="E872" i="10"/>
  <c r="D872" i="10"/>
  <c r="E871" i="10"/>
  <c r="D871" i="10"/>
  <c r="E870" i="10"/>
  <c r="D870" i="10"/>
  <c r="E869" i="10"/>
  <c r="D869" i="10"/>
  <c r="E868" i="10"/>
  <c r="D868" i="10"/>
  <c r="E867" i="10"/>
  <c r="D867" i="10"/>
  <c r="E866" i="10"/>
  <c r="D866" i="10"/>
  <c r="E865" i="10"/>
  <c r="D865" i="10"/>
  <c r="E864" i="10"/>
  <c r="D864" i="10"/>
  <c r="E863" i="10"/>
  <c r="D863" i="10"/>
  <c r="E862" i="10"/>
  <c r="D862" i="10"/>
  <c r="E861" i="10"/>
  <c r="D861" i="10"/>
  <c r="E860" i="10"/>
  <c r="D860" i="10"/>
  <c r="E859" i="10"/>
  <c r="D859" i="10"/>
  <c r="E858" i="10"/>
  <c r="D858" i="10"/>
  <c r="E857" i="10"/>
  <c r="D857" i="10"/>
  <c r="E856" i="10"/>
  <c r="D856" i="10"/>
  <c r="E855" i="10"/>
  <c r="D855" i="10"/>
  <c r="E854" i="10"/>
  <c r="D854" i="10"/>
  <c r="E853" i="10"/>
  <c r="D853" i="10"/>
  <c r="E852" i="10"/>
  <c r="D852" i="10"/>
  <c r="E851" i="10"/>
  <c r="D851" i="10"/>
  <c r="E850" i="10"/>
  <c r="D850" i="10"/>
  <c r="E849" i="10"/>
  <c r="D849" i="10"/>
  <c r="E848" i="10"/>
  <c r="D848" i="10"/>
  <c r="E847" i="10"/>
  <c r="D847" i="10"/>
  <c r="E846" i="10"/>
  <c r="D846" i="10"/>
  <c r="E845" i="10"/>
  <c r="D845" i="10"/>
  <c r="E844" i="10"/>
  <c r="D844" i="10"/>
  <c r="E843" i="10"/>
  <c r="D843" i="10"/>
  <c r="E842" i="10"/>
  <c r="D842" i="10"/>
  <c r="E841" i="10"/>
  <c r="D841" i="10"/>
  <c r="E840" i="10"/>
  <c r="D840" i="10"/>
  <c r="E839" i="10"/>
  <c r="D839" i="10"/>
  <c r="E838" i="10"/>
  <c r="D838" i="10"/>
  <c r="E837" i="10"/>
  <c r="D837" i="10"/>
  <c r="E836" i="10"/>
  <c r="D836" i="10"/>
  <c r="E835" i="10"/>
  <c r="D835" i="10"/>
  <c r="E834" i="10"/>
  <c r="D834" i="10"/>
  <c r="E833" i="10"/>
  <c r="D833" i="10"/>
  <c r="E832" i="10"/>
  <c r="D832" i="10"/>
  <c r="E831" i="10"/>
  <c r="D831" i="10"/>
  <c r="E830" i="10"/>
  <c r="D830" i="10"/>
  <c r="E829" i="10"/>
  <c r="D829" i="10"/>
  <c r="E828" i="10"/>
  <c r="D828" i="10"/>
  <c r="E827" i="10"/>
  <c r="D827" i="10"/>
  <c r="E826" i="10"/>
  <c r="D826" i="10"/>
  <c r="E825" i="10"/>
  <c r="D825" i="10"/>
  <c r="E824" i="10"/>
  <c r="D824" i="10"/>
  <c r="E823" i="10"/>
  <c r="D823" i="10"/>
  <c r="E822" i="10"/>
  <c r="D822" i="10"/>
  <c r="E821" i="10"/>
  <c r="D821" i="10"/>
  <c r="E820" i="10"/>
  <c r="D820" i="10"/>
  <c r="E819" i="10"/>
  <c r="D819" i="10"/>
  <c r="E818" i="10"/>
  <c r="D818" i="10"/>
  <c r="E817" i="10"/>
  <c r="D817" i="10"/>
  <c r="E816" i="10"/>
  <c r="D816" i="10"/>
  <c r="E815" i="10"/>
  <c r="D815" i="10"/>
  <c r="E814" i="10"/>
  <c r="D814" i="10"/>
  <c r="E813" i="10"/>
  <c r="D813" i="10"/>
  <c r="E812" i="10"/>
  <c r="D812" i="10"/>
  <c r="E811" i="10"/>
  <c r="D811" i="10"/>
  <c r="E810" i="10"/>
  <c r="D810" i="10"/>
  <c r="E809" i="10"/>
  <c r="D809" i="10"/>
  <c r="E808" i="10"/>
  <c r="D808" i="10"/>
  <c r="E807" i="10"/>
  <c r="D807" i="10"/>
  <c r="E806" i="10"/>
  <c r="D806" i="10"/>
  <c r="E805" i="10"/>
  <c r="D805" i="10"/>
  <c r="E804" i="10"/>
  <c r="D804" i="10"/>
  <c r="E803" i="10"/>
  <c r="D803" i="10"/>
  <c r="E802" i="10"/>
  <c r="D802" i="10"/>
  <c r="E801" i="10"/>
  <c r="D801" i="10"/>
  <c r="E800" i="10"/>
  <c r="D800" i="10"/>
  <c r="E799" i="10"/>
  <c r="D799" i="10"/>
  <c r="E798" i="10"/>
  <c r="D798" i="10"/>
  <c r="E797" i="10"/>
  <c r="D797" i="10"/>
  <c r="E796" i="10"/>
  <c r="D796" i="10"/>
  <c r="E795" i="10"/>
  <c r="D795" i="10"/>
  <c r="E794" i="10"/>
  <c r="D794" i="10"/>
  <c r="E793" i="10"/>
  <c r="D793" i="10"/>
  <c r="E792" i="10"/>
  <c r="D792" i="10"/>
  <c r="E791" i="10"/>
  <c r="D791" i="10"/>
  <c r="E790" i="10"/>
  <c r="D790" i="10"/>
  <c r="E789" i="10"/>
  <c r="D789" i="10"/>
  <c r="E788" i="10"/>
  <c r="D788" i="10"/>
  <c r="E787" i="10"/>
  <c r="D787" i="10"/>
  <c r="E786" i="10"/>
  <c r="D786" i="10"/>
  <c r="E785" i="10"/>
  <c r="D785" i="10"/>
  <c r="E784" i="10"/>
  <c r="D784" i="10"/>
  <c r="E783" i="10"/>
  <c r="D783" i="10"/>
  <c r="E782" i="10"/>
  <c r="D782" i="10"/>
  <c r="E781" i="10"/>
  <c r="D781" i="10"/>
  <c r="E780" i="10"/>
  <c r="D780" i="10"/>
  <c r="E779" i="10"/>
  <c r="D779" i="10"/>
  <c r="E778" i="10"/>
  <c r="D778" i="10"/>
  <c r="E777" i="10"/>
  <c r="D777" i="10"/>
  <c r="E776" i="10"/>
  <c r="D776" i="10"/>
  <c r="E775" i="10"/>
  <c r="D775" i="10"/>
  <c r="E774" i="10"/>
  <c r="D774" i="10"/>
  <c r="E773" i="10"/>
  <c r="D773" i="10"/>
  <c r="E772" i="10"/>
  <c r="D772" i="10"/>
  <c r="E771" i="10"/>
  <c r="D771" i="10"/>
  <c r="E770" i="10"/>
  <c r="D770" i="10"/>
  <c r="E769" i="10"/>
  <c r="D769" i="10"/>
  <c r="E768" i="10"/>
  <c r="D768" i="10"/>
  <c r="E767" i="10"/>
  <c r="D767" i="10"/>
  <c r="E766" i="10"/>
  <c r="D766" i="10"/>
  <c r="E765" i="10"/>
  <c r="D765" i="10"/>
  <c r="E764" i="10"/>
  <c r="D764" i="10"/>
  <c r="E763" i="10"/>
  <c r="D763" i="10"/>
  <c r="E762" i="10"/>
  <c r="D762" i="10"/>
  <c r="E761" i="10"/>
  <c r="D761" i="10"/>
  <c r="E760" i="10"/>
  <c r="D760" i="10"/>
  <c r="E759" i="10"/>
  <c r="D759" i="10"/>
  <c r="E758" i="10"/>
  <c r="D758" i="10"/>
  <c r="E757" i="10"/>
  <c r="D757" i="10"/>
  <c r="E756" i="10"/>
  <c r="D756" i="10"/>
  <c r="E755" i="10"/>
  <c r="D755" i="10"/>
  <c r="E754" i="10"/>
  <c r="D754" i="10"/>
  <c r="E753" i="10"/>
  <c r="D753" i="10"/>
  <c r="E752" i="10"/>
  <c r="D752" i="10"/>
  <c r="E751" i="10"/>
  <c r="D751" i="10"/>
  <c r="E750" i="10"/>
  <c r="D750" i="10"/>
  <c r="E749" i="10"/>
  <c r="D749" i="10"/>
  <c r="E748" i="10"/>
  <c r="D748" i="10"/>
  <c r="E747" i="10"/>
  <c r="D747" i="10"/>
  <c r="E746" i="10"/>
  <c r="D746" i="10"/>
  <c r="E745" i="10"/>
  <c r="D745" i="10"/>
  <c r="E744" i="10"/>
  <c r="D744" i="10"/>
  <c r="E743" i="10"/>
  <c r="D743" i="10"/>
  <c r="E742" i="10"/>
  <c r="D742" i="10"/>
  <c r="E741" i="10"/>
  <c r="D741" i="10"/>
  <c r="E740" i="10"/>
  <c r="D740" i="10"/>
  <c r="E739" i="10"/>
  <c r="D739" i="10"/>
  <c r="E738" i="10"/>
  <c r="D738" i="10"/>
  <c r="E737" i="10"/>
  <c r="D737" i="10"/>
  <c r="E736" i="10"/>
  <c r="D736" i="10"/>
  <c r="E735" i="10"/>
  <c r="D735" i="10"/>
  <c r="E734" i="10"/>
  <c r="D734" i="10"/>
  <c r="E733" i="10"/>
  <c r="D733" i="10"/>
  <c r="E732" i="10"/>
  <c r="D732" i="10"/>
  <c r="E731" i="10"/>
  <c r="D731" i="10"/>
  <c r="E730" i="10"/>
  <c r="D730" i="10"/>
  <c r="E729" i="10"/>
  <c r="D729" i="10"/>
  <c r="E728" i="10"/>
  <c r="D728" i="10"/>
  <c r="E727" i="10"/>
  <c r="D727" i="10"/>
  <c r="E726" i="10"/>
  <c r="D726" i="10"/>
  <c r="E725" i="10"/>
  <c r="D725" i="10"/>
  <c r="E724" i="10"/>
  <c r="D724" i="10"/>
  <c r="E723" i="10"/>
  <c r="D723" i="10"/>
  <c r="E722" i="10"/>
  <c r="D722" i="10"/>
  <c r="E721" i="10"/>
  <c r="D721" i="10"/>
  <c r="E720" i="10"/>
  <c r="D720" i="10"/>
  <c r="E719" i="10"/>
  <c r="D719" i="10"/>
  <c r="E718" i="10"/>
  <c r="D718" i="10"/>
  <c r="E717" i="10"/>
  <c r="D717" i="10"/>
  <c r="E716" i="10"/>
  <c r="D716" i="10"/>
  <c r="E715" i="10"/>
  <c r="D715" i="10"/>
  <c r="E714" i="10"/>
  <c r="D714" i="10"/>
  <c r="E713" i="10"/>
  <c r="D713" i="10"/>
  <c r="E712" i="10"/>
  <c r="D712" i="10"/>
  <c r="E711" i="10"/>
  <c r="D711" i="10"/>
  <c r="E710" i="10"/>
  <c r="D710" i="10"/>
  <c r="E709" i="10"/>
  <c r="D709" i="10"/>
  <c r="E708" i="10"/>
  <c r="D708" i="10"/>
  <c r="E707" i="10"/>
  <c r="D707" i="10"/>
  <c r="E706" i="10"/>
  <c r="D706" i="10"/>
  <c r="E705" i="10"/>
  <c r="D705" i="10"/>
  <c r="E704" i="10"/>
  <c r="D704" i="10"/>
  <c r="E703" i="10"/>
  <c r="D703" i="10"/>
  <c r="E702" i="10"/>
  <c r="D702" i="10"/>
  <c r="E701" i="10"/>
  <c r="D701" i="10"/>
  <c r="E700" i="10"/>
  <c r="D700" i="10"/>
  <c r="E699" i="10"/>
  <c r="D699" i="10"/>
  <c r="E698" i="10"/>
  <c r="D698" i="10"/>
  <c r="E697" i="10"/>
  <c r="D697" i="10"/>
  <c r="E696" i="10"/>
  <c r="D696" i="10"/>
  <c r="E695" i="10"/>
  <c r="D695" i="10"/>
  <c r="E694" i="10"/>
  <c r="D694" i="10"/>
  <c r="E693" i="10"/>
  <c r="D693" i="10"/>
  <c r="E692" i="10"/>
  <c r="D692" i="10"/>
  <c r="E691" i="10"/>
  <c r="D691" i="10"/>
  <c r="E690" i="10"/>
  <c r="D690" i="10"/>
  <c r="E689" i="10"/>
  <c r="D689" i="10"/>
  <c r="E688" i="10"/>
  <c r="D688" i="10"/>
  <c r="E687" i="10"/>
  <c r="D687" i="10"/>
  <c r="E686" i="10"/>
  <c r="D686" i="10"/>
  <c r="E685" i="10"/>
  <c r="D685" i="10"/>
  <c r="E684" i="10"/>
  <c r="D684" i="10"/>
  <c r="E683" i="10"/>
  <c r="D683" i="10"/>
  <c r="E682" i="10"/>
  <c r="D682" i="10"/>
  <c r="E681" i="10"/>
  <c r="D681" i="10"/>
  <c r="E680" i="10"/>
  <c r="D680" i="10"/>
  <c r="E679" i="10"/>
  <c r="D679" i="10"/>
  <c r="E678" i="10"/>
  <c r="D678" i="10"/>
  <c r="E677" i="10"/>
  <c r="D677" i="10"/>
  <c r="E676" i="10"/>
  <c r="D676" i="10"/>
  <c r="E675" i="10"/>
  <c r="D675" i="10"/>
  <c r="E674" i="10"/>
  <c r="D674" i="10"/>
  <c r="E673" i="10"/>
  <c r="D673" i="10"/>
  <c r="E672" i="10"/>
  <c r="D672" i="10"/>
  <c r="E671" i="10"/>
  <c r="D671" i="10"/>
  <c r="E670" i="10"/>
  <c r="D670" i="10"/>
  <c r="E669" i="10"/>
  <c r="D669" i="10"/>
  <c r="E668" i="10"/>
  <c r="D668" i="10"/>
  <c r="E667" i="10"/>
  <c r="D667" i="10"/>
  <c r="E666" i="10"/>
  <c r="D666" i="10"/>
  <c r="E665" i="10"/>
  <c r="D665" i="10"/>
  <c r="E664" i="10"/>
  <c r="D664" i="10"/>
  <c r="E663" i="10"/>
  <c r="D663" i="10"/>
  <c r="E662" i="10"/>
  <c r="D662" i="10"/>
  <c r="E661" i="10"/>
  <c r="D661" i="10"/>
  <c r="E660" i="10"/>
  <c r="D660" i="10"/>
  <c r="E659" i="10"/>
  <c r="D659" i="10"/>
  <c r="E658" i="10"/>
  <c r="D658" i="10"/>
  <c r="E657" i="10"/>
  <c r="D657" i="10"/>
  <c r="E656" i="10"/>
  <c r="D656" i="10"/>
  <c r="E655" i="10"/>
  <c r="D655" i="10"/>
  <c r="E654" i="10"/>
  <c r="D654" i="10"/>
  <c r="E653" i="10"/>
  <c r="D653" i="10"/>
  <c r="E652" i="10"/>
  <c r="D652" i="10"/>
  <c r="E651" i="10"/>
  <c r="D651" i="10"/>
  <c r="E650" i="10"/>
  <c r="D650" i="10"/>
  <c r="E649" i="10"/>
  <c r="D649" i="10"/>
  <c r="E648" i="10"/>
  <c r="D648" i="10"/>
  <c r="E647" i="10"/>
  <c r="D647" i="10"/>
  <c r="E646" i="10"/>
  <c r="D646" i="10"/>
  <c r="E645" i="10"/>
  <c r="D645" i="10"/>
  <c r="E644" i="10"/>
  <c r="D644" i="10"/>
  <c r="E643" i="10"/>
  <c r="D643" i="10"/>
  <c r="E642" i="10"/>
  <c r="D642" i="10"/>
  <c r="E641" i="10"/>
  <c r="D641" i="10"/>
  <c r="E640" i="10"/>
  <c r="D640" i="10"/>
  <c r="E639" i="10"/>
  <c r="D639" i="10"/>
  <c r="E638" i="10"/>
  <c r="D638" i="10"/>
  <c r="E637" i="10"/>
  <c r="D637" i="10"/>
  <c r="E636" i="10"/>
  <c r="D636" i="10"/>
  <c r="E635" i="10"/>
  <c r="D635" i="10"/>
  <c r="E634" i="10"/>
  <c r="D634" i="10"/>
  <c r="E633" i="10"/>
  <c r="D633" i="10"/>
  <c r="E632" i="10"/>
  <c r="D632" i="10"/>
  <c r="E631" i="10"/>
  <c r="D631" i="10"/>
  <c r="E630" i="10"/>
  <c r="D630" i="10"/>
  <c r="E629" i="10"/>
  <c r="D629" i="10"/>
  <c r="E628" i="10"/>
  <c r="D628" i="10"/>
  <c r="E627" i="10"/>
  <c r="D627" i="10"/>
  <c r="E626" i="10"/>
  <c r="D626" i="10"/>
  <c r="E625" i="10"/>
  <c r="D625" i="10"/>
  <c r="E624" i="10"/>
  <c r="D624" i="10"/>
  <c r="E623" i="10"/>
  <c r="D623" i="10"/>
  <c r="E622" i="10"/>
  <c r="D622" i="10"/>
  <c r="E621" i="10"/>
  <c r="D621" i="10"/>
  <c r="E620" i="10"/>
  <c r="D620" i="10"/>
  <c r="E619" i="10"/>
  <c r="D619" i="10"/>
  <c r="E618" i="10"/>
  <c r="D618" i="10"/>
  <c r="E617" i="10"/>
  <c r="D617" i="10"/>
  <c r="E616" i="10"/>
  <c r="D616" i="10"/>
  <c r="E615" i="10"/>
  <c r="D615" i="10"/>
  <c r="E614" i="10"/>
  <c r="D614" i="10"/>
  <c r="E613" i="10"/>
  <c r="D613" i="10"/>
  <c r="E612" i="10"/>
  <c r="D612" i="10"/>
  <c r="E611" i="10"/>
  <c r="D611" i="10"/>
  <c r="E610" i="10"/>
  <c r="D610" i="10"/>
  <c r="E609" i="10"/>
  <c r="D609" i="10"/>
  <c r="E608" i="10"/>
  <c r="D608" i="10"/>
  <c r="E607" i="10"/>
  <c r="D607" i="10"/>
  <c r="E606" i="10"/>
  <c r="D606" i="10"/>
  <c r="E605" i="10"/>
  <c r="D605" i="10"/>
  <c r="E604" i="10"/>
  <c r="D604" i="10"/>
  <c r="E603" i="10"/>
  <c r="D603" i="10"/>
  <c r="E602" i="10"/>
  <c r="D602" i="10"/>
  <c r="E601" i="10"/>
  <c r="D601" i="10"/>
  <c r="E600" i="10"/>
  <c r="D600" i="10"/>
  <c r="E599" i="10"/>
  <c r="D599" i="10"/>
  <c r="E598" i="10"/>
  <c r="D598" i="10"/>
  <c r="E597" i="10"/>
  <c r="D597" i="10"/>
  <c r="E596" i="10"/>
  <c r="D596" i="10"/>
  <c r="E595" i="10"/>
  <c r="D595" i="10"/>
  <c r="E594" i="10"/>
  <c r="D594" i="10"/>
  <c r="E593" i="10"/>
  <c r="D593" i="10"/>
  <c r="E592" i="10"/>
  <c r="D592" i="10"/>
  <c r="E591" i="10"/>
  <c r="D591" i="10"/>
  <c r="E590" i="10"/>
  <c r="D590" i="10"/>
  <c r="E589" i="10"/>
  <c r="D589" i="10"/>
  <c r="E588" i="10"/>
  <c r="D588" i="10"/>
  <c r="E587" i="10"/>
  <c r="D587" i="10"/>
  <c r="E586" i="10"/>
  <c r="D586" i="10"/>
  <c r="E585" i="10"/>
  <c r="D585" i="10"/>
  <c r="E584" i="10"/>
  <c r="D584" i="10"/>
  <c r="E583" i="10"/>
  <c r="D583" i="10"/>
  <c r="E582" i="10"/>
  <c r="D582" i="10"/>
  <c r="E581" i="10"/>
  <c r="D581" i="10"/>
  <c r="E580" i="10"/>
  <c r="D580" i="10"/>
  <c r="E579" i="10"/>
  <c r="D579" i="10"/>
  <c r="E578" i="10"/>
  <c r="D578" i="10"/>
  <c r="E577" i="10"/>
  <c r="D577" i="10"/>
  <c r="E576" i="10"/>
  <c r="D576" i="10"/>
  <c r="E575" i="10"/>
  <c r="D575" i="10"/>
  <c r="E574" i="10"/>
  <c r="D574" i="10"/>
  <c r="E573" i="10"/>
  <c r="D573" i="10"/>
  <c r="E572" i="10"/>
  <c r="D572" i="10"/>
  <c r="E571" i="10"/>
  <c r="D571" i="10"/>
  <c r="E570" i="10"/>
  <c r="D570" i="10"/>
  <c r="E569" i="10"/>
  <c r="D569" i="10"/>
  <c r="E568" i="10"/>
  <c r="D568" i="10"/>
  <c r="E567" i="10"/>
  <c r="D567" i="10"/>
  <c r="E566" i="10"/>
  <c r="D566" i="10"/>
  <c r="E565" i="10"/>
  <c r="D565" i="10"/>
  <c r="E564" i="10"/>
  <c r="D564" i="10"/>
  <c r="E563" i="10"/>
  <c r="D563" i="10"/>
  <c r="E562" i="10"/>
  <c r="D562" i="10"/>
  <c r="E561" i="10"/>
  <c r="D561" i="10"/>
  <c r="E560" i="10"/>
  <c r="D560" i="10"/>
  <c r="E559" i="10"/>
  <c r="D559" i="10"/>
  <c r="E558" i="10"/>
  <c r="D558" i="10"/>
  <c r="E557" i="10"/>
  <c r="D557" i="10"/>
  <c r="E556" i="10"/>
  <c r="D556" i="10"/>
  <c r="E555" i="10"/>
  <c r="D555" i="10"/>
  <c r="E554" i="10"/>
  <c r="D554" i="10"/>
  <c r="E553" i="10"/>
  <c r="D553" i="10"/>
  <c r="E552" i="10"/>
  <c r="D552" i="10"/>
  <c r="E551" i="10"/>
  <c r="D551" i="10"/>
  <c r="E550" i="10"/>
  <c r="D550" i="10"/>
  <c r="E549" i="10"/>
  <c r="D549" i="10"/>
  <c r="E548" i="10"/>
  <c r="D548" i="10"/>
  <c r="E547" i="10"/>
  <c r="D547" i="10"/>
  <c r="E546" i="10"/>
  <c r="D546" i="10"/>
  <c r="E545" i="10"/>
  <c r="D545" i="10"/>
  <c r="E544" i="10"/>
  <c r="D544" i="10"/>
  <c r="E543" i="10"/>
  <c r="D543" i="10"/>
  <c r="E542" i="10"/>
  <c r="D542" i="10"/>
  <c r="E541" i="10"/>
  <c r="D541" i="10"/>
  <c r="E540" i="10"/>
  <c r="D540" i="10"/>
  <c r="E539" i="10"/>
  <c r="D539" i="10"/>
  <c r="E538" i="10"/>
  <c r="D538" i="10"/>
  <c r="E537" i="10"/>
  <c r="D537" i="10"/>
  <c r="E536" i="10"/>
  <c r="D536" i="10"/>
  <c r="E535" i="10"/>
  <c r="D535" i="10"/>
  <c r="E534" i="10"/>
  <c r="D534" i="10"/>
  <c r="E533" i="10"/>
  <c r="D533" i="10"/>
  <c r="E532" i="10"/>
  <c r="D532" i="10"/>
  <c r="E531" i="10"/>
  <c r="D531" i="10"/>
  <c r="E530" i="10"/>
  <c r="D530" i="10"/>
  <c r="E529" i="10"/>
  <c r="D529" i="10"/>
  <c r="E528" i="10"/>
  <c r="D528" i="10"/>
  <c r="E527" i="10"/>
  <c r="D527" i="10"/>
  <c r="E526" i="10"/>
  <c r="D526" i="10"/>
  <c r="E525" i="10"/>
  <c r="D525" i="10"/>
  <c r="E524" i="10"/>
  <c r="D524" i="10"/>
  <c r="E523" i="10"/>
  <c r="D523" i="10"/>
  <c r="E522" i="10"/>
  <c r="D522" i="10"/>
  <c r="E521" i="10"/>
  <c r="D521" i="10"/>
  <c r="E520" i="10"/>
  <c r="D520" i="10"/>
  <c r="E519" i="10"/>
  <c r="D519" i="10"/>
  <c r="E518" i="10"/>
  <c r="D518" i="10"/>
  <c r="E517" i="10"/>
  <c r="D517" i="10"/>
  <c r="E516" i="10"/>
  <c r="D516" i="10"/>
  <c r="E515" i="10"/>
  <c r="D515" i="10"/>
  <c r="E514" i="10"/>
  <c r="D514" i="10"/>
  <c r="E513" i="10"/>
  <c r="D513" i="10"/>
  <c r="E512" i="10"/>
  <c r="D512" i="10"/>
  <c r="E511" i="10"/>
  <c r="D511" i="10"/>
  <c r="E510" i="10"/>
  <c r="D510" i="10"/>
  <c r="E509" i="10"/>
  <c r="D509" i="10"/>
  <c r="E508" i="10"/>
  <c r="D508" i="10"/>
  <c r="E507" i="10"/>
  <c r="D507" i="10"/>
  <c r="E506" i="10"/>
  <c r="D506" i="10"/>
  <c r="E505" i="10"/>
  <c r="D505" i="10"/>
  <c r="E504" i="10"/>
  <c r="D504" i="10"/>
  <c r="E503" i="10"/>
  <c r="D503" i="10"/>
  <c r="E502" i="10"/>
  <c r="D502" i="10"/>
  <c r="E501" i="10"/>
  <c r="D501" i="10"/>
  <c r="E500" i="10"/>
  <c r="D500" i="10"/>
  <c r="E499" i="10"/>
  <c r="D499" i="10"/>
  <c r="E498" i="10"/>
  <c r="D498" i="10"/>
  <c r="E497" i="10"/>
  <c r="D497" i="10"/>
  <c r="E496" i="10"/>
  <c r="D496" i="10"/>
  <c r="E495" i="10"/>
  <c r="D495" i="10"/>
  <c r="E494" i="10"/>
  <c r="D494" i="10"/>
  <c r="E493" i="10"/>
  <c r="D493" i="10"/>
  <c r="E492" i="10"/>
  <c r="D492" i="10"/>
  <c r="E491" i="10"/>
  <c r="D491" i="10"/>
  <c r="E490" i="10"/>
  <c r="D490" i="10"/>
  <c r="E489" i="10"/>
  <c r="D489" i="10"/>
  <c r="E488" i="10"/>
  <c r="D488" i="10"/>
  <c r="E487" i="10"/>
  <c r="D487" i="10"/>
  <c r="E486" i="10"/>
  <c r="D486" i="10"/>
  <c r="E485" i="10"/>
  <c r="D485" i="10"/>
  <c r="E484" i="10"/>
  <c r="D484" i="10"/>
  <c r="E483" i="10"/>
  <c r="D483" i="10"/>
  <c r="E482" i="10"/>
  <c r="D482" i="10"/>
  <c r="E481" i="10"/>
  <c r="D481" i="10"/>
  <c r="E480" i="10"/>
  <c r="D480" i="10"/>
  <c r="E479" i="10"/>
  <c r="D479" i="10"/>
  <c r="E478" i="10"/>
  <c r="D478" i="10"/>
  <c r="E477" i="10"/>
  <c r="D477" i="10"/>
  <c r="E476" i="10"/>
  <c r="D476" i="10"/>
  <c r="E475" i="10"/>
  <c r="D475" i="10"/>
  <c r="E474" i="10"/>
  <c r="D474" i="10"/>
  <c r="E473" i="10"/>
  <c r="D473" i="10"/>
  <c r="E472" i="10"/>
  <c r="D472" i="10"/>
  <c r="E471" i="10"/>
  <c r="D471" i="10"/>
  <c r="E470" i="10"/>
  <c r="D470" i="10"/>
  <c r="E469" i="10"/>
  <c r="D469" i="10"/>
  <c r="E468" i="10"/>
  <c r="D468" i="10"/>
  <c r="E467" i="10"/>
  <c r="D467" i="10"/>
  <c r="E466" i="10"/>
  <c r="D466" i="10"/>
  <c r="E465" i="10"/>
  <c r="D465" i="10"/>
  <c r="E464" i="10"/>
  <c r="D464" i="10"/>
  <c r="E463" i="10"/>
  <c r="D463" i="10"/>
  <c r="E462" i="10"/>
  <c r="D462" i="10"/>
  <c r="E461" i="10"/>
  <c r="D461" i="10"/>
  <c r="E460" i="10"/>
  <c r="D460" i="10"/>
  <c r="E459" i="10"/>
  <c r="D459" i="10"/>
  <c r="E458" i="10"/>
  <c r="D458" i="10"/>
  <c r="E457" i="10"/>
  <c r="D457" i="10"/>
  <c r="E456" i="10"/>
  <c r="D456" i="10"/>
  <c r="E455" i="10"/>
  <c r="D455" i="10"/>
  <c r="E454" i="10"/>
  <c r="D454" i="10"/>
  <c r="E453" i="10"/>
  <c r="D453" i="10"/>
  <c r="E452" i="10"/>
  <c r="D452" i="10"/>
  <c r="E451" i="10"/>
  <c r="D451" i="10"/>
  <c r="E450" i="10"/>
  <c r="D450" i="10"/>
  <c r="E449" i="10"/>
  <c r="D449" i="10"/>
  <c r="E448" i="10"/>
  <c r="D448" i="10"/>
  <c r="E447" i="10"/>
  <c r="D447" i="10"/>
  <c r="E446" i="10"/>
  <c r="D446" i="10"/>
  <c r="E445" i="10"/>
  <c r="D445" i="10"/>
  <c r="E444" i="10"/>
  <c r="D444" i="10"/>
  <c r="E443" i="10"/>
  <c r="D443" i="10"/>
  <c r="E442" i="10"/>
  <c r="D442" i="10"/>
  <c r="E441" i="10"/>
  <c r="D441" i="10"/>
  <c r="E440" i="10"/>
  <c r="D440" i="10"/>
  <c r="E439" i="10"/>
  <c r="D439" i="10"/>
  <c r="E438" i="10"/>
  <c r="D438" i="10"/>
  <c r="E437" i="10"/>
  <c r="D437" i="10"/>
  <c r="E436" i="10"/>
  <c r="D436" i="10"/>
  <c r="E435" i="10"/>
  <c r="D435" i="10"/>
  <c r="E434" i="10"/>
  <c r="D434" i="10"/>
  <c r="E433" i="10"/>
  <c r="D433" i="10"/>
  <c r="E432" i="10"/>
  <c r="D432" i="10"/>
  <c r="E431" i="10"/>
  <c r="D431" i="10"/>
  <c r="E430" i="10"/>
  <c r="D430" i="10"/>
  <c r="E429" i="10"/>
  <c r="D429" i="10"/>
  <c r="E428" i="10"/>
  <c r="D428" i="10"/>
  <c r="E427" i="10"/>
  <c r="D427" i="10"/>
  <c r="E426" i="10"/>
  <c r="D426" i="10"/>
  <c r="E425" i="10"/>
  <c r="D425" i="10"/>
  <c r="E424" i="10"/>
  <c r="D424" i="10"/>
  <c r="E423" i="10"/>
  <c r="D423" i="10"/>
  <c r="E422" i="10"/>
  <c r="D422" i="10"/>
  <c r="E421" i="10"/>
  <c r="D421" i="10"/>
  <c r="E420" i="10"/>
  <c r="D420" i="10"/>
  <c r="E419" i="10"/>
  <c r="D419" i="10"/>
  <c r="E418" i="10"/>
  <c r="D418" i="10"/>
  <c r="E417" i="10"/>
  <c r="D417" i="10"/>
  <c r="E416" i="10"/>
  <c r="D416" i="10"/>
  <c r="E415" i="10"/>
  <c r="D415" i="10"/>
  <c r="E414" i="10"/>
  <c r="D414" i="10"/>
  <c r="E413" i="10"/>
  <c r="D413" i="10"/>
  <c r="E412" i="10"/>
  <c r="D412" i="10"/>
  <c r="E411" i="10"/>
  <c r="D411" i="10"/>
  <c r="E410" i="10"/>
  <c r="D410" i="10"/>
  <c r="E409" i="10"/>
  <c r="D409" i="10"/>
  <c r="E408" i="10"/>
  <c r="D408" i="10"/>
  <c r="E407" i="10"/>
  <c r="D407" i="10"/>
  <c r="E406" i="10"/>
  <c r="D406" i="10"/>
  <c r="E405" i="10"/>
  <c r="D405" i="10"/>
  <c r="E404" i="10"/>
  <c r="D404" i="10"/>
  <c r="E403" i="10"/>
  <c r="D403" i="10"/>
  <c r="E402" i="10"/>
  <c r="D402" i="10"/>
  <c r="E401" i="10"/>
  <c r="D401" i="10"/>
  <c r="E400" i="10"/>
  <c r="D400" i="10"/>
  <c r="E399" i="10"/>
  <c r="D399" i="10"/>
  <c r="E398" i="10"/>
  <c r="D398" i="10"/>
  <c r="E397" i="10"/>
  <c r="D397" i="10"/>
  <c r="E396" i="10"/>
  <c r="D396" i="10"/>
  <c r="E395" i="10"/>
  <c r="D395" i="10"/>
  <c r="E394" i="10"/>
  <c r="D394" i="10"/>
  <c r="E393" i="10"/>
  <c r="D393" i="10"/>
  <c r="E392" i="10"/>
  <c r="D392" i="10"/>
  <c r="E391" i="10"/>
  <c r="D391" i="10"/>
  <c r="E390" i="10"/>
  <c r="D390" i="10"/>
  <c r="E389" i="10"/>
  <c r="D389" i="10"/>
  <c r="E388" i="10"/>
  <c r="D388" i="10"/>
  <c r="E387" i="10"/>
  <c r="D387" i="10"/>
  <c r="E386" i="10"/>
  <c r="D386" i="10"/>
  <c r="E385" i="10"/>
  <c r="D385" i="10"/>
  <c r="E384" i="10"/>
  <c r="D384" i="10"/>
  <c r="E383" i="10"/>
  <c r="D383" i="10"/>
  <c r="E382" i="10"/>
  <c r="D382" i="10"/>
  <c r="E381" i="10"/>
  <c r="D381" i="10"/>
  <c r="E380" i="10"/>
  <c r="D380" i="10"/>
  <c r="E379" i="10"/>
  <c r="D379" i="10"/>
  <c r="E378" i="10"/>
  <c r="D378" i="10"/>
  <c r="E377" i="10"/>
  <c r="D377" i="10"/>
  <c r="E376" i="10"/>
  <c r="D376" i="10"/>
  <c r="E375" i="10"/>
  <c r="D375" i="10"/>
  <c r="E374" i="10"/>
  <c r="D374" i="10"/>
  <c r="E373" i="10"/>
  <c r="D373" i="10"/>
  <c r="E372" i="10"/>
  <c r="D372" i="10"/>
  <c r="E371" i="10"/>
  <c r="D371" i="10"/>
  <c r="E370" i="10"/>
  <c r="D370" i="10"/>
  <c r="E369" i="10"/>
  <c r="D369" i="10"/>
  <c r="E368" i="10"/>
  <c r="D368" i="10"/>
  <c r="E367" i="10"/>
  <c r="D367" i="10"/>
  <c r="E366" i="10"/>
  <c r="D366" i="10"/>
  <c r="E365" i="10"/>
  <c r="D365" i="10"/>
  <c r="E364" i="10"/>
  <c r="D364" i="10"/>
  <c r="E363" i="10"/>
  <c r="D363" i="10"/>
  <c r="E362" i="10"/>
  <c r="D362" i="10"/>
  <c r="E361" i="10"/>
  <c r="D361" i="10"/>
  <c r="E360" i="10"/>
  <c r="D360" i="10"/>
  <c r="E359" i="10"/>
  <c r="D359" i="10"/>
  <c r="E358" i="10"/>
  <c r="D358" i="10"/>
  <c r="E357" i="10"/>
  <c r="D357" i="10"/>
  <c r="E356" i="10"/>
  <c r="D356" i="10"/>
  <c r="E355" i="10"/>
  <c r="D355" i="10"/>
  <c r="E354" i="10"/>
  <c r="D354" i="10"/>
  <c r="E353" i="10"/>
  <c r="D353" i="10"/>
  <c r="E352" i="10"/>
  <c r="D352" i="10"/>
  <c r="E351" i="10"/>
  <c r="D351" i="10"/>
  <c r="E350" i="10"/>
  <c r="D350" i="10"/>
  <c r="E349" i="10"/>
  <c r="D349" i="10"/>
  <c r="E348" i="10"/>
  <c r="D348" i="10"/>
  <c r="E347" i="10"/>
  <c r="D347" i="10"/>
  <c r="E346" i="10"/>
  <c r="D346" i="10"/>
  <c r="E345" i="10"/>
  <c r="D345" i="10"/>
  <c r="E344" i="10"/>
  <c r="D344" i="10"/>
  <c r="E343" i="10"/>
  <c r="D343" i="10"/>
  <c r="E342" i="10"/>
  <c r="D342" i="10"/>
  <c r="E341" i="10"/>
  <c r="D341" i="10"/>
  <c r="E340" i="10"/>
  <c r="D340" i="10"/>
  <c r="E339" i="10"/>
  <c r="D339" i="10"/>
  <c r="E338" i="10"/>
  <c r="D338" i="10"/>
  <c r="E337" i="10"/>
  <c r="D337" i="10"/>
  <c r="E336" i="10"/>
  <c r="D336" i="10"/>
  <c r="E335" i="10"/>
  <c r="D335" i="10"/>
  <c r="E334" i="10"/>
  <c r="D334" i="10"/>
  <c r="E333" i="10"/>
  <c r="D333" i="10"/>
  <c r="E332" i="10"/>
  <c r="D332" i="10"/>
  <c r="E331" i="10"/>
  <c r="D331" i="10"/>
  <c r="E330" i="10"/>
  <c r="D330" i="10"/>
  <c r="E329" i="10"/>
  <c r="D329" i="10"/>
  <c r="E328" i="10"/>
  <c r="D328" i="10"/>
  <c r="E327" i="10"/>
  <c r="D327" i="10"/>
  <c r="E326" i="10"/>
  <c r="D326" i="10"/>
  <c r="E325" i="10"/>
  <c r="D325" i="10"/>
  <c r="E324" i="10"/>
  <c r="D324" i="10"/>
  <c r="E323" i="10"/>
  <c r="D323" i="10"/>
  <c r="E322" i="10"/>
  <c r="D322" i="10"/>
  <c r="E321" i="10"/>
  <c r="D321" i="10"/>
  <c r="E320" i="10"/>
  <c r="D320" i="10"/>
  <c r="E319" i="10"/>
  <c r="D319" i="10"/>
  <c r="E318" i="10"/>
  <c r="D318" i="10"/>
  <c r="E317" i="10"/>
  <c r="D317" i="10"/>
  <c r="E316" i="10"/>
  <c r="D316" i="10"/>
  <c r="E315" i="10"/>
  <c r="D315" i="10"/>
  <c r="E314" i="10"/>
  <c r="D314" i="10"/>
  <c r="E313" i="10"/>
  <c r="D313" i="10"/>
  <c r="E312" i="10"/>
  <c r="D312" i="10"/>
  <c r="E311" i="10"/>
  <c r="D311" i="10"/>
  <c r="E310" i="10"/>
  <c r="D310" i="10"/>
  <c r="E309" i="10"/>
  <c r="D309" i="10"/>
  <c r="E308" i="10"/>
  <c r="D308" i="10"/>
  <c r="E307" i="10"/>
  <c r="D307" i="10"/>
  <c r="E306" i="10"/>
  <c r="D306" i="10"/>
  <c r="E305" i="10"/>
  <c r="D305" i="10"/>
  <c r="E304" i="10"/>
  <c r="D304" i="10"/>
  <c r="E303" i="10"/>
  <c r="D303" i="10"/>
  <c r="E302" i="10"/>
  <c r="D302" i="10"/>
  <c r="E301" i="10"/>
  <c r="D301" i="10"/>
  <c r="E300" i="10"/>
  <c r="D300" i="10"/>
  <c r="E299" i="10"/>
  <c r="D299" i="10"/>
  <c r="E298" i="10"/>
  <c r="D298" i="10"/>
  <c r="E297" i="10"/>
  <c r="D297" i="10"/>
  <c r="E296" i="10"/>
  <c r="D296" i="10"/>
  <c r="E295" i="10"/>
  <c r="D295" i="10"/>
  <c r="E294" i="10"/>
  <c r="D294" i="10"/>
  <c r="E293" i="10"/>
  <c r="D293" i="10"/>
  <c r="E292" i="10"/>
  <c r="D292" i="10"/>
  <c r="E291" i="10"/>
  <c r="D291" i="10"/>
  <c r="E290" i="10"/>
  <c r="D290" i="10"/>
  <c r="E289" i="10"/>
  <c r="D289" i="10"/>
  <c r="E288" i="10"/>
  <c r="D288" i="10"/>
  <c r="E287" i="10"/>
  <c r="D287" i="10"/>
  <c r="E286" i="10"/>
  <c r="D286" i="10"/>
  <c r="E285" i="10"/>
  <c r="D285" i="10"/>
  <c r="E284" i="10"/>
  <c r="D284" i="10"/>
  <c r="E283" i="10"/>
  <c r="D283" i="10"/>
  <c r="E282" i="10"/>
  <c r="D282" i="10"/>
  <c r="E281" i="10"/>
  <c r="D281" i="10"/>
  <c r="E280" i="10"/>
  <c r="D280" i="10"/>
  <c r="E279" i="10"/>
  <c r="D279" i="10"/>
  <c r="E278" i="10"/>
  <c r="D278" i="10"/>
  <c r="E277" i="10"/>
  <c r="D277" i="10"/>
  <c r="E276" i="10"/>
  <c r="D276" i="10"/>
  <c r="E275" i="10"/>
  <c r="D275" i="10"/>
  <c r="E274" i="10"/>
  <c r="D274" i="10"/>
  <c r="E273" i="10"/>
  <c r="D273" i="10"/>
  <c r="E272" i="10"/>
  <c r="D272" i="10"/>
  <c r="E271" i="10"/>
  <c r="D271" i="10"/>
  <c r="E270" i="10"/>
  <c r="D270" i="10"/>
  <c r="E269" i="10"/>
  <c r="D269" i="10"/>
  <c r="E268" i="10"/>
  <c r="D268" i="10"/>
  <c r="E267" i="10"/>
  <c r="D267" i="10"/>
  <c r="E266" i="10"/>
  <c r="D266" i="10"/>
  <c r="E265" i="10"/>
  <c r="D265" i="10"/>
  <c r="E264" i="10"/>
  <c r="D264" i="10"/>
  <c r="E263" i="10"/>
  <c r="D263" i="10"/>
  <c r="E262" i="10"/>
  <c r="D262" i="10"/>
  <c r="E261" i="10"/>
  <c r="D261" i="10"/>
  <c r="E260" i="10"/>
  <c r="D260" i="10"/>
  <c r="E259" i="10"/>
  <c r="D259" i="10"/>
  <c r="E258" i="10"/>
  <c r="D258" i="10"/>
  <c r="E257" i="10"/>
  <c r="D257" i="10"/>
  <c r="E256" i="10"/>
  <c r="D256" i="10"/>
  <c r="E255" i="10"/>
  <c r="D255" i="10"/>
  <c r="E254" i="10"/>
  <c r="D254" i="10"/>
  <c r="E253" i="10"/>
  <c r="D253" i="10"/>
  <c r="E252" i="10"/>
  <c r="D252" i="10"/>
  <c r="E251" i="10"/>
  <c r="D251" i="10"/>
  <c r="E250" i="10"/>
  <c r="D250" i="10"/>
  <c r="E249" i="10"/>
  <c r="D249" i="10"/>
  <c r="E248" i="10"/>
  <c r="D248" i="10"/>
  <c r="E247" i="10"/>
  <c r="D247" i="10"/>
  <c r="E246" i="10"/>
  <c r="D246" i="10"/>
  <c r="E245" i="10"/>
  <c r="D245" i="10"/>
  <c r="E244" i="10"/>
  <c r="D244" i="10"/>
  <c r="E243" i="10"/>
  <c r="D243" i="10"/>
  <c r="E242" i="10"/>
  <c r="D242" i="10"/>
  <c r="E241" i="10"/>
  <c r="D241" i="10"/>
  <c r="E240" i="10"/>
  <c r="D240" i="10"/>
  <c r="E239" i="10"/>
  <c r="D239" i="10"/>
  <c r="E238" i="10"/>
  <c r="D238" i="10"/>
  <c r="E237" i="10"/>
  <c r="D237" i="10"/>
  <c r="E236" i="10"/>
  <c r="D236" i="10"/>
  <c r="E235" i="10"/>
  <c r="D235" i="10"/>
  <c r="E234" i="10"/>
  <c r="D234" i="10"/>
  <c r="E233" i="10"/>
  <c r="D233" i="10"/>
  <c r="E232" i="10"/>
  <c r="D232" i="10"/>
  <c r="E231" i="10"/>
  <c r="D231" i="10"/>
  <c r="E230" i="10"/>
  <c r="D230" i="10"/>
  <c r="E229" i="10"/>
  <c r="D229" i="10"/>
  <c r="E228" i="10"/>
  <c r="D228" i="10"/>
  <c r="E227" i="10"/>
  <c r="D227" i="10"/>
  <c r="E226" i="10"/>
  <c r="D226" i="10"/>
  <c r="E225" i="10"/>
  <c r="D225" i="10"/>
  <c r="E224" i="10"/>
  <c r="D224" i="10"/>
  <c r="E223" i="10"/>
  <c r="D223" i="10"/>
  <c r="E222" i="10"/>
  <c r="D222" i="10"/>
  <c r="E221" i="10"/>
  <c r="D221" i="10"/>
  <c r="E220" i="10"/>
  <c r="D220" i="10"/>
  <c r="E219" i="10"/>
  <c r="D219" i="10"/>
  <c r="E218" i="10"/>
  <c r="D218" i="10"/>
  <c r="E217" i="10"/>
  <c r="D217" i="10"/>
  <c r="E216" i="10"/>
  <c r="D216" i="10"/>
  <c r="E215" i="10"/>
  <c r="D215" i="10"/>
  <c r="E214" i="10"/>
  <c r="D214" i="10"/>
  <c r="E213" i="10"/>
  <c r="D213" i="10"/>
  <c r="E212" i="10"/>
  <c r="D212" i="10"/>
  <c r="E211" i="10"/>
  <c r="D211" i="10"/>
  <c r="E210" i="10"/>
  <c r="D210" i="10"/>
  <c r="E209" i="10"/>
  <c r="D209" i="10"/>
  <c r="E208" i="10"/>
  <c r="D208" i="10"/>
  <c r="E207" i="10"/>
  <c r="D207" i="10"/>
  <c r="E206" i="10"/>
  <c r="D206" i="10"/>
  <c r="E205" i="10"/>
  <c r="D205" i="10"/>
  <c r="E204" i="10"/>
  <c r="D204" i="10"/>
  <c r="E203" i="10"/>
  <c r="D203" i="10"/>
  <c r="E202" i="10"/>
  <c r="D202" i="10"/>
  <c r="E201" i="10"/>
  <c r="D201" i="10"/>
  <c r="E200" i="10"/>
  <c r="D200" i="10"/>
  <c r="E199" i="10"/>
  <c r="D199" i="10"/>
  <c r="E198" i="10"/>
  <c r="D198" i="10"/>
  <c r="E197" i="10"/>
  <c r="D197" i="10"/>
  <c r="E196" i="10"/>
  <c r="D196" i="10"/>
  <c r="E195" i="10"/>
  <c r="D195" i="10"/>
  <c r="E194" i="10"/>
  <c r="D194" i="10"/>
  <c r="E193" i="10"/>
  <c r="D193" i="10"/>
  <c r="E192" i="10"/>
  <c r="D192" i="10"/>
  <c r="E191" i="10"/>
  <c r="D191" i="10"/>
  <c r="E190" i="10"/>
  <c r="D190" i="10"/>
  <c r="E189" i="10"/>
  <c r="D189" i="10"/>
  <c r="E188" i="10"/>
  <c r="D188" i="10"/>
  <c r="E187" i="10"/>
  <c r="D187" i="10"/>
  <c r="E186" i="10"/>
  <c r="D186" i="10"/>
  <c r="E185" i="10"/>
  <c r="D185" i="10"/>
  <c r="E184" i="10"/>
  <c r="D184" i="10"/>
  <c r="E183" i="10"/>
  <c r="D183" i="10"/>
  <c r="E182" i="10"/>
  <c r="D182" i="10"/>
  <c r="E181" i="10"/>
  <c r="D181" i="10"/>
  <c r="E180" i="10"/>
  <c r="D180" i="10"/>
  <c r="E179" i="10"/>
  <c r="D179" i="10"/>
  <c r="E178" i="10"/>
  <c r="D178" i="10"/>
  <c r="E177" i="10"/>
  <c r="D177" i="10"/>
  <c r="E176" i="10"/>
  <c r="D176" i="10"/>
  <c r="E175" i="10"/>
  <c r="D175" i="10"/>
  <c r="E174" i="10"/>
  <c r="D174" i="10"/>
  <c r="E173" i="10"/>
  <c r="D173" i="10"/>
  <c r="E172" i="10"/>
  <c r="D172" i="10"/>
  <c r="E171" i="10"/>
  <c r="D171" i="10"/>
  <c r="E170" i="10"/>
  <c r="D170" i="10"/>
  <c r="E169" i="10"/>
  <c r="D169" i="10"/>
  <c r="E168" i="10"/>
  <c r="D168" i="10"/>
  <c r="E167" i="10"/>
  <c r="D167" i="10"/>
  <c r="E166" i="10"/>
  <c r="D166" i="10"/>
  <c r="E165" i="10"/>
  <c r="D165" i="10"/>
  <c r="E164" i="10"/>
  <c r="D164" i="10"/>
  <c r="E163" i="10"/>
  <c r="D163" i="10"/>
  <c r="E162" i="10"/>
  <c r="D162" i="10"/>
  <c r="E161" i="10"/>
  <c r="D161" i="10"/>
  <c r="E160" i="10"/>
  <c r="D160" i="10"/>
  <c r="E159" i="10"/>
  <c r="D159" i="10"/>
  <c r="E158" i="10"/>
  <c r="D158" i="10"/>
  <c r="E157" i="10"/>
  <c r="D157" i="10"/>
  <c r="E156" i="10"/>
  <c r="D156" i="10"/>
  <c r="E155" i="10"/>
  <c r="D155" i="10"/>
  <c r="E154" i="10"/>
  <c r="D154" i="10"/>
  <c r="E153" i="10"/>
  <c r="D153" i="10"/>
  <c r="E152" i="10"/>
  <c r="D152" i="10"/>
  <c r="E151" i="10"/>
  <c r="D151" i="10"/>
  <c r="E150" i="10"/>
  <c r="D150" i="10"/>
  <c r="E149" i="10"/>
  <c r="D149" i="10"/>
  <c r="E148" i="10"/>
  <c r="D148" i="10"/>
  <c r="E147" i="10"/>
  <c r="D147" i="10"/>
  <c r="E146" i="10"/>
  <c r="D146" i="10"/>
  <c r="E145" i="10"/>
  <c r="D145" i="10"/>
  <c r="E144" i="10"/>
  <c r="D144" i="10"/>
  <c r="E143" i="10"/>
  <c r="D143" i="10"/>
  <c r="E142" i="10"/>
  <c r="D142" i="10"/>
  <c r="E141" i="10"/>
  <c r="D141" i="10"/>
  <c r="E140" i="10"/>
  <c r="D140" i="10"/>
  <c r="E139" i="10"/>
  <c r="D139" i="10"/>
  <c r="E138" i="10"/>
  <c r="D138" i="10"/>
  <c r="E137" i="10"/>
  <c r="D137" i="10"/>
  <c r="E136" i="10"/>
  <c r="D136" i="10"/>
  <c r="E135" i="10"/>
  <c r="D135" i="10"/>
  <c r="E134" i="10"/>
  <c r="D134" i="10"/>
  <c r="E133" i="10"/>
  <c r="D133" i="10"/>
  <c r="E132" i="10"/>
  <c r="D132" i="10"/>
  <c r="E131" i="10"/>
  <c r="D131" i="10"/>
  <c r="E130" i="10"/>
  <c r="D130" i="10"/>
  <c r="E129" i="10"/>
  <c r="D129" i="10"/>
  <c r="E128" i="10"/>
  <c r="D128" i="10"/>
  <c r="E127" i="10"/>
  <c r="D127" i="10"/>
  <c r="E126" i="10"/>
  <c r="D126" i="10"/>
  <c r="E125" i="10"/>
  <c r="D125" i="10"/>
  <c r="E124" i="10"/>
  <c r="D124" i="10"/>
  <c r="E123" i="10"/>
  <c r="D123" i="10"/>
  <c r="E122" i="10"/>
  <c r="D122" i="10"/>
  <c r="E121" i="10"/>
  <c r="D121" i="10"/>
  <c r="E120" i="10"/>
  <c r="D120" i="10"/>
  <c r="E119" i="10"/>
  <c r="D119" i="10"/>
  <c r="E118" i="10"/>
  <c r="D118" i="10"/>
  <c r="E117" i="10"/>
  <c r="D117" i="10"/>
  <c r="E116" i="10"/>
  <c r="D116" i="10"/>
  <c r="E115" i="10"/>
  <c r="D115" i="10"/>
  <c r="E114" i="10"/>
  <c r="D114" i="10"/>
  <c r="E113" i="10"/>
  <c r="D113" i="10"/>
  <c r="E112" i="10"/>
  <c r="D112" i="10"/>
  <c r="E111" i="10"/>
  <c r="D111" i="10"/>
  <c r="E110" i="10"/>
  <c r="D110" i="10"/>
  <c r="E109" i="10"/>
  <c r="D109" i="10"/>
  <c r="E108" i="10"/>
  <c r="D108" i="10"/>
  <c r="E107" i="10"/>
  <c r="D107" i="10"/>
  <c r="E106" i="10"/>
  <c r="D106" i="10"/>
  <c r="E105" i="10"/>
  <c r="D105" i="10"/>
  <c r="E104" i="10"/>
  <c r="D104" i="10"/>
  <c r="E103" i="10"/>
  <c r="D103" i="10"/>
  <c r="E102" i="10"/>
  <c r="D102" i="10"/>
  <c r="E101" i="10"/>
  <c r="D101" i="10"/>
  <c r="E100" i="10"/>
  <c r="D100" i="10"/>
  <c r="E99" i="10"/>
  <c r="D99" i="10"/>
  <c r="E98" i="10"/>
  <c r="D98" i="10"/>
  <c r="E97" i="10"/>
  <c r="D97" i="10"/>
  <c r="E96" i="10"/>
  <c r="D96" i="10"/>
  <c r="E95" i="10"/>
  <c r="D95" i="10"/>
  <c r="E94" i="10"/>
  <c r="D94" i="10"/>
  <c r="E93" i="10"/>
  <c r="D93" i="10"/>
  <c r="E92" i="10"/>
  <c r="D92" i="10"/>
  <c r="E91" i="10"/>
  <c r="D91" i="10"/>
  <c r="E90" i="10"/>
  <c r="D90" i="10"/>
  <c r="E89" i="10"/>
  <c r="D89" i="10"/>
  <c r="E88" i="10"/>
  <c r="D88" i="10"/>
  <c r="E87" i="10"/>
  <c r="D87" i="10"/>
  <c r="E86" i="10"/>
  <c r="D86" i="10"/>
  <c r="E85" i="10"/>
  <c r="D85" i="10"/>
  <c r="E84" i="10"/>
  <c r="D84" i="10"/>
  <c r="E83" i="10"/>
  <c r="D83" i="10"/>
  <c r="E82" i="10"/>
  <c r="D82" i="10"/>
  <c r="E81" i="10"/>
  <c r="D81" i="10"/>
  <c r="E80" i="10"/>
  <c r="D80" i="10"/>
  <c r="E79" i="10"/>
  <c r="D79" i="10"/>
  <c r="E78" i="10"/>
  <c r="D78" i="10"/>
  <c r="E77" i="10"/>
  <c r="D77" i="10"/>
  <c r="E76" i="10"/>
  <c r="D76" i="10"/>
  <c r="E75" i="10"/>
  <c r="D75" i="10"/>
  <c r="E74" i="10"/>
  <c r="D74" i="10"/>
  <c r="E73" i="10"/>
  <c r="D73" i="10"/>
  <c r="E72" i="10"/>
  <c r="D72" i="10"/>
  <c r="E71" i="10"/>
  <c r="D71" i="10"/>
  <c r="E70" i="10"/>
  <c r="D70" i="10"/>
  <c r="E69" i="10"/>
  <c r="D69" i="10"/>
  <c r="E68" i="10"/>
  <c r="D68" i="10"/>
  <c r="E67" i="10"/>
  <c r="D67" i="10"/>
  <c r="E66" i="10"/>
  <c r="D66" i="10"/>
  <c r="E65" i="10"/>
  <c r="D65" i="10"/>
  <c r="E64" i="10"/>
  <c r="D64" i="10"/>
  <c r="E63" i="10"/>
  <c r="D63" i="10"/>
  <c r="E62" i="10"/>
  <c r="D62" i="10"/>
  <c r="E61" i="10"/>
  <c r="D61" i="10"/>
  <c r="E60" i="10"/>
  <c r="D60" i="10"/>
  <c r="E59" i="10"/>
  <c r="D59" i="10"/>
  <c r="E58" i="10"/>
  <c r="D58" i="10"/>
  <c r="E57" i="10"/>
  <c r="D57" i="10"/>
  <c r="E56" i="10"/>
  <c r="D56" i="10"/>
  <c r="E55" i="10"/>
  <c r="D55" i="10"/>
  <c r="E54" i="10"/>
  <c r="D54" i="10"/>
  <c r="E53" i="10"/>
  <c r="D53" i="10"/>
  <c r="E52" i="10"/>
  <c r="D52" i="10"/>
  <c r="E51" i="10"/>
  <c r="D51" i="10"/>
  <c r="E50" i="10"/>
  <c r="D50" i="10"/>
  <c r="E49" i="10"/>
  <c r="D49" i="10"/>
  <c r="E48" i="10"/>
  <c r="D48" i="10"/>
  <c r="E47" i="10"/>
  <c r="D47" i="10"/>
  <c r="E46" i="10"/>
  <c r="D46" i="10"/>
  <c r="E45" i="10"/>
  <c r="D45" i="10"/>
  <c r="E44" i="10"/>
  <c r="D44" i="10"/>
  <c r="E43" i="10"/>
  <c r="D43" i="10"/>
  <c r="E42" i="10"/>
  <c r="D42" i="10"/>
  <c r="E41" i="10"/>
  <c r="D41" i="10"/>
  <c r="E40" i="10"/>
  <c r="D40" i="10"/>
  <c r="E39" i="10"/>
  <c r="D39" i="10"/>
  <c r="E38" i="10"/>
  <c r="D38" i="10"/>
  <c r="E37" i="10"/>
  <c r="D37" i="10"/>
  <c r="E36" i="10"/>
  <c r="D36" i="10"/>
  <c r="E35" i="10"/>
  <c r="D35" i="10"/>
  <c r="E34" i="10"/>
  <c r="D34" i="10"/>
  <c r="E33" i="10"/>
  <c r="D33" i="10"/>
  <c r="E32" i="10"/>
  <c r="D32" i="10"/>
  <c r="E31" i="10"/>
  <c r="D31" i="10"/>
  <c r="E30" i="10"/>
  <c r="D30" i="10"/>
  <c r="E29" i="10"/>
  <c r="D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E12" i="10"/>
  <c r="D12" i="10"/>
  <c r="E11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I3" i="10"/>
  <c r="E3" i="10"/>
  <c r="D3" i="10"/>
  <c r="D2" i="10" s="1"/>
  <c r="I2" i="10"/>
  <c r="J3" i="10" s="1"/>
  <c r="E2" i="10"/>
  <c r="E862" i="3" l="1"/>
  <c r="G862" i="3" s="1"/>
  <c r="E875" i="3"/>
  <c r="G875" i="3" s="1"/>
  <c r="E71" i="3"/>
  <c r="G71" i="3" s="1"/>
  <c r="E912" i="3"/>
  <c r="G912" i="3" s="1"/>
  <c r="E911" i="3"/>
  <c r="G911" i="3" s="1"/>
  <c r="E414" i="3"/>
  <c r="G414" i="3" s="1"/>
  <c r="E701" i="3"/>
  <c r="G701" i="3" s="1"/>
  <c r="E593" i="3"/>
  <c r="G593" i="3" s="1"/>
  <c r="E640" i="3"/>
  <c r="G640" i="3" s="1"/>
  <c r="E895" i="3"/>
  <c r="G895" i="3" s="1"/>
  <c r="E127" i="3"/>
  <c r="G127" i="3" s="1"/>
  <c r="E398" i="3"/>
  <c r="G398" i="3" s="1"/>
  <c r="E685" i="3"/>
  <c r="G685" i="3" s="1"/>
  <c r="E700" i="3"/>
  <c r="G700" i="3" s="1"/>
  <c r="E923" i="3"/>
  <c r="G923" i="3" s="1"/>
  <c r="E155" i="3"/>
  <c r="G155" i="3" s="1"/>
  <c r="E426" i="3"/>
  <c r="G426" i="3" s="1"/>
  <c r="E697" i="3"/>
  <c r="G697" i="3" s="1"/>
  <c r="E690" i="3"/>
  <c r="G690" i="3" s="1"/>
  <c r="E887" i="3"/>
  <c r="G887" i="3" s="1"/>
  <c r="E833" i="3"/>
  <c r="G833" i="3" s="1"/>
  <c r="E880" i="3"/>
  <c r="G880" i="3" s="1"/>
  <c r="E368" i="3"/>
  <c r="G368" i="3" s="1"/>
  <c r="E879" i="3"/>
  <c r="G879" i="3" s="1"/>
  <c r="E623" i="3"/>
  <c r="G623" i="3" s="1"/>
  <c r="E111" i="3"/>
  <c r="G111" i="3" s="1"/>
  <c r="E638" i="3"/>
  <c r="G638" i="3" s="1"/>
  <c r="E925" i="3"/>
  <c r="G925" i="3" s="1"/>
  <c r="E413" i="3"/>
  <c r="G413" i="3" s="1"/>
  <c r="E157" i="3"/>
  <c r="G157" i="3" s="1"/>
  <c r="E940" i="3"/>
  <c r="G940" i="3" s="1"/>
  <c r="E684" i="3"/>
  <c r="G684" i="3" s="1"/>
  <c r="E428" i="3"/>
  <c r="G428" i="3" s="1"/>
  <c r="E172" i="3"/>
  <c r="G172" i="3" s="1"/>
  <c r="E610" i="3"/>
  <c r="G610" i="3" s="1"/>
  <c r="E907" i="3"/>
  <c r="G907" i="3" s="1"/>
  <c r="E651" i="3"/>
  <c r="G651" i="3" s="1"/>
  <c r="E395" i="3"/>
  <c r="G395" i="3" s="1"/>
  <c r="E139" i="3"/>
  <c r="G139" i="3" s="1"/>
  <c r="E817" i="3"/>
  <c r="G817" i="3" s="1"/>
  <c r="E561" i="3"/>
  <c r="G561" i="3" s="1"/>
  <c r="E305" i="3"/>
  <c r="G305" i="3" s="1"/>
  <c r="E864" i="3"/>
  <c r="G864" i="3" s="1"/>
  <c r="E608" i="3"/>
  <c r="G608" i="3" s="1"/>
  <c r="E352" i="3"/>
  <c r="G352" i="3" s="1"/>
  <c r="E96" i="3"/>
  <c r="G96" i="3" s="1"/>
  <c r="E863" i="3"/>
  <c r="G863" i="3" s="1"/>
  <c r="E607" i="3"/>
  <c r="G607" i="3" s="1"/>
  <c r="E351" i="3"/>
  <c r="G351" i="3" s="1"/>
  <c r="E95" i="3"/>
  <c r="G95" i="3" s="1"/>
  <c r="E878" i="3"/>
  <c r="G878" i="3" s="1"/>
  <c r="E622" i="3"/>
  <c r="G622" i="3" s="1"/>
  <c r="E366" i="3"/>
  <c r="G366" i="3" s="1"/>
  <c r="E110" i="3"/>
  <c r="G110" i="3" s="1"/>
  <c r="E909" i="3"/>
  <c r="G909" i="3" s="1"/>
  <c r="E653" i="3"/>
  <c r="G653" i="3" s="1"/>
  <c r="E397" i="3"/>
  <c r="G397" i="3" s="1"/>
  <c r="E141" i="3"/>
  <c r="G141" i="3" s="1"/>
  <c r="E924" i="3"/>
  <c r="G924" i="3" s="1"/>
  <c r="E668" i="3"/>
  <c r="G668" i="3" s="1"/>
  <c r="E412" i="3"/>
  <c r="G412" i="3" s="1"/>
  <c r="E156" i="3"/>
  <c r="G156" i="3" s="1"/>
  <c r="E546" i="3"/>
  <c r="G546" i="3" s="1"/>
  <c r="E891" i="3"/>
  <c r="G891" i="3" s="1"/>
  <c r="E635" i="3"/>
  <c r="G635" i="3" s="1"/>
  <c r="E379" i="3"/>
  <c r="G379" i="3" s="1"/>
  <c r="E123" i="3"/>
  <c r="G123" i="3" s="1"/>
  <c r="E906" i="3"/>
  <c r="G906" i="3" s="1"/>
  <c r="E650" i="3"/>
  <c r="G650" i="3" s="1"/>
  <c r="E394" i="3"/>
  <c r="G394" i="3" s="1"/>
  <c r="E138" i="3"/>
  <c r="G138" i="3" s="1"/>
  <c r="E921" i="3"/>
  <c r="G921" i="3" s="1"/>
  <c r="E665" i="3"/>
  <c r="G665" i="3" s="1"/>
  <c r="E409" i="3"/>
  <c r="G409" i="3" s="1"/>
  <c r="E153" i="3"/>
  <c r="G153" i="3" s="1"/>
  <c r="E562" i="3"/>
  <c r="G562" i="3" s="1"/>
  <c r="E840" i="3"/>
  <c r="G840" i="3" s="1"/>
  <c r="E584" i="3"/>
  <c r="G584" i="3" s="1"/>
  <c r="E328" i="3"/>
  <c r="G328" i="3" s="1"/>
  <c r="E72" i="3"/>
  <c r="G72" i="3" s="1"/>
  <c r="E855" i="3"/>
  <c r="G855" i="3" s="1"/>
  <c r="E599" i="3"/>
  <c r="G599" i="3" s="1"/>
  <c r="E343" i="3"/>
  <c r="G343" i="3" s="1"/>
  <c r="E87" i="3"/>
  <c r="G87" i="3" s="1"/>
  <c r="E870" i="3"/>
  <c r="G870" i="3" s="1"/>
  <c r="E614" i="3"/>
  <c r="G614" i="3" s="1"/>
  <c r="E358" i="3"/>
  <c r="G358" i="3" s="1"/>
  <c r="E102" i="3"/>
  <c r="G102" i="3" s="1"/>
  <c r="E885" i="3"/>
  <c r="G885" i="3" s="1"/>
  <c r="E629" i="3"/>
  <c r="G629" i="3" s="1"/>
  <c r="E373" i="3"/>
  <c r="G373" i="3" s="1"/>
  <c r="E117" i="3"/>
  <c r="G117" i="3" s="1"/>
  <c r="E466" i="3"/>
  <c r="G466" i="3" s="1"/>
  <c r="E852" i="3"/>
  <c r="G852" i="3" s="1"/>
  <c r="E596" i="3"/>
  <c r="G596" i="3" s="1"/>
  <c r="E340" i="3"/>
  <c r="G340" i="3" s="1"/>
  <c r="E84" i="3"/>
  <c r="G84" i="3" s="1"/>
  <c r="E209" i="3"/>
  <c r="G209" i="3" s="1"/>
  <c r="E755" i="3"/>
  <c r="G755" i="3" s="1"/>
  <c r="E499" i="3"/>
  <c r="G499" i="3" s="1"/>
  <c r="E243" i="3"/>
  <c r="G243" i="3" s="1"/>
  <c r="E598" i="3"/>
  <c r="G598" i="3" s="1"/>
  <c r="E342" i="3"/>
  <c r="G342" i="3" s="1"/>
  <c r="E86" i="3"/>
  <c r="G86" i="3" s="1"/>
  <c r="E869" i="3"/>
  <c r="G869" i="3" s="1"/>
  <c r="E613" i="3"/>
  <c r="G613" i="3" s="1"/>
  <c r="E357" i="3"/>
  <c r="G357" i="3" s="1"/>
  <c r="E101" i="3"/>
  <c r="G101" i="3" s="1"/>
  <c r="E402" i="3"/>
  <c r="G402" i="3" s="1"/>
  <c r="E836" i="3"/>
  <c r="G836" i="3" s="1"/>
  <c r="E580" i="3"/>
  <c r="G580" i="3" s="1"/>
  <c r="E324" i="3"/>
  <c r="G324" i="3" s="1"/>
  <c r="E68" i="3"/>
  <c r="G68" i="3" s="1"/>
  <c r="E995" i="3"/>
  <c r="G995" i="3" s="1"/>
  <c r="E739" i="3"/>
  <c r="G739" i="3" s="1"/>
  <c r="E483" i="3"/>
  <c r="G483" i="3" s="1"/>
  <c r="E227" i="3"/>
  <c r="G227" i="3" s="1"/>
  <c r="E848" i="3"/>
  <c r="G848" i="3" s="1"/>
  <c r="E637" i="3"/>
  <c r="G637" i="3" s="1"/>
  <c r="E634" i="3"/>
  <c r="G634" i="3" s="1"/>
  <c r="E312" i="3"/>
  <c r="G312" i="3" s="1"/>
  <c r="E832" i="3"/>
  <c r="G832" i="3" s="1"/>
  <c r="E576" i="3"/>
  <c r="G576" i="3" s="1"/>
  <c r="E320" i="3"/>
  <c r="G320" i="3" s="1"/>
  <c r="E64" i="3"/>
  <c r="G64" i="3" s="1"/>
  <c r="E831" i="3"/>
  <c r="G831" i="3" s="1"/>
  <c r="E575" i="3"/>
  <c r="G575" i="3" s="1"/>
  <c r="E319" i="3"/>
  <c r="G319" i="3" s="1"/>
  <c r="E63" i="3"/>
  <c r="G63" i="3" s="1"/>
  <c r="E846" i="3"/>
  <c r="G846" i="3" s="1"/>
  <c r="E590" i="3"/>
  <c r="G590" i="3" s="1"/>
  <c r="E334" i="3"/>
  <c r="G334" i="3" s="1"/>
  <c r="E78" i="3"/>
  <c r="G78" i="3" s="1"/>
  <c r="E877" i="3"/>
  <c r="G877" i="3" s="1"/>
  <c r="E621" i="3"/>
  <c r="G621" i="3" s="1"/>
  <c r="E365" i="3"/>
  <c r="G365" i="3" s="1"/>
  <c r="E109" i="3"/>
  <c r="G109" i="3" s="1"/>
  <c r="E892" i="3"/>
  <c r="G892" i="3" s="1"/>
  <c r="E636" i="3"/>
  <c r="G636" i="3" s="1"/>
  <c r="E380" i="3"/>
  <c r="G380" i="3" s="1"/>
  <c r="E124" i="3"/>
  <c r="G124" i="3" s="1"/>
  <c r="E450" i="3"/>
  <c r="G450" i="3" s="1"/>
  <c r="E859" i="3"/>
  <c r="G859" i="3" s="1"/>
  <c r="E603" i="3"/>
  <c r="G603" i="3" s="1"/>
  <c r="E347" i="3"/>
  <c r="G347" i="3" s="1"/>
  <c r="E91" i="3"/>
  <c r="G91" i="3" s="1"/>
  <c r="E874" i="3"/>
  <c r="G874" i="3" s="1"/>
  <c r="E618" i="3"/>
  <c r="G618" i="3" s="1"/>
  <c r="E362" i="3"/>
  <c r="G362" i="3" s="1"/>
  <c r="E106" i="3"/>
  <c r="G106" i="3" s="1"/>
  <c r="E889" i="3"/>
  <c r="G889" i="3" s="1"/>
  <c r="E633" i="3"/>
  <c r="G633" i="3" s="1"/>
  <c r="E377" i="3"/>
  <c r="G377" i="3" s="1"/>
  <c r="E121" i="3"/>
  <c r="G121" i="3" s="1"/>
  <c r="E418" i="3"/>
  <c r="G418" i="3" s="1"/>
  <c r="E808" i="3"/>
  <c r="G808" i="3" s="1"/>
  <c r="E552" i="3"/>
  <c r="G552" i="3" s="1"/>
  <c r="E296" i="3"/>
  <c r="G296" i="3" s="1"/>
  <c r="E40" i="3"/>
  <c r="G40" i="3" s="1"/>
  <c r="E823" i="3"/>
  <c r="G823" i="3" s="1"/>
  <c r="E567" i="3"/>
  <c r="G567" i="3" s="1"/>
  <c r="E311" i="3"/>
  <c r="G311" i="3" s="1"/>
  <c r="E55" i="3"/>
  <c r="G55" i="3" s="1"/>
  <c r="E838" i="3"/>
  <c r="G838" i="3" s="1"/>
  <c r="E582" i="3"/>
  <c r="G582" i="3" s="1"/>
  <c r="E326" i="3"/>
  <c r="G326" i="3" s="1"/>
  <c r="E70" i="3"/>
  <c r="G70" i="3" s="1"/>
  <c r="E853" i="3"/>
  <c r="G853" i="3" s="1"/>
  <c r="E597" i="3"/>
  <c r="G597" i="3" s="1"/>
  <c r="E341" i="3"/>
  <c r="G341" i="3" s="1"/>
  <c r="E85" i="3"/>
  <c r="G85" i="3" s="1"/>
  <c r="E370" i="3"/>
  <c r="G370" i="3" s="1"/>
  <c r="E820" i="3"/>
  <c r="G820" i="3" s="1"/>
  <c r="E564" i="3"/>
  <c r="G564" i="3" s="1"/>
  <c r="E308" i="3"/>
  <c r="G308" i="3" s="1"/>
  <c r="E52" i="3"/>
  <c r="G52" i="3" s="1"/>
  <c r="E979" i="3"/>
  <c r="G979" i="3" s="1"/>
  <c r="E723" i="3"/>
  <c r="G723" i="3" s="1"/>
  <c r="E467" i="3"/>
  <c r="G467" i="3" s="1"/>
  <c r="E211" i="3"/>
  <c r="G211" i="3" s="1"/>
  <c r="E591" i="3"/>
  <c r="G591" i="3" s="1"/>
  <c r="E140" i="3"/>
  <c r="G140" i="3" s="1"/>
  <c r="E327" i="3"/>
  <c r="G327" i="3" s="1"/>
  <c r="E513" i="3"/>
  <c r="G513" i="3" s="1"/>
  <c r="E48" i="3"/>
  <c r="G48" i="3" s="1"/>
  <c r="E303" i="3"/>
  <c r="G303" i="3" s="1"/>
  <c r="E47" i="3"/>
  <c r="G47" i="3" s="1"/>
  <c r="E830" i="3"/>
  <c r="G830" i="3" s="1"/>
  <c r="E574" i="3"/>
  <c r="G574" i="3" s="1"/>
  <c r="E318" i="3"/>
  <c r="G318" i="3" s="1"/>
  <c r="E62" i="3"/>
  <c r="G62" i="3" s="1"/>
  <c r="E861" i="3"/>
  <c r="G861" i="3" s="1"/>
  <c r="E605" i="3"/>
  <c r="G605" i="3" s="1"/>
  <c r="E349" i="3"/>
  <c r="G349" i="3" s="1"/>
  <c r="E93" i="3"/>
  <c r="G93" i="3" s="1"/>
  <c r="E876" i="3"/>
  <c r="G876" i="3" s="1"/>
  <c r="E620" i="3"/>
  <c r="G620" i="3" s="1"/>
  <c r="E364" i="3"/>
  <c r="G364" i="3" s="1"/>
  <c r="E108" i="3"/>
  <c r="G108" i="3" s="1"/>
  <c r="E386" i="3"/>
  <c r="G386" i="3" s="1"/>
  <c r="E843" i="3"/>
  <c r="G843" i="3" s="1"/>
  <c r="E587" i="3"/>
  <c r="G587" i="3" s="1"/>
  <c r="E331" i="3"/>
  <c r="G331" i="3" s="1"/>
  <c r="E75" i="3"/>
  <c r="G75" i="3" s="1"/>
  <c r="E858" i="3"/>
  <c r="G858" i="3" s="1"/>
  <c r="E602" i="3"/>
  <c r="G602" i="3" s="1"/>
  <c r="E346" i="3"/>
  <c r="G346" i="3" s="1"/>
  <c r="E90" i="3"/>
  <c r="G90" i="3" s="1"/>
  <c r="E873" i="3"/>
  <c r="G873" i="3" s="1"/>
  <c r="E617" i="3"/>
  <c r="G617" i="3" s="1"/>
  <c r="E361" i="3"/>
  <c r="G361" i="3" s="1"/>
  <c r="E105" i="3"/>
  <c r="G105" i="3" s="1"/>
  <c r="E338" i="3"/>
  <c r="G338" i="3" s="1"/>
  <c r="E792" i="3"/>
  <c r="G792" i="3" s="1"/>
  <c r="E536" i="3"/>
  <c r="G536" i="3" s="1"/>
  <c r="E280" i="3"/>
  <c r="G280" i="3" s="1"/>
  <c r="E24" i="3"/>
  <c r="G24" i="3" s="1"/>
  <c r="E807" i="3"/>
  <c r="G807" i="3" s="1"/>
  <c r="E551" i="3"/>
  <c r="G551" i="3" s="1"/>
  <c r="E295" i="3"/>
  <c r="G295" i="3" s="1"/>
  <c r="E39" i="3"/>
  <c r="G39" i="3" s="1"/>
  <c r="E822" i="3"/>
  <c r="G822" i="3" s="1"/>
  <c r="E566" i="3"/>
  <c r="G566" i="3" s="1"/>
  <c r="E310" i="3"/>
  <c r="G310" i="3" s="1"/>
  <c r="E54" i="3"/>
  <c r="G54" i="3" s="1"/>
  <c r="E837" i="3"/>
  <c r="G837" i="3" s="1"/>
  <c r="E581" i="3"/>
  <c r="G581" i="3" s="1"/>
  <c r="E325" i="3"/>
  <c r="G325" i="3" s="1"/>
  <c r="E69" i="3"/>
  <c r="G69" i="3" s="1"/>
  <c r="E306" i="3"/>
  <c r="G306" i="3" s="1"/>
  <c r="E804" i="3"/>
  <c r="G804" i="3" s="1"/>
  <c r="E548" i="3"/>
  <c r="G548" i="3" s="1"/>
  <c r="E292" i="3"/>
  <c r="G292" i="3" s="1"/>
  <c r="E36" i="3"/>
  <c r="G36" i="3" s="1"/>
  <c r="E963" i="3"/>
  <c r="G963" i="3" s="1"/>
  <c r="E707" i="3"/>
  <c r="G707" i="3" s="1"/>
  <c r="E451" i="3"/>
  <c r="G451" i="3" s="1"/>
  <c r="E195" i="3"/>
  <c r="G195" i="3" s="1"/>
  <c r="E550" i="3"/>
  <c r="G550" i="3" s="1"/>
  <c r="E294" i="3"/>
  <c r="G294" i="3" s="1"/>
  <c r="E38" i="3"/>
  <c r="G38" i="3" s="1"/>
  <c r="E821" i="3"/>
  <c r="G821" i="3" s="1"/>
  <c r="E565" i="3"/>
  <c r="G565" i="3" s="1"/>
  <c r="E309" i="3"/>
  <c r="G309" i="3" s="1"/>
  <c r="E53" i="3"/>
  <c r="G53" i="3" s="1"/>
  <c r="E274" i="3"/>
  <c r="G274" i="3" s="1"/>
  <c r="E788" i="3"/>
  <c r="G788" i="3" s="1"/>
  <c r="E532" i="3"/>
  <c r="G532" i="3" s="1"/>
  <c r="E276" i="3"/>
  <c r="G276" i="3" s="1"/>
  <c r="E20" i="3"/>
  <c r="G20" i="3" s="1"/>
  <c r="E947" i="3"/>
  <c r="G947" i="3" s="1"/>
  <c r="E691" i="3"/>
  <c r="G691" i="3" s="1"/>
  <c r="E435" i="3"/>
  <c r="G435" i="3" s="1"/>
  <c r="E179" i="3"/>
  <c r="G179" i="3" s="1"/>
  <c r="E534" i="3"/>
  <c r="G534" i="3" s="1"/>
  <c r="E278" i="3"/>
  <c r="G278" i="3" s="1"/>
  <c r="E22" i="3"/>
  <c r="G22" i="3" s="1"/>
  <c r="E805" i="3"/>
  <c r="G805" i="3" s="1"/>
  <c r="E549" i="3"/>
  <c r="G549" i="3" s="1"/>
  <c r="E293" i="3"/>
  <c r="G293" i="3" s="1"/>
  <c r="E37" i="3"/>
  <c r="G37" i="3" s="1"/>
  <c r="E34" i="3"/>
  <c r="G34" i="3" s="1"/>
  <c r="E772" i="3"/>
  <c r="G772" i="3" s="1"/>
  <c r="E516" i="3"/>
  <c r="G516" i="3" s="1"/>
  <c r="E260" i="3"/>
  <c r="G260" i="3" s="1"/>
  <c r="E931" i="3"/>
  <c r="G931" i="3" s="1"/>
  <c r="E675" i="3"/>
  <c r="G675" i="3" s="1"/>
  <c r="E419" i="3"/>
  <c r="G419" i="3" s="1"/>
  <c r="E163" i="3"/>
  <c r="G163" i="3" s="1"/>
  <c r="E545" i="3"/>
  <c r="G545" i="3" s="1"/>
  <c r="E94" i="3"/>
  <c r="G94" i="3" s="1"/>
  <c r="E619" i="3"/>
  <c r="G619" i="3" s="1"/>
  <c r="E56" i="3"/>
  <c r="G56" i="3" s="1"/>
  <c r="E816" i="3"/>
  <c r="G816" i="3" s="1"/>
  <c r="E497" i="3"/>
  <c r="G497" i="3" s="1"/>
  <c r="E543" i="3"/>
  <c r="G543" i="3" s="1"/>
  <c r="E589" i="3"/>
  <c r="G589" i="3" s="1"/>
  <c r="E354" i="3"/>
  <c r="G354" i="3" s="1"/>
  <c r="E330" i="3"/>
  <c r="G330" i="3" s="1"/>
  <c r="E776" i="3"/>
  <c r="G776" i="3" s="1"/>
  <c r="E279" i="3"/>
  <c r="G279" i="3" s="1"/>
  <c r="E784" i="3"/>
  <c r="G784" i="3" s="1"/>
  <c r="E15" i="3"/>
  <c r="G15" i="3" s="1"/>
  <c r="E573" i="3"/>
  <c r="G573" i="3" s="1"/>
  <c r="E290" i="3"/>
  <c r="G290" i="3" s="1"/>
  <c r="E570" i="3"/>
  <c r="G570" i="3" s="1"/>
  <c r="E73" i="3"/>
  <c r="G73" i="3" s="1"/>
  <c r="E194" i="3"/>
  <c r="G194" i="3" s="1"/>
  <c r="E465" i="3"/>
  <c r="G465" i="3" s="1"/>
  <c r="E511" i="3"/>
  <c r="G511" i="3" s="1"/>
  <c r="E270" i="3"/>
  <c r="G270" i="3" s="1"/>
  <c r="E572" i="3"/>
  <c r="G572" i="3" s="1"/>
  <c r="E60" i="3"/>
  <c r="G60" i="3" s="1"/>
  <c r="E298" i="3"/>
  <c r="G298" i="3" s="1"/>
  <c r="E825" i="3"/>
  <c r="G825" i="3" s="1"/>
  <c r="E569" i="3"/>
  <c r="G569" i="3" s="1"/>
  <c r="E1000" i="3"/>
  <c r="G1000" i="3" s="1"/>
  <c r="E488" i="3"/>
  <c r="G488" i="3" s="1"/>
  <c r="E145" i="3"/>
  <c r="G145" i="3" s="1"/>
  <c r="E503" i="3"/>
  <c r="G503" i="3" s="1"/>
  <c r="E247" i="3"/>
  <c r="G247" i="3" s="1"/>
  <c r="E114" i="3"/>
  <c r="G114" i="3" s="1"/>
  <c r="E518" i="3"/>
  <c r="G518" i="3" s="1"/>
  <c r="E262" i="3"/>
  <c r="G262" i="3" s="1"/>
  <c r="E789" i="3"/>
  <c r="G789" i="3" s="1"/>
  <c r="E533" i="3"/>
  <c r="G533" i="3" s="1"/>
  <c r="E277" i="3"/>
  <c r="G277" i="3" s="1"/>
  <c r="E21" i="3"/>
  <c r="G21" i="3" s="1"/>
  <c r="E193" i="3"/>
  <c r="G193" i="3" s="1"/>
  <c r="E756" i="3"/>
  <c r="G756" i="3" s="1"/>
  <c r="E500" i="3"/>
  <c r="G500" i="3" s="1"/>
  <c r="E244" i="3"/>
  <c r="G244" i="3" s="1"/>
  <c r="E962" i="3"/>
  <c r="G962" i="3" s="1"/>
  <c r="E915" i="3"/>
  <c r="G915" i="3" s="1"/>
  <c r="E659" i="3"/>
  <c r="G659" i="3" s="1"/>
  <c r="E403" i="3"/>
  <c r="G403" i="3" s="1"/>
  <c r="E147" i="3"/>
  <c r="G147" i="3" s="1"/>
  <c r="E847" i="3"/>
  <c r="G847" i="3" s="1"/>
  <c r="E908" i="3"/>
  <c r="G908" i="3" s="1"/>
  <c r="E378" i="3"/>
  <c r="G378" i="3" s="1"/>
  <c r="E137" i="3"/>
  <c r="G137" i="3" s="1"/>
  <c r="E273" i="3"/>
  <c r="G273" i="3" s="1"/>
  <c r="E304" i="3"/>
  <c r="G304" i="3" s="1"/>
  <c r="E241" i="3"/>
  <c r="G241" i="3" s="1"/>
  <c r="E31" i="3"/>
  <c r="G31" i="3" s="1"/>
  <c r="E333" i="3"/>
  <c r="G333" i="3" s="1"/>
  <c r="E827" i="3"/>
  <c r="G827" i="3" s="1"/>
  <c r="E74" i="3"/>
  <c r="G74" i="3" s="1"/>
  <c r="E520" i="3"/>
  <c r="G520" i="3" s="1"/>
  <c r="E535" i="3"/>
  <c r="G535" i="3" s="1"/>
  <c r="E16" i="3"/>
  <c r="G16" i="3" s="1"/>
  <c r="E286" i="3"/>
  <c r="G286" i="3" s="1"/>
  <c r="E588" i="3"/>
  <c r="G588" i="3" s="1"/>
  <c r="E826" i="3"/>
  <c r="G826" i="3" s="1"/>
  <c r="E161" i="3"/>
  <c r="G161" i="3" s="1"/>
  <c r="E256" i="3"/>
  <c r="G256" i="3" s="1"/>
  <c r="E526" i="3"/>
  <c r="G526" i="3" s="1"/>
  <c r="E45" i="3"/>
  <c r="G45" i="3" s="1"/>
  <c r="E316" i="3"/>
  <c r="G316" i="3" s="1"/>
  <c r="E283" i="3"/>
  <c r="G283" i="3" s="1"/>
  <c r="E554" i="3"/>
  <c r="G554" i="3" s="1"/>
  <c r="E42" i="3"/>
  <c r="G42" i="3" s="1"/>
  <c r="E313" i="3"/>
  <c r="G313" i="3" s="1"/>
  <c r="E57" i="3"/>
  <c r="G57" i="3" s="1"/>
  <c r="E744" i="3"/>
  <c r="G744" i="3" s="1"/>
  <c r="E232" i="3"/>
  <c r="G232" i="3" s="1"/>
  <c r="E759" i="3"/>
  <c r="G759" i="3" s="1"/>
  <c r="E774" i="3"/>
  <c r="G774" i="3" s="1"/>
  <c r="E961" i="3"/>
  <c r="G961" i="3" s="1"/>
  <c r="E705" i="3"/>
  <c r="G705" i="3" s="1"/>
  <c r="E449" i="3"/>
  <c r="G449" i="3" s="1"/>
  <c r="E17" i="3"/>
  <c r="G17" i="3" s="1"/>
  <c r="E752" i="3"/>
  <c r="G752" i="3" s="1"/>
  <c r="E496" i="3"/>
  <c r="G496" i="3" s="1"/>
  <c r="E240" i="3"/>
  <c r="G240" i="3" s="1"/>
  <c r="E33" i="3"/>
  <c r="G33" i="3" s="1"/>
  <c r="E751" i="3"/>
  <c r="G751" i="3" s="1"/>
  <c r="E495" i="3"/>
  <c r="G495" i="3" s="1"/>
  <c r="E239" i="3"/>
  <c r="G239" i="3" s="1"/>
  <c r="E65" i="3"/>
  <c r="G65" i="3" s="1"/>
  <c r="E766" i="3"/>
  <c r="G766" i="3" s="1"/>
  <c r="E510" i="3"/>
  <c r="G510" i="3" s="1"/>
  <c r="E254" i="3"/>
  <c r="G254" i="3" s="1"/>
  <c r="E866" i="3"/>
  <c r="G866" i="3" s="1"/>
  <c r="E797" i="3"/>
  <c r="G797" i="3" s="1"/>
  <c r="E541" i="3"/>
  <c r="G541" i="3" s="1"/>
  <c r="E285" i="3"/>
  <c r="G285" i="3" s="1"/>
  <c r="E29" i="3"/>
  <c r="G29" i="3" s="1"/>
  <c r="E812" i="3"/>
  <c r="G812" i="3" s="1"/>
  <c r="E556" i="3"/>
  <c r="G556" i="3" s="1"/>
  <c r="E300" i="3"/>
  <c r="G300" i="3" s="1"/>
  <c r="E44" i="3"/>
  <c r="G44" i="3" s="1"/>
  <c r="E18" i="3"/>
  <c r="G18" i="3" s="1"/>
  <c r="E779" i="3"/>
  <c r="G779" i="3" s="1"/>
  <c r="E523" i="3"/>
  <c r="G523" i="3" s="1"/>
  <c r="E267" i="3"/>
  <c r="G267" i="3" s="1"/>
  <c r="E11" i="3"/>
  <c r="G11" i="3" s="1"/>
  <c r="E794" i="3"/>
  <c r="G794" i="3" s="1"/>
  <c r="E538" i="3"/>
  <c r="G538" i="3" s="1"/>
  <c r="E282" i="3"/>
  <c r="G282" i="3" s="1"/>
  <c r="E26" i="3"/>
  <c r="G26" i="3" s="1"/>
  <c r="E809" i="3"/>
  <c r="G809" i="3" s="1"/>
  <c r="E553" i="3"/>
  <c r="G553" i="3" s="1"/>
  <c r="E297" i="3"/>
  <c r="G297" i="3" s="1"/>
  <c r="E41" i="3"/>
  <c r="G41" i="3" s="1"/>
  <c r="E984" i="3"/>
  <c r="G984" i="3" s="1"/>
  <c r="E728" i="3"/>
  <c r="G728" i="3" s="1"/>
  <c r="E472" i="3"/>
  <c r="G472" i="3" s="1"/>
  <c r="E216" i="3"/>
  <c r="G216" i="3" s="1"/>
  <c r="E999" i="3"/>
  <c r="G999" i="3" s="1"/>
  <c r="E743" i="3"/>
  <c r="G743" i="3" s="1"/>
  <c r="E487" i="3"/>
  <c r="G487" i="3" s="1"/>
  <c r="E231" i="3"/>
  <c r="G231" i="3" s="1"/>
  <c r="E225" i="3"/>
  <c r="G225" i="3" s="1"/>
  <c r="E758" i="3"/>
  <c r="G758" i="3" s="1"/>
  <c r="E502" i="3"/>
  <c r="G502" i="3" s="1"/>
  <c r="E246" i="3"/>
  <c r="G246" i="3" s="1"/>
  <c r="E146" i="3"/>
  <c r="G146" i="3" s="1"/>
  <c r="E773" i="3"/>
  <c r="G773" i="3" s="1"/>
  <c r="E517" i="3"/>
  <c r="G517" i="3" s="1"/>
  <c r="E261" i="3"/>
  <c r="G261" i="3" s="1"/>
  <c r="E996" i="3"/>
  <c r="G996" i="3" s="1"/>
  <c r="E740" i="3"/>
  <c r="G740" i="3" s="1"/>
  <c r="E484" i="3"/>
  <c r="G484" i="3" s="1"/>
  <c r="E228" i="3"/>
  <c r="G228" i="3" s="1"/>
  <c r="E898" i="3"/>
  <c r="G898" i="3" s="1"/>
  <c r="E899" i="3"/>
  <c r="G899" i="3" s="1"/>
  <c r="E643" i="3"/>
  <c r="G643" i="3" s="1"/>
  <c r="E387" i="3"/>
  <c r="G387" i="3" s="1"/>
  <c r="E131" i="3"/>
  <c r="G131" i="3" s="1"/>
  <c r="E336" i="3"/>
  <c r="G336" i="3" s="1"/>
  <c r="E125" i="3"/>
  <c r="G125" i="3" s="1"/>
  <c r="E122" i="3"/>
  <c r="G122" i="3" s="1"/>
  <c r="E824" i="3"/>
  <c r="G824" i="3" s="1"/>
  <c r="E815" i="3"/>
  <c r="G815" i="3" s="1"/>
  <c r="E544" i="3"/>
  <c r="G544" i="3" s="1"/>
  <c r="E814" i="3"/>
  <c r="G814" i="3" s="1"/>
  <c r="E77" i="3"/>
  <c r="G77" i="3" s="1"/>
  <c r="E571" i="3"/>
  <c r="G571" i="3" s="1"/>
  <c r="E857" i="3"/>
  <c r="G857" i="3" s="1"/>
  <c r="E264" i="3"/>
  <c r="G264" i="3" s="1"/>
  <c r="E737" i="3"/>
  <c r="G737" i="3" s="1"/>
  <c r="E783" i="3"/>
  <c r="G783" i="3" s="1"/>
  <c r="E30" i="3"/>
  <c r="G30" i="3" s="1"/>
  <c r="E76" i="3"/>
  <c r="G76" i="3" s="1"/>
  <c r="E314" i="3"/>
  <c r="G314" i="3" s="1"/>
  <c r="E504" i="3"/>
  <c r="G504" i="3" s="1"/>
  <c r="E790" i="3"/>
  <c r="G790" i="3" s="1"/>
  <c r="E768" i="3"/>
  <c r="G768" i="3" s="1"/>
  <c r="E226" i="3"/>
  <c r="G226" i="3" s="1"/>
  <c r="E828" i="3"/>
  <c r="G828" i="3" s="1"/>
  <c r="E810" i="3"/>
  <c r="G810" i="3" s="1"/>
  <c r="E736" i="3"/>
  <c r="G736" i="3" s="1"/>
  <c r="E735" i="3"/>
  <c r="G735" i="3" s="1"/>
  <c r="E750" i="3"/>
  <c r="G750" i="3" s="1"/>
  <c r="E494" i="3"/>
  <c r="G494" i="3" s="1"/>
  <c r="E238" i="3"/>
  <c r="G238" i="3" s="1"/>
  <c r="E82" i="3"/>
  <c r="G82" i="3" s="1"/>
  <c r="E781" i="3"/>
  <c r="G781" i="3" s="1"/>
  <c r="E525" i="3"/>
  <c r="G525" i="3" s="1"/>
  <c r="E269" i="3"/>
  <c r="G269" i="3" s="1"/>
  <c r="E13" i="3"/>
  <c r="G13" i="3" s="1"/>
  <c r="E796" i="3"/>
  <c r="G796" i="3" s="1"/>
  <c r="E540" i="3"/>
  <c r="G540" i="3" s="1"/>
  <c r="E284" i="3"/>
  <c r="G284" i="3" s="1"/>
  <c r="E28" i="3"/>
  <c r="G28" i="3" s="1"/>
  <c r="E97" i="3"/>
  <c r="G97" i="3" s="1"/>
  <c r="E763" i="3"/>
  <c r="G763" i="3" s="1"/>
  <c r="E507" i="3"/>
  <c r="G507" i="3" s="1"/>
  <c r="E251" i="3"/>
  <c r="G251" i="3" s="1"/>
  <c r="E162" i="3"/>
  <c r="G162" i="3" s="1"/>
  <c r="E778" i="3"/>
  <c r="G778" i="3" s="1"/>
  <c r="E522" i="3"/>
  <c r="G522" i="3" s="1"/>
  <c r="E266" i="3"/>
  <c r="G266" i="3" s="1"/>
  <c r="E10" i="3"/>
  <c r="G10" i="3" s="1"/>
  <c r="E793" i="3"/>
  <c r="G793" i="3" s="1"/>
  <c r="E537" i="3"/>
  <c r="G537" i="3" s="1"/>
  <c r="E281" i="3"/>
  <c r="G281" i="3" s="1"/>
  <c r="E25" i="3"/>
  <c r="G25" i="3" s="1"/>
  <c r="E968" i="3"/>
  <c r="G968" i="3" s="1"/>
  <c r="E712" i="3"/>
  <c r="G712" i="3" s="1"/>
  <c r="E456" i="3"/>
  <c r="G456" i="3" s="1"/>
  <c r="E200" i="3"/>
  <c r="G200" i="3" s="1"/>
  <c r="E983" i="3"/>
  <c r="G983" i="3" s="1"/>
  <c r="E727" i="3"/>
  <c r="G727" i="3" s="1"/>
  <c r="E471" i="3"/>
  <c r="G471" i="3" s="1"/>
  <c r="E215" i="3"/>
  <c r="G215" i="3" s="1"/>
  <c r="E998" i="3"/>
  <c r="G998" i="3" s="1"/>
  <c r="E742" i="3"/>
  <c r="G742" i="3" s="1"/>
  <c r="E486" i="3"/>
  <c r="G486" i="3" s="1"/>
  <c r="E230" i="3"/>
  <c r="G230" i="3" s="1"/>
  <c r="E177" i="3"/>
  <c r="G177" i="3" s="1"/>
  <c r="E757" i="3"/>
  <c r="G757" i="3" s="1"/>
  <c r="E501" i="3"/>
  <c r="G501" i="3" s="1"/>
  <c r="E245" i="3"/>
  <c r="G245" i="3" s="1"/>
  <c r="E994" i="3"/>
  <c r="G994" i="3" s="1"/>
  <c r="E980" i="3"/>
  <c r="G980" i="3" s="1"/>
  <c r="E724" i="3"/>
  <c r="G724" i="3" s="1"/>
  <c r="E468" i="3"/>
  <c r="G468" i="3" s="1"/>
  <c r="E212" i="3"/>
  <c r="G212" i="3" s="1"/>
  <c r="E802" i="3"/>
  <c r="G802" i="3" s="1"/>
  <c r="E883" i="3"/>
  <c r="G883" i="3" s="1"/>
  <c r="E627" i="3"/>
  <c r="G627" i="3" s="1"/>
  <c r="E371" i="3"/>
  <c r="G371" i="3" s="1"/>
  <c r="E115" i="3"/>
  <c r="G115" i="3" s="1"/>
  <c r="E606" i="3"/>
  <c r="G606" i="3" s="1"/>
  <c r="E107" i="3"/>
  <c r="G107" i="3" s="1"/>
  <c r="E854" i="3"/>
  <c r="G854" i="3" s="1"/>
  <c r="E257" i="3"/>
  <c r="G257" i="3" s="1"/>
  <c r="E178" i="3"/>
  <c r="G178" i="3" s="1"/>
  <c r="E32" i="3"/>
  <c r="G32" i="3" s="1"/>
  <c r="E302" i="3"/>
  <c r="G302" i="3" s="1"/>
  <c r="E348" i="3"/>
  <c r="G348" i="3" s="1"/>
  <c r="E842" i="3"/>
  <c r="G842" i="3" s="1"/>
  <c r="E345" i="3"/>
  <c r="G345" i="3" s="1"/>
  <c r="E791" i="3"/>
  <c r="G791" i="3" s="1"/>
  <c r="E481" i="3"/>
  <c r="G481" i="3" s="1"/>
  <c r="E527" i="3"/>
  <c r="G527" i="3" s="1"/>
  <c r="E829" i="3"/>
  <c r="G829" i="3" s="1"/>
  <c r="E332" i="3"/>
  <c r="G332" i="3" s="1"/>
  <c r="E43" i="3"/>
  <c r="G43" i="3" s="1"/>
  <c r="E329" i="3"/>
  <c r="G329" i="3" s="1"/>
  <c r="E263" i="3"/>
  <c r="G263" i="3" s="1"/>
  <c r="E130" i="3"/>
  <c r="G130" i="3" s="1"/>
  <c r="E255" i="3"/>
  <c r="G255" i="3" s="1"/>
  <c r="E557" i="3"/>
  <c r="G557" i="3" s="1"/>
  <c r="E27" i="3"/>
  <c r="G27" i="3" s="1"/>
  <c r="E992" i="3"/>
  <c r="G992" i="3" s="1"/>
  <c r="E479" i="3"/>
  <c r="G479" i="3" s="1"/>
  <c r="E417" i="3"/>
  <c r="G417" i="3" s="1"/>
  <c r="E975" i="3"/>
  <c r="G975" i="3" s="1"/>
  <c r="E207" i="3"/>
  <c r="G207" i="3" s="1"/>
  <c r="E222" i="3"/>
  <c r="G222" i="3" s="1"/>
  <c r="E765" i="3"/>
  <c r="G765" i="3" s="1"/>
  <c r="E242" i="3"/>
  <c r="G242" i="3" s="1"/>
  <c r="E268" i="3"/>
  <c r="G268" i="3" s="1"/>
  <c r="E470" i="3"/>
  <c r="G470" i="3" s="1"/>
  <c r="E214" i="3"/>
  <c r="G214" i="3" s="1"/>
  <c r="E997" i="3"/>
  <c r="G997" i="3" s="1"/>
  <c r="E741" i="3"/>
  <c r="G741" i="3" s="1"/>
  <c r="E485" i="3"/>
  <c r="G485" i="3" s="1"/>
  <c r="E229" i="3"/>
  <c r="G229" i="3" s="1"/>
  <c r="E930" i="3"/>
  <c r="G930" i="3" s="1"/>
  <c r="E964" i="3"/>
  <c r="G964" i="3" s="1"/>
  <c r="E708" i="3"/>
  <c r="G708" i="3" s="1"/>
  <c r="E452" i="3"/>
  <c r="G452" i="3" s="1"/>
  <c r="E196" i="3"/>
  <c r="G196" i="3" s="1"/>
  <c r="E722" i="3"/>
  <c r="G722" i="3" s="1"/>
  <c r="E867" i="3"/>
  <c r="G867" i="3" s="1"/>
  <c r="E611" i="3"/>
  <c r="G611" i="3" s="1"/>
  <c r="E355" i="3"/>
  <c r="G355" i="3" s="1"/>
  <c r="E99" i="3"/>
  <c r="G99" i="3" s="1"/>
  <c r="E801" i="3"/>
  <c r="G801" i="3" s="1"/>
  <c r="E350" i="3"/>
  <c r="G350" i="3" s="1"/>
  <c r="E363" i="3"/>
  <c r="G363" i="3" s="1"/>
  <c r="E583" i="3"/>
  <c r="G583" i="3" s="1"/>
  <c r="E560" i="3"/>
  <c r="G560" i="3" s="1"/>
  <c r="E800" i="3"/>
  <c r="G800" i="3" s="1"/>
  <c r="E287" i="3"/>
  <c r="G287" i="3" s="1"/>
  <c r="E845" i="3"/>
  <c r="G845" i="3" s="1"/>
  <c r="E604" i="3"/>
  <c r="G604" i="3" s="1"/>
  <c r="E315" i="3"/>
  <c r="G315" i="3" s="1"/>
  <c r="E601" i="3"/>
  <c r="G601" i="3" s="1"/>
  <c r="E993" i="3"/>
  <c r="G993" i="3" s="1"/>
  <c r="E272" i="3"/>
  <c r="G272" i="3" s="1"/>
  <c r="E542" i="3"/>
  <c r="G542" i="3" s="1"/>
  <c r="E844" i="3"/>
  <c r="G844" i="3" s="1"/>
  <c r="E299" i="3"/>
  <c r="G299" i="3" s="1"/>
  <c r="E585" i="3"/>
  <c r="G585" i="3" s="1"/>
  <c r="E248" i="3"/>
  <c r="G248" i="3" s="1"/>
  <c r="E977" i="3"/>
  <c r="G977" i="3" s="1"/>
  <c r="E98" i="3"/>
  <c r="G98" i="3" s="1"/>
  <c r="E782" i="3"/>
  <c r="G782" i="3" s="1"/>
  <c r="E301" i="3"/>
  <c r="G301" i="3" s="1"/>
  <c r="E258" i="3"/>
  <c r="G258" i="3" s="1"/>
  <c r="E945" i="3"/>
  <c r="G945" i="3" s="1"/>
  <c r="E480" i="3"/>
  <c r="G480" i="3" s="1"/>
  <c r="E223" i="3"/>
  <c r="G223" i="3" s="1"/>
  <c r="E976" i="3"/>
  <c r="G976" i="3" s="1"/>
  <c r="E208" i="3"/>
  <c r="G208" i="3" s="1"/>
  <c r="E463" i="3"/>
  <c r="G463" i="3" s="1"/>
  <c r="E478" i="3"/>
  <c r="G478" i="3" s="1"/>
  <c r="E49" i="3"/>
  <c r="G49" i="3" s="1"/>
  <c r="E509" i="3"/>
  <c r="G509" i="3" s="1"/>
  <c r="E253" i="3"/>
  <c r="G253" i="3" s="1"/>
  <c r="E780" i="3"/>
  <c r="G780" i="3" s="1"/>
  <c r="E524" i="3"/>
  <c r="G524" i="3" s="1"/>
  <c r="E12" i="3"/>
  <c r="G12" i="3" s="1"/>
  <c r="E747" i="3"/>
  <c r="G747" i="3" s="1"/>
  <c r="E491" i="3"/>
  <c r="G491" i="3" s="1"/>
  <c r="E235" i="3"/>
  <c r="G235" i="3" s="1"/>
  <c r="E113" i="3"/>
  <c r="G113" i="3" s="1"/>
  <c r="E762" i="3"/>
  <c r="G762" i="3" s="1"/>
  <c r="E506" i="3"/>
  <c r="G506" i="3" s="1"/>
  <c r="E250" i="3"/>
  <c r="G250" i="3" s="1"/>
  <c r="E210" i="3"/>
  <c r="G210" i="3" s="1"/>
  <c r="E777" i="3"/>
  <c r="G777" i="3" s="1"/>
  <c r="E521" i="3"/>
  <c r="G521" i="3" s="1"/>
  <c r="E265" i="3"/>
  <c r="G265" i="3" s="1"/>
  <c r="E952" i="3"/>
  <c r="G952" i="3" s="1"/>
  <c r="E696" i="3"/>
  <c r="G696" i="3" s="1"/>
  <c r="E440" i="3"/>
  <c r="G440" i="3" s="1"/>
  <c r="E184" i="3"/>
  <c r="G184" i="3" s="1"/>
  <c r="E967" i="3"/>
  <c r="G967" i="3" s="1"/>
  <c r="E711" i="3"/>
  <c r="G711" i="3" s="1"/>
  <c r="E455" i="3"/>
  <c r="G455" i="3" s="1"/>
  <c r="E199" i="3"/>
  <c r="G199" i="3" s="1"/>
  <c r="E982" i="3"/>
  <c r="G982" i="3" s="1"/>
  <c r="E726" i="3"/>
  <c r="G726" i="3" s="1"/>
  <c r="E913" i="3"/>
  <c r="G913" i="3" s="1"/>
  <c r="E657" i="3"/>
  <c r="G657" i="3" s="1"/>
  <c r="E401" i="3"/>
  <c r="G401" i="3" s="1"/>
  <c r="E960" i="3"/>
  <c r="G960" i="3" s="1"/>
  <c r="E704" i="3"/>
  <c r="G704" i="3" s="1"/>
  <c r="E448" i="3"/>
  <c r="G448" i="3" s="1"/>
  <c r="E192" i="3"/>
  <c r="G192" i="3" s="1"/>
  <c r="E959" i="3"/>
  <c r="G959" i="3" s="1"/>
  <c r="E703" i="3"/>
  <c r="G703" i="3" s="1"/>
  <c r="E447" i="3"/>
  <c r="G447" i="3" s="1"/>
  <c r="E191" i="3"/>
  <c r="G191" i="3" s="1"/>
  <c r="E974" i="3"/>
  <c r="G974" i="3" s="1"/>
  <c r="E718" i="3"/>
  <c r="G718" i="3" s="1"/>
  <c r="E462" i="3"/>
  <c r="G462" i="3" s="1"/>
  <c r="E206" i="3"/>
  <c r="G206" i="3" s="1"/>
  <c r="E749" i="3"/>
  <c r="G749" i="3" s="1"/>
  <c r="E493" i="3"/>
  <c r="G493" i="3" s="1"/>
  <c r="E237" i="3"/>
  <c r="G237" i="3" s="1"/>
  <c r="E81" i="3"/>
  <c r="G81" i="3" s="1"/>
  <c r="E764" i="3"/>
  <c r="G764" i="3" s="1"/>
  <c r="E508" i="3"/>
  <c r="G508" i="3" s="1"/>
  <c r="E252" i="3"/>
  <c r="G252" i="3" s="1"/>
  <c r="E946" i="3"/>
  <c r="G946" i="3" s="1"/>
  <c r="E987" i="3"/>
  <c r="G987" i="3" s="1"/>
  <c r="E731" i="3"/>
  <c r="G731" i="3" s="1"/>
  <c r="E475" i="3"/>
  <c r="G475" i="3" s="1"/>
  <c r="E219" i="3"/>
  <c r="G219" i="3" s="1"/>
  <c r="E746" i="3"/>
  <c r="G746" i="3" s="1"/>
  <c r="E490" i="3"/>
  <c r="G490" i="3" s="1"/>
  <c r="E234" i="3"/>
  <c r="G234" i="3" s="1"/>
  <c r="E129" i="3"/>
  <c r="G129" i="3" s="1"/>
  <c r="E761" i="3"/>
  <c r="G761" i="3" s="1"/>
  <c r="E505" i="3"/>
  <c r="G505" i="3" s="1"/>
  <c r="E249" i="3"/>
  <c r="G249" i="3" s="1"/>
  <c r="E978" i="3"/>
  <c r="G978" i="3" s="1"/>
  <c r="E936" i="3"/>
  <c r="G936" i="3" s="1"/>
  <c r="E680" i="3"/>
  <c r="G680" i="3" s="1"/>
  <c r="E424" i="3"/>
  <c r="G424" i="3" s="1"/>
  <c r="E168" i="3"/>
  <c r="G168" i="3" s="1"/>
  <c r="E951" i="3"/>
  <c r="G951" i="3" s="1"/>
  <c r="E695" i="3"/>
  <c r="G695" i="3" s="1"/>
  <c r="E439" i="3"/>
  <c r="G439" i="3" s="1"/>
  <c r="E183" i="3"/>
  <c r="G183" i="3" s="1"/>
  <c r="E966" i="3"/>
  <c r="G966" i="3" s="1"/>
  <c r="E710" i="3"/>
  <c r="G710" i="3" s="1"/>
  <c r="E454" i="3"/>
  <c r="G454" i="3" s="1"/>
  <c r="E198" i="3"/>
  <c r="G198" i="3" s="1"/>
  <c r="E981" i="3"/>
  <c r="G981" i="3" s="1"/>
  <c r="E725" i="3"/>
  <c r="G725" i="3" s="1"/>
  <c r="E469" i="3"/>
  <c r="G469" i="3" s="1"/>
  <c r="E213" i="3"/>
  <c r="G213" i="3" s="1"/>
  <c r="E834" i="3"/>
  <c r="G834" i="3" s="1"/>
  <c r="E948" i="3"/>
  <c r="G948" i="3" s="1"/>
  <c r="E692" i="3"/>
  <c r="G692" i="3" s="1"/>
  <c r="E436" i="3"/>
  <c r="G436" i="3" s="1"/>
  <c r="E180" i="3"/>
  <c r="G180" i="3" s="1"/>
  <c r="E658" i="3"/>
  <c r="G658" i="3" s="1"/>
  <c r="E851" i="3"/>
  <c r="G851" i="3" s="1"/>
  <c r="E595" i="3"/>
  <c r="G595" i="3" s="1"/>
  <c r="E339" i="3"/>
  <c r="G339" i="3" s="1"/>
  <c r="E83" i="3"/>
  <c r="G83" i="3" s="1"/>
  <c r="E289" i="3"/>
  <c r="G289" i="3" s="1"/>
  <c r="E381" i="3"/>
  <c r="G381" i="3" s="1"/>
  <c r="E498" i="3"/>
  <c r="G498" i="3" s="1"/>
  <c r="E529" i="3"/>
  <c r="G529" i="3" s="1"/>
  <c r="E559" i="3"/>
  <c r="G559" i="3" s="1"/>
  <c r="E288" i="3"/>
  <c r="G288" i="3" s="1"/>
  <c r="E558" i="3"/>
  <c r="G558" i="3" s="1"/>
  <c r="E860" i="3"/>
  <c r="G860" i="3" s="1"/>
  <c r="E59" i="3"/>
  <c r="G59" i="3" s="1"/>
  <c r="E89" i="3"/>
  <c r="G89" i="3" s="1"/>
  <c r="E806" i="3"/>
  <c r="G806" i="3" s="1"/>
  <c r="E528" i="3"/>
  <c r="G528" i="3" s="1"/>
  <c r="E798" i="3"/>
  <c r="G798" i="3" s="1"/>
  <c r="E61" i="3"/>
  <c r="G61" i="3" s="1"/>
  <c r="E555" i="3"/>
  <c r="G555" i="3" s="1"/>
  <c r="E841" i="3"/>
  <c r="G841" i="3" s="1"/>
  <c r="E775" i="3"/>
  <c r="G775" i="3" s="1"/>
  <c r="E512" i="3"/>
  <c r="G512" i="3" s="1"/>
  <c r="E813" i="3"/>
  <c r="G813" i="3" s="1"/>
  <c r="E795" i="3"/>
  <c r="G795" i="3" s="1"/>
  <c r="E689" i="3"/>
  <c r="G689" i="3" s="1"/>
  <c r="E991" i="3"/>
  <c r="G991" i="3" s="1"/>
  <c r="E929" i="3"/>
  <c r="G929" i="3" s="1"/>
  <c r="E720" i="3"/>
  <c r="G720" i="3" s="1"/>
  <c r="E719" i="3"/>
  <c r="G719" i="3" s="1"/>
  <c r="E734" i="3"/>
  <c r="G734" i="3" s="1"/>
  <c r="E641" i="3"/>
  <c r="G641" i="3" s="1"/>
  <c r="E944" i="3"/>
  <c r="G944" i="3" s="1"/>
  <c r="E432" i="3"/>
  <c r="G432" i="3" s="1"/>
  <c r="E687" i="3"/>
  <c r="G687" i="3" s="1"/>
  <c r="E431" i="3"/>
  <c r="G431" i="3" s="1"/>
  <c r="E958" i="3"/>
  <c r="G958" i="3" s="1"/>
  <c r="E702" i="3"/>
  <c r="G702" i="3" s="1"/>
  <c r="E446" i="3"/>
  <c r="G446" i="3" s="1"/>
  <c r="E190" i="3"/>
  <c r="G190" i="3" s="1"/>
  <c r="E989" i="3"/>
  <c r="G989" i="3" s="1"/>
  <c r="E733" i="3"/>
  <c r="G733" i="3" s="1"/>
  <c r="E477" i="3"/>
  <c r="G477" i="3" s="1"/>
  <c r="E221" i="3"/>
  <c r="G221" i="3" s="1"/>
  <c r="E748" i="3"/>
  <c r="G748" i="3" s="1"/>
  <c r="E492" i="3"/>
  <c r="G492" i="3" s="1"/>
  <c r="E236" i="3"/>
  <c r="G236" i="3" s="1"/>
  <c r="E850" i="3"/>
  <c r="G850" i="3" s="1"/>
  <c r="E971" i="3"/>
  <c r="G971" i="3" s="1"/>
  <c r="E715" i="3"/>
  <c r="G715" i="3" s="1"/>
  <c r="E459" i="3"/>
  <c r="G459" i="3" s="1"/>
  <c r="E203" i="3"/>
  <c r="G203" i="3" s="1"/>
  <c r="E986" i="3"/>
  <c r="G986" i="3" s="1"/>
  <c r="E730" i="3"/>
  <c r="G730" i="3" s="1"/>
  <c r="E474" i="3"/>
  <c r="G474" i="3" s="1"/>
  <c r="E218" i="3"/>
  <c r="G218" i="3" s="1"/>
  <c r="E1001" i="3"/>
  <c r="G1001" i="3" s="1"/>
  <c r="E745" i="3"/>
  <c r="G745" i="3" s="1"/>
  <c r="E489" i="3"/>
  <c r="G489" i="3" s="1"/>
  <c r="E233" i="3"/>
  <c r="G233" i="3" s="1"/>
  <c r="E914" i="3"/>
  <c r="G914" i="3" s="1"/>
  <c r="E920" i="3"/>
  <c r="G920" i="3" s="1"/>
  <c r="E664" i="3"/>
  <c r="G664" i="3" s="1"/>
  <c r="E408" i="3"/>
  <c r="G408" i="3" s="1"/>
  <c r="E152" i="3"/>
  <c r="G152" i="3" s="1"/>
  <c r="E935" i="3"/>
  <c r="G935" i="3" s="1"/>
  <c r="E679" i="3"/>
  <c r="G679" i="3" s="1"/>
  <c r="E423" i="3"/>
  <c r="G423" i="3" s="1"/>
  <c r="E167" i="3"/>
  <c r="G167" i="3" s="1"/>
  <c r="E950" i="3"/>
  <c r="G950" i="3" s="1"/>
  <c r="E694" i="3"/>
  <c r="G694" i="3" s="1"/>
  <c r="E438" i="3"/>
  <c r="G438" i="3" s="1"/>
  <c r="E182" i="3"/>
  <c r="G182" i="3" s="1"/>
  <c r="E965" i="3"/>
  <c r="G965" i="3" s="1"/>
  <c r="E709" i="3"/>
  <c r="G709" i="3" s="1"/>
  <c r="E453" i="3"/>
  <c r="G453" i="3" s="1"/>
  <c r="E197" i="3"/>
  <c r="G197" i="3" s="1"/>
  <c r="E770" i="3"/>
  <c r="G770" i="3" s="1"/>
  <c r="E932" i="3"/>
  <c r="G932" i="3" s="1"/>
  <c r="E676" i="3"/>
  <c r="G676" i="3" s="1"/>
  <c r="E420" i="3"/>
  <c r="G420" i="3" s="1"/>
  <c r="E164" i="3"/>
  <c r="G164" i="3" s="1"/>
  <c r="E594" i="3"/>
  <c r="G594" i="3" s="1"/>
  <c r="E835" i="3"/>
  <c r="G835" i="3" s="1"/>
  <c r="E579" i="3"/>
  <c r="G579" i="3" s="1"/>
  <c r="E323" i="3"/>
  <c r="G323" i="3" s="1"/>
  <c r="E67" i="3"/>
  <c r="G67" i="3" s="1"/>
  <c r="E80" i="3"/>
  <c r="G80" i="3" s="1"/>
  <c r="E893" i="3"/>
  <c r="G893" i="3" s="1"/>
  <c r="E890" i="3"/>
  <c r="G890" i="3" s="1"/>
  <c r="E393" i="3"/>
  <c r="G393" i="3" s="1"/>
  <c r="E785" i="3"/>
  <c r="G785" i="3" s="1"/>
  <c r="E769" i="3"/>
  <c r="G769" i="3" s="1"/>
  <c r="E753" i="3"/>
  <c r="G753" i="3" s="1"/>
  <c r="E799" i="3"/>
  <c r="G799" i="3" s="1"/>
  <c r="E46" i="3"/>
  <c r="G46" i="3" s="1"/>
  <c r="E92" i="3"/>
  <c r="G92" i="3" s="1"/>
  <c r="E586" i="3"/>
  <c r="G586" i="3" s="1"/>
  <c r="E50" i="3"/>
  <c r="G50" i="3" s="1"/>
  <c r="E23" i="3"/>
  <c r="G23" i="3" s="1"/>
  <c r="E882" i="3"/>
  <c r="G882" i="3" s="1"/>
  <c r="E271" i="3"/>
  <c r="G271" i="3" s="1"/>
  <c r="E317" i="3"/>
  <c r="G317" i="3" s="1"/>
  <c r="E811" i="3"/>
  <c r="G811" i="3" s="1"/>
  <c r="E58" i="3"/>
  <c r="G58" i="3" s="1"/>
  <c r="E760" i="3"/>
  <c r="G760" i="3" s="1"/>
  <c r="E519" i="3"/>
  <c r="G519" i="3" s="1"/>
  <c r="E721" i="3"/>
  <c r="G721" i="3" s="1"/>
  <c r="E767" i="3"/>
  <c r="G767" i="3" s="1"/>
  <c r="E14" i="3"/>
  <c r="G14" i="3" s="1"/>
  <c r="E539" i="3"/>
  <c r="G539" i="3" s="1"/>
  <c r="E433" i="3"/>
  <c r="G433" i="3" s="1"/>
  <c r="E224" i="3"/>
  <c r="G224" i="3" s="1"/>
  <c r="E673" i="3"/>
  <c r="G673" i="3" s="1"/>
  <c r="E464" i="3"/>
  <c r="G464" i="3" s="1"/>
  <c r="E990" i="3"/>
  <c r="G990" i="3" s="1"/>
  <c r="E897" i="3"/>
  <c r="G897" i="3" s="1"/>
  <c r="E385" i="3"/>
  <c r="G385" i="3" s="1"/>
  <c r="E688" i="3"/>
  <c r="G688" i="3" s="1"/>
  <c r="E176" i="3"/>
  <c r="G176" i="3" s="1"/>
  <c r="E943" i="3"/>
  <c r="G943" i="3" s="1"/>
  <c r="E175" i="3"/>
  <c r="G175" i="3" s="1"/>
  <c r="E881" i="3"/>
  <c r="G881" i="3" s="1"/>
  <c r="E625" i="3"/>
  <c r="G625" i="3" s="1"/>
  <c r="E369" i="3"/>
  <c r="G369" i="3" s="1"/>
  <c r="E928" i="3"/>
  <c r="G928" i="3" s="1"/>
  <c r="E672" i="3"/>
  <c r="G672" i="3" s="1"/>
  <c r="E416" i="3"/>
  <c r="G416" i="3" s="1"/>
  <c r="E160" i="3"/>
  <c r="G160" i="3" s="1"/>
  <c r="E927" i="3"/>
  <c r="G927" i="3" s="1"/>
  <c r="E671" i="3"/>
  <c r="G671" i="3" s="1"/>
  <c r="E415" i="3"/>
  <c r="G415" i="3" s="1"/>
  <c r="E159" i="3"/>
  <c r="G159" i="3" s="1"/>
  <c r="E942" i="3"/>
  <c r="G942" i="3" s="1"/>
  <c r="E686" i="3"/>
  <c r="G686" i="3" s="1"/>
  <c r="E430" i="3"/>
  <c r="G430" i="3" s="1"/>
  <c r="E174" i="3"/>
  <c r="G174" i="3" s="1"/>
  <c r="E973" i="3"/>
  <c r="G973" i="3" s="1"/>
  <c r="E717" i="3"/>
  <c r="G717" i="3" s="1"/>
  <c r="E461" i="3"/>
  <c r="G461" i="3" s="1"/>
  <c r="E205" i="3"/>
  <c r="G205" i="3" s="1"/>
  <c r="E988" i="3"/>
  <c r="G988" i="3" s="1"/>
  <c r="E732" i="3"/>
  <c r="G732" i="3" s="1"/>
  <c r="E476" i="3"/>
  <c r="G476" i="3" s="1"/>
  <c r="E220" i="3"/>
  <c r="G220" i="3" s="1"/>
  <c r="E786" i="3"/>
  <c r="G786" i="3" s="1"/>
  <c r="E955" i="3"/>
  <c r="G955" i="3" s="1"/>
  <c r="E699" i="3"/>
  <c r="G699" i="3" s="1"/>
  <c r="E443" i="3"/>
  <c r="G443" i="3" s="1"/>
  <c r="E187" i="3"/>
  <c r="G187" i="3" s="1"/>
  <c r="E970" i="3"/>
  <c r="G970" i="3" s="1"/>
  <c r="E714" i="3"/>
  <c r="G714" i="3" s="1"/>
  <c r="E458" i="3"/>
  <c r="G458" i="3" s="1"/>
  <c r="E202" i="3"/>
  <c r="G202" i="3" s="1"/>
  <c r="E985" i="3"/>
  <c r="G985" i="3" s="1"/>
  <c r="E729" i="3"/>
  <c r="G729" i="3" s="1"/>
  <c r="E473" i="3"/>
  <c r="G473" i="3" s="1"/>
  <c r="E217" i="3"/>
  <c r="G217" i="3" s="1"/>
  <c r="E818" i="3"/>
  <c r="G818" i="3" s="1"/>
  <c r="E904" i="3"/>
  <c r="G904" i="3" s="1"/>
  <c r="E648" i="3"/>
  <c r="G648" i="3" s="1"/>
  <c r="E392" i="3"/>
  <c r="G392" i="3" s="1"/>
  <c r="E136" i="3"/>
  <c r="G136" i="3" s="1"/>
  <c r="E919" i="3"/>
  <c r="G919" i="3" s="1"/>
  <c r="E663" i="3"/>
  <c r="G663" i="3" s="1"/>
  <c r="E407" i="3"/>
  <c r="G407" i="3" s="1"/>
  <c r="E151" i="3"/>
  <c r="G151" i="3" s="1"/>
  <c r="E934" i="3"/>
  <c r="G934" i="3" s="1"/>
  <c r="E678" i="3"/>
  <c r="G678" i="3" s="1"/>
  <c r="E422" i="3"/>
  <c r="G422" i="3" s="1"/>
  <c r="E166" i="3"/>
  <c r="G166" i="3" s="1"/>
  <c r="E949" i="3"/>
  <c r="G949" i="3" s="1"/>
  <c r="E693" i="3"/>
  <c r="G693" i="3" s="1"/>
  <c r="E437" i="3"/>
  <c r="G437" i="3" s="1"/>
  <c r="E181" i="3"/>
  <c r="G181" i="3" s="1"/>
  <c r="E706" i="3"/>
  <c r="G706" i="3" s="1"/>
  <c r="E916" i="3"/>
  <c r="G916" i="3" s="1"/>
  <c r="E660" i="3"/>
  <c r="G660" i="3" s="1"/>
  <c r="E404" i="3"/>
  <c r="G404" i="3" s="1"/>
  <c r="E148" i="3"/>
  <c r="G148" i="3" s="1"/>
  <c r="E530" i="3"/>
  <c r="G530" i="3" s="1"/>
  <c r="E819" i="3"/>
  <c r="G819" i="3" s="1"/>
  <c r="E563" i="3"/>
  <c r="G563" i="3" s="1"/>
  <c r="E307" i="3"/>
  <c r="G307" i="3" s="1"/>
  <c r="E51" i="3"/>
  <c r="G51" i="3" s="1"/>
  <c r="E335" i="3"/>
  <c r="G335" i="3" s="1"/>
  <c r="E396" i="3"/>
  <c r="G396" i="3" s="1"/>
  <c r="E649" i="3"/>
  <c r="G649" i="3" s="1"/>
  <c r="E865" i="3"/>
  <c r="G865" i="3" s="1"/>
  <c r="E656" i="3"/>
  <c r="G656" i="3" s="1"/>
  <c r="E655" i="3"/>
  <c r="G655" i="3" s="1"/>
  <c r="E143" i="3"/>
  <c r="G143" i="3" s="1"/>
  <c r="E158" i="3"/>
  <c r="G158" i="3" s="1"/>
  <c r="E445" i="3"/>
  <c r="G445" i="3" s="1"/>
  <c r="E972" i="3"/>
  <c r="G972" i="3" s="1"/>
  <c r="E716" i="3"/>
  <c r="G716" i="3" s="1"/>
  <c r="E460" i="3"/>
  <c r="G460" i="3" s="1"/>
  <c r="E204" i="3"/>
  <c r="G204" i="3" s="1"/>
  <c r="E738" i="3"/>
  <c r="G738" i="3" s="1"/>
  <c r="E939" i="3"/>
  <c r="G939" i="3" s="1"/>
  <c r="E683" i="3"/>
  <c r="G683" i="3" s="1"/>
  <c r="E427" i="3"/>
  <c r="G427" i="3" s="1"/>
  <c r="E171" i="3"/>
  <c r="G171" i="3" s="1"/>
  <c r="E954" i="3"/>
  <c r="G954" i="3" s="1"/>
  <c r="E698" i="3"/>
  <c r="G698" i="3" s="1"/>
  <c r="E442" i="3"/>
  <c r="G442" i="3" s="1"/>
  <c r="E186" i="3"/>
  <c r="G186" i="3" s="1"/>
  <c r="E969" i="3"/>
  <c r="G969" i="3" s="1"/>
  <c r="E713" i="3"/>
  <c r="G713" i="3" s="1"/>
  <c r="E457" i="3"/>
  <c r="G457" i="3" s="1"/>
  <c r="E201" i="3"/>
  <c r="G201" i="3" s="1"/>
  <c r="E754" i="3"/>
  <c r="G754" i="3" s="1"/>
  <c r="E888" i="3"/>
  <c r="G888" i="3" s="1"/>
  <c r="E632" i="3"/>
  <c r="G632" i="3" s="1"/>
  <c r="E376" i="3"/>
  <c r="G376" i="3" s="1"/>
  <c r="E120" i="3"/>
  <c r="G120" i="3" s="1"/>
  <c r="E903" i="3"/>
  <c r="G903" i="3" s="1"/>
  <c r="E647" i="3"/>
  <c r="G647" i="3" s="1"/>
  <c r="E391" i="3"/>
  <c r="G391" i="3" s="1"/>
  <c r="E135" i="3"/>
  <c r="G135" i="3" s="1"/>
  <c r="E918" i="3"/>
  <c r="G918" i="3" s="1"/>
  <c r="E662" i="3"/>
  <c r="G662" i="3" s="1"/>
  <c r="E406" i="3"/>
  <c r="G406" i="3" s="1"/>
  <c r="E150" i="3"/>
  <c r="G150" i="3" s="1"/>
  <c r="E933" i="3"/>
  <c r="G933" i="3" s="1"/>
  <c r="E677" i="3"/>
  <c r="G677" i="3" s="1"/>
  <c r="E421" i="3"/>
  <c r="G421" i="3" s="1"/>
  <c r="E165" i="3"/>
  <c r="G165" i="3" s="1"/>
  <c r="E642" i="3"/>
  <c r="G642" i="3" s="1"/>
  <c r="E900" i="3"/>
  <c r="G900" i="3" s="1"/>
  <c r="E644" i="3"/>
  <c r="G644" i="3" s="1"/>
  <c r="E388" i="3"/>
  <c r="G388" i="3" s="1"/>
  <c r="E132" i="3"/>
  <c r="G132" i="3" s="1"/>
  <c r="E434" i="3"/>
  <c r="G434" i="3" s="1"/>
  <c r="E803" i="3"/>
  <c r="G803" i="3" s="1"/>
  <c r="E547" i="3"/>
  <c r="G547" i="3" s="1"/>
  <c r="E291" i="3"/>
  <c r="G291" i="3" s="1"/>
  <c r="E35" i="3"/>
  <c r="G35" i="3" s="1"/>
  <c r="E79" i="3"/>
  <c r="G79" i="3" s="1"/>
  <c r="E482" i="3"/>
  <c r="G482" i="3" s="1"/>
  <c r="E839" i="3"/>
  <c r="G839" i="3" s="1"/>
  <c r="E353" i="3"/>
  <c r="G353" i="3" s="1"/>
  <c r="E144" i="3"/>
  <c r="G144" i="3" s="1"/>
  <c r="E926" i="3"/>
  <c r="G926" i="3" s="1"/>
  <c r="E957" i="3"/>
  <c r="G957" i="3" s="1"/>
  <c r="E849" i="3"/>
  <c r="G849" i="3" s="1"/>
  <c r="E896" i="3"/>
  <c r="G896" i="3" s="1"/>
  <c r="E128" i="3"/>
  <c r="G128" i="3" s="1"/>
  <c r="E383" i="3"/>
  <c r="G383" i="3" s="1"/>
  <c r="E654" i="3"/>
  <c r="G654" i="3" s="1"/>
  <c r="E941" i="3"/>
  <c r="G941" i="3" s="1"/>
  <c r="E173" i="3"/>
  <c r="G173" i="3" s="1"/>
  <c r="E444" i="3"/>
  <c r="G444" i="3" s="1"/>
  <c r="E674" i="3"/>
  <c r="G674" i="3" s="1"/>
  <c r="E411" i="3"/>
  <c r="G411" i="3" s="1"/>
  <c r="E682" i="3"/>
  <c r="G682" i="3" s="1"/>
  <c r="E953" i="3"/>
  <c r="G953" i="3" s="1"/>
  <c r="E441" i="3"/>
  <c r="G441" i="3" s="1"/>
  <c r="E872" i="3"/>
  <c r="G872" i="3" s="1"/>
  <c r="E360" i="3"/>
  <c r="G360" i="3" s="1"/>
  <c r="E104" i="3"/>
  <c r="G104" i="3" s="1"/>
  <c r="E631" i="3"/>
  <c r="G631" i="3" s="1"/>
  <c r="E119" i="3"/>
  <c r="G119" i="3" s="1"/>
  <c r="E902" i="3"/>
  <c r="G902" i="3" s="1"/>
  <c r="E646" i="3"/>
  <c r="G646" i="3" s="1"/>
  <c r="E390" i="3"/>
  <c r="G390" i="3" s="1"/>
  <c r="E134" i="3"/>
  <c r="G134" i="3" s="1"/>
  <c r="E917" i="3"/>
  <c r="G917" i="3" s="1"/>
  <c r="E661" i="3"/>
  <c r="G661" i="3" s="1"/>
  <c r="E405" i="3"/>
  <c r="G405" i="3" s="1"/>
  <c r="E149" i="3"/>
  <c r="G149" i="3" s="1"/>
  <c r="E578" i="3"/>
  <c r="G578" i="3" s="1"/>
  <c r="E884" i="3"/>
  <c r="G884" i="3" s="1"/>
  <c r="E628" i="3"/>
  <c r="G628" i="3" s="1"/>
  <c r="E372" i="3"/>
  <c r="G372" i="3" s="1"/>
  <c r="E116" i="3"/>
  <c r="G116" i="3" s="1"/>
  <c r="E322" i="3"/>
  <c r="G322" i="3" s="1"/>
  <c r="E787" i="3"/>
  <c r="G787" i="3" s="1"/>
  <c r="E531" i="3"/>
  <c r="G531" i="3" s="1"/>
  <c r="E275" i="3"/>
  <c r="G275" i="3" s="1"/>
  <c r="E19" i="3"/>
  <c r="G19" i="3" s="1"/>
  <c r="E592" i="3"/>
  <c r="G592" i="3" s="1"/>
  <c r="E652" i="3"/>
  <c r="G652" i="3" s="1"/>
  <c r="E905" i="3"/>
  <c r="G905" i="3" s="1"/>
  <c r="E568" i="3"/>
  <c r="G568" i="3" s="1"/>
  <c r="E609" i="3"/>
  <c r="G609" i="3" s="1"/>
  <c r="E400" i="3"/>
  <c r="G400" i="3" s="1"/>
  <c r="E399" i="3"/>
  <c r="G399" i="3" s="1"/>
  <c r="E670" i="3"/>
  <c r="G670" i="3" s="1"/>
  <c r="E189" i="3"/>
  <c r="G189" i="3" s="1"/>
  <c r="E337" i="3"/>
  <c r="G337" i="3" s="1"/>
  <c r="E384" i="3"/>
  <c r="G384" i="3" s="1"/>
  <c r="E639" i="3"/>
  <c r="G639" i="3" s="1"/>
  <c r="E910" i="3"/>
  <c r="G910" i="3" s="1"/>
  <c r="E142" i="3"/>
  <c r="G142" i="3" s="1"/>
  <c r="E429" i="3"/>
  <c r="G429" i="3" s="1"/>
  <c r="E956" i="3"/>
  <c r="G956" i="3" s="1"/>
  <c r="E188" i="3"/>
  <c r="G188" i="3" s="1"/>
  <c r="E667" i="3"/>
  <c r="G667" i="3" s="1"/>
  <c r="E938" i="3"/>
  <c r="G938" i="3" s="1"/>
  <c r="E170" i="3"/>
  <c r="G170" i="3" s="1"/>
  <c r="E185" i="3"/>
  <c r="G185" i="3" s="1"/>
  <c r="E616" i="3"/>
  <c r="G616" i="3" s="1"/>
  <c r="E375" i="3"/>
  <c r="G375" i="3" s="1"/>
  <c r="E577" i="3"/>
  <c r="G577" i="3" s="1"/>
  <c r="E321" i="3"/>
  <c r="G321" i="3" s="1"/>
  <c r="E624" i="3"/>
  <c r="G624" i="3" s="1"/>
  <c r="E112" i="3"/>
  <c r="G112" i="3" s="1"/>
  <c r="E367" i="3"/>
  <c r="G367" i="3" s="1"/>
  <c r="E894" i="3"/>
  <c r="G894" i="3" s="1"/>
  <c r="E382" i="3"/>
  <c r="G382" i="3" s="1"/>
  <c r="E126" i="3"/>
  <c r="G126" i="3" s="1"/>
  <c r="E669" i="3"/>
  <c r="G669" i="3" s="1"/>
  <c r="E922" i="3"/>
  <c r="G922" i="3" s="1"/>
  <c r="E666" i="3"/>
  <c r="G666" i="3" s="1"/>
  <c r="E410" i="3"/>
  <c r="G410" i="3" s="1"/>
  <c r="E154" i="3"/>
  <c r="G154" i="3" s="1"/>
  <c r="E937" i="3"/>
  <c r="G937" i="3" s="1"/>
  <c r="E681" i="3"/>
  <c r="G681" i="3" s="1"/>
  <c r="E425" i="3"/>
  <c r="G425" i="3" s="1"/>
  <c r="E169" i="3"/>
  <c r="G169" i="3" s="1"/>
  <c r="E626" i="3"/>
  <c r="G626" i="3" s="1"/>
  <c r="E856" i="3"/>
  <c r="G856" i="3" s="1"/>
  <c r="E600" i="3"/>
  <c r="G600" i="3" s="1"/>
  <c r="E344" i="3"/>
  <c r="G344" i="3" s="1"/>
  <c r="E88" i="3"/>
  <c r="G88" i="3" s="1"/>
  <c r="E871" i="3"/>
  <c r="G871" i="3" s="1"/>
  <c r="E615" i="3"/>
  <c r="G615" i="3" s="1"/>
  <c r="E359" i="3"/>
  <c r="G359" i="3" s="1"/>
  <c r="E103" i="3"/>
  <c r="G103" i="3" s="1"/>
  <c r="E886" i="3"/>
  <c r="G886" i="3" s="1"/>
  <c r="E630" i="3"/>
  <c r="G630" i="3" s="1"/>
  <c r="E374" i="3"/>
  <c r="G374" i="3" s="1"/>
  <c r="E118" i="3"/>
  <c r="G118" i="3" s="1"/>
  <c r="E901" i="3"/>
  <c r="G901" i="3" s="1"/>
  <c r="E645" i="3"/>
  <c r="G645" i="3" s="1"/>
  <c r="E389" i="3"/>
  <c r="G389" i="3" s="1"/>
  <c r="E133" i="3"/>
  <c r="G133" i="3" s="1"/>
  <c r="E514" i="3"/>
  <c r="G514" i="3" s="1"/>
  <c r="E868" i="3"/>
  <c r="G868" i="3" s="1"/>
  <c r="E612" i="3"/>
  <c r="G612" i="3" s="1"/>
  <c r="E356" i="3"/>
  <c r="G356" i="3" s="1"/>
  <c r="E100" i="3"/>
  <c r="G100" i="3" s="1"/>
  <c r="E66" i="3"/>
  <c r="G66" i="3" s="1"/>
  <c r="E771" i="3"/>
  <c r="G771" i="3" s="1"/>
  <c r="E515" i="3"/>
  <c r="G515" i="3" s="1"/>
  <c r="E259" i="3"/>
  <c r="G259" i="3" s="1"/>
  <c r="E8" i="3"/>
  <c r="G8" i="3" s="1"/>
  <c r="E9" i="3"/>
  <c r="G9" i="3" s="1"/>
  <c r="E7" i="3"/>
  <c r="G7" i="3" s="1"/>
  <c r="E4" i="3"/>
  <c r="G4" i="3" s="1"/>
  <c r="E6" i="3"/>
  <c r="G6" i="3" s="1"/>
  <c r="E5" i="3"/>
  <c r="G5" i="3" s="1"/>
  <c r="E3" i="3"/>
  <c r="G3" i="3" s="1"/>
  <c r="E2" i="3"/>
  <c r="G2" i="3" s="1"/>
  <c r="I2" i="3" s="1"/>
  <c r="I259" i="3" l="1"/>
  <c r="L259" i="3" s="1"/>
  <c r="M259" i="3" s="1"/>
  <c r="H259" i="3"/>
  <c r="H514" i="3"/>
  <c r="I514" i="3"/>
  <c r="L514" i="3" s="1"/>
  <c r="M514" i="3" s="1"/>
  <c r="H886" i="3"/>
  <c r="I886" i="3"/>
  <c r="L886" i="3" s="1"/>
  <c r="M886" i="3" s="1"/>
  <c r="H856" i="3"/>
  <c r="I856" i="3"/>
  <c r="L856" i="3" s="1"/>
  <c r="M856" i="3" s="1"/>
  <c r="H666" i="3"/>
  <c r="I666" i="3"/>
  <c r="L666" i="3" s="1"/>
  <c r="M666" i="3" s="1"/>
  <c r="H624" i="3"/>
  <c r="I624" i="3"/>
  <c r="L624" i="3" s="1"/>
  <c r="M624" i="3" s="1"/>
  <c r="H667" i="3"/>
  <c r="I667" i="3"/>
  <c r="L667" i="3" s="1"/>
  <c r="M667" i="3" s="1"/>
  <c r="I337" i="3"/>
  <c r="L337" i="3" s="1"/>
  <c r="M337" i="3" s="1"/>
  <c r="H337" i="3"/>
  <c r="H652" i="3"/>
  <c r="I652" i="3"/>
  <c r="L652" i="3" s="1"/>
  <c r="M652" i="3" s="1"/>
  <c r="I372" i="3"/>
  <c r="L372" i="3" s="1"/>
  <c r="M372" i="3" s="1"/>
  <c r="H372" i="3"/>
  <c r="I134" i="3"/>
  <c r="L134" i="3" s="1"/>
  <c r="M134" i="3" s="1"/>
  <c r="H134" i="3"/>
  <c r="H872" i="3"/>
  <c r="I872" i="3"/>
  <c r="L872" i="3" s="1"/>
  <c r="M872" i="3" s="1"/>
  <c r="H941" i="3"/>
  <c r="I941" i="3"/>
  <c r="L941" i="3" s="1"/>
  <c r="M941" i="3" s="1"/>
  <c r="H144" i="3"/>
  <c r="I144" i="3"/>
  <c r="L144" i="3" s="1"/>
  <c r="M144" i="3" s="1"/>
  <c r="H803" i="3"/>
  <c r="I803" i="3"/>
  <c r="L803" i="3" s="1"/>
  <c r="M803" i="3" s="1"/>
  <c r="H421" i="3"/>
  <c r="I421" i="3"/>
  <c r="L421" i="3" s="1"/>
  <c r="M421" i="3" s="1"/>
  <c r="H391" i="3"/>
  <c r="I391" i="3"/>
  <c r="L391" i="3" s="1"/>
  <c r="M391" i="3" s="1"/>
  <c r="H201" i="3"/>
  <c r="I201" i="3"/>
  <c r="L201" i="3" s="1"/>
  <c r="M201" i="3" s="1"/>
  <c r="H171" i="3"/>
  <c r="I171" i="3"/>
  <c r="L171" i="3" s="1"/>
  <c r="M171" i="3" s="1"/>
  <c r="H972" i="3"/>
  <c r="I972" i="3"/>
  <c r="L972" i="3" s="1"/>
  <c r="M972" i="3" s="1"/>
  <c r="H396" i="3"/>
  <c r="I396" i="3"/>
  <c r="L396" i="3" s="1"/>
  <c r="M396" i="3" s="1"/>
  <c r="I404" i="3"/>
  <c r="L404" i="3" s="1"/>
  <c r="M404" i="3" s="1"/>
  <c r="H404" i="3"/>
  <c r="I166" i="3"/>
  <c r="L166" i="3" s="1"/>
  <c r="M166" i="3" s="1"/>
  <c r="H166" i="3"/>
  <c r="H136" i="3"/>
  <c r="I136" i="3"/>
  <c r="L136" i="3" s="1"/>
  <c r="M136" i="3" s="1"/>
  <c r="H985" i="3"/>
  <c r="I985" i="3"/>
  <c r="L985" i="3" s="1"/>
  <c r="M985" i="3" s="1"/>
  <c r="H955" i="3"/>
  <c r="I955" i="3"/>
  <c r="L955" i="3" s="1"/>
  <c r="M955" i="3" s="1"/>
  <c r="I717" i="3"/>
  <c r="L717" i="3" s="1"/>
  <c r="M717" i="3" s="1"/>
  <c r="H717" i="3"/>
  <c r="H671" i="3"/>
  <c r="I671" i="3"/>
  <c r="L671" i="3" s="1"/>
  <c r="M671" i="3" s="1"/>
  <c r="H881" i="3"/>
  <c r="I881" i="3"/>
  <c r="L881" i="3" s="1"/>
  <c r="M881" i="3" s="1"/>
  <c r="H464" i="3"/>
  <c r="I464" i="3"/>
  <c r="L464" i="3" s="1"/>
  <c r="M464" i="3" s="1"/>
  <c r="I519" i="3"/>
  <c r="L519" i="3" s="1"/>
  <c r="M519" i="3" s="1"/>
  <c r="H519" i="3"/>
  <c r="H50" i="3"/>
  <c r="I50" i="3"/>
  <c r="L50" i="3" s="1"/>
  <c r="M50" i="3" s="1"/>
  <c r="H393" i="3"/>
  <c r="I393" i="3"/>
  <c r="L393" i="3" s="1"/>
  <c r="M393" i="3" s="1"/>
  <c r="H594" i="3"/>
  <c r="I594" i="3"/>
  <c r="L594" i="3" s="1"/>
  <c r="M594" i="3" s="1"/>
  <c r="H709" i="3"/>
  <c r="I709" i="3"/>
  <c r="L709" i="3" s="1"/>
  <c r="M709" i="3" s="1"/>
  <c r="H679" i="3"/>
  <c r="I679" i="3"/>
  <c r="L679" i="3" s="1"/>
  <c r="M679" i="3" s="1"/>
  <c r="H489" i="3"/>
  <c r="I489" i="3"/>
  <c r="L489" i="3" s="1"/>
  <c r="M489" i="3" s="1"/>
  <c r="H459" i="3"/>
  <c r="I459" i="3"/>
  <c r="L459" i="3" s="1"/>
  <c r="M459" i="3" s="1"/>
  <c r="H477" i="3"/>
  <c r="I477" i="3"/>
  <c r="L477" i="3" s="1"/>
  <c r="M477" i="3" s="1"/>
  <c r="H687" i="3"/>
  <c r="I687" i="3"/>
  <c r="L687" i="3" s="1"/>
  <c r="M687" i="3" s="1"/>
  <c r="H991" i="3"/>
  <c r="I991" i="3"/>
  <c r="L991" i="3" s="1"/>
  <c r="M991" i="3" s="1"/>
  <c r="H61" i="3"/>
  <c r="I61" i="3"/>
  <c r="L61" i="3" s="1"/>
  <c r="M61" i="3" s="1"/>
  <c r="H288" i="3"/>
  <c r="I288" i="3"/>
  <c r="L288" i="3" s="1"/>
  <c r="M288" i="3" s="1"/>
  <c r="H595" i="3"/>
  <c r="I595" i="3"/>
  <c r="L595" i="3" s="1"/>
  <c r="M595" i="3" s="1"/>
  <c r="H213" i="3"/>
  <c r="I213" i="3"/>
  <c r="L213" i="3" s="1"/>
  <c r="M213" i="3" s="1"/>
  <c r="H183" i="3"/>
  <c r="I183" i="3"/>
  <c r="L183" i="3" s="1"/>
  <c r="M183" i="3" s="1"/>
  <c r="H978" i="3"/>
  <c r="I978" i="3"/>
  <c r="L978" i="3" s="1"/>
  <c r="M978" i="3" s="1"/>
  <c r="H219" i="3"/>
  <c r="I219" i="3"/>
  <c r="L219" i="3" s="1"/>
  <c r="M219" i="3" s="1"/>
  <c r="I81" i="3"/>
  <c r="L81" i="3" s="1"/>
  <c r="M81" i="3" s="1"/>
  <c r="H81" i="3"/>
  <c r="H191" i="3"/>
  <c r="I191" i="3"/>
  <c r="L191" i="3" s="1"/>
  <c r="M191" i="3" s="1"/>
  <c r="H401" i="3"/>
  <c r="I401" i="3"/>
  <c r="L401" i="3" s="1"/>
  <c r="M401" i="3" s="1"/>
  <c r="I967" i="3"/>
  <c r="L967" i="3" s="1"/>
  <c r="M967" i="3" s="1"/>
  <c r="H967" i="3"/>
  <c r="H210" i="3"/>
  <c r="I210" i="3"/>
  <c r="L210" i="3" s="1"/>
  <c r="M210" i="3" s="1"/>
  <c r="H12" i="3"/>
  <c r="I12" i="3"/>
  <c r="L12" i="3" s="1"/>
  <c r="M12" i="3" s="1"/>
  <c r="I208" i="3"/>
  <c r="L208" i="3" s="1"/>
  <c r="M208" i="3" s="1"/>
  <c r="H208" i="3"/>
  <c r="I98" i="3"/>
  <c r="L98" i="3" s="1"/>
  <c r="M98" i="3" s="1"/>
  <c r="H98" i="3"/>
  <c r="H993" i="3"/>
  <c r="I993" i="3"/>
  <c r="L993" i="3" s="1"/>
  <c r="M993" i="3" s="1"/>
  <c r="H583" i="3"/>
  <c r="I583" i="3"/>
  <c r="L583" i="3" s="1"/>
  <c r="M583" i="3" s="1"/>
  <c r="H722" i="3"/>
  <c r="I722" i="3"/>
  <c r="L722" i="3" s="1"/>
  <c r="M722" i="3" s="1"/>
  <c r="H741" i="3"/>
  <c r="I741" i="3"/>
  <c r="L741" i="3" s="1"/>
  <c r="M741" i="3" s="1"/>
  <c r="H207" i="3"/>
  <c r="I207" i="3"/>
  <c r="L207" i="3" s="1"/>
  <c r="M207" i="3" s="1"/>
  <c r="I130" i="3"/>
  <c r="L130" i="3" s="1"/>
  <c r="M130" i="3" s="1"/>
  <c r="H130" i="3"/>
  <c r="I791" i="3"/>
  <c r="L791" i="3" s="1"/>
  <c r="M791" i="3" s="1"/>
  <c r="H791" i="3"/>
  <c r="H854" i="3"/>
  <c r="I854" i="3"/>
  <c r="L854" i="3" s="1"/>
  <c r="M854" i="3" s="1"/>
  <c r="H212" i="3"/>
  <c r="I212" i="3"/>
  <c r="L212" i="3" s="1"/>
  <c r="M212" i="3" s="1"/>
  <c r="H177" i="3"/>
  <c r="I177" i="3"/>
  <c r="L177" i="3" s="1"/>
  <c r="M177" i="3" s="1"/>
  <c r="H983" i="3"/>
  <c r="I983" i="3"/>
  <c r="L983" i="3" s="1"/>
  <c r="M983" i="3" s="1"/>
  <c r="H793" i="3"/>
  <c r="I793" i="3"/>
  <c r="L793" i="3" s="1"/>
  <c r="M793" i="3" s="1"/>
  <c r="H763" i="3"/>
  <c r="I763" i="3"/>
  <c r="L763" i="3" s="1"/>
  <c r="M763" i="3" s="1"/>
  <c r="H525" i="3"/>
  <c r="I525" i="3"/>
  <c r="L525" i="3" s="1"/>
  <c r="M525" i="3" s="1"/>
  <c r="H810" i="3"/>
  <c r="I810" i="3"/>
  <c r="L810" i="3" s="1"/>
  <c r="M810" i="3" s="1"/>
  <c r="H30" i="3"/>
  <c r="I30" i="3"/>
  <c r="L30" i="3" s="1"/>
  <c r="M30" i="3" s="1"/>
  <c r="H544" i="3"/>
  <c r="I544" i="3"/>
  <c r="L544" i="3" s="1"/>
  <c r="M544" i="3" s="1"/>
  <c r="H643" i="3"/>
  <c r="I643" i="3"/>
  <c r="L643" i="3" s="1"/>
  <c r="M643" i="3" s="1"/>
  <c r="H517" i="3"/>
  <c r="I517" i="3"/>
  <c r="L517" i="3" s="1"/>
  <c r="M517" i="3" s="1"/>
  <c r="I487" i="3"/>
  <c r="L487" i="3" s="1"/>
  <c r="M487" i="3" s="1"/>
  <c r="H487" i="3"/>
  <c r="H297" i="3"/>
  <c r="I297" i="3"/>
  <c r="L297" i="3" s="1"/>
  <c r="M297" i="3" s="1"/>
  <c r="H267" i="3"/>
  <c r="I267" i="3"/>
  <c r="L267" i="3" s="1"/>
  <c r="M267" i="3" s="1"/>
  <c r="H29" i="3"/>
  <c r="I29" i="3"/>
  <c r="L29" i="3" s="1"/>
  <c r="M29" i="3" s="1"/>
  <c r="I65" i="3"/>
  <c r="L65" i="3" s="1"/>
  <c r="M65" i="3" s="1"/>
  <c r="H65" i="3"/>
  <c r="I17" i="3"/>
  <c r="L17" i="3" s="1"/>
  <c r="M17" i="3" s="1"/>
  <c r="H17" i="3"/>
  <c r="H57" i="3"/>
  <c r="I57" i="3"/>
  <c r="L57" i="3" s="1"/>
  <c r="M57" i="3" s="1"/>
  <c r="H256" i="3"/>
  <c r="I256" i="3"/>
  <c r="L256" i="3" s="1"/>
  <c r="M256" i="3" s="1"/>
  <c r="H74" i="3"/>
  <c r="I74" i="3"/>
  <c r="L74" i="3" s="1"/>
  <c r="M74" i="3" s="1"/>
  <c r="H378" i="3"/>
  <c r="I378" i="3"/>
  <c r="L378" i="3" s="1"/>
  <c r="M378" i="3" s="1"/>
  <c r="H244" i="3"/>
  <c r="I244" i="3"/>
  <c r="L244" i="3" s="1"/>
  <c r="M244" i="3" s="1"/>
  <c r="I262" i="3"/>
  <c r="L262" i="3" s="1"/>
  <c r="M262" i="3" s="1"/>
  <c r="H262" i="3"/>
  <c r="I569" i="3"/>
  <c r="L569" i="3" s="1"/>
  <c r="M569" i="3" s="1"/>
  <c r="H569" i="3"/>
  <c r="H194" i="3"/>
  <c r="I194" i="3"/>
  <c r="L194" i="3" s="1"/>
  <c r="M194" i="3" s="1"/>
  <c r="H776" i="3"/>
  <c r="I776" i="3"/>
  <c r="L776" i="3" s="1"/>
  <c r="M776" i="3" s="1"/>
  <c r="H619" i="3"/>
  <c r="I619" i="3"/>
  <c r="L619" i="3" s="1"/>
  <c r="M619" i="3" s="1"/>
  <c r="H516" i="3"/>
  <c r="I516" i="3"/>
  <c r="L516" i="3" s="1"/>
  <c r="M516" i="3" s="1"/>
  <c r="I278" i="3"/>
  <c r="L278" i="3" s="1"/>
  <c r="M278" i="3" s="1"/>
  <c r="H278" i="3"/>
  <c r="H532" i="3"/>
  <c r="I532" i="3"/>
  <c r="L532" i="3" s="1"/>
  <c r="M532" i="3" s="1"/>
  <c r="H294" i="3"/>
  <c r="I294" i="3"/>
  <c r="L294" i="3" s="1"/>
  <c r="M294" i="3" s="1"/>
  <c r="H548" i="3"/>
  <c r="I548" i="3"/>
  <c r="L548" i="3" s="1"/>
  <c r="M548" i="3" s="1"/>
  <c r="H310" i="3"/>
  <c r="I310" i="3"/>
  <c r="L310" i="3" s="1"/>
  <c r="M310" i="3" s="1"/>
  <c r="H280" i="3"/>
  <c r="I280" i="3"/>
  <c r="L280" i="3" s="1"/>
  <c r="M280" i="3" s="1"/>
  <c r="H90" i="3"/>
  <c r="I90" i="3"/>
  <c r="L90" i="3" s="1"/>
  <c r="M90" i="3" s="1"/>
  <c r="H386" i="3"/>
  <c r="I386" i="3"/>
  <c r="L386" i="3" s="1"/>
  <c r="M386" i="3" s="1"/>
  <c r="H861" i="3"/>
  <c r="I861" i="3"/>
  <c r="L861" i="3" s="1"/>
  <c r="M861" i="3" s="1"/>
  <c r="H513" i="3"/>
  <c r="I513" i="3"/>
  <c r="L513" i="3" s="1"/>
  <c r="M513" i="3" s="1"/>
  <c r="H52" i="3"/>
  <c r="I52" i="3"/>
  <c r="L52" i="3" s="1"/>
  <c r="M52" i="3" s="1"/>
  <c r="H853" i="3"/>
  <c r="I853" i="3"/>
  <c r="L853" i="3" s="1"/>
  <c r="M853" i="3" s="1"/>
  <c r="H823" i="3"/>
  <c r="I823" i="3"/>
  <c r="L823" i="3" s="1"/>
  <c r="M823" i="3" s="1"/>
  <c r="H633" i="3"/>
  <c r="I633" i="3"/>
  <c r="L633" i="3" s="1"/>
  <c r="M633" i="3" s="1"/>
  <c r="H603" i="3"/>
  <c r="I603" i="3"/>
  <c r="L603" i="3" s="1"/>
  <c r="M603" i="3" s="1"/>
  <c r="H365" i="3"/>
  <c r="I365" i="3"/>
  <c r="L365" i="3" s="1"/>
  <c r="M365" i="3" s="1"/>
  <c r="I319" i="3"/>
  <c r="L319" i="3" s="1"/>
  <c r="M319" i="3" s="1"/>
  <c r="H319" i="3"/>
  <c r="I634" i="3"/>
  <c r="L634" i="3" s="1"/>
  <c r="M634" i="3" s="1"/>
  <c r="H634" i="3"/>
  <c r="H324" i="3"/>
  <c r="I324" i="3"/>
  <c r="L324" i="3" s="1"/>
  <c r="M324" i="3" s="1"/>
  <c r="H86" i="3"/>
  <c r="I86" i="3"/>
  <c r="L86" i="3" s="1"/>
  <c r="M86" i="3" s="1"/>
  <c r="H340" i="3"/>
  <c r="I340" i="3"/>
  <c r="L340" i="3" s="1"/>
  <c r="M340" i="3" s="1"/>
  <c r="H102" i="3"/>
  <c r="I102" i="3"/>
  <c r="L102" i="3" s="1"/>
  <c r="M102" i="3" s="1"/>
  <c r="H72" i="3"/>
  <c r="I72" i="3"/>
  <c r="L72" i="3" s="1"/>
  <c r="M72" i="3" s="1"/>
  <c r="H921" i="3"/>
  <c r="I921" i="3"/>
  <c r="L921" i="3" s="1"/>
  <c r="M921" i="3" s="1"/>
  <c r="I891" i="3"/>
  <c r="L891" i="3" s="1"/>
  <c r="M891" i="3" s="1"/>
  <c r="H891" i="3"/>
  <c r="I653" i="3"/>
  <c r="L653" i="3" s="1"/>
  <c r="M653" i="3" s="1"/>
  <c r="H653" i="3"/>
  <c r="I607" i="3"/>
  <c r="L607" i="3" s="1"/>
  <c r="M607" i="3" s="1"/>
  <c r="H607" i="3"/>
  <c r="I817" i="3"/>
  <c r="L817" i="3" s="1"/>
  <c r="M817" i="3" s="1"/>
  <c r="H817" i="3"/>
  <c r="H684" i="3"/>
  <c r="I684" i="3"/>
  <c r="L684" i="3" s="1"/>
  <c r="M684" i="3" s="1"/>
  <c r="H879" i="3"/>
  <c r="I879" i="3"/>
  <c r="L879" i="3" s="1"/>
  <c r="M879" i="3" s="1"/>
  <c r="H155" i="3"/>
  <c r="I155" i="3"/>
  <c r="L155" i="3" s="1"/>
  <c r="M155" i="3" s="1"/>
  <c r="H593" i="3"/>
  <c r="I593" i="3"/>
  <c r="L593" i="3" s="1"/>
  <c r="M593" i="3" s="1"/>
  <c r="H515" i="3"/>
  <c r="I515" i="3"/>
  <c r="L515" i="3" s="1"/>
  <c r="M515" i="3" s="1"/>
  <c r="H133" i="3"/>
  <c r="I133" i="3"/>
  <c r="L133" i="3" s="1"/>
  <c r="M133" i="3" s="1"/>
  <c r="I103" i="3"/>
  <c r="L103" i="3" s="1"/>
  <c r="M103" i="3" s="1"/>
  <c r="H103" i="3"/>
  <c r="H626" i="3"/>
  <c r="I626" i="3"/>
  <c r="L626" i="3" s="1"/>
  <c r="M626" i="3" s="1"/>
  <c r="H922" i="3"/>
  <c r="I922" i="3"/>
  <c r="L922" i="3" s="1"/>
  <c r="M922" i="3" s="1"/>
  <c r="I321" i="3"/>
  <c r="L321" i="3" s="1"/>
  <c r="M321" i="3" s="1"/>
  <c r="H321" i="3"/>
  <c r="H188" i="3"/>
  <c r="I188" i="3"/>
  <c r="L188" i="3" s="1"/>
  <c r="M188" i="3" s="1"/>
  <c r="H189" i="3"/>
  <c r="I189" i="3"/>
  <c r="L189" i="3" s="1"/>
  <c r="M189" i="3" s="1"/>
  <c r="H592" i="3"/>
  <c r="I592" i="3"/>
  <c r="L592" i="3" s="1"/>
  <c r="M592" i="3" s="1"/>
  <c r="H628" i="3"/>
  <c r="I628" i="3"/>
  <c r="L628" i="3" s="1"/>
  <c r="M628" i="3" s="1"/>
  <c r="I390" i="3"/>
  <c r="L390" i="3" s="1"/>
  <c r="M390" i="3" s="1"/>
  <c r="H390" i="3"/>
  <c r="H441" i="3"/>
  <c r="I441" i="3"/>
  <c r="L441" i="3" s="1"/>
  <c r="M441" i="3" s="1"/>
  <c r="H654" i="3"/>
  <c r="I654" i="3"/>
  <c r="L654" i="3" s="1"/>
  <c r="M654" i="3" s="1"/>
  <c r="H434" i="3"/>
  <c r="I434" i="3"/>
  <c r="L434" i="3" s="1"/>
  <c r="M434" i="3" s="1"/>
  <c r="H677" i="3"/>
  <c r="I677" i="3"/>
  <c r="L677" i="3" s="1"/>
  <c r="M677" i="3" s="1"/>
  <c r="I647" i="3"/>
  <c r="L647" i="3" s="1"/>
  <c r="M647" i="3" s="1"/>
  <c r="H647" i="3"/>
  <c r="H457" i="3"/>
  <c r="I457" i="3"/>
  <c r="L457" i="3" s="1"/>
  <c r="M457" i="3" s="1"/>
  <c r="H427" i="3"/>
  <c r="I427" i="3"/>
  <c r="L427" i="3" s="1"/>
  <c r="M427" i="3" s="1"/>
  <c r="H445" i="3"/>
  <c r="I445" i="3"/>
  <c r="L445" i="3" s="1"/>
  <c r="M445" i="3" s="1"/>
  <c r="I335" i="3"/>
  <c r="L335" i="3" s="1"/>
  <c r="M335" i="3" s="1"/>
  <c r="H335" i="3"/>
  <c r="I660" i="3"/>
  <c r="L660" i="3" s="1"/>
  <c r="M660" i="3" s="1"/>
  <c r="H660" i="3"/>
  <c r="H422" i="3"/>
  <c r="I422" i="3"/>
  <c r="L422" i="3" s="1"/>
  <c r="M422" i="3" s="1"/>
  <c r="H392" i="3"/>
  <c r="I392" i="3"/>
  <c r="L392" i="3" s="1"/>
  <c r="M392" i="3" s="1"/>
  <c r="I202" i="3"/>
  <c r="L202" i="3" s="1"/>
  <c r="M202" i="3" s="1"/>
  <c r="H202" i="3"/>
  <c r="H786" i="3"/>
  <c r="I786" i="3"/>
  <c r="L786" i="3" s="1"/>
  <c r="M786" i="3" s="1"/>
  <c r="H973" i="3"/>
  <c r="I973" i="3"/>
  <c r="L973" i="3" s="1"/>
  <c r="M973" i="3" s="1"/>
  <c r="H927" i="3"/>
  <c r="I927" i="3"/>
  <c r="L927" i="3" s="1"/>
  <c r="M927" i="3" s="1"/>
  <c r="H175" i="3"/>
  <c r="I175" i="3"/>
  <c r="L175" i="3" s="1"/>
  <c r="M175" i="3" s="1"/>
  <c r="H673" i="3"/>
  <c r="I673" i="3"/>
  <c r="L673" i="3" s="1"/>
  <c r="M673" i="3" s="1"/>
  <c r="I760" i="3"/>
  <c r="L760" i="3" s="1"/>
  <c r="M760" i="3" s="1"/>
  <c r="H760" i="3"/>
  <c r="I586" i="3"/>
  <c r="L586" i="3" s="1"/>
  <c r="M586" i="3" s="1"/>
  <c r="H586" i="3"/>
  <c r="H890" i="3"/>
  <c r="I890" i="3"/>
  <c r="L890" i="3" s="1"/>
  <c r="M890" i="3" s="1"/>
  <c r="H164" i="3"/>
  <c r="I164" i="3"/>
  <c r="L164" i="3" s="1"/>
  <c r="M164" i="3" s="1"/>
  <c r="H965" i="3"/>
  <c r="I965" i="3"/>
  <c r="L965" i="3" s="1"/>
  <c r="M965" i="3" s="1"/>
  <c r="I935" i="3"/>
  <c r="L935" i="3" s="1"/>
  <c r="M935" i="3" s="1"/>
  <c r="H935" i="3"/>
  <c r="H745" i="3"/>
  <c r="I745" i="3"/>
  <c r="L745" i="3" s="1"/>
  <c r="M745" i="3" s="1"/>
  <c r="I715" i="3"/>
  <c r="L715" i="3" s="1"/>
  <c r="M715" i="3" s="1"/>
  <c r="H715" i="3"/>
  <c r="I733" i="3"/>
  <c r="L733" i="3" s="1"/>
  <c r="M733" i="3" s="1"/>
  <c r="H733" i="3"/>
  <c r="H432" i="3"/>
  <c r="I432" i="3"/>
  <c r="L432" i="3" s="1"/>
  <c r="M432" i="3" s="1"/>
  <c r="H689" i="3"/>
  <c r="I689" i="3"/>
  <c r="L689" i="3" s="1"/>
  <c r="M689" i="3" s="1"/>
  <c r="H798" i="3"/>
  <c r="I798" i="3"/>
  <c r="L798" i="3" s="1"/>
  <c r="M798" i="3" s="1"/>
  <c r="I559" i="3"/>
  <c r="L559" i="3" s="1"/>
  <c r="M559" i="3" s="1"/>
  <c r="H559" i="3"/>
  <c r="H851" i="3"/>
  <c r="I851" i="3"/>
  <c r="L851" i="3" s="1"/>
  <c r="M851" i="3" s="1"/>
  <c r="I469" i="3"/>
  <c r="L469" i="3" s="1"/>
  <c r="M469" i="3" s="1"/>
  <c r="H469" i="3"/>
  <c r="H439" i="3"/>
  <c r="I439" i="3"/>
  <c r="L439" i="3" s="1"/>
  <c r="M439" i="3" s="1"/>
  <c r="I249" i="3"/>
  <c r="L249" i="3" s="1"/>
  <c r="M249" i="3" s="1"/>
  <c r="H249" i="3"/>
  <c r="I475" i="3"/>
  <c r="L475" i="3" s="1"/>
  <c r="M475" i="3" s="1"/>
  <c r="H475" i="3"/>
  <c r="I237" i="3"/>
  <c r="L237" i="3" s="1"/>
  <c r="M237" i="3" s="1"/>
  <c r="H237" i="3"/>
  <c r="H447" i="3"/>
  <c r="I447" i="3"/>
  <c r="L447" i="3" s="1"/>
  <c r="M447" i="3" s="1"/>
  <c r="H657" i="3"/>
  <c r="I657" i="3"/>
  <c r="L657" i="3" s="1"/>
  <c r="M657" i="3" s="1"/>
  <c r="H184" i="3"/>
  <c r="I184" i="3"/>
  <c r="L184" i="3" s="1"/>
  <c r="M184" i="3" s="1"/>
  <c r="H250" i="3"/>
  <c r="I250" i="3"/>
  <c r="L250" i="3" s="1"/>
  <c r="M250" i="3" s="1"/>
  <c r="I524" i="3"/>
  <c r="L524" i="3" s="1"/>
  <c r="M524" i="3" s="1"/>
  <c r="H524" i="3"/>
  <c r="H976" i="3"/>
  <c r="I976" i="3"/>
  <c r="L976" i="3" s="1"/>
  <c r="M976" i="3" s="1"/>
  <c r="H977" i="3"/>
  <c r="I977" i="3"/>
  <c r="L977" i="3" s="1"/>
  <c r="M977" i="3" s="1"/>
  <c r="H601" i="3"/>
  <c r="I601" i="3"/>
  <c r="L601" i="3" s="1"/>
  <c r="M601" i="3" s="1"/>
  <c r="H363" i="3"/>
  <c r="I363" i="3"/>
  <c r="L363" i="3" s="1"/>
  <c r="M363" i="3" s="1"/>
  <c r="H196" i="3"/>
  <c r="I196" i="3"/>
  <c r="L196" i="3" s="1"/>
  <c r="M196" i="3" s="1"/>
  <c r="H997" i="3"/>
  <c r="I997" i="3"/>
  <c r="L997" i="3" s="1"/>
  <c r="M997" i="3" s="1"/>
  <c r="H975" i="3"/>
  <c r="I975" i="3"/>
  <c r="L975" i="3" s="1"/>
  <c r="M975" i="3" s="1"/>
  <c r="H263" i="3"/>
  <c r="I263" i="3"/>
  <c r="L263" i="3" s="1"/>
  <c r="M263" i="3" s="1"/>
  <c r="H345" i="3"/>
  <c r="I345" i="3"/>
  <c r="L345" i="3" s="1"/>
  <c r="M345" i="3" s="1"/>
  <c r="I107" i="3"/>
  <c r="L107" i="3" s="1"/>
  <c r="M107" i="3" s="1"/>
  <c r="H107" i="3"/>
  <c r="H468" i="3"/>
  <c r="I468" i="3"/>
  <c r="L468" i="3" s="1"/>
  <c r="M468" i="3" s="1"/>
  <c r="I230" i="3"/>
  <c r="L230" i="3" s="1"/>
  <c r="M230" i="3" s="1"/>
  <c r="H230" i="3"/>
  <c r="H200" i="3"/>
  <c r="I200" i="3"/>
  <c r="L200" i="3" s="1"/>
  <c r="M200" i="3" s="1"/>
  <c r="H10" i="3"/>
  <c r="I10" i="3"/>
  <c r="L10" i="3" s="1"/>
  <c r="M10" i="3" s="1"/>
  <c r="I97" i="3"/>
  <c r="L97" i="3" s="1"/>
  <c r="M97" i="3" s="1"/>
  <c r="H97" i="3"/>
  <c r="H781" i="3"/>
  <c r="I781" i="3"/>
  <c r="L781" i="3" s="1"/>
  <c r="M781" i="3" s="1"/>
  <c r="H828" i="3"/>
  <c r="I828" i="3"/>
  <c r="L828" i="3" s="1"/>
  <c r="M828" i="3" s="1"/>
  <c r="H783" i="3"/>
  <c r="I783" i="3"/>
  <c r="L783" i="3" s="1"/>
  <c r="M783" i="3" s="1"/>
  <c r="I815" i="3"/>
  <c r="L815" i="3" s="1"/>
  <c r="M815" i="3" s="1"/>
  <c r="H815" i="3"/>
  <c r="H899" i="3"/>
  <c r="I899" i="3"/>
  <c r="L899" i="3" s="1"/>
  <c r="M899" i="3" s="1"/>
  <c r="H773" i="3"/>
  <c r="I773" i="3"/>
  <c r="L773" i="3" s="1"/>
  <c r="M773" i="3" s="1"/>
  <c r="H743" i="3"/>
  <c r="I743" i="3"/>
  <c r="L743" i="3" s="1"/>
  <c r="M743" i="3" s="1"/>
  <c r="I553" i="3"/>
  <c r="L553" i="3" s="1"/>
  <c r="M553" i="3" s="1"/>
  <c r="H553" i="3"/>
  <c r="H523" i="3"/>
  <c r="I523" i="3"/>
  <c r="L523" i="3" s="1"/>
  <c r="M523" i="3" s="1"/>
  <c r="H285" i="3"/>
  <c r="I285" i="3"/>
  <c r="L285" i="3" s="1"/>
  <c r="M285" i="3" s="1"/>
  <c r="H239" i="3"/>
  <c r="I239" i="3"/>
  <c r="L239" i="3" s="1"/>
  <c r="M239" i="3" s="1"/>
  <c r="I449" i="3"/>
  <c r="L449" i="3" s="1"/>
  <c r="M449" i="3" s="1"/>
  <c r="H449" i="3"/>
  <c r="H313" i="3"/>
  <c r="I313" i="3"/>
  <c r="L313" i="3" s="1"/>
  <c r="M313" i="3" s="1"/>
  <c r="I161" i="3"/>
  <c r="L161" i="3" s="1"/>
  <c r="M161" i="3" s="1"/>
  <c r="H161" i="3"/>
  <c r="I827" i="3"/>
  <c r="L827" i="3" s="1"/>
  <c r="M827" i="3" s="1"/>
  <c r="H827" i="3"/>
  <c r="H908" i="3"/>
  <c r="I908" i="3"/>
  <c r="L908" i="3" s="1"/>
  <c r="M908" i="3" s="1"/>
  <c r="I500" i="3"/>
  <c r="L500" i="3" s="1"/>
  <c r="M500" i="3" s="1"/>
  <c r="H500" i="3"/>
  <c r="H518" i="3"/>
  <c r="I518" i="3"/>
  <c r="L518" i="3" s="1"/>
  <c r="M518" i="3" s="1"/>
  <c r="H825" i="3"/>
  <c r="I825" i="3"/>
  <c r="L825" i="3" s="1"/>
  <c r="M825" i="3" s="1"/>
  <c r="H73" i="3"/>
  <c r="I73" i="3"/>
  <c r="L73" i="3" s="1"/>
  <c r="M73" i="3" s="1"/>
  <c r="I330" i="3"/>
  <c r="L330" i="3" s="1"/>
  <c r="M330" i="3" s="1"/>
  <c r="H330" i="3"/>
  <c r="H94" i="3"/>
  <c r="I94" i="3"/>
  <c r="L94" i="3" s="1"/>
  <c r="M94" i="3" s="1"/>
  <c r="I772" i="3"/>
  <c r="L772" i="3" s="1"/>
  <c r="M772" i="3" s="1"/>
  <c r="H772" i="3"/>
  <c r="H534" i="3"/>
  <c r="I534" i="3"/>
  <c r="L534" i="3" s="1"/>
  <c r="M534" i="3" s="1"/>
  <c r="I788" i="3"/>
  <c r="L788" i="3" s="1"/>
  <c r="M788" i="3" s="1"/>
  <c r="H788" i="3"/>
  <c r="H550" i="3"/>
  <c r="I550" i="3"/>
  <c r="L550" i="3" s="1"/>
  <c r="M550" i="3" s="1"/>
  <c r="H804" i="3"/>
  <c r="I804" i="3"/>
  <c r="L804" i="3" s="1"/>
  <c r="M804" i="3" s="1"/>
  <c r="H566" i="3"/>
  <c r="I566" i="3"/>
  <c r="L566" i="3" s="1"/>
  <c r="M566" i="3" s="1"/>
  <c r="H536" i="3"/>
  <c r="I536" i="3"/>
  <c r="L536" i="3" s="1"/>
  <c r="M536" i="3" s="1"/>
  <c r="H346" i="3"/>
  <c r="I346" i="3"/>
  <c r="L346" i="3" s="1"/>
  <c r="M346" i="3" s="1"/>
  <c r="H108" i="3"/>
  <c r="I108" i="3"/>
  <c r="L108" i="3" s="1"/>
  <c r="M108" i="3" s="1"/>
  <c r="H62" i="3"/>
  <c r="I62" i="3"/>
  <c r="L62" i="3" s="1"/>
  <c r="M62" i="3" s="1"/>
  <c r="I327" i="3"/>
  <c r="L327" i="3" s="1"/>
  <c r="M327" i="3" s="1"/>
  <c r="H327" i="3"/>
  <c r="H308" i="3"/>
  <c r="I308" i="3"/>
  <c r="L308" i="3" s="1"/>
  <c r="M308" i="3" s="1"/>
  <c r="H70" i="3"/>
  <c r="I70" i="3"/>
  <c r="L70" i="3" s="1"/>
  <c r="M70" i="3" s="1"/>
  <c r="H40" i="3"/>
  <c r="I40" i="3"/>
  <c r="L40" i="3" s="1"/>
  <c r="M40" i="3" s="1"/>
  <c r="H889" i="3"/>
  <c r="I889" i="3"/>
  <c r="L889" i="3" s="1"/>
  <c r="M889" i="3" s="1"/>
  <c r="H859" i="3"/>
  <c r="I859" i="3"/>
  <c r="L859" i="3" s="1"/>
  <c r="M859" i="3" s="1"/>
  <c r="H621" i="3"/>
  <c r="I621" i="3"/>
  <c r="L621" i="3" s="1"/>
  <c r="M621" i="3" s="1"/>
  <c r="H575" i="3"/>
  <c r="I575" i="3"/>
  <c r="L575" i="3" s="1"/>
  <c r="M575" i="3" s="1"/>
  <c r="H637" i="3"/>
  <c r="I637" i="3"/>
  <c r="L637" i="3" s="1"/>
  <c r="M637" i="3" s="1"/>
  <c r="I580" i="3"/>
  <c r="L580" i="3" s="1"/>
  <c r="M580" i="3" s="1"/>
  <c r="H580" i="3"/>
  <c r="H342" i="3"/>
  <c r="I342" i="3"/>
  <c r="L342" i="3" s="1"/>
  <c r="M342" i="3" s="1"/>
  <c r="I596" i="3"/>
  <c r="L596" i="3" s="1"/>
  <c r="M596" i="3" s="1"/>
  <c r="H596" i="3"/>
  <c r="I358" i="3"/>
  <c r="L358" i="3" s="1"/>
  <c r="M358" i="3" s="1"/>
  <c r="H358" i="3"/>
  <c r="H328" i="3"/>
  <c r="I328" i="3"/>
  <c r="L328" i="3" s="1"/>
  <c r="M328" i="3" s="1"/>
  <c r="I138" i="3"/>
  <c r="L138" i="3" s="1"/>
  <c r="M138" i="3" s="1"/>
  <c r="H138" i="3"/>
  <c r="H546" i="3"/>
  <c r="I546" i="3"/>
  <c r="L546" i="3" s="1"/>
  <c r="M546" i="3" s="1"/>
  <c r="H909" i="3"/>
  <c r="I909" i="3"/>
  <c r="L909" i="3" s="1"/>
  <c r="M909" i="3" s="1"/>
  <c r="H863" i="3"/>
  <c r="I863" i="3"/>
  <c r="L863" i="3" s="1"/>
  <c r="M863" i="3" s="1"/>
  <c r="H139" i="3"/>
  <c r="I139" i="3"/>
  <c r="L139" i="3" s="1"/>
  <c r="M139" i="3" s="1"/>
  <c r="H940" i="3"/>
  <c r="I940" i="3"/>
  <c r="L940" i="3" s="1"/>
  <c r="M940" i="3" s="1"/>
  <c r="H368" i="3"/>
  <c r="I368" i="3"/>
  <c r="L368" i="3" s="1"/>
  <c r="M368" i="3" s="1"/>
  <c r="H923" i="3"/>
  <c r="I923" i="3"/>
  <c r="L923" i="3" s="1"/>
  <c r="M923" i="3" s="1"/>
  <c r="I701" i="3"/>
  <c r="L701" i="3" s="1"/>
  <c r="M701" i="3" s="1"/>
  <c r="H701" i="3"/>
  <c r="H353" i="3"/>
  <c r="I353" i="3"/>
  <c r="L353" i="3" s="1"/>
  <c r="M353" i="3" s="1"/>
  <c r="H771" i="3"/>
  <c r="I771" i="3"/>
  <c r="L771" i="3" s="1"/>
  <c r="M771" i="3" s="1"/>
  <c r="H389" i="3"/>
  <c r="I389" i="3"/>
  <c r="L389" i="3" s="1"/>
  <c r="M389" i="3" s="1"/>
  <c r="I359" i="3"/>
  <c r="L359" i="3" s="1"/>
  <c r="M359" i="3" s="1"/>
  <c r="H359" i="3"/>
  <c r="H169" i="3"/>
  <c r="I169" i="3"/>
  <c r="L169" i="3" s="1"/>
  <c r="M169" i="3" s="1"/>
  <c r="H669" i="3"/>
  <c r="I669" i="3"/>
  <c r="L669" i="3" s="1"/>
  <c r="M669" i="3" s="1"/>
  <c r="H577" i="3"/>
  <c r="I577" i="3"/>
  <c r="L577" i="3" s="1"/>
  <c r="M577" i="3" s="1"/>
  <c r="H956" i="3"/>
  <c r="I956" i="3"/>
  <c r="L956" i="3" s="1"/>
  <c r="M956" i="3" s="1"/>
  <c r="H670" i="3"/>
  <c r="I670" i="3"/>
  <c r="L670" i="3" s="1"/>
  <c r="M670" i="3" s="1"/>
  <c r="I19" i="3"/>
  <c r="L19" i="3" s="1"/>
  <c r="M19" i="3" s="1"/>
  <c r="H19" i="3"/>
  <c r="I646" i="3"/>
  <c r="L646" i="3" s="1"/>
  <c r="M646" i="3" s="1"/>
  <c r="H646" i="3"/>
  <c r="H953" i="3"/>
  <c r="I953" i="3"/>
  <c r="L953" i="3" s="1"/>
  <c r="M953" i="3" s="1"/>
  <c r="H383" i="3"/>
  <c r="I383" i="3"/>
  <c r="L383" i="3" s="1"/>
  <c r="M383" i="3" s="1"/>
  <c r="H839" i="3"/>
  <c r="I839" i="3"/>
  <c r="L839" i="3" s="1"/>
  <c r="M839" i="3" s="1"/>
  <c r="I132" i="3"/>
  <c r="L132" i="3" s="1"/>
  <c r="M132" i="3" s="1"/>
  <c r="H132" i="3"/>
  <c r="H933" i="3"/>
  <c r="I933" i="3"/>
  <c r="L933" i="3" s="1"/>
  <c r="M933" i="3" s="1"/>
  <c r="I903" i="3"/>
  <c r="L903" i="3" s="1"/>
  <c r="M903" i="3" s="1"/>
  <c r="H903" i="3"/>
  <c r="H713" i="3"/>
  <c r="I713" i="3"/>
  <c r="L713" i="3" s="1"/>
  <c r="M713" i="3" s="1"/>
  <c r="I683" i="3"/>
  <c r="L683" i="3" s="1"/>
  <c r="M683" i="3" s="1"/>
  <c r="H683" i="3"/>
  <c r="H158" i="3"/>
  <c r="I158" i="3"/>
  <c r="L158" i="3" s="1"/>
  <c r="M158" i="3" s="1"/>
  <c r="H51" i="3"/>
  <c r="I51" i="3"/>
  <c r="L51" i="3" s="1"/>
  <c r="M51" i="3" s="1"/>
  <c r="H916" i="3"/>
  <c r="I916" i="3"/>
  <c r="L916" i="3" s="1"/>
  <c r="M916" i="3" s="1"/>
  <c r="I678" i="3"/>
  <c r="L678" i="3" s="1"/>
  <c r="M678" i="3" s="1"/>
  <c r="H678" i="3"/>
  <c r="H648" i="3"/>
  <c r="I648" i="3"/>
  <c r="L648" i="3" s="1"/>
  <c r="M648" i="3" s="1"/>
  <c r="H458" i="3"/>
  <c r="I458" i="3"/>
  <c r="L458" i="3" s="1"/>
  <c r="M458" i="3" s="1"/>
  <c r="H220" i="3"/>
  <c r="I220" i="3"/>
  <c r="L220" i="3" s="1"/>
  <c r="M220" i="3" s="1"/>
  <c r="I174" i="3"/>
  <c r="L174" i="3" s="1"/>
  <c r="M174" i="3" s="1"/>
  <c r="H174" i="3"/>
  <c r="H160" i="3"/>
  <c r="I160" i="3"/>
  <c r="L160" i="3" s="1"/>
  <c r="M160" i="3" s="1"/>
  <c r="H943" i="3"/>
  <c r="I943" i="3"/>
  <c r="L943" i="3" s="1"/>
  <c r="M943" i="3" s="1"/>
  <c r="I224" i="3"/>
  <c r="L224" i="3" s="1"/>
  <c r="M224" i="3" s="1"/>
  <c r="H224" i="3"/>
  <c r="H58" i="3"/>
  <c r="I58" i="3"/>
  <c r="L58" i="3" s="1"/>
  <c r="M58" i="3" s="1"/>
  <c r="H92" i="3"/>
  <c r="I92" i="3"/>
  <c r="L92" i="3" s="1"/>
  <c r="M92" i="3" s="1"/>
  <c r="H893" i="3"/>
  <c r="I893" i="3"/>
  <c r="L893" i="3" s="1"/>
  <c r="M893" i="3" s="1"/>
  <c r="I420" i="3"/>
  <c r="L420" i="3" s="1"/>
  <c r="M420" i="3" s="1"/>
  <c r="H420" i="3"/>
  <c r="H182" i="3"/>
  <c r="I182" i="3"/>
  <c r="L182" i="3" s="1"/>
  <c r="M182" i="3" s="1"/>
  <c r="H152" i="3"/>
  <c r="I152" i="3"/>
  <c r="L152" i="3" s="1"/>
  <c r="M152" i="3" s="1"/>
  <c r="H1001" i="3"/>
  <c r="I1001" i="3"/>
  <c r="L1001" i="3" s="1"/>
  <c r="M1001" i="3" s="1"/>
  <c r="H971" i="3"/>
  <c r="I971" i="3"/>
  <c r="L971" i="3" s="1"/>
  <c r="M971" i="3" s="1"/>
  <c r="I989" i="3"/>
  <c r="L989" i="3" s="1"/>
  <c r="M989" i="3" s="1"/>
  <c r="H989" i="3"/>
  <c r="I944" i="3"/>
  <c r="L944" i="3" s="1"/>
  <c r="M944" i="3" s="1"/>
  <c r="H944" i="3"/>
  <c r="H795" i="3"/>
  <c r="I795" i="3"/>
  <c r="L795" i="3" s="1"/>
  <c r="M795" i="3" s="1"/>
  <c r="I528" i="3"/>
  <c r="L528" i="3" s="1"/>
  <c r="M528" i="3" s="1"/>
  <c r="H528" i="3"/>
  <c r="H529" i="3"/>
  <c r="I529" i="3"/>
  <c r="L529" i="3" s="1"/>
  <c r="M529" i="3" s="1"/>
  <c r="H658" i="3"/>
  <c r="I658" i="3"/>
  <c r="L658" i="3" s="1"/>
  <c r="M658" i="3" s="1"/>
  <c r="H725" i="3"/>
  <c r="I725" i="3"/>
  <c r="L725" i="3" s="1"/>
  <c r="M725" i="3" s="1"/>
  <c r="H695" i="3"/>
  <c r="I695" i="3"/>
  <c r="L695" i="3" s="1"/>
  <c r="M695" i="3" s="1"/>
  <c r="H505" i="3"/>
  <c r="I505" i="3"/>
  <c r="L505" i="3" s="1"/>
  <c r="M505" i="3" s="1"/>
  <c r="H731" i="3"/>
  <c r="I731" i="3"/>
  <c r="L731" i="3" s="1"/>
  <c r="M731" i="3" s="1"/>
  <c r="H493" i="3"/>
  <c r="I493" i="3"/>
  <c r="L493" i="3" s="1"/>
  <c r="M493" i="3" s="1"/>
  <c r="I703" i="3"/>
  <c r="L703" i="3" s="1"/>
  <c r="M703" i="3" s="1"/>
  <c r="H703" i="3"/>
  <c r="H913" i="3"/>
  <c r="I913" i="3"/>
  <c r="L913" i="3" s="1"/>
  <c r="M913" i="3" s="1"/>
  <c r="I440" i="3"/>
  <c r="L440" i="3" s="1"/>
  <c r="M440" i="3" s="1"/>
  <c r="H440" i="3"/>
  <c r="H506" i="3"/>
  <c r="I506" i="3"/>
  <c r="L506" i="3" s="1"/>
  <c r="M506" i="3" s="1"/>
  <c r="H780" i="3"/>
  <c r="I780" i="3"/>
  <c r="L780" i="3" s="1"/>
  <c r="M780" i="3" s="1"/>
  <c r="H223" i="3"/>
  <c r="I223" i="3"/>
  <c r="L223" i="3" s="1"/>
  <c r="M223" i="3" s="1"/>
  <c r="H248" i="3"/>
  <c r="I248" i="3"/>
  <c r="L248" i="3" s="1"/>
  <c r="M248" i="3" s="1"/>
  <c r="H315" i="3"/>
  <c r="I315" i="3"/>
  <c r="L315" i="3" s="1"/>
  <c r="M315" i="3" s="1"/>
  <c r="H350" i="3"/>
  <c r="I350" i="3"/>
  <c r="L350" i="3" s="1"/>
  <c r="M350" i="3" s="1"/>
  <c r="H452" i="3"/>
  <c r="I452" i="3"/>
  <c r="L452" i="3" s="1"/>
  <c r="M452" i="3" s="1"/>
  <c r="H214" i="3"/>
  <c r="I214" i="3"/>
  <c r="L214" i="3" s="1"/>
  <c r="M214" i="3" s="1"/>
  <c r="H417" i="3"/>
  <c r="I417" i="3"/>
  <c r="L417" i="3" s="1"/>
  <c r="M417" i="3" s="1"/>
  <c r="H329" i="3"/>
  <c r="I329" i="3"/>
  <c r="L329" i="3" s="1"/>
  <c r="M329" i="3" s="1"/>
  <c r="H842" i="3"/>
  <c r="I842" i="3"/>
  <c r="L842" i="3" s="1"/>
  <c r="M842" i="3" s="1"/>
  <c r="H606" i="3"/>
  <c r="I606" i="3"/>
  <c r="L606" i="3" s="1"/>
  <c r="M606" i="3" s="1"/>
  <c r="I724" i="3"/>
  <c r="L724" i="3" s="1"/>
  <c r="M724" i="3" s="1"/>
  <c r="H724" i="3"/>
  <c r="H486" i="3"/>
  <c r="I486" i="3"/>
  <c r="L486" i="3" s="1"/>
  <c r="M486" i="3" s="1"/>
  <c r="H456" i="3"/>
  <c r="I456" i="3"/>
  <c r="L456" i="3" s="1"/>
  <c r="M456" i="3" s="1"/>
  <c r="H266" i="3"/>
  <c r="I266" i="3"/>
  <c r="L266" i="3" s="1"/>
  <c r="M266" i="3" s="1"/>
  <c r="H28" i="3"/>
  <c r="I28" i="3"/>
  <c r="L28" i="3" s="1"/>
  <c r="M28" i="3" s="1"/>
  <c r="H82" i="3"/>
  <c r="I82" i="3"/>
  <c r="L82" i="3" s="1"/>
  <c r="M82" i="3" s="1"/>
  <c r="H226" i="3"/>
  <c r="I226" i="3"/>
  <c r="L226" i="3" s="1"/>
  <c r="M226" i="3" s="1"/>
  <c r="I737" i="3"/>
  <c r="L737" i="3" s="1"/>
  <c r="M737" i="3" s="1"/>
  <c r="H737" i="3"/>
  <c r="H824" i="3"/>
  <c r="I824" i="3"/>
  <c r="L824" i="3" s="1"/>
  <c r="M824" i="3" s="1"/>
  <c r="I898" i="3"/>
  <c r="L898" i="3" s="1"/>
  <c r="M898" i="3" s="1"/>
  <c r="H898" i="3"/>
  <c r="H146" i="3"/>
  <c r="I146" i="3"/>
  <c r="L146" i="3" s="1"/>
  <c r="M146" i="3" s="1"/>
  <c r="H999" i="3"/>
  <c r="I999" i="3"/>
  <c r="L999" i="3" s="1"/>
  <c r="M999" i="3" s="1"/>
  <c r="H809" i="3"/>
  <c r="I809" i="3"/>
  <c r="L809" i="3" s="1"/>
  <c r="M809" i="3" s="1"/>
  <c r="H779" i="3"/>
  <c r="I779" i="3"/>
  <c r="L779" i="3" s="1"/>
  <c r="M779" i="3" s="1"/>
  <c r="I541" i="3"/>
  <c r="L541" i="3" s="1"/>
  <c r="M541" i="3" s="1"/>
  <c r="H541" i="3"/>
  <c r="H495" i="3"/>
  <c r="I495" i="3"/>
  <c r="L495" i="3" s="1"/>
  <c r="M495" i="3" s="1"/>
  <c r="H705" i="3"/>
  <c r="I705" i="3"/>
  <c r="L705" i="3" s="1"/>
  <c r="M705" i="3" s="1"/>
  <c r="H42" i="3"/>
  <c r="I42" i="3"/>
  <c r="L42" i="3" s="1"/>
  <c r="M42" i="3" s="1"/>
  <c r="H826" i="3"/>
  <c r="I826" i="3"/>
  <c r="L826" i="3" s="1"/>
  <c r="M826" i="3" s="1"/>
  <c r="I333" i="3"/>
  <c r="L333" i="3" s="1"/>
  <c r="M333" i="3" s="1"/>
  <c r="H333" i="3"/>
  <c r="I847" i="3"/>
  <c r="L847" i="3" s="1"/>
  <c r="M847" i="3" s="1"/>
  <c r="H847" i="3"/>
  <c r="I756" i="3"/>
  <c r="L756" i="3" s="1"/>
  <c r="M756" i="3" s="1"/>
  <c r="H756" i="3"/>
  <c r="H114" i="3"/>
  <c r="I114" i="3"/>
  <c r="L114" i="3" s="1"/>
  <c r="M114" i="3" s="1"/>
  <c r="H298" i="3"/>
  <c r="I298" i="3"/>
  <c r="L298" i="3" s="1"/>
  <c r="M298" i="3" s="1"/>
  <c r="H570" i="3"/>
  <c r="I570" i="3"/>
  <c r="L570" i="3" s="1"/>
  <c r="M570" i="3" s="1"/>
  <c r="H354" i="3"/>
  <c r="I354" i="3"/>
  <c r="L354" i="3" s="1"/>
  <c r="M354" i="3" s="1"/>
  <c r="H545" i="3"/>
  <c r="I545" i="3"/>
  <c r="L545" i="3" s="1"/>
  <c r="M545" i="3" s="1"/>
  <c r="H34" i="3"/>
  <c r="I34" i="3"/>
  <c r="L34" i="3" s="1"/>
  <c r="M34" i="3" s="1"/>
  <c r="H179" i="3"/>
  <c r="I179" i="3"/>
  <c r="L179" i="3" s="1"/>
  <c r="M179" i="3" s="1"/>
  <c r="H274" i="3"/>
  <c r="I274" i="3"/>
  <c r="L274" i="3" s="1"/>
  <c r="M274" i="3" s="1"/>
  <c r="H195" i="3"/>
  <c r="I195" i="3"/>
  <c r="L195" i="3" s="1"/>
  <c r="M195" i="3" s="1"/>
  <c r="I306" i="3"/>
  <c r="L306" i="3" s="1"/>
  <c r="M306" i="3" s="1"/>
  <c r="H306" i="3"/>
  <c r="H822" i="3"/>
  <c r="I822" i="3"/>
  <c r="L822" i="3" s="1"/>
  <c r="M822" i="3" s="1"/>
  <c r="H792" i="3"/>
  <c r="I792" i="3"/>
  <c r="L792" i="3" s="1"/>
  <c r="M792" i="3" s="1"/>
  <c r="I602" i="3"/>
  <c r="L602" i="3" s="1"/>
  <c r="M602" i="3" s="1"/>
  <c r="H602" i="3"/>
  <c r="H364" i="3"/>
  <c r="I364" i="3"/>
  <c r="L364" i="3" s="1"/>
  <c r="M364" i="3" s="1"/>
  <c r="H318" i="3"/>
  <c r="I318" i="3"/>
  <c r="L318" i="3" s="1"/>
  <c r="M318" i="3" s="1"/>
  <c r="H140" i="3"/>
  <c r="I140" i="3"/>
  <c r="L140" i="3" s="1"/>
  <c r="M140" i="3" s="1"/>
  <c r="H564" i="3"/>
  <c r="I564" i="3"/>
  <c r="L564" i="3" s="1"/>
  <c r="M564" i="3" s="1"/>
  <c r="H326" i="3"/>
  <c r="I326" i="3"/>
  <c r="L326" i="3" s="1"/>
  <c r="M326" i="3" s="1"/>
  <c r="I296" i="3"/>
  <c r="L296" i="3" s="1"/>
  <c r="M296" i="3" s="1"/>
  <c r="H296" i="3"/>
  <c r="H106" i="3"/>
  <c r="I106" i="3"/>
  <c r="L106" i="3" s="1"/>
  <c r="M106" i="3" s="1"/>
  <c r="I450" i="3"/>
  <c r="L450" i="3" s="1"/>
  <c r="M450" i="3" s="1"/>
  <c r="H450" i="3"/>
  <c r="H877" i="3"/>
  <c r="I877" i="3"/>
  <c r="L877" i="3" s="1"/>
  <c r="M877" i="3" s="1"/>
  <c r="I831" i="3"/>
  <c r="L831" i="3" s="1"/>
  <c r="M831" i="3" s="1"/>
  <c r="H831" i="3"/>
  <c r="H848" i="3"/>
  <c r="I848" i="3"/>
  <c r="L848" i="3" s="1"/>
  <c r="M848" i="3" s="1"/>
  <c r="H836" i="3"/>
  <c r="I836" i="3"/>
  <c r="L836" i="3" s="1"/>
  <c r="M836" i="3" s="1"/>
  <c r="I598" i="3"/>
  <c r="L598" i="3" s="1"/>
  <c r="M598" i="3" s="1"/>
  <c r="H598" i="3"/>
  <c r="H852" i="3"/>
  <c r="I852" i="3"/>
  <c r="L852" i="3" s="1"/>
  <c r="M852" i="3" s="1"/>
  <c r="I614" i="3"/>
  <c r="L614" i="3" s="1"/>
  <c r="M614" i="3" s="1"/>
  <c r="H614" i="3"/>
  <c r="H584" i="3"/>
  <c r="I584" i="3"/>
  <c r="L584" i="3" s="1"/>
  <c r="M584" i="3" s="1"/>
  <c r="H394" i="3"/>
  <c r="I394" i="3"/>
  <c r="L394" i="3" s="1"/>
  <c r="M394" i="3" s="1"/>
  <c r="H156" i="3"/>
  <c r="I156" i="3"/>
  <c r="L156" i="3" s="1"/>
  <c r="M156" i="3" s="1"/>
  <c r="H110" i="3"/>
  <c r="I110" i="3"/>
  <c r="L110" i="3" s="1"/>
  <c r="M110" i="3" s="1"/>
  <c r="H96" i="3"/>
  <c r="I96" i="3"/>
  <c r="L96" i="3" s="1"/>
  <c r="M96" i="3" s="1"/>
  <c r="I395" i="3"/>
  <c r="L395" i="3" s="1"/>
  <c r="M395" i="3" s="1"/>
  <c r="H395" i="3"/>
  <c r="H157" i="3"/>
  <c r="I157" i="3"/>
  <c r="L157" i="3" s="1"/>
  <c r="M157" i="3" s="1"/>
  <c r="H880" i="3"/>
  <c r="I880" i="3"/>
  <c r="L880" i="3" s="1"/>
  <c r="M880" i="3" s="1"/>
  <c r="H700" i="3"/>
  <c r="I700" i="3"/>
  <c r="L700" i="3" s="1"/>
  <c r="M700" i="3" s="1"/>
  <c r="H414" i="3"/>
  <c r="I414" i="3"/>
  <c r="L414" i="3" s="1"/>
  <c r="M414" i="3" s="1"/>
  <c r="H884" i="3"/>
  <c r="I884" i="3"/>
  <c r="L884" i="3" s="1"/>
  <c r="M884" i="3" s="1"/>
  <c r="H66" i="3"/>
  <c r="I66" i="3"/>
  <c r="L66" i="3" s="1"/>
  <c r="M66" i="3" s="1"/>
  <c r="I645" i="3"/>
  <c r="L645" i="3" s="1"/>
  <c r="M645" i="3" s="1"/>
  <c r="H645" i="3"/>
  <c r="H615" i="3"/>
  <c r="I615" i="3"/>
  <c r="L615" i="3" s="1"/>
  <c r="M615" i="3" s="1"/>
  <c r="H425" i="3"/>
  <c r="I425" i="3"/>
  <c r="L425" i="3" s="1"/>
  <c r="M425" i="3" s="1"/>
  <c r="H126" i="3"/>
  <c r="I126" i="3"/>
  <c r="L126" i="3" s="1"/>
  <c r="M126" i="3" s="1"/>
  <c r="H429" i="3"/>
  <c r="I429" i="3"/>
  <c r="L429" i="3" s="1"/>
  <c r="M429" i="3" s="1"/>
  <c r="I399" i="3"/>
  <c r="L399" i="3" s="1"/>
  <c r="M399" i="3" s="1"/>
  <c r="H399" i="3"/>
  <c r="H275" i="3"/>
  <c r="I275" i="3"/>
  <c r="L275" i="3" s="1"/>
  <c r="M275" i="3" s="1"/>
  <c r="H578" i="3"/>
  <c r="I578" i="3"/>
  <c r="L578" i="3" s="1"/>
  <c r="M578" i="3" s="1"/>
  <c r="H902" i="3"/>
  <c r="I902" i="3"/>
  <c r="L902" i="3" s="1"/>
  <c r="M902" i="3" s="1"/>
  <c r="H682" i="3"/>
  <c r="I682" i="3"/>
  <c r="L682" i="3" s="1"/>
  <c r="M682" i="3" s="1"/>
  <c r="H128" i="3"/>
  <c r="I128" i="3"/>
  <c r="L128" i="3" s="1"/>
  <c r="M128" i="3" s="1"/>
  <c r="H482" i="3"/>
  <c r="I482" i="3"/>
  <c r="L482" i="3" s="1"/>
  <c r="M482" i="3" s="1"/>
  <c r="I388" i="3"/>
  <c r="L388" i="3" s="1"/>
  <c r="M388" i="3" s="1"/>
  <c r="H388" i="3"/>
  <c r="I150" i="3"/>
  <c r="L150" i="3" s="1"/>
  <c r="M150" i="3" s="1"/>
  <c r="H150" i="3"/>
  <c r="H120" i="3"/>
  <c r="I120" i="3"/>
  <c r="L120" i="3" s="1"/>
  <c r="M120" i="3" s="1"/>
  <c r="H969" i="3"/>
  <c r="I969" i="3"/>
  <c r="L969" i="3" s="1"/>
  <c r="M969" i="3" s="1"/>
  <c r="H939" i="3"/>
  <c r="I939" i="3"/>
  <c r="L939" i="3" s="1"/>
  <c r="M939" i="3" s="1"/>
  <c r="H143" i="3"/>
  <c r="I143" i="3"/>
  <c r="L143" i="3" s="1"/>
  <c r="M143" i="3" s="1"/>
  <c r="H307" i="3"/>
  <c r="I307" i="3"/>
  <c r="L307" i="3" s="1"/>
  <c r="M307" i="3" s="1"/>
  <c r="H706" i="3"/>
  <c r="I706" i="3"/>
  <c r="L706" i="3" s="1"/>
  <c r="M706" i="3" s="1"/>
  <c r="H934" i="3"/>
  <c r="I934" i="3"/>
  <c r="L934" i="3" s="1"/>
  <c r="M934" i="3" s="1"/>
  <c r="H904" i="3"/>
  <c r="I904" i="3"/>
  <c r="L904" i="3" s="1"/>
  <c r="M904" i="3" s="1"/>
  <c r="H714" i="3"/>
  <c r="I714" i="3"/>
  <c r="L714" i="3" s="1"/>
  <c r="M714" i="3" s="1"/>
  <c r="H476" i="3"/>
  <c r="I476" i="3"/>
  <c r="L476" i="3" s="1"/>
  <c r="M476" i="3" s="1"/>
  <c r="H430" i="3"/>
  <c r="I430" i="3"/>
  <c r="L430" i="3" s="1"/>
  <c r="M430" i="3" s="1"/>
  <c r="I416" i="3"/>
  <c r="L416" i="3" s="1"/>
  <c r="M416" i="3" s="1"/>
  <c r="H416" i="3"/>
  <c r="H176" i="3"/>
  <c r="I176" i="3"/>
  <c r="L176" i="3" s="1"/>
  <c r="M176" i="3" s="1"/>
  <c r="I433" i="3"/>
  <c r="L433" i="3" s="1"/>
  <c r="M433" i="3" s="1"/>
  <c r="H433" i="3"/>
  <c r="H811" i="3"/>
  <c r="I811" i="3"/>
  <c r="L811" i="3" s="1"/>
  <c r="M811" i="3" s="1"/>
  <c r="H46" i="3"/>
  <c r="I46" i="3"/>
  <c r="L46" i="3" s="1"/>
  <c r="M46" i="3" s="1"/>
  <c r="H80" i="3"/>
  <c r="I80" i="3"/>
  <c r="L80" i="3" s="1"/>
  <c r="M80" i="3" s="1"/>
  <c r="I676" i="3"/>
  <c r="L676" i="3" s="1"/>
  <c r="M676" i="3" s="1"/>
  <c r="H676" i="3"/>
  <c r="H438" i="3"/>
  <c r="I438" i="3"/>
  <c r="L438" i="3" s="1"/>
  <c r="M438" i="3" s="1"/>
  <c r="H408" i="3"/>
  <c r="I408" i="3"/>
  <c r="L408" i="3" s="1"/>
  <c r="M408" i="3" s="1"/>
  <c r="H218" i="3"/>
  <c r="I218" i="3"/>
  <c r="L218" i="3" s="1"/>
  <c r="M218" i="3" s="1"/>
  <c r="H850" i="3"/>
  <c r="I850" i="3"/>
  <c r="L850" i="3" s="1"/>
  <c r="M850" i="3" s="1"/>
  <c r="H190" i="3"/>
  <c r="I190" i="3"/>
  <c r="L190" i="3" s="1"/>
  <c r="M190" i="3" s="1"/>
  <c r="H641" i="3"/>
  <c r="I641" i="3"/>
  <c r="L641" i="3" s="1"/>
  <c r="M641" i="3" s="1"/>
  <c r="H813" i="3"/>
  <c r="I813" i="3"/>
  <c r="L813" i="3" s="1"/>
  <c r="M813" i="3" s="1"/>
  <c r="I806" i="3"/>
  <c r="L806" i="3" s="1"/>
  <c r="M806" i="3" s="1"/>
  <c r="H806" i="3"/>
  <c r="I498" i="3"/>
  <c r="L498" i="3" s="1"/>
  <c r="M498" i="3" s="1"/>
  <c r="H498" i="3"/>
  <c r="H180" i="3"/>
  <c r="I180" i="3"/>
  <c r="L180" i="3" s="1"/>
  <c r="M180" i="3" s="1"/>
  <c r="H981" i="3"/>
  <c r="I981" i="3"/>
  <c r="L981" i="3" s="1"/>
  <c r="M981" i="3" s="1"/>
  <c r="I951" i="3"/>
  <c r="L951" i="3" s="1"/>
  <c r="M951" i="3" s="1"/>
  <c r="H951" i="3"/>
  <c r="H761" i="3"/>
  <c r="I761" i="3"/>
  <c r="L761" i="3" s="1"/>
  <c r="M761" i="3" s="1"/>
  <c r="I987" i="3"/>
  <c r="L987" i="3" s="1"/>
  <c r="M987" i="3" s="1"/>
  <c r="H987" i="3"/>
  <c r="H749" i="3"/>
  <c r="I749" i="3"/>
  <c r="L749" i="3" s="1"/>
  <c r="M749" i="3" s="1"/>
  <c r="H959" i="3"/>
  <c r="I959" i="3"/>
  <c r="L959" i="3" s="1"/>
  <c r="M959" i="3" s="1"/>
  <c r="I726" i="3"/>
  <c r="L726" i="3" s="1"/>
  <c r="M726" i="3" s="1"/>
  <c r="H726" i="3"/>
  <c r="I696" i="3"/>
  <c r="L696" i="3" s="1"/>
  <c r="M696" i="3" s="1"/>
  <c r="H696" i="3"/>
  <c r="H762" i="3"/>
  <c r="I762" i="3"/>
  <c r="L762" i="3" s="1"/>
  <c r="M762" i="3" s="1"/>
  <c r="H253" i="3"/>
  <c r="I253" i="3"/>
  <c r="L253" i="3" s="1"/>
  <c r="M253" i="3" s="1"/>
  <c r="H480" i="3"/>
  <c r="I480" i="3"/>
  <c r="L480" i="3" s="1"/>
  <c r="M480" i="3" s="1"/>
  <c r="H585" i="3"/>
  <c r="I585" i="3"/>
  <c r="L585" i="3" s="1"/>
  <c r="M585" i="3" s="1"/>
  <c r="H604" i="3"/>
  <c r="I604" i="3"/>
  <c r="L604" i="3" s="1"/>
  <c r="M604" i="3" s="1"/>
  <c r="I801" i="3"/>
  <c r="L801" i="3" s="1"/>
  <c r="M801" i="3" s="1"/>
  <c r="H801" i="3"/>
  <c r="I708" i="3"/>
  <c r="L708" i="3" s="1"/>
  <c r="M708" i="3" s="1"/>
  <c r="H708" i="3"/>
  <c r="H470" i="3"/>
  <c r="I470" i="3"/>
  <c r="L470" i="3" s="1"/>
  <c r="M470" i="3" s="1"/>
  <c r="I479" i="3"/>
  <c r="L479" i="3" s="1"/>
  <c r="M479" i="3" s="1"/>
  <c r="H479" i="3"/>
  <c r="H43" i="3"/>
  <c r="I43" i="3"/>
  <c r="L43" i="3" s="1"/>
  <c r="M43" i="3" s="1"/>
  <c r="H348" i="3"/>
  <c r="I348" i="3"/>
  <c r="L348" i="3" s="1"/>
  <c r="M348" i="3" s="1"/>
  <c r="H115" i="3"/>
  <c r="I115" i="3"/>
  <c r="L115" i="3" s="1"/>
  <c r="M115" i="3" s="1"/>
  <c r="H980" i="3"/>
  <c r="I980" i="3"/>
  <c r="L980" i="3" s="1"/>
  <c r="M980" i="3" s="1"/>
  <c r="H742" i="3"/>
  <c r="I742" i="3"/>
  <c r="L742" i="3" s="1"/>
  <c r="M742" i="3" s="1"/>
  <c r="H712" i="3"/>
  <c r="I712" i="3"/>
  <c r="L712" i="3" s="1"/>
  <c r="M712" i="3" s="1"/>
  <c r="H522" i="3"/>
  <c r="I522" i="3"/>
  <c r="L522" i="3" s="1"/>
  <c r="M522" i="3" s="1"/>
  <c r="H284" i="3"/>
  <c r="I284" i="3"/>
  <c r="L284" i="3" s="1"/>
  <c r="M284" i="3" s="1"/>
  <c r="H238" i="3"/>
  <c r="I238" i="3"/>
  <c r="L238" i="3" s="1"/>
  <c r="M238" i="3" s="1"/>
  <c r="H768" i="3"/>
  <c r="I768" i="3"/>
  <c r="L768" i="3" s="1"/>
  <c r="M768" i="3" s="1"/>
  <c r="H264" i="3"/>
  <c r="I264" i="3"/>
  <c r="L264" i="3" s="1"/>
  <c r="M264" i="3" s="1"/>
  <c r="H122" i="3"/>
  <c r="I122" i="3"/>
  <c r="L122" i="3" s="1"/>
  <c r="M122" i="3" s="1"/>
  <c r="H228" i="3"/>
  <c r="I228" i="3"/>
  <c r="L228" i="3" s="1"/>
  <c r="M228" i="3" s="1"/>
  <c r="I246" i="3"/>
  <c r="L246" i="3" s="1"/>
  <c r="M246" i="3" s="1"/>
  <c r="H246" i="3"/>
  <c r="H216" i="3"/>
  <c r="I216" i="3"/>
  <c r="L216" i="3" s="1"/>
  <c r="M216" i="3" s="1"/>
  <c r="H26" i="3"/>
  <c r="I26" i="3"/>
  <c r="L26" i="3" s="1"/>
  <c r="M26" i="3" s="1"/>
  <c r="H18" i="3"/>
  <c r="I18" i="3"/>
  <c r="L18" i="3" s="1"/>
  <c r="M18" i="3" s="1"/>
  <c r="H797" i="3"/>
  <c r="I797" i="3"/>
  <c r="L797" i="3" s="1"/>
  <c r="M797" i="3" s="1"/>
  <c r="H751" i="3"/>
  <c r="I751" i="3"/>
  <c r="L751" i="3" s="1"/>
  <c r="M751" i="3" s="1"/>
  <c r="H961" i="3"/>
  <c r="I961" i="3"/>
  <c r="L961" i="3" s="1"/>
  <c r="M961" i="3" s="1"/>
  <c r="H554" i="3"/>
  <c r="I554" i="3"/>
  <c r="L554" i="3" s="1"/>
  <c r="M554" i="3" s="1"/>
  <c r="H588" i="3"/>
  <c r="I588" i="3"/>
  <c r="L588" i="3" s="1"/>
  <c r="M588" i="3" s="1"/>
  <c r="H31" i="3"/>
  <c r="I31" i="3"/>
  <c r="L31" i="3" s="1"/>
  <c r="M31" i="3" s="1"/>
  <c r="H147" i="3"/>
  <c r="I147" i="3"/>
  <c r="L147" i="3" s="1"/>
  <c r="M147" i="3" s="1"/>
  <c r="H193" i="3"/>
  <c r="I193" i="3"/>
  <c r="L193" i="3" s="1"/>
  <c r="M193" i="3" s="1"/>
  <c r="H247" i="3"/>
  <c r="I247" i="3"/>
  <c r="L247" i="3" s="1"/>
  <c r="M247" i="3" s="1"/>
  <c r="H60" i="3"/>
  <c r="I60" i="3"/>
  <c r="L60" i="3" s="1"/>
  <c r="M60" i="3" s="1"/>
  <c r="H290" i="3"/>
  <c r="I290" i="3"/>
  <c r="L290" i="3" s="1"/>
  <c r="M290" i="3" s="1"/>
  <c r="I589" i="3"/>
  <c r="L589" i="3" s="1"/>
  <c r="M589" i="3" s="1"/>
  <c r="H589" i="3"/>
  <c r="H163" i="3"/>
  <c r="I163" i="3"/>
  <c r="L163" i="3" s="1"/>
  <c r="M163" i="3" s="1"/>
  <c r="H37" i="3"/>
  <c r="I37" i="3"/>
  <c r="L37" i="3" s="1"/>
  <c r="M37" i="3" s="1"/>
  <c r="H435" i="3"/>
  <c r="I435" i="3"/>
  <c r="L435" i="3" s="1"/>
  <c r="M435" i="3" s="1"/>
  <c r="H53" i="3"/>
  <c r="I53" i="3"/>
  <c r="L53" i="3" s="1"/>
  <c r="M53" i="3" s="1"/>
  <c r="H451" i="3"/>
  <c r="I451" i="3"/>
  <c r="L451" i="3" s="1"/>
  <c r="M451" i="3" s="1"/>
  <c r="I69" i="3"/>
  <c r="L69" i="3" s="1"/>
  <c r="M69" i="3" s="1"/>
  <c r="H69" i="3"/>
  <c r="H39" i="3"/>
  <c r="I39" i="3"/>
  <c r="L39" i="3" s="1"/>
  <c r="M39" i="3" s="1"/>
  <c r="H338" i="3"/>
  <c r="I338" i="3"/>
  <c r="L338" i="3" s="1"/>
  <c r="M338" i="3" s="1"/>
  <c r="H858" i="3"/>
  <c r="I858" i="3"/>
  <c r="L858" i="3" s="1"/>
  <c r="M858" i="3" s="1"/>
  <c r="H620" i="3"/>
  <c r="I620" i="3"/>
  <c r="L620" i="3" s="1"/>
  <c r="M620" i="3" s="1"/>
  <c r="H574" i="3"/>
  <c r="I574" i="3"/>
  <c r="L574" i="3" s="1"/>
  <c r="M574" i="3" s="1"/>
  <c r="I591" i="3"/>
  <c r="L591" i="3" s="1"/>
  <c r="M591" i="3" s="1"/>
  <c r="H591" i="3"/>
  <c r="H820" i="3"/>
  <c r="I820" i="3"/>
  <c r="L820" i="3" s="1"/>
  <c r="M820" i="3" s="1"/>
  <c r="I582" i="3"/>
  <c r="L582" i="3" s="1"/>
  <c r="M582" i="3" s="1"/>
  <c r="H582" i="3"/>
  <c r="H552" i="3"/>
  <c r="I552" i="3"/>
  <c r="L552" i="3" s="1"/>
  <c r="M552" i="3" s="1"/>
  <c r="H362" i="3"/>
  <c r="I362" i="3"/>
  <c r="L362" i="3" s="1"/>
  <c r="M362" i="3" s="1"/>
  <c r="H124" i="3"/>
  <c r="I124" i="3"/>
  <c r="L124" i="3" s="1"/>
  <c r="M124" i="3" s="1"/>
  <c r="H78" i="3"/>
  <c r="I78" i="3"/>
  <c r="L78" i="3" s="1"/>
  <c r="M78" i="3" s="1"/>
  <c r="H64" i="3"/>
  <c r="I64" i="3"/>
  <c r="L64" i="3" s="1"/>
  <c r="M64" i="3" s="1"/>
  <c r="H227" i="3"/>
  <c r="I227" i="3"/>
  <c r="L227" i="3" s="1"/>
  <c r="M227" i="3" s="1"/>
  <c r="H402" i="3"/>
  <c r="I402" i="3"/>
  <c r="L402" i="3" s="1"/>
  <c r="M402" i="3" s="1"/>
  <c r="H243" i="3"/>
  <c r="I243" i="3"/>
  <c r="L243" i="3" s="1"/>
  <c r="M243" i="3" s="1"/>
  <c r="I466" i="3"/>
  <c r="L466" i="3" s="1"/>
  <c r="M466" i="3" s="1"/>
  <c r="H466" i="3"/>
  <c r="H870" i="3"/>
  <c r="I870" i="3"/>
  <c r="L870" i="3" s="1"/>
  <c r="M870" i="3" s="1"/>
  <c r="I840" i="3"/>
  <c r="L840" i="3" s="1"/>
  <c r="M840" i="3" s="1"/>
  <c r="H840" i="3"/>
  <c r="I650" i="3"/>
  <c r="L650" i="3" s="1"/>
  <c r="M650" i="3" s="1"/>
  <c r="H650" i="3"/>
  <c r="H412" i="3"/>
  <c r="I412" i="3"/>
  <c r="L412" i="3" s="1"/>
  <c r="M412" i="3" s="1"/>
  <c r="H366" i="3"/>
  <c r="I366" i="3"/>
  <c r="L366" i="3" s="1"/>
  <c r="M366" i="3" s="1"/>
  <c r="H352" i="3"/>
  <c r="I352" i="3"/>
  <c r="L352" i="3" s="1"/>
  <c r="M352" i="3" s="1"/>
  <c r="H651" i="3"/>
  <c r="I651" i="3"/>
  <c r="L651" i="3" s="1"/>
  <c r="M651" i="3" s="1"/>
  <c r="I413" i="3"/>
  <c r="L413" i="3" s="1"/>
  <c r="M413" i="3" s="1"/>
  <c r="H413" i="3"/>
  <c r="H833" i="3"/>
  <c r="I833" i="3"/>
  <c r="L833" i="3" s="1"/>
  <c r="M833" i="3" s="1"/>
  <c r="H685" i="3"/>
  <c r="I685" i="3"/>
  <c r="L685" i="3" s="1"/>
  <c r="M685" i="3" s="1"/>
  <c r="H911" i="3"/>
  <c r="I911" i="3"/>
  <c r="L911" i="3" s="1"/>
  <c r="M911" i="3" s="1"/>
  <c r="H375" i="3"/>
  <c r="I375" i="3"/>
  <c r="L375" i="3" s="1"/>
  <c r="M375" i="3" s="1"/>
  <c r="H901" i="3"/>
  <c r="I901" i="3"/>
  <c r="L901" i="3" s="1"/>
  <c r="M901" i="3" s="1"/>
  <c r="I871" i="3"/>
  <c r="L871" i="3" s="1"/>
  <c r="M871" i="3" s="1"/>
  <c r="H871" i="3"/>
  <c r="I681" i="3"/>
  <c r="L681" i="3" s="1"/>
  <c r="M681" i="3" s="1"/>
  <c r="H681" i="3"/>
  <c r="H382" i="3"/>
  <c r="I382" i="3"/>
  <c r="L382" i="3" s="1"/>
  <c r="M382" i="3" s="1"/>
  <c r="H616" i="3"/>
  <c r="I616" i="3"/>
  <c r="L616" i="3" s="1"/>
  <c r="M616" i="3" s="1"/>
  <c r="H142" i="3"/>
  <c r="I142" i="3"/>
  <c r="L142" i="3" s="1"/>
  <c r="M142" i="3" s="1"/>
  <c r="H400" i="3"/>
  <c r="I400" i="3"/>
  <c r="L400" i="3" s="1"/>
  <c r="M400" i="3" s="1"/>
  <c r="H531" i="3"/>
  <c r="I531" i="3"/>
  <c r="L531" i="3" s="1"/>
  <c r="M531" i="3" s="1"/>
  <c r="H149" i="3"/>
  <c r="I149" i="3"/>
  <c r="L149" i="3" s="1"/>
  <c r="M149" i="3" s="1"/>
  <c r="H119" i="3"/>
  <c r="I119" i="3"/>
  <c r="L119" i="3" s="1"/>
  <c r="M119" i="3" s="1"/>
  <c r="I411" i="3"/>
  <c r="L411" i="3" s="1"/>
  <c r="M411" i="3" s="1"/>
  <c r="H411" i="3"/>
  <c r="I896" i="3"/>
  <c r="L896" i="3" s="1"/>
  <c r="M896" i="3" s="1"/>
  <c r="H896" i="3"/>
  <c r="H79" i="3"/>
  <c r="I79" i="3"/>
  <c r="L79" i="3" s="1"/>
  <c r="M79" i="3" s="1"/>
  <c r="H644" i="3"/>
  <c r="I644" i="3"/>
  <c r="L644" i="3" s="1"/>
  <c r="M644" i="3" s="1"/>
  <c r="H406" i="3"/>
  <c r="I406" i="3"/>
  <c r="L406" i="3" s="1"/>
  <c r="M406" i="3" s="1"/>
  <c r="H376" i="3"/>
  <c r="I376" i="3"/>
  <c r="L376" i="3" s="1"/>
  <c r="M376" i="3" s="1"/>
  <c r="I186" i="3"/>
  <c r="L186" i="3" s="1"/>
  <c r="M186" i="3" s="1"/>
  <c r="H186" i="3"/>
  <c r="H738" i="3"/>
  <c r="I738" i="3"/>
  <c r="L738" i="3" s="1"/>
  <c r="M738" i="3" s="1"/>
  <c r="H655" i="3"/>
  <c r="I655" i="3"/>
  <c r="L655" i="3" s="1"/>
  <c r="M655" i="3" s="1"/>
  <c r="H563" i="3"/>
  <c r="I563" i="3"/>
  <c r="L563" i="3" s="1"/>
  <c r="M563" i="3" s="1"/>
  <c r="I181" i="3"/>
  <c r="L181" i="3" s="1"/>
  <c r="M181" i="3" s="1"/>
  <c r="H181" i="3"/>
  <c r="H151" i="3"/>
  <c r="I151" i="3"/>
  <c r="L151" i="3" s="1"/>
  <c r="M151" i="3" s="1"/>
  <c r="I818" i="3"/>
  <c r="L818" i="3" s="1"/>
  <c r="M818" i="3" s="1"/>
  <c r="H818" i="3"/>
  <c r="I970" i="3"/>
  <c r="L970" i="3" s="1"/>
  <c r="M970" i="3" s="1"/>
  <c r="H970" i="3"/>
  <c r="H732" i="3"/>
  <c r="I732" i="3"/>
  <c r="L732" i="3" s="1"/>
  <c r="M732" i="3" s="1"/>
  <c r="H686" i="3"/>
  <c r="I686" i="3"/>
  <c r="L686" i="3" s="1"/>
  <c r="M686" i="3" s="1"/>
  <c r="H672" i="3"/>
  <c r="I672" i="3"/>
  <c r="L672" i="3" s="1"/>
  <c r="M672" i="3" s="1"/>
  <c r="H688" i="3"/>
  <c r="I688" i="3"/>
  <c r="L688" i="3" s="1"/>
  <c r="M688" i="3" s="1"/>
  <c r="H539" i="3"/>
  <c r="I539" i="3"/>
  <c r="L539" i="3" s="1"/>
  <c r="M539" i="3" s="1"/>
  <c r="H317" i="3"/>
  <c r="I317" i="3"/>
  <c r="L317" i="3" s="1"/>
  <c r="M317" i="3" s="1"/>
  <c r="I799" i="3"/>
  <c r="L799" i="3" s="1"/>
  <c r="M799" i="3" s="1"/>
  <c r="H799" i="3"/>
  <c r="I67" i="3"/>
  <c r="L67" i="3" s="1"/>
  <c r="M67" i="3" s="1"/>
  <c r="H67" i="3"/>
  <c r="H932" i="3"/>
  <c r="I932" i="3"/>
  <c r="L932" i="3" s="1"/>
  <c r="M932" i="3" s="1"/>
  <c r="H694" i="3"/>
  <c r="I694" i="3"/>
  <c r="L694" i="3" s="1"/>
  <c r="M694" i="3" s="1"/>
  <c r="I664" i="3"/>
  <c r="L664" i="3" s="1"/>
  <c r="M664" i="3" s="1"/>
  <c r="H664" i="3"/>
  <c r="H474" i="3"/>
  <c r="I474" i="3"/>
  <c r="L474" i="3" s="1"/>
  <c r="M474" i="3" s="1"/>
  <c r="H236" i="3"/>
  <c r="I236" i="3"/>
  <c r="L236" i="3" s="1"/>
  <c r="M236" i="3" s="1"/>
  <c r="H446" i="3"/>
  <c r="I446" i="3"/>
  <c r="L446" i="3" s="1"/>
  <c r="M446" i="3" s="1"/>
  <c r="H734" i="3"/>
  <c r="I734" i="3"/>
  <c r="L734" i="3" s="1"/>
  <c r="M734" i="3" s="1"/>
  <c r="I512" i="3"/>
  <c r="L512" i="3" s="1"/>
  <c r="M512" i="3" s="1"/>
  <c r="H512" i="3"/>
  <c r="H89" i="3"/>
  <c r="I89" i="3"/>
  <c r="L89" i="3" s="1"/>
  <c r="M89" i="3" s="1"/>
  <c r="I381" i="3"/>
  <c r="L381" i="3" s="1"/>
  <c r="M381" i="3" s="1"/>
  <c r="H381" i="3"/>
  <c r="H436" i="3"/>
  <c r="I436" i="3"/>
  <c r="L436" i="3" s="1"/>
  <c r="M436" i="3" s="1"/>
  <c r="H198" i="3"/>
  <c r="I198" i="3"/>
  <c r="L198" i="3" s="1"/>
  <c r="M198" i="3" s="1"/>
  <c r="H168" i="3"/>
  <c r="I168" i="3"/>
  <c r="L168" i="3" s="1"/>
  <c r="M168" i="3" s="1"/>
  <c r="I129" i="3"/>
  <c r="L129" i="3" s="1"/>
  <c r="M129" i="3" s="1"/>
  <c r="H129" i="3"/>
  <c r="I946" i="3"/>
  <c r="L946" i="3" s="1"/>
  <c r="M946" i="3" s="1"/>
  <c r="H946" i="3"/>
  <c r="H206" i="3"/>
  <c r="I206" i="3"/>
  <c r="L206" i="3" s="1"/>
  <c r="M206" i="3" s="1"/>
  <c r="H192" i="3"/>
  <c r="I192" i="3"/>
  <c r="L192" i="3" s="1"/>
  <c r="M192" i="3" s="1"/>
  <c r="H982" i="3"/>
  <c r="I982" i="3"/>
  <c r="L982" i="3" s="1"/>
  <c r="M982" i="3" s="1"/>
  <c r="H952" i="3"/>
  <c r="I952" i="3"/>
  <c r="L952" i="3" s="1"/>
  <c r="M952" i="3" s="1"/>
  <c r="I113" i="3"/>
  <c r="L113" i="3" s="1"/>
  <c r="M113" i="3" s="1"/>
  <c r="H113" i="3"/>
  <c r="H509" i="3"/>
  <c r="I509" i="3"/>
  <c r="L509" i="3" s="1"/>
  <c r="M509" i="3" s="1"/>
  <c r="H945" i="3"/>
  <c r="I945" i="3"/>
  <c r="L945" i="3" s="1"/>
  <c r="M945" i="3" s="1"/>
  <c r="H299" i="3"/>
  <c r="I299" i="3"/>
  <c r="L299" i="3" s="1"/>
  <c r="M299" i="3" s="1"/>
  <c r="H845" i="3"/>
  <c r="I845" i="3"/>
  <c r="L845" i="3" s="1"/>
  <c r="M845" i="3" s="1"/>
  <c r="H99" i="3"/>
  <c r="I99" i="3"/>
  <c r="L99" i="3" s="1"/>
  <c r="M99" i="3" s="1"/>
  <c r="H964" i="3"/>
  <c r="I964" i="3"/>
  <c r="L964" i="3" s="1"/>
  <c r="M964" i="3" s="1"/>
  <c r="H268" i="3"/>
  <c r="I268" i="3"/>
  <c r="L268" i="3" s="1"/>
  <c r="M268" i="3" s="1"/>
  <c r="H992" i="3"/>
  <c r="I992" i="3"/>
  <c r="L992" i="3" s="1"/>
  <c r="M992" i="3" s="1"/>
  <c r="H332" i="3"/>
  <c r="I332" i="3"/>
  <c r="L332" i="3" s="1"/>
  <c r="M332" i="3" s="1"/>
  <c r="H302" i="3"/>
  <c r="I302" i="3"/>
  <c r="L302" i="3" s="1"/>
  <c r="M302" i="3" s="1"/>
  <c r="H371" i="3"/>
  <c r="I371" i="3"/>
  <c r="L371" i="3" s="1"/>
  <c r="M371" i="3" s="1"/>
  <c r="H994" i="3"/>
  <c r="I994" i="3"/>
  <c r="L994" i="3" s="1"/>
  <c r="M994" i="3" s="1"/>
  <c r="H998" i="3"/>
  <c r="I998" i="3"/>
  <c r="L998" i="3" s="1"/>
  <c r="M998" i="3" s="1"/>
  <c r="H968" i="3"/>
  <c r="I968" i="3"/>
  <c r="L968" i="3" s="1"/>
  <c r="M968" i="3" s="1"/>
  <c r="H778" i="3"/>
  <c r="I778" i="3"/>
  <c r="L778" i="3" s="1"/>
  <c r="M778" i="3" s="1"/>
  <c r="H540" i="3"/>
  <c r="I540" i="3"/>
  <c r="L540" i="3" s="1"/>
  <c r="M540" i="3" s="1"/>
  <c r="H494" i="3"/>
  <c r="I494" i="3"/>
  <c r="L494" i="3" s="1"/>
  <c r="M494" i="3" s="1"/>
  <c r="I790" i="3"/>
  <c r="L790" i="3" s="1"/>
  <c r="M790" i="3" s="1"/>
  <c r="H790" i="3"/>
  <c r="H857" i="3"/>
  <c r="I857" i="3"/>
  <c r="L857" i="3" s="1"/>
  <c r="M857" i="3" s="1"/>
  <c r="H125" i="3"/>
  <c r="I125" i="3"/>
  <c r="L125" i="3" s="1"/>
  <c r="M125" i="3" s="1"/>
  <c r="H484" i="3"/>
  <c r="I484" i="3"/>
  <c r="L484" i="3" s="1"/>
  <c r="M484" i="3" s="1"/>
  <c r="H502" i="3"/>
  <c r="I502" i="3"/>
  <c r="L502" i="3" s="1"/>
  <c r="M502" i="3" s="1"/>
  <c r="I472" i="3"/>
  <c r="L472" i="3" s="1"/>
  <c r="M472" i="3" s="1"/>
  <c r="H472" i="3"/>
  <c r="H282" i="3"/>
  <c r="I282" i="3"/>
  <c r="L282" i="3" s="1"/>
  <c r="M282" i="3" s="1"/>
  <c r="H44" i="3"/>
  <c r="I44" i="3"/>
  <c r="L44" i="3" s="1"/>
  <c r="M44" i="3" s="1"/>
  <c r="H866" i="3"/>
  <c r="I866" i="3"/>
  <c r="L866" i="3" s="1"/>
  <c r="M866" i="3" s="1"/>
  <c r="I33" i="3"/>
  <c r="L33" i="3" s="1"/>
  <c r="M33" i="3" s="1"/>
  <c r="H33" i="3"/>
  <c r="I774" i="3"/>
  <c r="L774" i="3" s="1"/>
  <c r="M774" i="3" s="1"/>
  <c r="H774" i="3"/>
  <c r="H283" i="3"/>
  <c r="I283" i="3"/>
  <c r="L283" i="3" s="1"/>
  <c r="M283" i="3" s="1"/>
  <c r="H286" i="3"/>
  <c r="I286" i="3"/>
  <c r="L286" i="3" s="1"/>
  <c r="M286" i="3" s="1"/>
  <c r="H241" i="3"/>
  <c r="I241" i="3"/>
  <c r="L241" i="3" s="1"/>
  <c r="M241" i="3" s="1"/>
  <c r="H403" i="3"/>
  <c r="I403" i="3"/>
  <c r="L403" i="3" s="1"/>
  <c r="M403" i="3" s="1"/>
  <c r="H21" i="3"/>
  <c r="I21" i="3"/>
  <c r="L21" i="3" s="1"/>
  <c r="M21" i="3" s="1"/>
  <c r="H503" i="3"/>
  <c r="I503" i="3"/>
  <c r="L503" i="3" s="1"/>
  <c r="M503" i="3" s="1"/>
  <c r="H572" i="3"/>
  <c r="I572" i="3"/>
  <c r="L572" i="3" s="1"/>
  <c r="M572" i="3" s="1"/>
  <c r="H573" i="3"/>
  <c r="I573" i="3"/>
  <c r="L573" i="3" s="1"/>
  <c r="M573" i="3" s="1"/>
  <c r="I543" i="3"/>
  <c r="L543" i="3" s="1"/>
  <c r="M543" i="3" s="1"/>
  <c r="H543" i="3"/>
  <c r="H419" i="3"/>
  <c r="I419" i="3"/>
  <c r="L419" i="3" s="1"/>
  <c r="M419" i="3" s="1"/>
  <c r="H293" i="3"/>
  <c r="I293" i="3"/>
  <c r="L293" i="3" s="1"/>
  <c r="M293" i="3" s="1"/>
  <c r="H691" i="3"/>
  <c r="I691" i="3"/>
  <c r="L691" i="3" s="1"/>
  <c r="M691" i="3" s="1"/>
  <c r="H309" i="3"/>
  <c r="I309" i="3"/>
  <c r="L309" i="3" s="1"/>
  <c r="M309" i="3" s="1"/>
  <c r="H707" i="3"/>
  <c r="I707" i="3"/>
  <c r="L707" i="3" s="1"/>
  <c r="M707" i="3" s="1"/>
  <c r="H325" i="3"/>
  <c r="I325" i="3"/>
  <c r="L325" i="3" s="1"/>
  <c r="M325" i="3" s="1"/>
  <c r="H295" i="3"/>
  <c r="I295" i="3"/>
  <c r="L295" i="3" s="1"/>
  <c r="M295" i="3" s="1"/>
  <c r="I105" i="3"/>
  <c r="L105" i="3" s="1"/>
  <c r="M105" i="3" s="1"/>
  <c r="H105" i="3"/>
  <c r="H75" i="3"/>
  <c r="I75" i="3"/>
  <c r="L75" i="3" s="1"/>
  <c r="M75" i="3" s="1"/>
  <c r="H876" i="3"/>
  <c r="I876" i="3"/>
  <c r="L876" i="3" s="1"/>
  <c r="M876" i="3" s="1"/>
  <c r="H830" i="3"/>
  <c r="I830" i="3"/>
  <c r="L830" i="3" s="1"/>
  <c r="M830" i="3" s="1"/>
  <c r="H211" i="3"/>
  <c r="I211" i="3"/>
  <c r="L211" i="3" s="1"/>
  <c r="M211" i="3" s="1"/>
  <c r="H370" i="3"/>
  <c r="I370" i="3"/>
  <c r="L370" i="3" s="1"/>
  <c r="M370" i="3" s="1"/>
  <c r="H838" i="3"/>
  <c r="I838" i="3"/>
  <c r="L838" i="3" s="1"/>
  <c r="M838" i="3" s="1"/>
  <c r="H808" i="3"/>
  <c r="I808" i="3"/>
  <c r="L808" i="3" s="1"/>
  <c r="M808" i="3" s="1"/>
  <c r="I618" i="3"/>
  <c r="L618" i="3" s="1"/>
  <c r="M618" i="3" s="1"/>
  <c r="H618" i="3"/>
  <c r="H380" i="3"/>
  <c r="I380" i="3"/>
  <c r="L380" i="3" s="1"/>
  <c r="M380" i="3" s="1"/>
  <c r="H334" i="3"/>
  <c r="I334" i="3"/>
  <c r="L334" i="3" s="1"/>
  <c r="M334" i="3" s="1"/>
  <c r="H320" i="3"/>
  <c r="I320" i="3"/>
  <c r="L320" i="3" s="1"/>
  <c r="M320" i="3" s="1"/>
  <c r="H483" i="3"/>
  <c r="I483" i="3"/>
  <c r="L483" i="3" s="1"/>
  <c r="M483" i="3" s="1"/>
  <c r="I101" i="3"/>
  <c r="L101" i="3" s="1"/>
  <c r="M101" i="3" s="1"/>
  <c r="H101" i="3"/>
  <c r="H499" i="3"/>
  <c r="I499" i="3"/>
  <c r="L499" i="3" s="1"/>
  <c r="M499" i="3" s="1"/>
  <c r="H117" i="3"/>
  <c r="I117" i="3"/>
  <c r="L117" i="3" s="1"/>
  <c r="M117" i="3" s="1"/>
  <c r="H87" i="3"/>
  <c r="I87" i="3"/>
  <c r="L87" i="3" s="1"/>
  <c r="M87" i="3" s="1"/>
  <c r="H562" i="3"/>
  <c r="I562" i="3"/>
  <c r="L562" i="3" s="1"/>
  <c r="M562" i="3" s="1"/>
  <c r="H906" i="3"/>
  <c r="I906" i="3"/>
  <c r="L906" i="3" s="1"/>
  <c r="M906" i="3" s="1"/>
  <c r="H668" i="3"/>
  <c r="I668" i="3"/>
  <c r="L668" i="3" s="1"/>
  <c r="M668" i="3" s="1"/>
  <c r="H622" i="3"/>
  <c r="I622" i="3"/>
  <c r="L622" i="3" s="1"/>
  <c r="M622" i="3" s="1"/>
  <c r="H608" i="3"/>
  <c r="I608" i="3"/>
  <c r="L608" i="3" s="1"/>
  <c r="M608" i="3" s="1"/>
  <c r="I907" i="3"/>
  <c r="L907" i="3" s="1"/>
  <c r="M907" i="3" s="1"/>
  <c r="H907" i="3"/>
  <c r="H925" i="3"/>
  <c r="I925" i="3"/>
  <c r="L925" i="3" s="1"/>
  <c r="M925" i="3" s="1"/>
  <c r="I887" i="3"/>
  <c r="L887" i="3" s="1"/>
  <c r="M887" i="3" s="1"/>
  <c r="H887" i="3"/>
  <c r="H398" i="3"/>
  <c r="I398" i="3"/>
  <c r="L398" i="3" s="1"/>
  <c r="M398" i="3" s="1"/>
  <c r="I912" i="3"/>
  <c r="L912" i="3" s="1"/>
  <c r="M912" i="3" s="1"/>
  <c r="H912" i="3"/>
  <c r="H100" i="3"/>
  <c r="I100" i="3"/>
  <c r="L100" i="3" s="1"/>
  <c r="M100" i="3" s="1"/>
  <c r="I356" i="3"/>
  <c r="L356" i="3" s="1"/>
  <c r="M356" i="3" s="1"/>
  <c r="H356" i="3"/>
  <c r="H118" i="3"/>
  <c r="I118" i="3"/>
  <c r="L118" i="3" s="1"/>
  <c r="M118" i="3" s="1"/>
  <c r="H88" i="3"/>
  <c r="I88" i="3"/>
  <c r="L88" i="3" s="1"/>
  <c r="M88" i="3" s="1"/>
  <c r="H937" i="3"/>
  <c r="I937" i="3"/>
  <c r="L937" i="3" s="1"/>
  <c r="M937" i="3" s="1"/>
  <c r="I894" i="3"/>
  <c r="L894" i="3" s="1"/>
  <c r="M894" i="3" s="1"/>
  <c r="H894" i="3"/>
  <c r="H185" i="3"/>
  <c r="I185" i="3"/>
  <c r="L185" i="3" s="1"/>
  <c r="M185" i="3" s="1"/>
  <c r="I910" i="3"/>
  <c r="L910" i="3" s="1"/>
  <c r="M910" i="3" s="1"/>
  <c r="H910" i="3"/>
  <c r="I609" i="3"/>
  <c r="L609" i="3" s="1"/>
  <c r="M609" i="3" s="1"/>
  <c r="H609" i="3"/>
  <c r="H787" i="3"/>
  <c r="I787" i="3"/>
  <c r="L787" i="3" s="1"/>
  <c r="M787" i="3" s="1"/>
  <c r="H405" i="3"/>
  <c r="I405" i="3"/>
  <c r="L405" i="3" s="1"/>
  <c r="M405" i="3" s="1"/>
  <c r="H631" i="3"/>
  <c r="I631" i="3"/>
  <c r="L631" i="3" s="1"/>
  <c r="M631" i="3" s="1"/>
  <c r="H674" i="3"/>
  <c r="I674" i="3"/>
  <c r="L674" i="3" s="1"/>
  <c r="M674" i="3" s="1"/>
  <c r="H849" i="3"/>
  <c r="I849" i="3"/>
  <c r="L849" i="3" s="1"/>
  <c r="M849" i="3" s="1"/>
  <c r="H35" i="3"/>
  <c r="I35" i="3"/>
  <c r="L35" i="3" s="1"/>
  <c r="M35" i="3" s="1"/>
  <c r="H900" i="3"/>
  <c r="I900" i="3"/>
  <c r="L900" i="3" s="1"/>
  <c r="M900" i="3" s="1"/>
  <c r="I662" i="3"/>
  <c r="L662" i="3" s="1"/>
  <c r="M662" i="3" s="1"/>
  <c r="H662" i="3"/>
  <c r="H632" i="3"/>
  <c r="I632" i="3"/>
  <c r="L632" i="3" s="1"/>
  <c r="M632" i="3" s="1"/>
  <c r="H442" i="3"/>
  <c r="I442" i="3"/>
  <c r="L442" i="3" s="1"/>
  <c r="M442" i="3" s="1"/>
  <c r="H204" i="3"/>
  <c r="I204" i="3"/>
  <c r="L204" i="3" s="1"/>
  <c r="M204" i="3" s="1"/>
  <c r="H656" i="3"/>
  <c r="I656" i="3"/>
  <c r="L656" i="3" s="1"/>
  <c r="M656" i="3" s="1"/>
  <c r="H819" i="3"/>
  <c r="I819" i="3"/>
  <c r="L819" i="3" s="1"/>
  <c r="M819" i="3" s="1"/>
  <c r="I437" i="3"/>
  <c r="L437" i="3" s="1"/>
  <c r="M437" i="3" s="1"/>
  <c r="H437" i="3"/>
  <c r="I407" i="3"/>
  <c r="L407" i="3" s="1"/>
  <c r="M407" i="3" s="1"/>
  <c r="H407" i="3"/>
  <c r="I217" i="3"/>
  <c r="L217" i="3" s="1"/>
  <c r="M217" i="3" s="1"/>
  <c r="H217" i="3"/>
  <c r="I187" i="3"/>
  <c r="L187" i="3" s="1"/>
  <c r="M187" i="3" s="1"/>
  <c r="H187" i="3"/>
  <c r="H988" i="3"/>
  <c r="I988" i="3"/>
  <c r="L988" i="3" s="1"/>
  <c r="M988" i="3" s="1"/>
  <c r="I942" i="3"/>
  <c r="L942" i="3" s="1"/>
  <c r="M942" i="3" s="1"/>
  <c r="H942" i="3"/>
  <c r="I928" i="3"/>
  <c r="L928" i="3" s="1"/>
  <c r="M928" i="3" s="1"/>
  <c r="H928" i="3"/>
  <c r="H385" i="3"/>
  <c r="I385" i="3"/>
  <c r="L385" i="3" s="1"/>
  <c r="M385" i="3" s="1"/>
  <c r="H14" i="3"/>
  <c r="I14" i="3"/>
  <c r="L14" i="3" s="1"/>
  <c r="M14" i="3" s="1"/>
  <c r="I271" i="3"/>
  <c r="L271" i="3" s="1"/>
  <c r="M271" i="3" s="1"/>
  <c r="H271" i="3"/>
  <c r="I753" i="3"/>
  <c r="L753" i="3" s="1"/>
  <c r="M753" i="3" s="1"/>
  <c r="H753" i="3"/>
  <c r="H323" i="3"/>
  <c r="I323" i="3"/>
  <c r="L323" i="3" s="1"/>
  <c r="M323" i="3" s="1"/>
  <c r="H770" i="3"/>
  <c r="I770" i="3"/>
  <c r="L770" i="3" s="1"/>
  <c r="M770" i="3" s="1"/>
  <c r="H950" i="3"/>
  <c r="I950" i="3"/>
  <c r="L950" i="3" s="1"/>
  <c r="M950" i="3" s="1"/>
  <c r="H920" i="3"/>
  <c r="I920" i="3"/>
  <c r="L920" i="3" s="1"/>
  <c r="M920" i="3" s="1"/>
  <c r="I730" i="3"/>
  <c r="L730" i="3" s="1"/>
  <c r="M730" i="3" s="1"/>
  <c r="H730" i="3"/>
  <c r="H492" i="3"/>
  <c r="I492" i="3"/>
  <c r="L492" i="3" s="1"/>
  <c r="M492" i="3" s="1"/>
  <c r="H702" i="3"/>
  <c r="I702" i="3"/>
  <c r="L702" i="3" s="1"/>
  <c r="M702" i="3" s="1"/>
  <c r="I719" i="3"/>
  <c r="L719" i="3" s="1"/>
  <c r="M719" i="3" s="1"/>
  <c r="H719" i="3"/>
  <c r="I775" i="3"/>
  <c r="L775" i="3" s="1"/>
  <c r="M775" i="3" s="1"/>
  <c r="H775" i="3"/>
  <c r="H59" i="3"/>
  <c r="I59" i="3"/>
  <c r="L59" i="3" s="1"/>
  <c r="M59" i="3" s="1"/>
  <c r="I289" i="3"/>
  <c r="L289" i="3" s="1"/>
  <c r="M289" i="3" s="1"/>
  <c r="H289" i="3"/>
  <c r="I692" i="3"/>
  <c r="L692" i="3" s="1"/>
  <c r="M692" i="3" s="1"/>
  <c r="H692" i="3"/>
  <c r="H454" i="3"/>
  <c r="I454" i="3"/>
  <c r="L454" i="3" s="1"/>
  <c r="M454" i="3" s="1"/>
  <c r="I424" i="3"/>
  <c r="L424" i="3" s="1"/>
  <c r="M424" i="3" s="1"/>
  <c r="H424" i="3"/>
  <c r="H234" i="3"/>
  <c r="I234" i="3"/>
  <c r="L234" i="3" s="1"/>
  <c r="M234" i="3" s="1"/>
  <c r="H252" i="3"/>
  <c r="I252" i="3"/>
  <c r="L252" i="3" s="1"/>
  <c r="M252" i="3" s="1"/>
  <c r="H462" i="3"/>
  <c r="I462" i="3"/>
  <c r="L462" i="3" s="1"/>
  <c r="M462" i="3" s="1"/>
  <c r="H448" i="3"/>
  <c r="I448" i="3"/>
  <c r="L448" i="3" s="1"/>
  <c r="M448" i="3" s="1"/>
  <c r="H199" i="3"/>
  <c r="I199" i="3"/>
  <c r="L199" i="3" s="1"/>
  <c r="M199" i="3" s="1"/>
  <c r="I265" i="3"/>
  <c r="L265" i="3" s="1"/>
  <c r="M265" i="3" s="1"/>
  <c r="H265" i="3"/>
  <c r="H235" i="3"/>
  <c r="I235" i="3"/>
  <c r="L235" i="3" s="1"/>
  <c r="M235" i="3" s="1"/>
  <c r="I49" i="3"/>
  <c r="L49" i="3" s="1"/>
  <c r="M49" i="3" s="1"/>
  <c r="H49" i="3"/>
  <c r="H258" i="3"/>
  <c r="I258" i="3"/>
  <c r="L258" i="3" s="1"/>
  <c r="M258" i="3" s="1"/>
  <c r="H844" i="3"/>
  <c r="I844" i="3"/>
  <c r="L844" i="3" s="1"/>
  <c r="M844" i="3" s="1"/>
  <c r="H287" i="3"/>
  <c r="I287" i="3"/>
  <c r="L287" i="3" s="1"/>
  <c r="M287" i="3" s="1"/>
  <c r="H355" i="3"/>
  <c r="I355" i="3"/>
  <c r="L355" i="3" s="1"/>
  <c r="M355" i="3" s="1"/>
  <c r="I930" i="3"/>
  <c r="L930" i="3" s="1"/>
  <c r="M930" i="3" s="1"/>
  <c r="H930" i="3"/>
  <c r="H242" i="3"/>
  <c r="I242" i="3"/>
  <c r="L242" i="3" s="1"/>
  <c r="M242" i="3" s="1"/>
  <c r="H27" i="3"/>
  <c r="I27" i="3"/>
  <c r="L27" i="3" s="1"/>
  <c r="M27" i="3" s="1"/>
  <c r="H829" i="3"/>
  <c r="I829" i="3"/>
  <c r="L829" i="3" s="1"/>
  <c r="M829" i="3" s="1"/>
  <c r="H32" i="3"/>
  <c r="I32" i="3"/>
  <c r="L32" i="3" s="1"/>
  <c r="M32" i="3" s="1"/>
  <c r="I627" i="3"/>
  <c r="L627" i="3" s="1"/>
  <c r="M627" i="3" s="1"/>
  <c r="H627" i="3"/>
  <c r="H245" i="3"/>
  <c r="I245" i="3"/>
  <c r="L245" i="3" s="1"/>
  <c r="M245" i="3" s="1"/>
  <c r="H215" i="3"/>
  <c r="I215" i="3"/>
  <c r="L215" i="3" s="1"/>
  <c r="M215" i="3" s="1"/>
  <c r="H25" i="3"/>
  <c r="I25" i="3"/>
  <c r="L25" i="3" s="1"/>
  <c r="M25" i="3" s="1"/>
  <c r="H162" i="3"/>
  <c r="I162" i="3"/>
  <c r="L162" i="3" s="1"/>
  <c r="M162" i="3" s="1"/>
  <c r="I796" i="3"/>
  <c r="L796" i="3" s="1"/>
  <c r="M796" i="3" s="1"/>
  <c r="H796" i="3"/>
  <c r="H750" i="3"/>
  <c r="I750" i="3"/>
  <c r="L750" i="3" s="1"/>
  <c r="M750" i="3" s="1"/>
  <c r="H504" i="3"/>
  <c r="I504" i="3"/>
  <c r="L504" i="3" s="1"/>
  <c r="M504" i="3" s="1"/>
  <c r="I571" i="3"/>
  <c r="L571" i="3" s="1"/>
  <c r="M571" i="3" s="1"/>
  <c r="H571" i="3"/>
  <c r="H336" i="3"/>
  <c r="I336" i="3"/>
  <c r="L336" i="3" s="1"/>
  <c r="M336" i="3" s="1"/>
  <c r="I740" i="3"/>
  <c r="L740" i="3" s="1"/>
  <c r="M740" i="3" s="1"/>
  <c r="H740" i="3"/>
  <c r="H758" i="3"/>
  <c r="I758" i="3"/>
  <c r="L758" i="3" s="1"/>
  <c r="M758" i="3" s="1"/>
  <c r="H728" i="3"/>
  <c r="I728" i="3"/>
  <c r="L728" i="3" s="1"/>
  <c r="M728" i="3" s="1"/>
  <c r="I538" i="3"/>
  <c r="L538" i="3" s="1"/>
  <c r="M538" i="3" s="1"/>
  <c r="H538" i="3"/>
  <c r="H300" i="3"/>
  <c r="I300" i="3"/>
  <c r="L300" i="3" s="1"/>
  <c r="M300" i="3" s="1"/>
  <c r="H254" i="3"/>
  <c r="I254" i="3"/>
  <c r="L254" i="3" s="1"/>
  <c r="M254" i="3" s="1"/>
  <c r="H240" i="3"/>
  <c r="I240" i="3"/>
  <c r="L240" i="3" s="1"/>
  <c r="M240" i="3" s="1"/>
  <c r="H759" i="3"/>
  <c r="I759" i="3"/>
  <c r="L759" i="3" s="1"/>
  <c r="M759" i="3" s="1"/>
  <c r="H316" i="3"/>
  <c r="I316" i="3"/>
  <c r="L316" i="3" s="1"/>
  <c r="M316" i="3" s="1"/>
  <c r="H16" i="3"/>
  <c r="I16" i="3"/>
  <c r="L16" i="3" s="1"/>
  <c r="M16" i="3" s="1"/>
  <c r="H304" i="3"/>
  <c r="I304" i="3"/>
  <c r="L304" i="3" s="1"/>
  <c r="M304" i="3" s="1"/>
  <c r="H659" i="3"/>
  <c r="I659" i="3"/>
  <c r="L659" i="3" s="1"/>
  <c r="M659" i="3" s="1"/>
  <c r="H277" i="3"/>
  <c r="I277" i="3"/>
  <c r="L277" i="3" s="1"/>
  <c r="M277" i="3" s="1"/>
  <c r="I145" i="3"/>
  <c r="L145" i="3" s="1"/>
  <c r="M145" i="3" s="1"/>
  <c r="H145" i="3"/>
  <c r="H270" i="3"/>
  <c r="I270" i="3"/>
  <c r="L270" i="3" s="1"/>
  <c r="M270" i="3" s="1"/>
  <c r="H15" i="3"/>
  <c r="I15" i="3"/>
  <c r="L15" i="3" s="1"/>
  <c r="M15" i="3" s="1"/>
  <c r="I497" i="3"/>
  <c r="L497" i="3" s="1"/>
  <c r="M497" i="3" s="1"/>
  <c r="H497" i="3"/>
  <c r="H675" i="3"/>
  <c r="I675" i="3"/>
  <c r="L675" i="3" s="1"/>
  <c r="M675" i="3" s="1"/>
  <c r="H549" i="3"/>
  <c r="I549" i="3"/>
  <c r="L549" i="3" s="1"/>
  <c r="M549" i="3" s="1"/>
  <c r="H947" i="3"/>
  <c r="I947" i="3"/>
  <c r="L947" i="3" s="1"/>
  <c r="M947" i="3" s="1"/>
  <c r="I565" i="3"/>
  <c r="L565" i="3" s="1"/>
  <c r="M565" i="3" s="1"/>
  <c r="H565" i="3"/>
  <c r="H963" i="3"/>
  <c r="I963" i="3"/>
  <c r="L963" i="3" s="1"/>
  <c r="M963" i="3" s="1"/>
  <c r="H581" i="3"/>
  <c r="I581" i="3"/>
  <c r="L581" i="3" s="1"/>
  <c r="M581" i="3" s="1"/>
  <c r="I551" i="3"/>
  <c r="L551" i="3" s="1"/>
  <c r="M551" i="3" s="1"/>
  <c r="H551" i="3"/>
  <c r="I361" i="3"/>
  <c r="L361" i="3" s="1"/>
  <c r="M361" i="3" s="1"/>
  <c r="H361" i="3"/>
  <c r="I331" i="3"/>
  <c r="L331" i="3" s="1"/>
  <c r="M331" i="3" s="1"/>
  <c r="H331" i="3"/>
  <c r="H93" i="3"/>
  <c r="I93" i="3"/>
  <c r="L93" i="3" s="1"/>
  <c r="M93" i="3" s="1"/>
  <c r="H47" i="3"/>
  <c r="I47" i="3"/>
  <c r="L47" i="3" s="1"/>
  <c r="M47" i="3" s="1"/>
  <c r="H467" i="3"/>
  <c r="I467" i="3"/>
  <c r="L467" i="3" s="1"/>
  <c r="M467" i="3" s="1"/>
  <c r="I85" i="3"/>
  <c r="L85" i="3" s="1"/>
  <c r="M85" i="3" s="1"/>
  <c r="H85" i="3"/>
  <c r="H55" i="3"/>
  <c r="I55" i="3"/>
  <c r="L55" i="3" s="1"/>
  <c r="M55" i="3" s="1"/>
  <c r="H418" i="3"/>
  <c r="I418" i="3"/>
  <c r="L418" i="3" s="1"/>
  <c r="M418" i="3" s="1"/>
  <c r="H874" i="3"/>
  <c r="I874" i="3"/>
  <c r="L874" i="3" s="1"/>
  <c r="M874" i="3" s="1"/>
  <c r="H636" i="3"/>
  <c r="I636" i="3"/>
  <c r="L636" i="3" s="1"/>
  <c r="M636" i="3" s="1"/>
  <c r="H590" i="3"/>
  <c r="I590" i="3"/>
  <c r="L590" i="3" s="1"/>
  <c r="M590" i="3" s="1"/>
  <c r="I576" i="3"/>
  <c r="L576" i="3" s="1"/>
  <c r="M576" i="3" s="1"/>
  <c r="H576" i="3"/>
  <c r="H739" i="3"/>
  <c r="I739" i="3"/>
  <c r="L739" i="3" s="1"/>
  <c r="M739" i="3" s="1"/>
  <c r="H357" i="3"/>
  <c r="I357" i="3"/>
  <c r="L357" i="3" s="1"/>
  <c r="M357" i="3" s="1"/>
  <c r="H755" i="3"/>
  <c r="I755" i="3"/>
  <c r="L755" i="3" s="1"/>
  <c r="M755" i="3" s="1"/>
  <c r="H373" i="3"/>
  <c r="I373" i="3"/>
  <c r="L373" i="3" s="1"/>
  <c r="M373" i="3" s="1"/>
  <c r="H343" i="3"/>
  <c r="I343" i="3"/>
  <c r="L343" i="3" s="1"/>
  <c r="M343" i="3" s="1"/>
  <c r="H153" i="3"/>
  <c r="I153" i="3"/>
  <c r="L153" i="3" s="1"/>
  <c r="M153" i="3" s="1"/>
  <c r="I123" i="3"/>
  <c r="L123" i="3" s="1"/>
  <c r="M123" i="3" s="1"/>
  <c r="H123" i="3"/>
  <c r="H924" i="3"/>
  <c r="I924" i="3"/>
  <c r="L924" i="3" s="1"/>
  <c r="M924" i="3" s="1"/>
  <c r="I878" i="3"/>
  <c r="L878" i="3" s="1"/>
  <c r="M878" i="3" s="1"/>
  <c r="H878" i="3"/>
  <c r="H864" i="3"/>
  <c r="I864" i="3"/>
  <c r="L864" i="3" s="1"/>
  <c r="M864" i="3" s="1"/>
  <c r="H610" i="3"/>
  <c r="I610" i="3"/>
  <c r="L610" i="3" s="1"/>
  <c r="M610" i="3" s="1"/>
  <c r="H638" i="3"/>
  <c r="I638" i="3"/>
  <c r="L638" i="3" s="1"/>
  <c r="M638" i="3" s="1"/>
  <c r="H690" i="3"/>
  <c r="I690" i="3"/>
  <c r="L690" i="3" s="1"/>
  <c r="M690" i="3" s="1"/>
  <c r="I127" i="3"/>
  <c r="L127" i="3" s="1"/>
  <c r="M127" i="3" s="1"/>
  <c r="H127" i="3"/>
  <c r="H71" i="3"/>
  <c r="I71" i="3"/>
  <c r="L71" i="3" s="1"/>
  <c r="M71" i="3" s="1"/>
  <c r="H612" i="3"/>
  <c r="I612" i="3"/>
  <c r="L612" i="3" s="1"/>
  <c r="M612" i="3" s="1"/>
  <c r="I374" i="3"/>
  <c r="L374" i="3" s="1"/>
  <c r="M374" i="3" s="1"/>
  <c r="H374" i="3"/>
  <c r="H344" i="3"/>
  <c r="I344" i="3"/>
  <c r="L344" i="3" s="1"/>
  <c r="M344" i="3" s="1"/>
  <c r="I154" i="3"/>
  <c r="L154" i="3" s="1"/>
  <c r="M154" i="3" s="1"/>
  <c r="H154" i="3"/>
  <c r="H367" i="3"/>
  <c r="I367" i="3"/>
  <c r="L367" i="3" s="1"/>
  <c r="M367" i="3" s="1"/>
  <c r="I170" i="3"/>
  <c r="L170" i="3" s="1"/>
  <c r="M170" i="3" s="1"/>
  <c r="H170" i="3"/>
  <c r="I639" i="3"/>
  <c r="L639" i="3" s="1"/>
  <c r="M639" i="3" s="1"/>
  <c r="H639" i="3"/>
  <c r="H568" i="3"/>
  <c r="I568" i="3"/>
  <c r="L568" i="3" s="1"/>
  <c r="M568" i="3" s="1"/>
  <c r="H322" i="3"/>
  <c r="I322" i="3"/>
  <c r="L322" i="3" s="1"/>
  <c r="M322" i="3" s="1"/>
  <c r="H661" i="3"/>
  <c r="I661" i="3"/>
  <c r="L661" i="3" s="1"/>
  <c r="M661" i="3" s="1"/>
  <c r="H104" i="3"/>
  <c r="I104" i="3"/>
  <c r="L104" i="3" s="1"/>
  <c r="M104" i="3" s="1"/>
  <c r="H444" i="3"/>
  <c r="I444" i="3"/>
  <c r="L444" i="3" s="1"/>
  <c r="M444" i="3" s="1"/>
  <c r="I957" i="3"/>
  <c r="L957" i="3" s="1"/>
  <c r="M957" i="3" s="1"/>
  <c r="H957" i="3"/>
  <c r="H291" i="3"/>
  <c r="I291" i="3"/>
  <c r="L291" i="3" s="1"/>
  <c r="M291" i="3" s="1"/>
  <c r="H642" i="3"/>
  <c r="I642" i="3"/>
  <c r="L642" i="3" s="1"/>
  <c r="M642" i="3" s="1"/>
  <c r="H918" i="3"/>
  <c r="I918" i="3"/>
  <c r="L918" i="3" s="1"/>
  <c r="M918" i="3" s="1"/>
  <c r="H888" i="3"/>
  <c r="I888" i="3"/>
  <c r="L888" i="3" s="1"/>
  <c r="M888" i="3" s="1"/>
  <c r="H698" i="3"/>
  <c r="I698" i="3"/>
  <c r="L698" i="3" s="1"/>
  <c r="M698" i="3" s="1"/>
  <c r="H460" i="3"/>
  <c r="I460" i="3"/>
  <c r="L460" i="3" s="1"/>
  <c r="M460" i="3" s="1"/>
  <c r="H865" i="3"/>
  <c r="I865" i="3"/>
  <c r="L865" i="3" s="1"/>
  <c r="M865" i="3" s="1"/>
  <c r="H530" i="3"/>
  <c r="I530" i="3"/>
  <c r="L530" i="3" s="1"/>
  <c r="M530" i="3" s="1"/>
  <c r="I693" i="3"/>
  <c r="L693" i="3" s="1"/>
  <c r="M693" i="3" s="1"/>
  <c r="H693" i="3"/>
  <c r="H663" i="3"/>
  <c r="I663" i="3"/>
  <c r="L663" i="3" s="1"/>
  <c r="M663" i="3" s="1"/>
  <c r="H473" i="3"/>
  <c r="I473" i="3"/>
  <c r="L473" i="3" s="1"/>
  <c r="M473" i="3" s="1"/>
  <c r="H443" i="3"/>
  <c r="I443" i="3"/>
  <c r="L443" i="3" s="1"/>
  <c r="M443" i="3" s="1"/>
  <c r="H205" i="3"/>
  <c r="I205" i="3"/>
  <c r="L205" i="3" s="1"/>
  <c r="M205" i="3" s="1"/>
  <c r="H159" i="3"/>
  <c r="I159" i="3"/>
  <c r="L159" i="3" s="1"/>
  <c r="M159" i="3" s="1"/>
  <c r="H369" i="3"/>
  <c r="I369" i="3"/>
  <c r="L369" i="3" s="1"/>
  <c r="M369" i="3" s="1"/>
  <c r="H897" i="3"/>
  <c r="I897" i="3"/>
  <c r="L897" i="3" s="1"/>
  <c r="M897" i="3" s="1"/>
  <c r="H767" i="3"/>
  <c r="I767" i="3"/>
  <c r="L767" i="3" s="1"/>
  <c r="M767" i="3" s="1"/>
  <c r="H882" i="3"/>
  <c r="I882" i="3"/>
  <c r="L882" i="3" s="1"/>
  <c r="M882" i="3" s="1"/>
  <c r="I769" i="3"/>
  <c r="L769" i="3" s="1"/>
  <c r="M769" i="3" s="1"/>
  <c r="H769" i="3"/>
  <c r="H579" i="3"/>
  <c r="I579" i="3"/>
  <c r="L579" i="3" s="1"/>
  <c r="M579" i="3" s="1"/>
  <c r="I197" i="3"/>
  <c r="L197" i="3" s="1"/>
  <c r="M197" i="3" s="1"/>
  <c r="H197" i="3"/>
  <c r="H167" i="3"/>
  <c r="I167" i="3"/>
  <c r="L167" i="3" s="1"/>
  <c r="M167" i="3" s="1"/>
  <c r="I914" i="3"/>
  <c r="L914" i="3" s="1"/>
  <c r="M914" i="3" s="1"/>
  <c r="H914" i="3"/>
  <c r="I986" i="3"/>
  <c r="L986" i="3" s="1"/>
  <c r="M986" i="3" s="1"/>
  <c r="H986" i="3"/>
  <c r="H748" i="3"/>
  <c r="I748" i="3"/>
  <c r="L748" i="3" s="1"/>
  <c r="M748" i="3" s="1"/>
  <c r="H958" i="3"/>
  <c r="I958" i="3"/>
  <c r="L958" i="3" s="1"/>
  <c r="M958" i="3" s="1"/>
  <c r="H720" i="3"/>
  <c r="I720" i="3"/>
  <c r="L720" i="3" s="1"/>
  <c r="M720" i="3" s="1"/>
  <c r="H841" i="3"/>
  <c r="I841" i="3"/>
  <c r="L841" i="3" s="1"/>
  <c r="M841" i="3" s="1"/>
  <c r="H860" i="3"/>
  <c r="I860" i="3"/>
  <c r="L860" i="3" s="1"/>
  <c r="M860" i="3" s="1"/>
  <c r="H83" i="3"/>
  <c r="I83" i="3"/>
  <c r="L83" i="3" s="1"/>
  <c r="M83" i="3" s="1"/>
  <c r="H948" i="3"/>
  <c r="I948" i="3"/>
  <c r="L948" i="3" s="1"/>
  <c r="M948" i="3" s="1"/>
  <c r="H710" i="3"/>
  <c r="I710" i="3"/>
  <c r="L710" i="3" s="1"/>
  <c r="M710" i="3" s="1"/>
  <c r="I680" i="3"/>
  <c r="L680" i="3" s="1"/>
  <c r="M680" i="3" s="1"/>
  <c r="H680" i="3"/>
  <c r="H490" i="3"/>
  <c r="I490" i="3"/>
  <c r="L490" i="3" s="1"/>
  <c r="M490" i="3" s="1"/>
  <c r="H508" i="3"/>
  <c r="I508" i="3"/>
  <c r="L508" i="3" s="1"/>
  <c r="M508" i="3" s="1"/>
  <c r="H718" i="3"/>
  <c r="I718" i="3"/>
  <c r="L718" i="3" s="1"/>
  <c r="M718" i="3" s="1"/>
  <c r="H704" i="3"/>
  <c r="I704" i="3"/>
  <c r="L704" i="3" s="1"/>
  <c r="M704" i="3" s="1"/>
  <c r="I455" i="3"/>
  <c r="L455" i="3" s="1"/>
  <c r="M455" i="3" s="1"/>
  <c r="H455" i="3"/>
  <c r="I521" i="3"/>
  <c r="L521" i="3" s="1"/>
  <c r="M521" i="3" s="1"/>
  <c r="H521" i="3"/>
  <c r="I491" i="3"/>
  <c r="L491" i="3" s="1"/>
  <c r="M491" i="3" s="1"/>
  <c r="H491" i="3"/>
  <c r="H478" i="3"/>
  <c r="I478" i="3"/>
  <c r="L478" i="3" s="1"/>
  <c r="M478" i="3" s="1"/>
  <c r="H301" i="3"/>
  <c r="I301" i="3"/>
  <c r="L301" i="3" s="1"/>
  <c r="M301" i="3" s="1"/>
  <c r="H542" i="3"/>
  <c r="I542" i="3"/>
  <c r="L542" i="3" s="1"/>
  <c r="M542" i="3" s="1"/>
  <c r="H800" i="3"/>
  <c r="I800" i="3"/>
  <c r="L800" i="3" s="1"/>
  <c r="M800" i="3" s="1"/>
  <c r="I611" i="3"/>
  <c r="L611" i="3" s="1"/>
  <c r="M611" i="3" s="1"/>
  <c r="H611" i="3"/>
  <c r="H229" i="3"/>
  <c r="I229" i="3"/>
  <c r="L229" i="3" s="1"/>
  <c r="M229" i="3" s="1"/>
  <c r="H765" i="3"/>
  <c r="I765" i="3"/>
  <c r="L765" i="3" s="1"/>
  <c r="M765" i="3" s="1"/>
  <c r="H557" i="3"/>
  <c r="I557" i="3"/>
  <c r="L557" i="3" s="1"/>
  <c r="M557" i="3" s="1"/>
  <c r="H527" i="3"/>
  <c r="I527" i="3"/>
  <c r="L527" i="3" s="1"/>
  <c r="M527" i="3" s="1"/>
  <c r="H178" i="3"/>
  <c r="I178" i="3"/>
  <c r="L178" i="3" s="1"/>
  <c r="M178" i="3" s="1"/>
  <c r="H883" i="3"/>
  <c r="I883" i="3"/>
  <c r="L883" i="3" s="1"/>
  <c r="M883" i="3" s="1"/>
  <c r="I501" i="3"/>
  <c r="L501" i="3" s="1"/>
  <c r="M501" i="3" s="1"/>
  <c r="H501" i="3"/>
  <c r="H471" i="3"/>
  <c r="I471" i="3"/>
  <c r="L471" i="3" s="1"/>
  <c r="M471" i="3" s="1"/>
  <c r="I281" i="3"/>
  <c r="L281" i="3" s="1"/>
  <c r="M281" i="3" s="1"/>
  <c r="H281" i="3"/>
  <c r="H251" i="3"/>
  <c r="I251" i="3"/>
  <c r="L251" i="3" s="1"/>
  <c r="M251" i="3" s="1"/>
  <c r="H13" i="3"/>
  <c r="I13" i="3"/>
  <c r="L13" i="3" s="1"/>
  <c r="M13" i="3" s="1"/>
  <c r="I735" i="3"/>
  <c r="L735" i="3" s="1"/>
  <c r="M735" i="3" s="1"/>
  <c r="H735" i="3"/>
  <c r="H314" i="3"/>
  <c r="I314" i="3"/>
  <c r="L314" i="3" s="1"/>
  <c r="M314" i="3" s="1"/>
  <c r="H77" i="3"/>
  <c r="I77" i="3"/>
  <c r="L77" i="3" s="1"/>
  <c r="M77" i="3" s="1"/>
  <c r="H131" i="3"/>
  <c r="I131" i="3"/>
  <c r="L131" i="3" s="1"/>
  <c r="M131" i="3" s="1"/>
  <c r="H996" i="3"/>
  <c r="I996" i="3"/>
  <c r="L996" i="3" s="1"/>
  <c r="M996" i="3" s="1"/>
  <c r="H225" i="3"/>
  <c r="I225" i="3"/>
  <c r="L225" i="3" s="1"/>
  <c r="M225" i="3" s="1"/>
  <c r="H984" i="3"/>
  <c r="I984" i="3"/>
  <c r="L984" i="3" s="1"/>
  <c r="M984" i="3" s="1"/>
  <c r="H794" i="3"/>
  <c r="I794" i="3"/>
  <c r="L794" i="3" s="1"/>
  <c r="M794" i="3" s="1"/>
  <c r="H556" i="3"/>
  <c r="I556" i="3"/>
  <c r="L556" i="3" s="1"/>
  <c r="M556" i="3" s="1"/>
  <c r="I510" i="3"/>
  <c r="L510" i="3" s="1"/>
  <c r="M510" i="3" s="1"/>
  <c r="H510" i="3"/>
  <c r="H496" i="3"/>
  <c r="I496" i="3"/>
  <c r="L496" i="3" s="1"/>
  <c r="M496" i="3" s="1"/>
  <c r="H232" i="3"/>
  <c r="I232" i="3"/>
  <c r="L232" i="3" s="1"/>
  <c r="M232" i="3" s="1"/>
  <c r="H45" i="3"/>
  <c r="I45" i="3"/>
  <c r="L45" i="3" s="1"/>
  <c r="M45" i="3" s="1"/>
  <c r="I535" i="3"/>
  <c r="L535" i="3" s="1"/>
  <c r="M535" i="3" s="1"/>
  <c r="H535" i="3"/>
  <c r="H273" i="3"/>
  <c r="I273" i="3"/>
  <c r="L273" i="3" s="1"/>
  <c r="M273" i="3" s="1"/>
  <c r="H915" i="3"/>
  <c r="I915" i="3"/>
  <c r="L915" i="3" s="1"/>
  <c r="M915" i="3" s="1"/>
  <c r="H533" i="3"/>
  <c r="I533" i="3"/>
  <c r="L533" i="3" s="1"/>
  <c r="M533" i="3" s="1"/>
  <c r="H488" i="3"/>
  <c r="I488" i="3"/>
  <c r="L488" i="3" s="1"/>
  <c r="M488" i="3" s="1"/>
  <c r="H511" i="3"/>
  <c r="I511" i="3"/>
  <c r="L511" i="3" s="1"/>
  <c r="M511" i="3" s="1"/>
  <c r="H784" i="3"/>
  <c r="I784" i="3"/>
  <c r="L784" i="3" s="1"/>
  <c r="M784" i="3" s="1"/>
  <c r="H816" i="3"/>
  <c r="I816" i="3"/>
  <c r="L816" i="3" s="1"/>
  <c r="M816" i="3" s="1"/>
  <c r="H931" i="3"/>
  <c r="I931" i="3"/>
  <c r="L931" i="3" s="1"/>
  <c r="M931" i="3" s="1"/>
  <c r="H805" i="3"/>
  <c r="I805" i="3"/>
  <c r="L805" i="3" s="1"/>
  <c r="M805" i="3" s="1"/>
  <c r="H20" i="3"/>
  <c r="I20" i="3"/>
  <c r="L20" i="3" s="1"/>
  <c r="M20" i="3" s="1"/>
  <c r="H821" i="3"/>
  <c r="I821" i="3"/>
  <c r="L821" i="3" s="1"/>
  <c r="M821" i="3" s="1"/>
  <c r="H36" i="3"/>
  <c r="I36" i="3"/>
  <c r="L36" i="3" s="1"/>
  <c r="M36" i="3" s="1"/>
  <c r="H837" i="3"/>
  <c r="I837" i="3"/>
  <c r="L837" i="3" s="1"/>
  <c r="M837" i="3" s="1"/>
  <c r="H807" i="3"/>
  <c r="I807" i="3"/>
  <c r="L807" i="3" s="1"/>
  <c r="M807" i="3" s="1"/>
  <c r="H617" i="3"/>
  <c r="I617" i="3"/>
  <c r="L617" i="3" s="1"/>
  <c r="M617" i="3" s="1"/>
  <c r="H587" i="3"/>
  <c r="I587" i="3"/>
  <c r="L587" i="3" s="1"/>
  <c r="M587" i="3" s="1"/>
  <c r="H349" i="3"/>
  <c r="I349" i="3"/>
  <c r="L349" i="3" s="1"/>
  <c r="M349" i="3" s="1"/>
  <c r="I303" i="3"/>
  <c r="L303" i="3" s="1"/>
  <c r="M303" i="3" s="1"/>
  <c r="H303" i="3"/>
  <c r="H723" i="3"/>
  <c r="I723" i="3"/>
  <c r="L723" i="3" s="1"/>
  <c r="M723" i="3" s="1"/>
  <c r="H341" i="3"/>
  <c r="I341" i="3"/>
  <c r="L341" i="3" s="1"/>
  <c r="M341" i="3" s="1"/>
  <c r="I311" i="3"/>
  <c r="L311" i="3" s="1"/>
  <c r="M311" i="3" s="1"/>
  <c r="H311" i="3"/>
  <c r="I121" i="3"/>
  <c r="L121" i="3" s="1"/>
  <c r="M121" i="3" s="1"/>
  <c r="H121" i="3"/>
  <c r="H91" i="3"/>
  <c r="I91" i="3"/>
  <c r="L91" i="3" s="1"/>
  <c r="M91" i="3" s="1"/>
  <c r="H892" i="3"/>
  <c r="I892" i="3"/>
  <c r="L892" i="3" s="1"/>
  <c r="M892" i="3" s="1"/>
  <c r="H846" i="3"/>
  <c r="I846" i="3"/>
  <c r="L846" i="3" s="1"/>
  <c r="M846" i="3" s="1"/>
  <c r="H832" i="3"/>
  <c r="I832" i="3"/>
  <c r="L832" i="3" s="1"/>
  <c r="M832" i="3" s="1"/>
  <c r="H995" i="3"/>
  <c r="I995" i="3"/>
  <c r="L995" i="3" s="1"/>
  <c r="M995" i="3" s="1"/>
  <c r="H613" i="3"/>
  <c r="I613" i="3"/>
  <c r="L613" i="3" s="1"/>
  <c r="M613" i="3" s="1"/>
  <c r="H209" i="3"/>
  <c r="I209" i="3"/>
  <c r="L209" i="3" s="1"/>
  <c r="M209" i="3" s="1"/>
  <c r="H629" i="3"/>
  <c r="I629" i="3"/>
  <c r="L629" i="3" s="1"/>
  <c r="M629" i="3" s="1"/>
  <c r="H599" i="3"/>
  <c r="I599" i="3"/>
  <c r="L599" i="3" s="1"/>
  <c r="M599" i="3" s="1"/>
  <c r="H409" i="3"/>
  <c r="I409" i="3"/>
  <c r="L409" i="3" s="1"/>
  <c r="M409" i="3" s="1"/>
  <c r="H379" i="3"/>
  <c r="I379" i="3"/>
  <c r="L379" i="3" s="1"/>
  <c r="M379" i="3" s="1"/>
  <c r="H141" i="3"/>
  <c r="I141" i="3"/>
  <c r="L141" i="3" s="1"/>
  <c r="M141" i="3" s="1"/>
  <c r="H95" i="3"/>
  <c r="I95" i="3"/>
  <c r="L95" i="3" s="1"/>
  <c r="M95" i="3" s="1"/>
  <c r="I305" i="3"/>
  <c r="L305" i="3" s="1"/>
  <c r="M305" i="3" s="1"/>
  <c r="H305" i="3"/>
  <c r="H172" i="3"/>
  <c r="I172" i="3"/>
  <c r="L172" i="3" s="1"/>
  <c r="M172" i="3" s="1"/>
  <c r="I111" i="3"/>
  <c r="L111" i="3" s="1"/>
  <c r="M111" i="3" s="1"/>
  <c r="H111" i="3"/>
  <c r="I697" i="3"/>
  <c r="L697" i="3" s="1"/>
  <c r="M697" i="3" s="1"/>
  <c r="H697" i="3"/>
  <c r="H895" i="3"/>
  <c r="I895" i="3"/>
  <c r="L895" i="3" s="1"/>
  <c r="M895" i="3" s="1"/>
  <c r="H875" i="3"/>
  <c r="I875" i="3"/>
  <c r="L875" i="3" s="1"/>
  <c r="M875" i="3" s="1"/>
  <c r="H868" i="3"/>
  <c r="I868" i="3"/>
  <c r="L868" i="3" s="1"/>
  <c r="M868" i="3" s="1"/>
  <c r="I630" i="3"/>
  <c r="L630" i="3" s="1"/>
  <c r="M630" i="3" s="1"/>
  <c r="H630" i="3"/>
  <c r="H600" i="3"/>
  <c r="I600" i="3"/>
  <c r="L600" i="3" s="1"/>
  <c r="M600" i="3" s="1"/>
  <c r="H410" i="3"/>
  <c r="I410" i="3"/>
  <c r="L410" i="3" s="1"/>
  <c r="M410" i="3" s="1"/>
  <c r="H112" i="3"/>
  <c r="I112" i="3"/>
  <c r="L112" i="3" s="1"/>
  <c r="M112" i="3" s="1"/>
  <c r="H938" i="3"/>
  <c r="I938" i="3"/>
  <c r="L938" i="3" s="1"/>
  <c r="M938" i="3" s="1"/>
  <c r="I384" i="3"/>
  <c r="L384" i="3" s="1"/>
  <c r="M384" i="3" s="1"/>
  <c r="H384" i="3"/>
  <c r="I905" i="3"/>
  <c r="L905" i="3" s="1"/>
  <c r="M905" i="3" s="1"/>
  <c r="H905" i="3"/>
  <c r="H116" i="3"/>
  <c r="I116" i="3"/>
  <c r="L116" i="3" s="1"/>
  <c r="M116" i="3" s="1"/>
  <c r="H917" i="3"/>
  <c r="I917" i="3"/>
  <c r="L917" i="3" s="1"/>
  <c r="M917" i="3" s="1"/>
  <c r="H360" i="3"/>
  <c r="I360" i="3"/>
  <c r="L360" i="3" s="1"/>
  <c r="M360" i="3" s="1"/>
  <c r="H173" i="3"/>
  <c r="I173" i="3"/>
  <c r="L173" i="3" s="1"/>
  <c r="M173" i="3" s="1"/>
  <c r="I926" i="3"/>
  <c r="L926" i="3" s="1"/>
  <c r="M926" i="3" s="1"/>
  <c r="H926" i="3"/>
  <c r="H547" i="3"/>
  <c r="I547" i="3"/>
  <c r="L547" i="3" s="1"/>
  <c r="M547" i="3" s="1"/>
  <c r="H165" i="3"/>
  <c r="I165" i="3"/>
  <c r="L165" i="3" s="1"/>
  <c r="M165" i="3" s="1"/>
  <c r="H135" i="3"/>
  <c r="I135" i="3"/>
  <c r="L135" i="3" s="1"/>
  <c r="M135" i="3" s="1"/>
  <c r="H754" i="3"/>
  <c r="I754" i="3"/>
  <c r="L754" i="3" s="1"/>
  <c r="M754" i="3" s="1"/>
  <c r="H954" i="3"/>
  <c r="I954" i="3"/>
  <c r="L954" i="3" s="1"/>
  <c r="M954" i="3" s="1"/>
  <c r="H716" i="3"/>
  <c r="I716" i="3"/>
  <c r="L716" i="3" s="1"/>
  <c r="M716" i="3" s="1"/>
  <c r="H649" i="3"/>
  <c r="I649" i="3"/>
  <c r="L649" i="3" s="1"/>
  <c r="M649" i="3" s="1"/>
  <c r="H148" i="3"/>
  <c r="I148" i="3"/>
  <c r="L148" i="3" s="1"/>
  <c r="M148" i="3" s="1"/>
  <c r="H949" i="3"/>
  <c r="I949" i="3"/>
  <c r="L949" i="3" s="1"/>
  <c r="M949" i="3" s="1"/>
  <c r="I919" i="3"/>
  <c r="L919" i="3" s="1"/>
  <c r="M919" i="3" s="1"/>
  <c r="H919" i="3"/>
  <c r="H729" i="3"/>
  <c r="I729" i="3"/>
  <c r="L729" i="3" s="1"/>
  <c r="M729" i="3" s="1"/>
  <c r="I699" i="3"/>
  <c r="L699" i="3" s="1"/>
  <c r="M699" i="3" s="1"/>
  <c r="H699" i="3"/>
  <c r="H461" i="3"/>
  <c r="I461" i="3"/>
  <c r="L461" i="3" s="1"/>
  <c r="M461" i="3" s="1"/>
  <c r="I415" i="3"/>
  <c r="L415" i="3" s="1"/>
  <c r="M415" i="3" s="1"/>
  <c r="H415" i="3"/>
  <c r="I625" i="3"/>
  <c r="L625" i="3" s="1"/>
  <c r="M625" i="3" s="1"/>
  <c r="H625" i="3"/>
  <c r="H990" i="3"/>
  <c r="I990" i="3"/>
  <c r="L990" i="3" s="1"/>
  <c r="M990" i="3" s="1"/>
  <c r="I721" i="3"/>
  <c r="L721" i="3" s="1"/>
  <c r="M721" i="3" s="1"/>
  <c r="H721" i="3"/>
  <c r="H23" i="3"/>
  <c r="I23" i="3"/>
  <c r="L23" i="3" s="1"/>
  <c r="M23" i="3" s="1"/>
  <c r="I785" i="3"/>
  <c r="L785" i="3" s="1"/>
  <c r="M785" i="3" s="1"/>
  <c r="H785" i="3"/>
  <c r="H835" i="3"/>
  <c r="I835" i="3"/>
  <c r="L835" i="3" s="1"/>
  <c r="M835" i="3" s="1"/>
  <c r="H453" i="3"/>
  <c r="I453" i="3"/>
  <c r="L453" i="3" s="1"/>
  <c r="M453" i="3" s="1"/>
  <c r="H423" i="3"/>
  <c r="I423" i="3"/>
  <c r="L423" i="3" s="1"/>
  <c r="M423" i="3" s="1"/>
  <c r="I233" i="3"/>
  <c r="L233" i="3" s="1"/>
  <c r="M233" i="3" s="1"/>
  <c r="H233" i="3"/>
  <c r="H203" i="3"/>
  <c r="I203" i="3"/>
  <c r="L203" i="3" s="1"/>
  <c r="M203" i="3" s="1"/>
  <c r="H221" i="3"/>
  <c r="I221" i="3"/>
  <c r="L221" i="3" s="1"/>
  <c r="M221" i="3" s="1"/>
  <c r="H431" i="3"/>
  <c r="I431" i="3"/>
  <c r="L431" i="3" s="1"/>
  <c r="M431" i="3" s="1"/>
  <c r="H929" i="3"/>
  <c r="I929" i="3"/>
  <c r="L929" i="3" s="1"/>
  <c r="M929" i="3" s="1"/>
  <c r="I555" i="3"/>
  <c r="L555" i="3" s="1"/>
  <c r="M555" i="3" s="1"/>
  <c r="H555" i="3"/>
  <c r="H558" i="3"/>
  <c r="I558" i="3"/>
  <c r="L558" i="3" s="1"/>
  <c r="M558" i="3" s="1"/>
  <c r="H339" i="3"/>
  <c r="I339" i="3"/>
  <c r="L339" i="3" s="1"/>
  <c r="M339" i="3" s="1"/>
  <c r="H834" i="3"/>
  <c r="I834" i="3"/>
  <c r="L834" i="3" s="1"/>
  <c r="M834" i="3" s="1"/>
  <c r="H966" i="3"/>
  <c r="I966" i="3"/>
  <c r="L966" i="3" s="1"/>
  <c r="M966" i="3" s="1"/>
  <c r="H936" i="3"/>
  <c r="I936" i="3"/>
  <c r="L936" i="3" s="1"/>
  <c r="M936" i="3" s="1"/>
  <c r="H746" i="3"/>
  <c r="I746" i="3"/>
  <c r="L746" i="3" s="1"/>
  <c r="M746" i="3" s="1"/>
  <c r="H764" i="3"/>
  <c r="I764" i="3"/>
  <c r="L764" i="3" s="1"/>
  <c r="M764" i="3" s="1"/>
  <c r="H974" i="3"/>
  <c r="I974" i="3"/>
  <c r="L974" i="3" s="1"/>
  <c r="M974" i="3" s="1"/>
  <c r="H960" i="3"/>
  <c r="I960" i="3"/>
  <c r="L960" i="3" s="1"/>
  <c r="M960" i="3" s="1"/>
  <c r="I711" i="3"/>
  <c r="L711" i="3" s="1"/>
  <c r="M711" i="3" s="1"/>
  <c r="H711" i="3"/>
  <c r="H777" i="3"/>
  <c r="I777" i="3"/>
  <c r="L777" i="3" s="1"/>
  <c r="M777" i="3" s="1"/>
  <c r="I747" i="3"/>
  <c r="L747" i="3" s="1"/>
  <c r="M747" i="3" s="1"/>
  <c r="H747" i="3"/>
  <c r="H463" i="3"/>
  <c r="I463" i="3"/>
  <c r="L463" i="3" s="1"/>
  <c r="M463" i="3" s="1"/>
  <c r="H782" i="3"/>
  <c r="I782" i="3"/>
  <c r="L782" i="3" s="1"/>
  <c r="M782" i="3" s="1"/>
  <c r="H272" i="3"/>
  <c r="I272" i="3"/>
  <c r="L272" i="3" s="1"/>
  <c r="M272" i="3" s="1"/>
  <c r="I560" i="3"/>
  <c r="L560" i="3" s="1"/>
  <c r="M560" i="3" s="1"/>
  <c r="H560" i="3"/>
  <c r="H867" i="3"/>
  <c r="I867" i="3"/>
  <c r="L867" i="3" s="1"/>
  <c r="M867" i="3" s="1"/>
  <c r="H485" i="3"/>
  <c r="I485" i="3"/>
  <c r="L485" i="3" s="1"/>
  <c r="M485" i="3" s="1"/>
  <c r="H222" i="3"/>
  <c r="I222" i="3"/>
  <c r="L222" i="3" s="1"/>
  <c r="M222" i="3" s="1"/>
  <c r="I255" i="3"/>
  <c r="L255" i="3" s="1"/>
  <c r="M255" i="3" s="1"/>
  <c r="H255" i="3"/>
  <c r="I481" i="3"/>
  <c r="L481" i="3" s="1"/>
  <c r="M481" i="3" s="1"/>
  <c r="H481" i="3"/>
  <c r="H257" i="3"/>
  <c r="I257" i="3"/>
  <c r="L257" i="3" s="1"/>
  <c r="M257" i="3" s="1"/>
  <c r="H802" i="3"/>
  <c r="I802" i="3"/>
  <c r="L802" i="3" s="1"/>
  <c r="M802" i="3" s="1"/>
  <c r="H757" i="3"/>
  <c r="I757" i="3"/>
  <c r="L757" i="3" s="1"/>
  <c r="M757" i="3" s="1"/>
  <c r="H727" i="3"/>
  <c r="I727" i="3"/>
  <c r="L727" i="3" s="1"/>
  <c r="M727" i="3" s="1"/>
  <c r="I537" i="3"/>
  <c r="L537" i="3" s="1"/>
  <c r="M537" i="3" s="1"/>
  <c r="H537" i="3"/>
  <c r="H507" i="3"/>
  <c r="I507" i="3"/>
  <c r="L507" i="3" s="1"/>
  <c r="M507" i="3" s="1"/>
  <c r="I269" i="3"/>
  <c r="L269" i="3" s="1"/>
  <c r="M269" i="3" s="1"/>
  <c r="H269" i="3"/>
  <c r="H736" i="3"/>
  <c r="I736" i="3"/>
  <c r="L736" i="3" s="1"/>
  <c r="M736" i="3" s="1"/>
  <c r="H76" i="3"/>
  <c r="I76" i="3"/>
  <c r="L76" i="3" s="1"/>
  <c r="M76" i="3" s="1"/>
  <c r="H814" i="3"/>
  <c r="I814" i="3"/>
  <c r="L814" i="3" s="1"/>
  <c r="M814" i="3" s="1"/>
  <c r="H387" i="3"/>
  <c r="I387" i="3"/>
  <c r="L387" i="3" s="1"/>
  <c r="M387" i="3" s="1"/>
  <c r="H261" i="3"/>
  <c r="I261" i="3"/>
  <c r="L261" i="3" s="1"/>
  <c r="M261" i="3" s="1"/>
  <c r="I231" i="3"/>
  <c r="L231" i="3" s="1"/>
  <c r="M231" i="3" s="1"/>
  <c r="H231" i="3"/>
  <c r="H41" i="3"/>
  <c r="I41" i="3"/>
  <c r="L41" i="3" s="1"/>
  <c r="M41" i="3" s="1"/>
  <c r="H11" i="3"/>
  <c r="I11" i="3"/>
  <c r="L11" i="3" s="1"/>
  <c r="M11" i="3" s="1"/>
  <c r="I812" i="3"/>
  <c r="L812" i="3" s="1"/>
  <c r="M812" i="3" s="1"/>
  <c r="H812" i="3"/>
  <c r="H766" i="3"/>
  <c r="I766" i="3"/>
  <c r="L766" i="3" s="1"/>
  <c r="M766" i="3" s="1"/>
  <c r="H752" i="3"/>
  <c r="I752" i="3"/>
  <c r="L752" i="3" s="1"/>
  <c r="M752" i="3" s="1"/>
  <c r="H744" i="3"/>
  <c r="I744" i="3"/>
  <c r="L744" i="3" s="1"/>
  <c r="M744" i="3" s="1"/>
  <c r="H526" i="3"/>
  <c r="I526" i="3"/>
  <c r="L526" i="3" s="1"/>
  <c r="M526" i="3" s="1"/>
  <c r="H520" i="3"/>
  <c r="I520" i="3"/>
  <c r="L520" i="3" s="1"/>
  <c r="M520" i="3" s="1"/>
  <c r="H137" i="3"/>
  <c r="I137" i="3"/>
  <c r="L137" i="3" s="1"/>
  <c r="M137" i="3" s="1"/>
  <c r="I962" i="3"/>
  <c r="L962" i="3" s="1"/>
  <c r="M962" i="3" s="1"/>
  <c r="H962" i="3"/>
  <c r="H789" i="3"/>
  <c r="I789" i="3"/>
  <c r="L789" i="3" s="1"/>
  <c r="M789" i="3" s="1"/>
  <c r="H1000" i="3"/>
  <c r="I1000" i="3"/>
  <c r="L1000" i="3" s="1"/>
  <c r="M1000" i="3" s="1"/>
  <c r="I465" i="3"/>
  <c r="L465" i="3" s="1"/>
  <c r="M465" i="3" s="1"/>
  <c r="H465" i="3"/>
  <c r="H279" i="3"/>
  <c r="I279" i="3"/>
  <c r="L279" i="3" s="1"/>
  <c r="M279" i="3" s="1"/>
  <c r="H56" i="3"/>
  <c r="I56" i="3"/>
  <c r="L56" i="3" s="1"/>
  <c r="M56" i="3" s="1"/>
  <c r="H260" i="3"/>
  <c r="I260" i="3"/>
  <c r="L260" i="3" s="1"/>
  <c r="M260" i="3" s="1"/>
  <c r="H22" i="3"/>
  <c r="I22" i="3"/>
  <c r="L22" i="3" s="1"/>
  <c r="M22" i="3" s="1"/>
  <c r="H276" i="3"/>
  <c r="I276" i="3"/>
  <c r="L276" i="3" s="1"/>
  <c r="M276" i="3" s="1"/>
  <c r="H38" i="3"/>
  <c r="I38" i="3"/>
  <c r="L38" i="3" s="1"/>
  <c r="M38" i="3" s="1"/>
  <c r="H292" i="3"/>
  <c r="I292" i="3"/>
  <c r="L292" i="3" s="1"/>
  <c r="M292" i="3" s="1"/>
  <c r="H54" i="3"/>
  <c r="I54" i="3"/>
  <c r="L54" i="3" s="1"/>
  <c r="M54" i="3" s="1"/>
  <c r="H24" i="3"/>
  <c r="I24" i="3"/>
  <c r="L24" i="3" s="1"/>
  <c r="M24" i="3" s="1"/>
  <c r="H873" i="3"/>
  <c r="I873" i="3"/>
  <c r="L873" i="3" s="1"/>
  <c r="M873" i="3" s="1"/>
  <c r="I843" i="3"/>
  <c r="L843" i="3" s="1"/>
  <c r="M843" i="3" s="1"/>
  <c r="H843" i="3"/>
  <c r="H605" i="3"/>
  <c r="I605" i="3"/>
  <c r="L605" i="3" s="1"/>
  <c r="M605" i="3" s="1"/>
  <c r="H48" i="3"/>
  <c r="I48" i="3"/>
  <c r="L48" i="3" s="1"/>
  <c r="M48" i="3" s="1"/>
  <c r="H979" i="3"/>
  <c r="I979" i="3"/>
  <c r="L979" i="3" s="1"/>
  <c r="M979" i="3" s="1"/>
  <c r="H597" i="3"/>
  <c r="I597" i="3"/>
  <c r="L597" i="3" s="1"/>
  <c r="M597" i="3" s="1"/>
  <c r="H567" i="3"/>
  <c r="I567" i="3"/>
  <c r="L567" i="3" s="1"/>
  <c r="M567" i="3" s="1"/>
  <c r="H377" i="3"/>
  <c r="I377" i="3"/>
  <c r="L377" i="3" s="1"/>
  <c r="M377" i="3" s="1"/>
  <c r="H347" i="3"/>
  <c r="I347" i="3"/>
  <c r="L347" i="3" s="1"/>
  <c r="M347" i="3" s="1"/>
  <c r="H109" i="3"/>
  <c r="I109" i="3"/>
  <c r="L109" i="3" s="1"/>
  <c r="M109" i="3" s="1"/>
  <c r="H63" i="3"/>
  <c r="I63" i="3"/>
  <c r="L63" i="3" s="1"/>
  <c r="M63" i="3" s="1"/>
  <c r="H312" i="3"/>
  <c r="I312" i="3"/>
  <c r="L312" i="3" s="1"/>
  <c r="M312" i="3" s="1"/>
  <c r="H68" i="3"/>
  <c r="I68" i="3"/>
  <c r="L68" i="3" s="1"/>
  <c r="M68" i="3" s="1"/>
  <c r="H869" i="3"/>
  <c r="I869" i="3"/>
  <c r="L869" i="3" s="1"/>
  <c r="M869" i="3" s="1"/>
  <c r="H84" i="3"/>
  <c r="I84" i="3"/>
  <c r="L84" i="3" s="1"/>
  <c r="M84" i="3" s="1"/>
  <c r="H885" i="3"/>
  <c r="I885" i="3"/>
  <c r="L885" i="3" s="1"/>
  <c r="M885" i="3" s="1"/>
  <c r="I855" i="3"/>
  <c r="L855" i="3" s="1"/>
  <c r="M855" i="3" s="1"/>
  <c r="H855" i="3"/>
  <c r="H665" i="3"/>
  <c r="I665" i="3"/>
  <c r="L665" i="3" s="1"/>
  <c r="M665" i="3" s="1"/>
  <c r="I635" i="3"/>
  <c r="L635" i="3" s="1"/>
  <c r="M635" i="3" s="1"/>
  <c r="H635" i="3"/>
  <c r="I397" i="3"/>
  <c r="L397" i="3" s="1"/>
  <c r="M397" i="3" s="1"/>
  <c r="H397" i="3"/>
  <c r="H351" i="3"/>
  <c r="I351" i="3"/>
  <c r="L351" i="3" s="1"/>
  <c r="M351" i="3" s="1"/>
  <c r="H561" i="3"/>
  <c r="I561" i="3"/>
  <c r="L561" i="3" s="1"/>
  <c r="M561" i="3" s="1"/>
  <c r="H428" i="3"/>
  <c r="I428" i="3"/>
  <c r="L428" i="3" s="1"/>
  <c r="M428" i="3" s="1"/>
  <c r="H623" i="3"/>
  <c r="I623" i="3"/>
  <c r="L623" i="3" s="1"/>
  <c r="M623" i="3" s="1"/>
  <c r="H426" i="3"/>
  <c r="I426" i="3"/>
  <c r="L426" i="3" s="1"/>
  <c r="M426" i="3" s="1"/>
  <c r="H640" i="3"/>
  <c r="I640" i="3"/>
  <c r="L640" i="3" s="1"/>
  <c r="M640" i="3" s="1"/>
  <c r="I862" i="3"/>
  <c r="L862" i="3" s="1"/>
  <c r="M862" i="3" s="1"/>
  <c r="H862" i="3"/>
  <c r="H9" i="3"/>
  <c r="I9" i="3"/>
  <c r="L9" i="3" s="1"/>
  <c r="M9" i="3" s="1"/>
  <c r="H8" i="3"/>
  <c r="I8" i="3"/>
  <c r="L8" i="3" s="1"/>
  <c r="M8" i="3" s="1"/>
  <c r="H3" i="3"/>
  <c r="I3" i="3"/>
  <c r="L3" i="3" s="1"/>
  <c r="M3" i="3" s="1"/>
  <c r="Q3" i="3" s="1"/>
  <c r="H5" i="3"/>
  <c r="I5" i="3"/>
  <c r="L5" i="3" s="1"/>
  <c r="M5" i="3" s="1"/>
  <c r="Q5" i="3" s="1"/>
  <c r="H6" i="3"/>
  <c r="I6" i="3"/>
  <c r="L6" i="3" s="1"/>
  <c r="M6" i="3" s="1"/>
  <c r="H4" i="3"/>
  <c r="I4" i="3"/>
  <c r="L4" i="3" s="1"/>
  <c r="M4" i="3" s="1"/>
  <c r="H7" i="3"/>
  <c r="I7" i="3"/>
  <c r="L7" i="3" s="1"/>
  <c r="M7" i="3" s="1"/>
  <c r="L2" i="3"/>
  <c r="M2" i="3" s="1"/>
  <c r="N63" i="3" l="1"/>
  <c r="Q63" i="3"/>
  <c r="N605" i="3"/>
  <c r="Q605" i="3"/>
  <c r="N22" i="3"/>
  <c r="Q22" i="3"/>
  <c r="N137" i="3"/>
  <c r="Q137" i="3"/>
  <c r="N41" i="3"/>
  <c r="Q41" i="3"/>
  <c r="N507" i="3"/>
  <c r="Q507" i="3"/>
  <c r="N222" i="3"/>
  <c r="Q222" i="3"/>
  <c r="N777" i="3"/>
  <c r="Q777" i="3"/>
  <c r="Q834" i="3"/>
  <c r="N834" i="3"/>
  <c r="N649" i="3"/>
  <c r="Q649" i="3"/>
  <c r="Q173" i="3"/>
  <c r="N173" i="3"/>
  <c r="Q410" i="3"/>
  <c r="N410" i="3"/>
  <c r="Q172" i="3"/>
  <c r="N172" i="3"/>
  <c r="Q209" i="3"/>
  <c r="N209" i="3"/>
  <c r="N837" i="3"/>
  <c r="Q837" i="3"/>
  <c r="N511" i="3"/>
  <c r="Q511" i="3"/>
  <c r="Q496" i="3"/>
  <c r="N496" i="3"/>
  <c r="N77" i="3"/>
  <c r="Q77" i="3"/>
  <c r="N883" i="3"/>
  <c r="Q883" i="3"/>
  <c r="N542" i="3"/>
  <c r="Q542" i="3"/>
  <c r="N508" i="3"/>
  <c r="Q508" i="3"/>
  <c r="N720" i="3"/>
  <c r="Q720" i="3"/>
  <c r="N473" i="3"/>
  <c r="Q473" i="3"/>
  <c r="N918" i="3"/>
  <c r="Q918" i="3"/>
  <c r="N568" i="3"/>
  <c r="Q568" i="3"/>
  <c r="Q71" i="3"/>
  <c r="N71" i="3"/>
  <c r="N590" i="3"/>
  <c r="Q590" i="3"/>
  <c r="N93" i="3"/>
  <c r="Q93" i="3"/>
  <c r="N549" i="3"/>
  <c r="Q549" i="3"/>
  <c r="N304" i="3"/>
  <c r="Q304" i="3"/>
  <c r="Q728" i="3"/>
  <c r="N728" i="3"/>
  <c r="Q162" i="3"/>
  <c r="N162" i="3"/>
  <c r="N242" i="3"/>
  <c r="Q242" i="3"/>
  <c r="N920" i="3"/>
  <c r="Q920" i="3"/>
  <c r="Q656" i="3"/>
  <c r="N656" i="3"/>
  <c r="N674" i="3"/>
  <c r="Q674" i="3"/>
  <c r="Q937" i="3"/>
  <c r="N937" i="3"/>
  <c r="Q925" i="3"/>
  <c r="N925" i="3"/>
  <c r="Q117" i="3"/>
  <c r="N117" i="3"/>
  <c r="Q808" i="3"/>
  <c r="N808" i="3"/>
  <c r="Q295" i="3"/>
  <c r="N295" i="3"/>
  <c r="Q573" i="3"/>
  <c r="N573" i="3"/>
  <c r="N125" i="3"/>
  <c r="Q125" i="3"/>
  <c r="Q994" i="3"/>
  <c r="N994" i="3"/>
  <c r="N845" i="3"/>
  <c r="Q845" i="3"/>
  <c r="N206" i="3"/>
  <c r="Q206" i="3"/>
  <c r="N376" i="3"/>
  <c r="Q376" i="3"/>
  <c r="N531" i="3"/>
  <c r="Q531" i="3"/>
  <c r="N375" i="3"/>
  <c r="Q375" i="3"/>
  <c r="N412" i="3"/>
  <c r="Q412" i="3"/>
  <c r="N64" i="3"/>
  <c r="Q64" i="3"/>
  <c r="N574" i="3"/>
  <c r="Q574" i="3"/>
  <c r="N435" i="3"/>
  <c r="Q435" i="3"/>
  <c r="Q147" i="3"/>
  <c r="N147" i="3"/>
  <c r="N26" i="3"/>
  <c r="Q26" i="3"/>
  <c r="N284" i="3"/>
  <c r="Q284" i="3"/>
  <c r="N762" i="3"/>
  <c r="Q762" i="3"/>
  <c r="N981" i="3"/>
  <c r="Q981" i="3"/>
  <c r="N218" i="3"/>
  <c r="Q218" i="3"/>
  <c r="Q176" i="3"/>
  <c r="N176" i="3"/>
  <c r="N307" i="3"/>
  <c r="Q307" i="3"/>
  <c r="N128" i="3"/>
  <c r="Q128" i="3"/>
  <c r="N425" i="3"/>
  <c r="Q425" i="3"/>
  <c r="N157" i="3"/>
  <c r="Q157" i="3"/>
  <c r="N852" i="3"/>
  <c r="Q852" i="3"/>
  <c r="Q822" i="3"/>
  <c r="N822" i="3"/>
  <c r="Q570" i="3"/>
  <c r="N570" i="3"/>
  <c r="N705" i="3"/>
  <c r="Q705" i="3"/>
  <c r="Q824" i="3"/>
  <c r="N824" i="3"/>
  <c r="N315" i="3"/>
  <c r="Q315" i="3"/>
  <c r="N493" i="3"/>
  <c r="Q493" i="3"/>
  <c r="N795" i="3"/>
  <c r="Q795" i="3"/>
  <c r="Q893" i="3"/>
  <c r="N893" i="3"/>
  <c r="Q458" i="3"/>
  <c r="N458" i="3"/>
  <c r="N670" i="3"/>
  <c r="Q670" i="3"/>
  <c r="N353" i="3"/>
  <c r="Q353" i="3"/>
  <c r="Q546" i="3"/>
  <c r="N546" i="3"/>
  <c r="N575" i="3"/>
  <c r="Q575" i="3"/>
  <c r="N62" i="3"/>
  <c r="Q62" i="3"/>
  <c r="Q534" i="3"/>
  <c r="N534" i="3"/>
  <c r="N908" i="3"/>
  <c r="Q908" i="3"/>
  <c r="N975" i="3"/>
  <c r="Q975" i="3"/>
  <c r="N250" i="3"/>
  <c r="Q250" i="3"/>
  <c r="N745" i="3"/>
  <c r="Q745" i="3"/>
  <c r="N175" i="3"/>
  <c r="Q175" i="3"/>
  <c r="N441" i="3"/>
  <c r="Q441" i="3"/>
  <c r="N626" i="3"/>
  <c r="Q626" i="3"/>
  <c r="N86" i="3"/>
  <c r="Q86" i="3"/>
  <c r="N853" i="3"/>
  <c r="Q853" i="3"/>
  <c r="N548" i="3"/>
  <c r="Q548" i="3"/>
  <c r="N30" i="3"/>
  <c r="Q30" i="3"/>
  <c r="N854" i="3"/>
  <c r="Q854" i="3"/>
  <c r="N219" i="3"/>
  <c r="Q219" i="3"/>
  <c r="Q687" i="3"/>
  <c r="N687" i="3"/>
  <c r="N50" i="3"/>
  <c r="Q50" i="3"/>
  <c r="N136" i="3"/>
  <c r="Q136" i="3"/>
  <c r="N421" i="3"/>
  <c r="Q421" i="3"/>
  <c r="Q862" i="3"/>
  <c r="N862" i="3"/>
  <c r="N635" i="3"/>
  <c r="Q635" i="3"/>
  <c r="N233" i="3"/>
  <c r="Q233" i="3"/>
  <c r="Q625" i="3"/>
  <c r="N625" i="3"/>
  <c r="N311" i="3"/>
  <c r="Q311" i="3"/>
  <c r="Q769" i="3"/>
  <c r="N769" i="3"/>
  <c r="Q123" i="3"/>
  <c r="N123" i="3"/>
  <c r="Q265" i="3"/>
  <c r="N265" i="3"/>
  <c r="N692" i="3"/>
  <c r="Q692" i="3"/>
  <c r="N928" i="3"/>
  <c r="Q928" i="3"/>
  <c r="N774" i="3"/>
  <c r="Q774" i="3"/>
  <c r="Q512" i="3"/>
  <c r="N512" i="3"/>
  <c r="N67" i="3"/>
  <c r="Q67" i="3"/>
  <c r="N970" i="3"/>
  <c r="Q970" i="3"/>
  <c r="N479" i="3"/>
  <c r="Q479" i="3"/>
  <c r="Q296" i="3"/>
  <c r="N296" i="3"/>
  <c r="N724" i="3"/>
  <c r="Q724" i="3"/>
  <c r="N903" i="3"/>
  <c r="Q903" i="3"/>
  <c r="N553" i="3"/>
  <c r="Q553" i="3"/>
  <c r="N97" i="3"/>
  <c r="Q97" i="3"/>
  <c r="N469" i="3"/>
  <c r="Q469" i="3"/>
  <c r="N335" i="3"/>
  <c r="Q335" i="3"/>
  <c r="N817" i="3"/>
  <c r="Q817" i="3"/>
  <c r="N569" i="3"/>
  <c r="Q569" i="3"/>
  <c r="N65" i="3"/>
  <c r="Q65" i="3"/>
  <c r="N98" i="3"/>
  <c r="Q98" i="3"/>
  <c r="N337" i="3"/>
  <c r="Q337" i="3"/>
  <c r="Q640" i="3"/>
  <c r="N640" i="3"/>
  <c r="N665" i="3"/>
  <c r="Q665" i="3"/>
  <c r="N109" i="3"/>
  <c r="Q109" i="3"/>
  <c r="Q260" i="3"/>
  <c r="N260" i="3"/>
  <c r="N520" i="3"/>
  <c r="Q520" i="3"/>
  <c r="N485" i="3"/>
  <c r="Q485" i="3"/>
  <c r="Q339" i="3"/>
  <c r="N339" i="3"/>
  <c r="N423" i="3"/>
  <c r="Q423" i="3"/>
  <c r="N716" i="3"/>
  <c r="Q716" i="3"/>
  <c r="N360" i="3"/>
  <c r="Q360" i="3"/>
  <c r="N600" i="3"/>
  <c r="Q600" i="3"/>
  <c r="Q613" i="3"/>
  <c r="N613" i="3"/>
  <c r="N341" i="3"/>
  <c r="Q341" i="3"/>
  <c r="N36" i="3"/>
  <c r="Q36" i="3"/>
  <c r="Q488" i="3"/>
  <c r="N488" i="3"/>
  <c r="N314" i="3"/>
  <c r="Q314" i="3"/>
  <c r="N178" i="3"/>
  <c r="Q178" i="3"/>
  <c r="N301" i="3"/>
  <c r="Q301" i="3"/>
  <c r="N490" i="3"/>
  <c r="Q490" i="3"/>
  <c r="Q958" i="3"/>
  <c r="N958" i="3"/>
  <c r="N882" i="3"/>
  <c r="Q882" i="3"/>
  <c r="N663" i="3"/>
  <c r="Q663" i="3"/>
  <c r="N642" i="3"/>
  <c r="Q642" i="3"/>
  <c r="N153" i="3"/>
  <c r="Q153" i="3"/>
  <c r="Q636" i="3"/>
  <c r="N636" i="3"/>
  <c r="N675" i="3"/>
  <c r="Q675" i="3"/>
  <c r="N16" i="3"/>
  <c r="Q16" i="3"/>
  <c r="N758" i="3"/>
  <c r="Q758" i="3"/>
  <c r="N25" i="3"/>
  <c r="Q25" i="3"/>
  <c r="N199" i="3"/>
  <c r="Q199" i="3"/>
  <c r="Q950" i="3"/>
  <c r="N950" i="3"/>
  <c r="N204" i="3"/>
  <c r="Q204" i="3"/>
  <c r="N631" i="3"/>
  <c r="Q631" i="3"/>
  <c r="Q88" i="3"/>
  <c r="N88" i="3"/>
  <c r="N499" i="3"/>
  <c r="Q499" i="3"/>
  <c r="Q838" i="3"/>
  <c r="N838" i="3"/>
  <c r="Q325" i="3"/>
  <c r="N325" i="3"/>
  <c r="N572" i="3"/>
  <c r="Q572" i="3"/>
  <c r="N857" i="3"/>
  <c r="Q857" i="3"/>
  <c r="N371" i="3"/>
  <c r="Q371" i="3"/>
  <c r="Q299" i="3"/>
  <c r="N299" i="3"/>
  <c r="N734" i="3"/>
  <c r="Q734" i="3"/>
  <c r="Q406" i="3"/>
  <c r="N406" i="3"/>
  <c r="N400" i="3"/>
  <c r="Q400" i="3"/>
  <c r="N911" i="3"/>
  <c r="Q911" i="3"/>
  <c r="N78" i="3"/>
  <c r="Q78" i="3"/>
  <c r="N620" i="3"/>
  <c r="Q620" i="3"/>
  <c r="N37" i="3"/>
  <c r="Q37" i="3"/>
  <c r="N31" i="3"/>
  <c r="Q31" i="3"/>
  <c r="N216" i="3"/>
  <c r="Q216" i="3"/>
  <c r="N522" i="3"/>
  <c r="Q522" i="3"/>
  <c r="N470" i="3"/>
  <c r="Q470" i="3"/>
  <c r="N180" i="3"/>
  <c r="Q180" i="3"/>
  <c r="N408" i="3"/>
  <c r="Q408" i="3"/>
  <c r="N143" i="3"/>
  <c r="Q143" i="3"/>
  <c r="Q682" i="3"/>
  <c r="N682" i="3"/>
  <c r="N615" i="3"/>
  <c r="Q615" i="3"/>
  <c r="N326" i="3"/>
  <c r="Q326" i="3"/>
  <c r="N298" i="3"/>
  <c r="Q298" i="3"/>
  <c r="N495" i="3"/>
  <c r="Q495" i="3"/>
  <c r="N606" i="3"/>
  <c r="Q606" i="3"/>
  <c r="N248" i="3"/>
  <c r="Q248" i="3"/>
  <c r="Q731" i="3"/>
  <c r="N731" i="3"/>
  <c r="Q92" i="3"/>
  <c r="N92" i="3"/>
  <c r="Q648" i="3"/>
  <c r="N648" i="3"/>
  <c r="N933" i="3"/>
  <c r="Q933" i="3"/>
  <c r="N956" i="3"/>
  <c r="Q956" i="3"/>
  <c r="N621" i="3"/>
  <c r="Q621" i="3"/>
  <c r="Q108" i="3"/>
  <c r="N108" i="3"/>
  <c r="Q743" i="3"/>
  <c r="N743" i="3"/>
  <c r="N10" i="3"/>
  <c r="Q10" i="3"/>
  <c r="N997" i="3"/>
  <c r="Q997" i="3"/>
  <c r="Q184" i="3"/>
  <c r="N184" i="3"/>
  <c r="Q851" i="3"/>
  <c r="N851" i="3"/>
  <c r="Q927" i="3"/>
  <c r="N927" i="3"/>
  <c r="N445" i="3"/>
  <c r="Q445" i="3"/>
  <c r="N324" i="3"/>
  <c r="Q324" i="3"/>
  <c r="N52" i="3"/>
  <c r="Q52" i="3"/>
  <c r="N294" i="3"/>
  <c r="Q294" i="3"/>
  <c r="N29" i="3"/>
  <c r="Q29" i="3"/>
  <c r="N810" i="3"/>
  <c r="Q810" i="3"/>
  <c r="N978" i="3"/>
  <c r="Q978" i="3"/>
  <c r="Q477" i="3"/>
  <c r="N477" i="3"/>
  <c r="Q803" i="3"/>
  <c r="N803" i="3"/>
  <c r="Q667" i="3"/>
  <c r="N667" i="3"/>
  <c r="N843" i="3"/>
  <c r="Q843" i="3"/>
  <c r="N231" i="3"/>
  <c r="Q231" i="3"/>
  <c r="N537" i="3"/>
  <c r="Q537" i="3"/>
  <c r="N711" i="3"/>
  <c r="Q711" i="3"/>
  <c r="N415" i="3"/>
  <c r="Q415" i="3"/>
  <c r="N305" i="3"/>
  <c r="Q305" i="3"/>
  <c r="Q510" i="3"/>
  <c r="N510" i="3"/>
  <c r="N639" i="3"/>
  <c r="Q639" i="3"/>
  <c r="Q127" i="3"/>
  <c r="N127" i="3"/>
  <c r="N331" i="3"/>
  <c r="Q331" i="3"/>
  <c r="N930" i="3"/>
  <c r="Q930" i="3"/>
  <c r="N289" i="3"/>
  <c r="Q289" i="3"/>
  <c r="Q942" i="3"/>
  <c r="N942" i="3"/>
  <c r="N907" i="3"/>
  <c r="Q907" i="3"/>
  <c r="N33" i="3"/>
  <c r="Q33" i="3"/>
  <c r="N946" i="3"/>
  <c r="Q946" i="3"/>
  <c r="N799" i="3"/>
  <c r="Q799" i="3"/>
  <c r="Q818" i="3"/>
  <c r="N818" i="3"/>
  <c r="N650" i="3"/>
  <c r="Q650" i="3"/>
  <c r="N696" i="3"/>
  <c r="Q696" i="3"/>
  <c r="N416" i="3"/>
  <c r="Q416" i="3"/>
  <c r="Q395" i="3"/>
  <c r="N395" i="3"/>
  <c r="N598" i="3"/>
  <c r="Q598" i="3"/>
  <c r="N306" i="3"/>
  <c r="Q306" i="3"/>
  <c r="Q737" i="3"/>
  <c r="N737" i="3"/>
  <c r="N944" i="3"/>
  <c r="Q944" i="3"/>
  <c r="Q701" i="3"/>
  <c r="N701" i="3"/>
  <c r="N138" i="3"/>
  <c r="Q138" i="3"/>
  <c r="N772" i="3"/>
  <c r="Q772" i="3"/>
  <c r="N827" i="3"/>
  <c r="Q827" i="3"/>
  <c r="N935" i="3"/>
  <c r="Q935" i="3"/>
  <c r="Q390" i="3"/>
  <c r="N390" i="3"/>
  <c r="N103" i="3"/>
  <c r="Q103" i="3"/>
  <c r="N607" i="3"/>
  <c r="Q607" i="3"/>
  <c r="N262" i="3"/>
  <c r="Q262" i="3"/>
  <c r="N791" i="3"/>
  <c r="Q791" i="3"/>
  <c r="Q208" i="3"/>
  <c r="N208" i="3"/>
  <c r="N519" i="3"/>
  <c r="Q519" i="3"/>
  <c r="N166" i="3"/>
  <c r="Q166" i="3"/>
  <c r="Q426" i="3"/>
  <c r="N426" i="3"/>
  <c r="Q347" i="3"/>
  <c r="N347" i="3"/>
  <c r="N873" i="3"/>
  <c r="Q873" i="3"/>
  <c r="Q56" i="3"/>
  <c r="N56" i="3"/>
  <c r="N526" i="3"/>
  <c r="Q526" i="3"/>
  <c r="N261" i="3"/>
  <c r="Q261" i="3"/>
  <c r="N727" i="3"/>
  <c r="Q727" i="3"/>
  <c r="N867" i="3"/>
  <c r="Q867" i="3"/>
  <c r="N960" i="3"/>
  <c r="Q960" i="3"/>
  <c r="N558" i="3"/>
  <c r="Q558" i="3"/>
  <c r="N453" i="3"/>
  <c r="Q453" i="3"/>
  <c r="N461" i="3"/>
  <c r="Q461" i="3"/>
  <c r="N954" i="3"/>
  <c r="Q954" i="3"/>
  <c r="N917" i="3"/>
  <c r="Q917" i="3"/>
  <c r="Q95" i="3"/>
  <c r="N95" i="3"/>
  <c r="N995" i="3"/>
  <c r="Q995" i="3"/>
  <c r="Q723" i="3"/>
  <c r="N723" i="3"/>
  <c r="N821" i="3"/>
  <c r="Q821" i="3"/>
  <c r="N533" i="3"/>
  <c r="Q533" i="3"/>
  <c r="N556" i="3"/>
  <c r="Q556" i="3"/>
  <c r="N527" i="3"/>
  <c r="Q527" i="3"/>
  <c r="N478" i="3"/>
  <c r="Q478" i="3"/>
  <c r="N748" i="3"/>
  <c r="Q748" i="3"/>
  <c r="N767" i="3"/>
  <c r="Q767" i="3"/>
  <c r="N291" i="3"/>
  <c r="Q291" i="3"/>
  <c r="N690" i="3"/>
  <c r="Q690" i="3"/>
  <c r="N343" i="3"/>
  <c r="Q343" i="3"/>
  <c r="N874" i="3"/>
  <c r="Q874" i="3"/>
  <c r="N316" i="3"/>
  <c r="Q316" i="3"/>
  <c r="N215" i="3"/>
  <c r="Q215" i="3"/>
  <c r="N355" i="3"/>
  <c r="Q355" i="3"/>
  <c r="N448" i="3"/>
  <c r="Q448" i="3"/>
  <c r="N59" i="3"/>
  <c r="Q59" i="3"/>
  <c r="Q770" i="3"/>
  <c r="N770" i="3"/>
  <c r="N988" i="3"/>
  <c r="Q988" i="3"/>
  <c r="N442" i="3"/>
  <c r="Q442" i="3"/>
  <c r="Q405" i="3"/>
  <c r="N405" i="3"/>
  <c r="N118" i="3"/>
  <c r="Q118" i="3"/>
  <c r="Q608" i="3"/>
  <c r="N608" i="3"/>
  <c r="N370" i="3"/>
  <c r="Q370" i="3"/>
  <c r="N707" i="3"/>
  <c r="Q707" i="3"/>
  <c r="N503" i="3"/>
  <c r="Q503" i="3"/>
  <c r="N866" i="3"/>
  <c r="Q866" i="3"/>
  <c r="N302" i="3"/>
  <c r="Q302" i="3"/>
  <c r="N945" i="3"/>
  <c r="Q945" i="3"/>
  <c r="Q446" i="3"/>
  <c r="N446" i="3"/>
  <c r="N317" i="3"/>
  <c r="Q317" i="3"/>
  <c r="Q151" i="3"/>
  <c r="N151" i="3"/>
  <c r="N644" i="3"/>
  <c r="Q644" i="3"/>
  <c r="N142" i="3"/>
  <c r="Q142" i="3"/>
  <c r="N685" i="3"/>
  <c r="Q685" i="3"/>
  <c r="N124" i="3"/>
  <c r="Q124" i="3"/>
  <c r="N858" i="3"/>
  <c r="Q858" i="3"/>
  <c r="N163" i="3"/>
  <c r="Q163" i="3"/>
  <c r="N588" i="3"/>
  <c r="Q588" i="3"/>
  <c r="N712" i="3"/>
  <c r="Q712" i="3"/>
  <c r="N438" i="3"/>
  <c r="Q438" i="3"/>
  <c r="Q430" i="3"/>
  <c r="N430" i="3"/>
  <c r="N939" i="3"/>
  <c r="Q939" i="3"/>
  <c r="N902" i="3"/>
  <c r="Q902" i="3"/>
  <c r="N96" i="3"/>
  <c r="Q96" i="3"/>
  <c r="N836" i="3"/>
  <c r="Q836" i="3"/>
  <c r="N564" i="3"/>
  <c r="Q564" i="3"/>
  <c r="N195" i="3"/>
  <c r="Q195" i="3"/>
  <c r="N114" i="3"/>
  <c r="Q114" i="3"/>
  <c r="N226" i="3"/>
  <c r="Q226" i="3"/>
  <c r="N842" i="3"/>
  <c r="Q842" i="3"/>
  <c r="Q223" i="3"/>
  <c r="N223" i="3"/>
  <c r="N505" i="3"/>
  <c r="Q505" i="3"/>
  <c r="N58" i="3"/>
  <c r="Q58" i="3"/>
  <c r="Q577" i="3"/>
  <c r="N577" i="3"/>
  <c r="N923" i="3"/>
  <c r="Q923" i="3"/>
  <c r="Q328" i="3"/>
  <c r="N328" i="3"/>
  <c r="N859" i="3"/>
  <c r="Q859" i="3"/>
  <c r="Q346" i="3"/>
  <c r="N346" i="3"/>
  <c r="N94" i="3"/>
  <c r="Q94" i="3"/>
  <c r="N773" i="3"/>
  <c r="Q773" i="3"/>
  <c r="N200" i="3"/>
  <c r="Q200" i="3"/>
  <c r="N196" i="3"/>
  <c r="Q196" i="3"/>
  <c r="Q657" i="3"/>
  <c r="N657" i="3"/>
  <c r="N965" i="3"/>
  <c r="Q965" i="3"/>
  <c r="Q973" i="3"/>
  <c r="N973" i="3"/>
  <c r="Q427" i="3"/>
  <c r="N427" i="3"/>
  <c r="Q628" i="3"/>
  <c r="N628" i="3"/>
  <c r="N133" i="3"/>
  <c r="Q133" i="3"/>
  <c r="Q513" i="3"/>
  <c r="N513" i="3"/>
  <c r="N532" i="3"/>
  <c r="Q532" i="3"/>
  <c r="N244" i="3"/>
  <c r="Q244" i="3"/>
  <c r="N267" i="3"/>
  <c r="Q267" i="3"/>
  <c r="Q525" i="3"/>
  <c r="N525" i="3"/>
  <c r="N12" i="3"/>
  <c r="Q12" i="3"/>
  <c r="N183" i="3"/>
  <c r="Q183" i="3"/>
  <c r="N459" i="3"/>
  <c r="Q459" i="3"/>
  <c r="N464" i="3"/>
  <c r="Q464" i="3"/>
  <c r="Q144" i="3"/>
  <c r="N144" i="3"/>
  <c r="Q624" i="3"/>
  <c r="N624" i="3"/>
  <c r="N855" i="3"/>
  <c r="Q855" i="3"/>
  <c r="N630" i="3"/>
  <c r="Q630" i="3"/>
  <c r="Q735" i="3"/>
  <c r="N735" i="3"/>
  <c r="N680" i="3"/>
  <c r="Q680" i="3"/>
  <c r="N693" i="3"/>
  <c r="Q693" i="3"/>
  <c r="N170" i="3"/>
  <c r="Q170" i="3"/>
  <c r="N361" i="3"/>
  <c r="Q361" i="3"/>
  <c r="N497" i="3"/>
  <c r="Q497" i="3"/>
  <c r="N740" i="3"/>
  <c r="Q740" i="3"/>
  <c r="Q101" i="3"/>
  <c r="N101" i="3"/>
  <c r="N790" i="3"/>
  <c r="Q790" i="3"/>
  <c r="N129" i="3"/>
  <c r="Q129" i="3"/>
  <c r="N840" i="3"/>
  <c r="Q840" i="3"/>
  <c r="Q246" i="3"/>
  <c r="N246" i="3"/>
  <c r="N708" i="3"/>
  <c r="Q708" i="3"/>
  <c r="N726" i="3"/>
  <c r="Q726" i="3"/>
  <c r="N498" i="3"/>
  <c r="Q498" i="3"/>
  <c r="N645" i="3"/>
  <c r="Q645" i="3"/>
  <c r="Q541" i="3"/>
  <c r="N541" i="3"/>
  <c r="N989" i="3"/>
  <c r="Q989" i="3"/>
  <c r="N678" i="3"/>
  <c r="Q678" i="3"/>
  <c r="Q132" i="3"/>
  <c r="N132" i="3"/>
  <c r="Q161" i="3"/>
  <c r="N161" i="3"/>
  <c r="N559" i="3"/>
  <c r="Q559" i="3"/>
  <c r="N653" i="3"/>
  <c r="Q653" i="3"/>
  <c r="N634" i="3"/>
  <c r="Q634" i="3"/>
  <c r="Q130" i="3"/>
  <c r="N130" i="3"/>
  <c r="N404" i="3"/>
  <c r="Q404" i="3"/>
  <c r="N623" i="3"/>
  <c r="Q623" i="3"/>
  <c r="N885" i="3"/>
  <c r="Q885" i="3"/>
  <c r="N377" i="3"/>
  <c r="Q377" i="3"/>
  <c r="Q24" i="3"/>
  <c r="N24" i="3"/>
  <c r="N279" i="3"/>
  <c r="Q279" i="3"/>
  <c r="Q744" i="3"/>
  <c r="N744" i="3"/>
  <c r="N387" i="3"/>
  <c r="Q387" i="3"/>
  <c r="N757" i="3"/>
  <c r="Q757" i="3"/>
  <c r="Q974" i="3"/>
  <c r="N974" i="3"/>
  <c r="N835" i="3"/>
  <c r="Q835" i="3"/>
  <c r="N754" i="3"/>
  <c r="Q754" i="3"/>
  <c r="N116" i="3"/>
  <c r="Q116" i="3"/>
  <c r="Q868" i="3"/>
  <c r="N868" i="3"/>
  <c r="N141" i="3"/>
  <c r="Q141" i="3"/>
  <c r="N832" i="3"/>
  <c r="Q832" i="3"/>
  <c r="N20" i="3"/>
  <c r="Q20" i="3"/>
  <c r="N915" i="3"/>
  <c r="Q915" i="3"/>
  <c r="N794" i="3"/>
  <c r="Q794" i="3"/>
  <c r="N13" i="3"/>
  <c r="Q13" i="3"/>
  <c r="N557" i="3"/>
  <c r="Q557" i="3"/>
  <c r="N710" i="3"/>
  <c r="Q710" i="3"/>
  <c r="N897" i="3"/>
  <c r="Q897" i="3"/>
  <c r="Q530" i="3"/>
  <c r="N530" i="3"/>
  <c r="N367" i="3"/>
  <c r="Q367" i="3"/>
  <c r="N638" i="3"/>
  <c r="Q638" i="3"/>
  <c r="N373" i="3"/>
  <c r="Q373" i="3"/>
  <c r="N418" i="3"/>
  <c r="Q418" i="3"/>
  <c r="N15" i="3"/>
  <c r="Q15" i="3"/>
  <c r="N759" i="3"/>
  <c r="Q759" i="3"/>
  <c r="N336" i="3"/>
  <c r="Q336" i="3"/>
  <c r="Q245" i="3"/>
  <c r="N245" i="3"/>
  <c r="N287" i="3"/>
  <c r="Q287" i="3"/>
  <c r="N462" i="3"/>
  <c r="Q462" i="3"/>
  <c r="N323" i="3"/>
  <c r="Q323" i="3"/>
  <c r="Q632" i="3"/>
  <c r="N632" i="3"/>
  <c r="N787" i="3"/>
  <c r="Q787" i="3"/>
  <c r="N622" i="3"/>
  <c r="Q622" i="3"/>
  <c r="N483" i="3"/>
  <c r="Q483" i="3"/>
  <c r="Q211" i="3"/>
  <c r="N211" i="3"/>
  <c r="Q309" i="3"/>
  <c r="N309" i="3"/>
  <c r="N21" i="3"/>
  <c r="Q21" i="3"/>
  <c r="N44" i="3"/>
  <c r="Q44" i="3"/>
  <c r="N494" i="3"/>
  <c r="Q494" i="3"/>
  <c r="N332" i="3"/>
  <c r="Q332" i="3"/>
  <c r="N509" i="3"/>
  <c r="Q509" i="3"/>
  <c r="Q168" i="3"/>
  <c r="N168" i="3"/>
  <c r="Q236" i="3"/>
  <c r="N236" i="3"/>
  <c r="N539" i="3"/>
  <c r="Q539" i="3"/>
  <c r="N79" i="3"/>
  <c r="Q79" i="3"/>
  <c r="N616" i="3"/>
  <c r="Q616" i="3"/>
  <c r="Q833" i="3"/>
  <c r="N833" i="3"/>
  <c r="N870" i="3"/>
  <c r="Q870" i="3"/>
  <c r="Q362" i="3"/>
  <c r="N362" i="3"/>
  <c r="N338" i="3"/>
  <c r="Q338" i="3"/>
  <c r="N554" i="3"/>
  <c r="Q554" i="3"/>
  <c r="N228" i="3"/>
  <c r="Q228" i="3"/>
  <c r="N742" i="3"/>
  <c r="Q742" i="3"/>
  <c r="Q959" i="3"/>
  <c r="N959" i="3"/>
  <c r="N476" i="3"/>
  <c r="Q476" i="3"/>
  <c r="Q969" i="3"/>
  <c r="N969" i="3"/>
  <c r="N578" i="3"/>
  <c r="Q578" i="3"/>
  <c r="N66" i="3"/>
  <c r="Q66" i="3"/>
  <c r="N110" i="3"/>
  <c r="Q110" i="3"/>
  <c r="N848" i="3"/>
  <c r="Q848" i="3"/>
  <c r="Q140" i="3"/>
  <c r="N140" i="3"/>
  <c r="N274" i="3"/>
  <c r="Q274" i="3"/>
  <c r="Q779" i="3"/>
  <c r="N779" i="3"/>
  <c r="N82" i="3"/>
  <c r="Q82" i="3"/>
  <c r="N329" i="3"/>
  <c r="Q329" i="3"/>
  <c r="N780" i="3"/>
  <c r="Q780" i="3"/>
  <c r="N695" i="3"/>
  <c r="Q695" i="3"/>
  <c r="N971" i="3"/>
  <c r="Q971" i="3"/>
  <c r="N916" i="3"/>
  <c r="Q916" i="3"/>
  <c r="N839" i="3"/>
  <c r="Q839" i="3"/>
  <c r="N669" i="3"/>
  <c r="Q669" i="3"/>
  <c r="N368" i="3"/>
  <c r="Q368" i="3"/>
  <c r="N889" i="3"/>
  <c r="Q889" i="3"/>
  <c r="N536" i="3"/>
  <c r="Q536" i="3"/>
  <c r="N313" i="3"/>
  <c r="Q313" i="3"/>
  <c r="N899" i="3"/>
  <c r="Q899" i="3"/>
  <c r="Q363" i="3"/>
  <c r="N363" i="3"/>
  <c r="N447" i="3"/>
  <c r="Q447" i="3"/>
  <c r="N798" i="3"/>
  <c r="Q798" i="3"/>
  <c r="N164" i="3"/>
  <c r="Q164" i="3"/>
  <c r="N786" i="3"/>
  <c r="Q786" i="3"/>
  <c r="N457" i="3"/>
  <c r="Q457" i="3"/>
  <c r="Q592" i="3"/>
  <c r="N592" i="3"/>
  <c r="N515" i="3"/>
  <c r="Q515" i="3"/>
  <c r="Q861" i="3"/>
  <c r="N861" i="3"/>
  <c r="Q378" i="3"/>
  <c r="N378" i="3"/>
  <c r="N297" i="3"/>
  <c r="Q297" i="3"/>
  <c r="Q763" i="3"/>
  <c r="N763" i="3"/>
  <c r="Q207" i="3"/>
  <c r="N207" i="3"/>
  <c r="N210" i="3"/>
  <c r="Q210" i="3"/>
  <c r="N213" i="3"/>
  <c r="Q213" i="3"/>
  <c r="Q489" i="3"/>
  <c r="N489" i="3"/>
  <c r="N881" i="3"/>
  <c r="Q881" i="3"/>
  <c r="N396" i="3"/>
  <c r="Q396" i="3"/>
  <c r="Q941" i="3"/>
  <c r="N941" i="3"/>
  <c r="Q666" i="3"/>
  <c r="N666" i="3"/>
  <c r="Q560" i="3"/>
  <c r="N560" i="3"/>
  <c r="N555" i="3"/>
  <c r="Q555" i="3"/>
  <c r="Q699" i="3"/>
  <c r="N699" i="3"/>
  <c r="N303" i="3"/>
  <c r="Q303" i="3"/>
  <c r="N491" i="3"/>
  <c r="Q491" i="3"/>
  <c r="N986" i="3"/>
  <c r="Q986" i="3"/>
  <c r="Q957" i="3"/>
  <c r="N957" i="3"/>
  <c r="N551" i="3"/>
  <c r="Q551" i="3"/>
  <c r="N775" i="3"/>
  <c r="Q775" i="3"/>
  <c r="N187" i="3"/>
  <c r="Q187" i="3"/>
  <c r="N356" i="3"/>
  <c r="Q356" i="3"/>
  <c r="N181" i="3"/>
  <c r="Q181" i="3"/>
  <c r="N589" i="3"/>
  <c r="Q589" i="3"/>
  <c r="N801" i="3"/>
  <c r="Q801" i="3"/>
  <c r="Q806" i="3"/>
  <c r="N806" i="3"/>
  <c r="N676" i="3"/>
  <c r="Q676" i="3"/>
  <c r="Q756" i="3"/>
  <c r="N756" i="3"/>
  <c r="Q224" i="3"/>
  <c r="N224" i="3"/>
  <c r="N358" i="3"/>
  <c r="Q358" i="3"/>
  <c r="N330" i="3"/>
  <c r="Q330" i="3"/>
  <c r="N230" i="3"/>
  <c r="Q230" i="3"/>
  <c r="N891" i="3"/>
  <c r="Q891" i="3"/>
  <c r="N319" i="3"/>
  <c r="Q319" i="3"/>
  <c r="N278" i="3"/>
  <c r="Q278" i="3"/>
  <c r="N428" i="3"/>
  <c r="Q428" i="3"/>
  <c r="N84" i="3"/>
  <c r="Q84" i="3"/>
  <c r="Q567" i="3"/>
  <c r="N567" i="3"/>
  <c r="N54" i="3"/>
  <c r="Q54" i="3"/>
  <c r="N752" i="3"/>
  <c r="Q752" i="3"/>
  <c r="N814" i="3"/>
  <c r="Q814" i="3"/>
  <c r="Q802" i="3"/>
  <c r="N802" i="3"/>
  <c r="Q272" i="3"/>
  <c r="N272" i="3"/>
  <c r="N764" i="3"/>
  <c r="Q764" i="3"/>
  <c r="N929" i="3"/>
  <c r="Q929" i="3"/>
  <c r="N729" i="3"/>
  <c r="Q729" i="3"/>
  <c r="Q135" i="3"/>
  <c r="N135" i="3"/>
  <c r="N875" i="3"/>
  <c r="Q875" i="3"/>
  <c r="Q379" i="3"/>
  <c r="N379" i="3"/>
  <c r="N846" i="3"/>
  <c r="Q846" i="3"/>
  <c r="Q349" i="3"/>
  <c r="N349" i="3"/>
  <c r="N805" i="3"/>
  <c r="Q805" i="3"/>
  <c r="N273" i="3"/>
  <c r="Q273" i="3"/>
  <c r="N984" i="3"/>
  <c r="Q984" i="3"/>
  <c r="N251" i="3"/>
  <c r="Q251" i="3"/>
  <c r="N765" i="3"/>
  <c r="Q765" i="3"/>
  <c r="N948" i="3"/>
  <c r="Q948" i="3"/>
  <c r="N369" i="3"/>
  <c r="Q369" i="3"/>
  <c r="N865" i="3"/>
  <c r="Q865" i="3"/>
  <c r="N444" i="3"/>
  <c r="Q444" i="3"/>
  <c r="N610" i="3"/>
  <c r="Q610" i="3"/>
  <c r="N755" i="3"/>
  <c r="Q755" i="3"/>
  <c r="Q55" i="3"/>
  <c r="N55" i="3"/>
  <c r="Q581" i="3"/>
  <c r="N581" i="3"/>
  <c r="N270" i="3"/>
  <c r="Q270" i="3"/>
  <c r="Q240" i="3"/>
  <c r="N240" i="3"/>
  <c r="N844" i="3"/>
  <c r="Q844" i="3"/>
  <c r="Q252" i="3"/>
  <c r="N252" i="3"/>
  <c r="N100" i="3"/>
  <c r="Q100" i="3"/>
  <c r="N668" i="3"/>
  <c r="Q668" i="3"/>
  <c r="N320" i="3"/>
  <c r="Q320" i="3"/>
  <c r="N830" i="3"/>
  <c r="Q830" i="3"/>
  <c r="N691" i="3"/>
  <c r="Q691" i="3"/>
  <c r="N403" i="3"/>
  <c r="Q403" i="3"/>
  <c r="N282" i="3"/>
  <c r="Q282" i="3"/>
  <c r="N540" i="3"/>
  <c r="Q540" i="3"/>
  <c r="Q992" i="3"/>
  <c r="N992" i="3"/>
  <c r="N198" i="3"/>
  <c r="Q198" i="3"/>
  <c r="Q474" i="3"/>
  <c r="N474" i="3"/>
  <c r="N688" i="3"/>
  <c r="Q688" i="3"/>
  <c r="Q563" i="3"/>
  <c r="N563" i="3"/>
  <c r="N382" i="3"/>
  <c r="Q382" i="3"/>
  <c r="N552" i="3"/>
  <c r="Q552" i="3"/>
  <c r="Q39" i="3"/>
  <c r="N39" i="3"/>
  <c r="N290" i="3"/>
  <c r="Q290" i="3"/>
  <c r="N961" i="3"/>
  <c r="Q961" i="3"/>
  <c r="N122" i="3"/>
  <c r="Q122" i="3"/>
  <c r="Q980" i="3"/>
  <c r="N980" i="3"/>
  <c r="N604" i="3"/>
  <c r="Q604" i="3"/>
  <c r="Q749" i="3"/>
  <c r="N749" i="3"/>
  <c r="N813" i="3"/>
  <c r="Q813" i="3"/>
  <c r="N80" i="3"/>
  <c r="Q80" i="3"/>
  <c r="Q714" i="3"/>
  <c r="N714" i="3"/>
  <c r="Q120" i="3"/>
  <c r="N120" i="3"/>
  <c r="Q275" i="3"/>
  <c r="N275" i="3"/>
  <c r="Q884" i="3"/>
  <c r="N884" i="3"/>
  <c r="Q156" i="3"/>
  <c r="N156" i="3"/>
  <c r="Q318" i="3"/>
  <c r="N318" i="3"/>
  <c r="N179" i="3"/>
  <c r="Q179" i="3"/>
  <c r="N809" i="3"/>
  <c r="Q809" i="3"/>
  <c r="N28" i="3"/>
  <c r="Q28" i="3"/>
  <c r="N417" i="3"/>
  <c r="Q417" i="3"/>
  <c r="Q506" i="3"/>
  <c r="N506" i="3"/>
  <c r="N725" i="3"/>
  <c r="Q725" i="3"/>
  <c r="N1001" i="3"/>
  <c r="Q1001" i="3"/>
  <c r="N943" i="3"/>
  <c r="Q943" i="3"/>
  <c r="N51" i="3"/>
  <c r="Q51" i="3"/>
  <c r="N383" i="3"/>
  <c r="Q383" i="3"/>
  <c r="N169" i="3"/>
  <c r="Q169" i="3"/>
  <c r="N940" i="3"/>
  <c r="Q940" i="3"/>
  <c r="Q40" i="3"/>
  <c r="N40" i="3"/>
  <c r="N566" i="3"/>
  <c r="Q566" i="3"/>
  <c r="N73" i="3"/>
  <c r="Q73" i="3"/>
  <c r="N468" i="3"/>
  <c r="Q468" i="3"/>
  <c r="N601" i="3"/>
  <c r="Q601" i="3"/>
  <c r="Q689" i="3"/>
  <c r="N689" i="3"/>
  <c r="N890" i="3"/>
  <c r="Q890" i="3"/>
  <c r="Q189" i="3"/>
  <c r="N189" i="3"/>
  <c r="Q593" i="3"/>
  <c r="N593" i="3"/>
  <c r="N921" i="3"/>
  <c r="Q921" i="3"/>
  <c r="Q365" i="3"/>
  <c r="N365" i="3"/>
  <c r="N386" i="3"/>
  <c r="Q386" i="3"/>
  <c r="N516" i="3"/>
  <c r="Q516" i="3"/>
  <c r="N74" i="3"/>
  <c r="Q74" i="3"/>
  <c r="N793" i="3"/>
  <c r="Q793" i="3"/>
  <c r="N741" i="3"/>
  <c r="Q741" i="3"/>
  <c r="N595" i="3"/>
  <c r="Q595" i="3"/>
  <c r="N679" i="3"/>
  <c r="Q679" i="3"/>
  <c r="Q671" i="3"/>
  <c r="N671" i="3"/>
  <c r="N972" i="3"/>
  <c r="Q972" i="3"/>
  <c r="N872" i="3"/>
  <c r="Q872" i="3"/>
  <c r="N856" i="3"/>
  <c r="Q856" i="3"/>
  <c r="Q465" i="3"/>
  <c r="N465" i="3"/>
  <c r="Q785" i="3"/>
  <c r="N785" i="3"/>
  <c r="N905" i="3"/>
  <c r="Q905" i="3"/>
  <c r="N521" i="3"/>
  <c r="Q521" i="3"/>
  <c r="N914" i="3"/>
  <c r="Q914" i="3"/>
  <c r="N154" i="3"/>
  <c r="Q154" i="3"/>
  <c r="N571" i="3"/>
  <c r="Q571" i="3"/>
  <c r="N627" i="3"/>
  <c r="Q627" i="3"/>
  <c r="N719" i="3"/>
  <c r="Q719" i="3"/>
  <c r="N753" i="3"/>
  <c r="Q753" i="3"/>
  <c r="N217" i="3"/>
  <c r="Q217" i="3"/>
  <c r="N662" i="3"/>
  <c r="Q662" i="3"/>
  <c r="Q609" i="3"/>
  <c r="N609" i="3"/>
  <c r="Q113" i="3"/>
  <c r="N113" i="3"/>
  <c r="N896" i="3"/>
  <c r="Q896" i="3"/>
  <c r="Q413" i="3"/>
  <c r="N413" i="3"/>
  <c r="Q466" i="3"/>
  <c r="N466" i="3"/>
  <c r="N831" i="3"/>
  <c r="Q831" i="3"/>
  <c r="N847" i="3"/>
  <c r="Q847" i="3"/>
  <c r="N596" i="3"/>
  <c r="Q596" i="3"/>
  <c r="N449" i="3"/>
  <c r="Q449" i="3"/>
  <c r="N815" i="3"/>
  <c r="Q815" i="3"/>
  <c r="Q237" i="3"/>
  <c r="N237" i="3"/>
  <c r="N202" i="3"/>
  <c r="Q202" i="3"/>
  <c r="N647" i="3"/>
  <c r="Q647" i="3"/>
  <c r="N487" i="3"/>
  <c r="Q487" i="3"/>
  <c r="N967" i="3"/>
  <c r="Q967" i="3"/>
  <c r="N561" i="3"/>
  <c r="Q561" i="3"/>
  <c r="N869" i="3"/>
  <c r="Q869" i="3"/>
  <c r="Q597" i="3"/>
  <c r="N597" i="3"/>
  <c r="N292" i="3"/>
  <c r="Q292" i="3"/>
  <c r="N1000" i="3"/>
  <c r="Q1000" i="3"/>
  <c r="N766" i="3"/>
  <c r="Q766" i="3"/>
  <c r="N76" i="3"/>
  <c r="Q76" i="3"/>
  <c r="N257" i="3"/>
  <c r="Q257" i="3"/>
  <c r="N782" i="3"/>
  <c r="Q782" i="3"/>
  <c r="N746" i="3"/>
  <c r="Q746" i="3"/>
  <c r="N431" i="3"/>
  <c r="Q431" i="3"/>
  <c r="Q23" i="3"/>
  <c r="N23" i="3"/>
  <c r="N165" i="3"/>
  <c r="Q165" i="3"/>
  <c r="N895" i="3"/>
  <c r="Q895" i="3"/>
  <c r="N409" i="3"/>
  <c r="Q409" i="3"/>
  <c r="N892" i="3"/>
  <c r="Q892" i="3"/>
  <c r="N587" i="3"/>
  <c r="Q587" i="3"/>
  <c r="N931" i="3"/>
  <c r="Q931" i="3"/>
  <c r="Q225" i="3"/>
  <c r="N225" i="3"/>
  <c r="N229" i="3"/>
  <c r="Q229" i="3"/>
  <c r="N83" i="3"/>
  <c r="Q83" i="3"/>
  <c r="N167" i="3"/>
  <c r="Q167" i="3"/>
  <c r="N159" i="3"/>
  <c r="Q159" i="3"/>
  <c r="N460" i="3"/>
  <c r="Q460" i="3"/>
  <c r="Q104" i="3"/>
  <c r="N104" i="3"/>
  <c r="Q344" i="3"/>
  <c r="N344" i="3"/>
  <c r="N864" i="3"/>
  <c r="Q864" i="3"/>
  <c r="N357" i="3"/>
  <c r="Q357" i="3"/>
  <c r="N963" i="3"/>
  <c r="Q963" i="3"/>
  <c r="N254" i="3"/>
  <c r="Q254" i="3"/>
  <c r="Q504" i="3"/>
  <c r="N504" i="3"/>
  <c r="N32" i="3"/>
  <c r="Q32" i="3"/>
  <c r="N258" i="3"/>
  <c r="Q258" i="3"/>
  <c r="N234" i="3"/>
  <c r="Q234" i="3"/>
  <c r="N702" i="3"/>
  <c r="Q702" i="3"/>
  <c r="Q900" i="3"/>
  <c r="N900" i="3"/>
  <c r="N906" i="3"/>
  <c r="Q906" i="3"/>
  <c r="N334" i="3"/>
  <c r="Q334" i="3"/>
  <c r="N876" i="3"/>
  <c r="Q876" i="3"/>
  <c r="N293" i="3"/>
  <c r="Q293" i="3"/>
  <c r="N241" i="3"/>
  <c r="Q241" i="3"/>
  <c r="N778" i="3"/>
  <c r="Q778" i="3"/>
  <c r="N268" i="3"/>
  <c r="Q268" i="3"/>
  <c r="N952" i="3"/>
  <c r="Q952" i="3"/>
  <c r="N436" i="3"/>
  <c r="Q436" i="3"/>
  <c r="N672" i="3"/>
  <c r="Q672" i="3"/>
  <c r="N655" i="3"/>
  <c r="Q655" i="3"/>
  <c r="N651" i="3"/>
  <c r="Q651" i="3"/>
  <c r="N243" i="3"/>
  <c r="Q243" i="3"/>
  <c r="N60" i="3"/>
  <c r="Q60" i="3"/>
  <c r="N751" i="3"/>
  <c r="Q751" i="3"/>
  <c r="N264" i="3"/>
  <c r="Q264" i="3"/>
  <c r="N115" i="3"/>
  <c r="Q115" i="3"/>
  <c r="N585" i="3"/>
  <c r="Q585" i="3"/>
  <c r="Q641" i="3"/>
  <c r="N641" i="3"/>
  <c r="N46" i="3"/>
  <c r="Q46" i="3"/>
  <c r="N904" i="3"/>
  <c r="Q904" i="3"/>
  <c r="N414" i="3"/>
  <c r="Q414" i="3"/>
  <c r="Q394" i="3"/>
  <c r="N394" i="3"/>
  <c r="Q877" i="3"/>
  <c r="N877" i="3"/>
  <c r="N364" i="3"/>
  <c r="Q364" i="3"/>
  <c r="N34" i="3"/>
  <c r="Q34" i="3"/>
  <c r="N999" i="3"/>
  <c r="Q999" i="3"/>
  <c r="Q266" i="3"/>
  <c r="N266" i="3"/>
  <c r="N214" i="3"/>
  <c r="Q214" i="3"/>
  <c r="N658" i="3"/>
  <c r="Q658" i="3"/>
  <c r="N152" i="3"/>
  <c r="Q152" i="3"/>
  <c r="Q160" i="3"/>
  <c r="N160" i="3"/>
  <c r="N158" i="3"/>
  <c r="Q158" i="3"/>
  <c r="Q953" i="3"/>
  <c r="N953" i="3"/>
  <c r="N139" i="3"/>
  <c r="Q139" i="3"/>
  <c r="N342" i="3"/>
  <c r="Q342" i="3"/>
  <c r="N70" i="3"/>
  <c r="Q70" i="3"/>
  <c r="N804" i="3"/>
  <c r="Q804" i="3"/>
  <c r="N825" i="3"/>
  <c r="Q825" i="3"/>
  <c r="N239" i="3"/>
  <c r="Q239" i="3"/>
  <c r="Q783" i="3"/>
  <c r="N783" i="3"/>
  <c r="Q977" i="3"/>
  <c r="N977" i="3"/>
  <c r="N432" i="3"/>
  <c r="Q432" i="3"/>
  <c r="N392" i="3"/>
  <c r="Q392" i="3"/>
  <c r="N677" i="3"/>
  <c r="Q677" i="3"/>
  <c r="Q188" i="3"/>
  <c r="N188" i="3"/>
  <c r="N155" i="3"/>
  <c r="Q155" i="3"/>
  <c r="Q72" i="3"/>
  <c r="N72" i="3"/>
  <c r="N603" i="3"/>
  <c r="Q603" i="3"/>
  <c r="N90" i="3"/>
  <c r="Q90" i="3"/>
  <c r="N619" i="3"/>
  <c r="Q619" i="3"/>
  <c r="Q256" i="3"/>
  <c r="N256" i="3"/>
  <c r="N517" i="3"/>
  <c r="Q517" i="3"/>
  <c r="N983" i="3"/>
  <c r="Q983" i="3"/>
  <c r="N722" i="3"/>
  <c r="Q722" i="3"/>
  <c r="Q401" i="3"/>
  <c r="N401" i="3"/>
  <c r="N288" i="3"/>
  <c r="Q288" i="3"/>
  <c r="N709" i="3"/>
  <c r="Q709" i="3"/>
  <c r="N171" i="3"/>
  <c r="Q171" i="3"/>
  <c r="N886" i="3"/>
  <c r="Q886" i="3"/>
  <c r="N919" i="3"/>
  <c r="Q919" i="3"/>
  <c r="N384" i="3"/>
  <c r="Q384" i="3"/>
  <c r="N535" i="3"/>
  <c r="Q535" i="3"/>
  <c r="Q281" i="3"/>
  <c r="N281" i="3"/>
  <c r="Q455" i="3"/>
  <c r="N455" i="3"/>
  <c r="N85" i="3"/>
  <c r="Q85" i="3"/>
  <c r="Q145" i="3"/>
  <c r="N145" i="3"/>
  <c r="N271" i="3"/>
  <c r="Q271" i="3"/>
  <c r="N407" i="3"/>
  <c r="Q407" i="3"/>
  <c r="Q910" i="3"/>
  <c r="N910" i="3"/>
  <c r="N912" i="3"/>
  <c r="Q912" i="3"/>
  <c r="Q472" i="3"/>
  <c r="N472" i="3"/>
  <c r="N664" i="3"/>
  <c r="Q664" i="3"/>
  <c r="Q411" i="3"/>
  <c r="N411" i="3"/>
  <c r="N681" i="3"/>
  <c r="Q681" i="3"/>
  <c r="N582" i="3"/>
  <c r="Q582" i="3"/>
  <c r="N69" i="3"/>
  <c r="Q69" i="3"/>
  <c r="N987" i="3"/>
  <c r="Q987" i="3"/>
  <c r="N150" i="3"/>
  <c r="Q150" i="3"/>
  <c r="N399" i="3"/>
  <c r="Q399" i="3"/>
  <c r="Q333" i="3"/>
  <c r="N333" i="3"/>
  <c r="Q440" i="3"/>
  <c r="N440" i="3"/>
  <c r="N359" i="3"/>
  <c r="Q359" i="3"/>
  <c r="Q107" i="3"/>
  <c r="N107" i="3"/>
  <c r="N475" i="3"/>
  <c r="Q475" i="3"/>
  <c r="Q586" i="3"/>
  <c r="N586" i="3"/>
  <c r="N717" i="3"/>
  <c r="Q717" i="3"/>
  <c r="N134" i="3"/>
  <c r="Q134" i="3"/>
  <c r="N351" i="3"/>
  <c r="Q351" i="3"/>
  <c r="N68" i="3"/>
  <c r="Q68" i="3"/>
  <c r="N979" i="3"/>
  <c r="Q979" i="3"/>
  <c r="N38" i="3"/>
  <c r="Q38" i="3"/>
  <c r="N789" i="3"/>
  <c r="Q789" i="3"/>
  <c r="N736" i="3"/>
  <c r="Q736" i="3"/>
  <c r="N463" i="3"/>
  <c r="Q463" i="3"/>
  <c r="Q936" i="3"/>
  <c r="N936" i="3"/>
  <c r="N221" i="3"/>
  <c r="Q221" i="3"/>
  <c r="Q949" i="3"/>
  <c r="N949" i="3"/>
  <c r="N547" i="3"/>
  <c r="Q547" i="3"/>
  <c r="N938" i="3"/>
  <c r="Q938" i="3"/>
  <c r="N599" i="3"/>
  <c r="Q599" i="3"/>
  <c r="N91" i="3"/>
  <c r="Q91" i="3"/>
  <c r="N617" i="3"/>
  <c r="Q617" i="3"/>
  <c r="N816" i="3"/>
  <c r="Q816" i="3"/>
  <c r="N45" i="3"/>
  <c r="Q45" i="3"/>
  <c r="Q996" i="3"/>
  <c r="N996" i="3"/>
  <c r="Q471" i="3"/>
  <c r="N471" i="3"/>
  <c r="N704" i="3"/>
  <c r="Q704" i="3"/>
  <c r="N860" i="3"/>
  <c r="Q860" i="3"/>
  <c r="N205" i="3"/>
  <c r="Q205" i="3"/>
  <c r="Q698" i="3"/>
  <c r="N698" i="3"/>
  <c r="N661" i="3"/>
  <c r="Q661" i="3"/>
  <c r="N739" i="3"/>
  <c r="Q739" i="3"/>
  <c r="N467" i="3"/>
  <c r="Q467" i="3"/>
  <c r="N277" i="3"/>
  <c r="Q277" i="3"/>
  <c r="N300" i="3"/>
  <c r="Q300" i="3"/>
  <c r="N750" i="3"/>
  <c r="Q750" i="3"/>
  <c r="N829" i="3"/>
  <c r="Q829" i="3"/>
  <c r="Q492" i="3"/>
  <c r="N492" i="3"/>
  <c r="N14" i="3"/>
  <c r="Q14" i="3"/>
  <c r="N35" i="3"/>
  <c r="Q35" i="3"/>
  <c r="N185" i="3"/>
  <c r="Q185" i="3"/>
  <c r="N398" i="3"/>
  <c r="Q398" i="3"/>
  <c r="Q562" i="3"/>
  <c r="N562" i="3"/>
  <c r="N380" i="3"/>
  <c r="Q380" i="3"/>
  <c r="N75" i="3"/>
  <c r="Q75" i="3"/>
  <c r="N419" i="3"/>
  <c r="Q419" i="3"/>
  <c r="N286" i="3"/>
  <c r="Q286" i="3"/>
  <c r="N502" i="3"/>
  <c r="Q502" i="3"/>
  <c r="N968" i="3"/>
  <c r="Q968" i="3"/>
  <c r="N964" i="3"/>
  <c r="Q964" i="3"/>
  <c r="N982" i="3"/>
  <c r="Q982" i="3"/>
  <c r="N694" i="3"/>
  <c r="Q694" i="3"/>
  <c r="N686" i="3"/>
  <c r="Q686" i="3"/>
  <c r="N738" i="3"/>
  <c r="Q738" i="3"/>
  <c r="N119" i="3"/>
  <c r="Q119" i="3"/>
  <c r="N352" i="3"/>
  <c r="Q352" i="3"/>
  <c r="N402" i="3"/>
  <c r="Q402" i="3"/>
  <c r="N820" i="3"/>
  <c r="Q820" i="3"/>
  <c r="N451" i="3"/>
  <c r="Q451" i="3"/>
  <c r="N247" i="3"/>
  <c r="Q247" i="3"/>
  <c r="N797" i="3"/>
  <c r="Q797" i="3"/>
  <c r="N768" i="3"/>
  <c r="Q768" i="3"/>
  <c r="Q348" i="3"/>
  <c r="N348" i="3"/>
  <c r="N480" i="3"/>
  <c r="Q480" i="3"/>
  <c r="N761" i="3"/>
  <c r="Q761" i="3"/>
  <c r="N190" i="3"/>
  <c r="Q190" i="3"/>
  <c r="N811" i="3"/>
  <c r="Q811" i="3"/>
  <c r="N934" i="3"/>
  <c r="Q934" i="3"/>
  <c r="N429" i="3"/>
  <c r="Q429" i="3"/>
  <c r="Q700" i="3"/>
  <c r="N700" i="3"/>
  <c r="N584" i="3"/>
  <c r="Q584" i="3"/>
  <c r="N545" i="3"/>
  <c r="Q545" i="3"/>
  <c r="N826" i="3"/>
  <c r="Q826" i="3"/>
  <c r="N146" i="3"/>
  <c r="Q146" i="3"/>
  <c r="Q456" i="3"/>
  <c r="N456" i="3"/>
  <c r="N452" i="3"/>
  <c r="Q452" i="3"/>
  <c r="Q913" i="3"/>
  <c r="N913" i="3"/>
  <c r="N529" i="3"/>
  <c r="Q529" i="3"/>
  <c r="N182" i="3"/>
  <c r="Q182" i="3"/>
  <c r="N389" i="3"/>
  <c r="Q389" i="3"/>
  <c r="N863" i="3"/>
  <c r="Q863" i="3"/>
  <c r="N308" i="3"/>
  <c r="Q308" i="3"/>
  <c r="Q550" i="3"/>
  <c r="N550" i="3"/>
  <c r="Q518" i="3"/>
  <c r="N518" i="3"/>
  <c r="N285" i="3"/>
  <c r="Q285" i="3"/>
  <c r="N828" i="3"/>
  <c r="Q828" i="3"/>
  <c r="N345" i="3"/>
  <c r="Q345" i="3"/>
  <c r="Q976" i="3"/>
  <c r="N976" i="3"/>
  <c r="Q422" i="3"/>
  <c r="N422" i="3"/>
  <c r="N434" i="3"/>
  <c r="Q434" i="3"/>
  <c r="N879" i="3"/>
  <c r="Q879" i="3"/>
  <c r="N102" i="3"/>
  <c r="Q102" i="3"/>
  <c r="N633" i="3"/>
  <c r="Q633" i="3"/>
  <c r="Q280" i="3"/>
  <c r="N280" i="3"/>
  <c r="Q776" i="3"/>
  <c r="N776" i="3"/>
  <c r="Q57" i="3"/>
  <c r="N57" i="3"/>
  <c r="N643" i="3"/>
  <c r="Q643" i="3"/>
  <c r="Q177" i="3"/>
  <c r="N177" i="3"/>
  <c r="N583" i="3"/>
  <c r="Q583" i="3"/>
  <c r="N191" i="3"/>
  <c r="Q191" i="3"/>
  <c r="N61" i="3"/>
  <c r="Q61" i="3"/>
  <c r="N594" i="3"/>
  <c r="Q594" i="3"/>
  <c r="N955" i="3"/>
  <c r="Q955" i="3"/>
  <c r="N201" i="3"/>
  <c r="Q201" i="3"/>
  <c r="N514" i="3"/>
  <c r="Q514" i="3"/>
  <c r="N812" i="3"/>
  <c r="Q812" i="3"/>
  <c r="N481" i="3"/>
  <c r="Q481" i="3"/>
  <c r="N721" i="3"/>
  <c r="Q721" i="3"/>
  <c r="N697" i="3"/>
  <c r="Q697" i="3"/>
  <c r="N611" i="3"/>
  <c r="Q611" i="3"/>
  <c r="N197" i="3"/>
  <c r="Q197" i="3"/>
  <c r="N374" i="3"/>
  <c r="Q374" i="3"/>
  <c r="Q878" i="3"/>
  <c r="N878" i="3"/>
  <c r="N565" i="3"/>
  <c r="Q565" i="3"/>
  <c r="N49" i="3"/>
  <c r="Q49" i="3"/>
  <c r="N424" i="3"/>
  <c r="Q424" i="3"/>
  <c r="N437" i="3"/>
  <c r="Q437" i="3"/>
  <c r="N381" i="3"/>
  <c r="Q381" i="3"/>
  <c r="N871" i="3"/>
  <c r="Q871" i="3"/>
  <c r="N388" i="3"/>
  <c r="Q388" i="3"/>
  <c r="N450" i="3"/>
  <c r="Q450" i="3"/>
  <c r="Q602" i="3"/>
  <c r="N602" i="3"/>
  <c r="N174" i="3"/>
  <c r="Q174" i="3"/>
  <c r="Q683" i="3"/>
  <c r="N683" i="3"/>
  <c r="N646" i="3"/>
  <c r="Q646" i="3"/>
  <c r="N580" i="3"/>
  <c r="Q580" i="3"/>
  <c r="Q249" i="3"/>
  <c r="N249" i="3"/>
  <c r="N733" i="3"/>
  <c r="Q733" i="3"/>
  <c r="Q760" i="3"/>
  <c r="N760" i="3"/>
  <c r="N321" i="3"/>
  <c r="Q321" i="3"/>
  <c r="N372" i="3"/>
  <c r="Q372" i="3"/>
  <c r="Q312" i="3"/>
  <c r="N312" i="3"/>
  <c r="N48" i="3"/>
  <c r="Q48" i="3"/>
  <c r="N276" i="3"/>
  <c r="Q276" i="3"/>
  <c r="N11" i="3"/>
  <c r="Q11" i="3"/>
  <c r="N966" i="3"/>
  <c r="Q966" i="3"/>
  <c r="N203" i="3"/>
  <c r="Q203" i="3"/>
  <c r="N990" i="3"/>
  <c r="Q990" i="3"/>
  <c r="N148" i="3"/>
  <c r="Q148" i="3"/>
  <c r="N112" i="3"/>
  <c r="Q112" i="3"/>
  <c r="N629" i="3"/>
  <c r="Q629" i="3"/>
  <c r="N807" i="3"/>
  <c r="Q807" i="3"/>
  <c r="N784" i="3"/>
  <c r="Q784" i="3"/>
  <c r="N232" i="3"/>
  <c r="Q232" i="3"/>
  <c r="N131" i="3"/>
  <c r="Q131" i="3"/>
  <c r="N800" i="3"/>
  <c r="Q800" i="3"/>
  <c r="N718" i="3"/>
  <c r="Q718" i="3"/>
  <c r="N841" i="3"/>
  <c r="Q841" i="3"/>
  <c r="N579" i="3"/>
  <c r="Q579" i="3"/>
  <c r="N443" i="3"/>
  <c r="Q443" i="3"/>
  <c r="Q888" i="3"/>
  <c r="N888" i="3"/>
  <c r="N322" i="3"/>
  <c r="Q322" i="3"/>
  <c r="N612" i="3"/>
  <c r="Q612" i="3"/>
  <c r="N924" i="3"/>
  <c r="Q924" i="3"/>
  <c r="N47" i="3"/>
  <c r="Q47" i="3"/>
  <c r="N947" i="3"/>
  <c r="Q947" i="3"/>
  <c r="N659" i="3"/>
  <c r="Q659" i="3"/>
  <c r="N27" i="3"/>
  <c r="Q27" i="3"/>
  <c r="N235" i="3"/>
  <c r="Q235" i="3"/>
  <c r="N454" i="3"/>
  <c r="Q454" i="3"/>
  <c r="Q385" i="3"/>
  <c r="N385" i="3"/>
  <c r="Q819" i="3"/>
  <c r="N819" i="3"/>
  <c r="N849" i="3"/>
  <c r="Q849" i="3"/>
  <c r="Q87" i="3"/>
  <c r="N87" i="3"/>
  <c r="N283" i="3"/>
  <c r="Q283" i="3"/>
  <c r="N484" i="3"/>
  <c r="Q484" i="3"/>
  <c r="N998" i="3"/>
  <c r="Q998" i="3"/>
  <c r="N99" i="3"/>
  <c r="Q99" i="3"/>
  <c r="Q192" i="3"/>
  <c r="N192" i="3"/>
  <c r="N89" i="3"/>
  <c r="Q89" i="3"/>
  <c r="N932" i="3"/>
  <c r="Q932" i="3"/>
  <c r="Q732" i="3"/>
  <c r="N732" i="3"/>
  <c r="N149" i="3"/>
  <c r="Q149" i="3"/>
  <c r="N901" i="3"/>
  <c r="Q901" i="3"/>
  <c r="N366" i="3"/>
  <c r="Q366" i="3"/>
  <c r="N227" i="3"/>
  <c r="Q227" i="3"/>
  <c r="N53" i="3"/>
  <c r="Q53" i="3"/>
  <c r="Q193" i="3"/>
  <c r="N193" i="3"/>
  <c r="N18" i="3"/>
  <c r="Q18" i="3"/>
  <c r="N238" i="3"/>
  <c r="Q238" i="3"/>
  <c r="N43" i="3"/>
  <c r="Q43" i="3"/>
  <c r="Q253" i="3"/>
  <c r="N253" i="3"/>
  <c r="Q850" i="3"/>
  <c r="N850" i="3"/>
  <c r="N706" i="3"/>
  <c r="Q706" i="3"/>
  <c r="Q482" i="3"/>
  <c r="N482" i="3"/>
  <c r="N126" i="3"/>
  <c r="Q126" i="3"/>
  <c r="N880" i="3"/>
  <c r="Q880" i="3"/>
  <c r="N106" i="3"/>
  <c r="Q106" i="3"/>
  <c r="Q792" i="3"/>
  <c r="N792" i="3"/>
  <c r="N354" i="3"/>
  <c r="Q354" i="3"/>
  <c r="N42" i="3"/>
  <c r="Q42" i="3"/>
  <c r="N486" i="3"/>
  <c r="Q486" i="3"/>
  <c r="N350" i="3"/>
  <c r="Q350" i="3"/>
  <c r="Q220" i="3"/>
  <c r="N220" i="3"/>
  <c r="N713" i="3"/>
  <c r="Q713" i="3"/>
  <c r="N771" i="3"/>
  <c r="Q771" i="3"/>
  <c r="Q909" i="3"/>
  <c r="N909" i="3"/>
  <c r="N637" i="3"/>
  <c r="Q637" i="3"/>
  <c r="N523" i="3"/>
  <c r="Q523" i="3"/>
  <c r="N781" i="3"/>
  <c r="Q781" i="3"/>
  <c r="N263" i="3"/>
  <c r="Q263" i="3"/>
  <c r="Q439" i="3"/>
  <c r="N439" i="3"/>
  <c r="N673" i="3"/>
  <c r="Q673" i="3"/>
  <c r="N654" i="3"/>
  <c r="Q654" i="3"/>
  <c r="N922" i="3"/>
  <c r="Q922" i="3"/>
  <c r="N684" i="3"/>
  <c r="Q684" i="3"/>
  <c r="N340" i="3"/>
  <c r="Q340" i="3"/>
  <c r="N823" i="3"/>
  <c r="Q823" i="3"/>
  <c r="N310" i="3"/>
  <c r="Q310" i="3"/>
  <c r="Q194" i="3"/>
  <c r="N194" i="3"/>
  <c r="Q544" i="3"/>
  <c r="N544" i="3"/>
  <c r="N212" i="3"/>
  <c r="Q212" i="3"/>
  <c r="Q993" i="3"/>
  <c r="N993" i="3"/>
  <c r="N991" i="3"/>
  <c r="Q991" i="3"/>
  <c r="N393" i="3"/>
  <c r="Q393" i="3"/>
  <c r="N985" i="3"/>
  <c r="Q985" i="3"/>
  <c r="N391" i="3"/>
  <c r="Q391" i="3"/>
  <c r="N652" i="3"/>
  <c r="Q652" i="3"/>
  <c r="Q397" i="3"/>
  <c r="N397" i="3"/>
  <c r="Q962" i="3"/>
  <c r="N962" i="3"/>
  <c r="Q269" i="3"/>
  <c r="N269" i="3"/>
  <c r="N255" i="3"/>
  <c r="Q255" i="3"/>
  <c r="Q747" i="3"/>
  <c r="N747" i="3"/>
  <c r="Q926" i="3"/>
  <c r="N926" i="3"/>
  <c r="N111" i="3"/>
  <c r="Q111" i="3"/>
  <c r="N121" i="3"/>
  <c r="Q121" i="3"/>
  <c r="N501" i="3"/>
  <c r="Q501" i="3"/>
  <c r="Q576" i="3"/>
  <c r="N576" i="3"/>
  <c r="N538" i="3"/>
  <c r="Q538" i="3"/>
  <c r="N796" i="3"/>
  <c r="Q796" i="3"/>
  <c r="N730" i="3"/>
  <c r="Q730" i="3"/>
  <c r="Q894" i="3"/>
  <c r="N894" i="3"/>
  <c r="N887" i="3"/>
  <c r="Q887" i="3"/>
  <c r="Q618" i="3"/>
  <c r="N618" i="3"/>
  <c r="N105" i="3"/>
  <c r="Q105" i="3"/>
  <c r="N543" i="3"/>
  <c r="Q543" i="3"/>
  <c r="N186" i="3"/>
  <c r="Q186" i="3"/>
  <c r="N591" i="3"/>
  <c r="Q591" i="3"/>
  <c r="N951" i="3"/>
  <c r="Q951" i="3"/>
  <c r="N433" i="3"/>
  <c r="Q433" i="3"/>
  <c r="N614" i="3"/>
  <c r="Q614" i="3"/>
  <c r="N898" i="3"/>
  <c r="Q898" i="3"/>
  <c r="Q703" i="3"/>
  <c r="N703" i="3"/>
  <c r="Q528" i="3"/>
  <c r="N528" i="3"/>
  <c r="N420" i="3"/>
  <c r="Q420" i="3"/>
  <c r="N19" i="3"/>
  <c r="Q19" i="3"/>
  <c r="N327" i="3"/>
  <c r="Q327" i="3"/>
  <c r="N788" i="3"/>
  <c r="Q788" i="3"/>
  <c r="N500" i="3"/>
  <c r="Q500" i="3"/>
  <c r="N524" i="3"/>
  <c r="Q524" i="3"/>
  <c r="Q715" i="3"/>
  <c r="N715" i="3"/>
  <c r="N660" i="3"/>
  <c r="Q660" i="3"/>
  <c r="N17" i="3"/>
  <c r="Q17" i="3"/>
  <c r="N81" i="3"/>
  <c r="Q81" i="3"/>
  <c r="N259" i="3"/>
  <c r="Q259" i="3"/>
  <c r="N8" i="3"/>
  <c r="Q8" i="3"/>
  <c r="Q9" i="3"/>
  <c r="N9" i="3"/>
  <c r="N7" i="3"/>
  <c r="Q7" i="3"/>
  <c r="N4" i="3"/>
  <c r="Q4" i="3"/>
  <c r="N6" i="3"/>
  <c r="Q6" i="3"/>
  <c r="N5" i="3"/>
  <c r="N3" i="3"/>
  <c r="H2" i="3"/>
  <c r="N2" i="3" s="1"/>
  <c r="Q2" i="3"/>
  <c r="W3" i="3" l="1"/>
  <c r="W5" i="3"/>
  <c r="W4" i="3"/>
  <c r="W6" i="3"/>
  <c r="W7" i="3"/>
  <c r="W2" i="3"/>
  <c r="W8" i="3"/>
  <c r="W9" i="3"/>
  <c r="W10" i="3"/>
</calcChain>
</file>

<file path=xl/sharedStrings.xml><?xml version="1.0" encoding="utf-8"?>
<sst xmlns="http://schemas.openxmlformats.org/spreadsheetml/2006/main" count="41" uniqueCount="33">
  <si>
    <t>slope (-)</t>
  </si>
  <si>
    <t>fo</t>
  </si>
  <si>
    <t>fi/fo</t>
  </si>
  <si>
    <t>h  (m)</t>
  </si>
  <si>
    <t>H (m)</t>
  </si>
  <si>
    <t>t (m)</t>
  </si>
  <si>
    <t>chainage (m)</t>
  </si>
  <si>
    <r>
      <rPr>
        <b/>
        <sz val="11"/>
        <color theme="1"/>
        <rFont val="Calibri"/>
        <family val="2"/>
      </rPr>
      <t>ξ</t>
    </r>
    <r>
      <rPr>
        <b/>
        <sz val="11"/>
        <color theme="1"/>
        <rFont val="Calibri"/>
        <family val="2"/>
        <scheme val="minor"/>
      </rPr>
      <t xml:space="preserve"> (xi)</t>
    </r>
  </si>
  <si>
    <r>
      <rPr>
        <b/>
        <sz val="11"/>
        <color theme="1"/>
        <rFont val="Calibri"/>
        <family val="2"/>
      </rPr>
      <t>η</t>
    </r>
    <r>
      <rPr>
        <b/>
        <sz val="11"/>
        <color theme="1"/>
        <rFont val="Calibri"/>
        <family val="2"/>
        <scheme val="minor"/>
      </rPr>
      <t xml:space="preserve"> (eta)</t>
    </r>
  </si>
  <si>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 xml:space="preserve"> (mu)</t>
    </r>
  </si>
  <si>
    <t>event</t>
  </si>
  <si>
    <t xml:space="preserve"> width (m)</t>
  </si>
  <si>
    <r>
      <t>q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/s)</t>
    </r>
  </si>
  <si>
    <r>
      <t>Q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/s)</t>
    </r>
  </si>
  <si>
    <t>width (m)</t>
  </si>
  <si>
    <t>open-water profile</t>
  </si>
  <si>
    <t>slope_calc</t>
  </si>
  <si>
    <t>thalweg</t>
  </si>
  <si>
    <t>chainage</t>
  </si>
  <si>
    <t>thalweg (trendline)</t>
  </si>
  <si>
    <t>thalweg elevation (masl)</t>
  </si>
  <si>
    <t>thalweg (trend)</t>
  </si>
  <si>
    <t>W empirical (masl)</t>
  </si>
  <si>
    <t>cross-section #</t>
  </si>
  <si>
    <t>fi</t>
  </si>
  <si>
    <t>T</t>
  </si>
  <si>
    <t>highwater mark (min)</t>
  </si>
  <si>
    <t>highwater mark (max)</t>
  </si>
  <si>
    <t>p</t>
  </si>
  <si>
    <t>%ile</t>
  </si>
  <si>
    <t>calibrated</t>
  </si>
  <si>
    <t>observed (max)</t>
  </si>
  <si>
    <t>observed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</si>
</sst>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00"/>
    <numFmt numFmtId="166" formatCode=".000000"/>
    <numFmt numFmtId="167" formatCode=".000"/>
    <numFmt numFmtId="168" formatCode=".0"/>
    <numFmt numFmtId="170" formatCode="0.000000"/>
    <numFmt numFmtId="171" formatCode="0.00000000"/>
    <numFmt numFmtId="173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2" fontId="0" fillId="0" borderId="0" xfId="0" applyNumberFormat="1"/>
    <xf numFmtId="0" fontId="0" fillId="2" borderId="0" xfId="0" applyFill="1"/>
    <xf numFmtId="1" fontId="0" fillId="0" borderId="0" xfId="0" applyNumberFormat="1"/>
    <xf numFmtId="0" fontId="2" fillId="0" borderId="0" xfId="0" applyFont="1"/>
    <xf numFmtId="164" fontId="2" fillId="0" borderId="0" xfId="0" applyNumberFormat="1" applyFont="1"/>
    <xf numFmtId="168" fontId="0" fillId="0" borderId="0" xfId="0" applyNumberFormat="1"/>
    <xf numFmtId="166" fontId="0" fillId="0" borderId="0" xfId="0" applyNumberFormat="1"/>
    <xf numFmtId="2" fontId="2" fillId="0" borderId="0" xfId="0" applyNumberFormat="1" applyFont="1"/>
    <xf numFmtId="0" fontId="2" fillId="0" borderId="0" xfId="0" applyFont="1" applyAlignment="1">
      <alignment horizontal="left"/>
    </xf>
    <xf numFmtId="170" fontId="0" fillId="2" borderId="0" xfId="0" applyNumberFormat="1" applyFill="1"/>
    <xf numFmtId="171" fontId="0" fillId="0" borderId="0" xfId="0" applyNumberFormat="1"/>
    <xf numFmtId="170" fontId="0" fillId="0" borderId="0" xfId="0" applyNumberFormat="1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 vertical="top" wrapText="1"/>
    </xf>
    <xf numFmtId="168" fontId="0" fillId="0" borderId="0" xfId="0" applyNumberForma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7" fontId="0" fillId="0" borderId="0" xfId="0" applyNumberForma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64" fontId="1" fillId="0" borderId="0" xfId="0" applyNumberFormat="1" applyFont="1"/>
    <xf numFmtId="164" fontId="0" fillId="3" borderId="0" xfId="0" applyNumberFormat="1" applyFill="1"/>
    <xf numFmtId="0" fontId="0" fillId="4" borderId="0" xfId="0" applyFill="1"/>
    <xf numFmtId="0" fontId="0" fillId="0" borderId="0" xfId="0" applyAlignment="1">
      <alignment horizontal="center" vertical="top"/>
    </xf>
    <xf numFmtId="173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09336332958378"/>
          <c:y val="5.287763200216087E-2"/>
          <c:w val="0.77021950827575125"/>
          <c:h val="0.7826515761359214"/>
        </c:manualLayout>
      </c:layout>
      <c:scatterChart>
        <c:scatterStyle val="lineMarker"/>
        <c:varyColors val="0"/>
        <c:ser>
          <c:idx val="2"/>
          <c:order val="0"/>
          <c:tx>
            <c:strRef>
              <c:f>values!$Y$1</c:f>
              <c:strCache>
                <c:ptCount val="1"/>
                <c:pt idx="0">
                  <c:v>observed (max)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values!$S$2:$S$1001</c:f>
              <c:numCache>
                <c:formatCode>General</c:formatCode>
                <c:ptCount val="1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values!$Y$2:$Y$1001</c:f>
              <c:numCache>
                <c:formatCode>General</c:formatCode>
                <c:ptCount val="1000"/>
                <c:pt idx="0">
                  <c:v>126.76074199999999</c:v>
                </c:pt>
                <c:pt idx="1">
                  <c:v>126.35966500000001</c:v>
                </c:pt>
                <c:pt idx="2">
                  <c:v>126.017281</c:v>
                </c:pt>
                <c:pt idx="3">
                  <c:v>125.630531</c:v>
                </c:pt>
                <c:pt idx="4">
                  <c:v>125.18401299999999</c:v>
                </c:pt>
                <c:pt idx="5">
                  <c:v>125.023758</c:v>
                </c:pt>
                <c:pt idx="6">
                  <c:v>124.455544</c:v>
                </c:pt>
                <c:pt idx="7">
                  <c:v>123.74097399999999</c:v>
                </c:pt>
                <c:pt idx="8">
                  <c:v>122.282242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B7-4D6F-A4AB-5C191ADE9EDD}"/>
            </c:ext>
          </c:extLst>
        </c:ser>
        <c:ser>
          <c:idx val="1"/>
          <c:order val="1"/>
          <c:tx>
            <c:strRef>
              <c:f>values!$W$1</c:f>
              <c:strCache>
                <c:ptCount val="1"/>
                <c:pt idx="0">
                  <c:v>calibrated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values!$S$2:$S$10001</c:f>
              <c:numCache>
                <c:formatCode>General</c:formatCode>
                <c:ptCount val="10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values!$W$2:$W$10001</c:f>
              <c:numCache>
                <c:formatCode>0.000</c:formatCode>
                <c:ptCount val="10000"/>
                <c:pt idx="0">
                  <c:v>126.53696053891603</c:v>
                </c:pt>
                <c:pt idx="1">
                  <c:v>125.99958884169168</c:v>
                </c:pt>
                <c:pt idx="2">
                  <c:v>125.7110551295669</c:v>
                </c:pt>
                <c:pt idx="3">
                  <c:v>125.47338186235717</c:v>
                </c:pt>
                <c:pt idx="4">
                  <c:v>124.82264298880354</c:v>
                </c:pt>
                <c:pt idx="5">
                  <c:v>124.03915074526607</c:v>
                </c:pt>
                <c:pt idx="6">
                  <c:v>123.04102651886255</c:v>
                </c:pt>
                <c:pt idx="7">
                  <c:v>122.25299642438932</c:v>
                </c:pt>
                <c:pt idx="8">
                  <c:v>120.90108197051737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B7-4D6F-A4AB-5C191ADE9EDD}"/>
            </c:ext>
          </c:extLst>
        </c:ser>
        <c:ser>
          <c:idx val="3"/>
          <c:order val="2"/>
          <c:tx>
            <c:strRef>
              <c:f>values!$Z$1</c:f>
              <c:strCache>
                <c:ptCount val="1"/>
                <c:pt idx="0">
                  <c:v>observed (min)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values!$S$2:$S$1001</c:f>
              <c:numCache>
                <c:formatCode>General</c:formatCode>
                <c:ptCount val="1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values!$Z$2:$Z$1001</c:f>
              <c:numCache>
                <c:formatCode>General</c:formatCode>
                <c:ptCount val="1000"/>
                <c:pt idx="0">
                  <c:v>126.427139</c:v>
                </c:pt>
                <c:pt idx="1">
                  <c:v>126.085793</c:v>
                </c:pt>
                <c:pt idx="2">
                  <c:v>125.79135100000001</c:v>
                </c:pt>
                <c:pt idx="3">
                  <c:v>125.455231</c:v>
                </c:pt>
                <c:pt idx="4">
                  <c:v>125.06229399999999</c:v>
                </c:pt>
                <c:pt idx="5">
                  <c:v>124.91995199999999</c:v>
                </c:pt>
                <c:pt idx="6">
                  <c:v>124.409363</c:v>
                </c:pt>
                <c:pt idx="7">
                  <c:v>123.71272999999999</c:v>
                </c:pt>
                <c:pt idx="8">
                  <c:v>122.203033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B7-4D6F-A4AB-5C191ADE9EDD}"/>
            </c:ext>
          </c:extLst>
        </c:ser>
        <c:ser>
          <c:idx val="4"/>
          <c:order val="3"/>
          <c:tx>
            <c:strRef>
              <c:f>HWmarks!$C$1</c:f>
              <c:strCache>
                <c:ptCount val="1"/>
                <c:pt idx="0">
                  <c:v>highwater mark (max)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HWmarks!$A$2:$A$3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HWmarks!$C$2:$C$3</c:f>
              <c:numCache>
                <c:formatCode>General</c:formatCode>
                <c:ptCount val="2"/>
                <c:pt idx="0">
                  <c:v>125.88200000000001</c:v>
                </c:pt>
                <c:pt idx="1">
                  <c:v>125.88200000000001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B7-4D6F-A4AB-5C191ADE9EDD}"/>
            </c:ext>
          </c:extLst>
        </c:ser>
        <c:ser>
          <c:idx val="0"/>
          <c:order val="4"/>
          <c:tx>
            <c:strRef>
              <c:f>HWmarks!$B$1</c:f>
              <c:strCache>
                <c:ptCount val="1"/>
                <c:pt idx="0">
                  <c:v>highwater mark (min)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HWmarks!$A$2:$A$3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HWmarks!$B$2:$B$3</c:f>
              <c:numCache>
                <c:formatCode>General</c:formatCode>
                <c:ptCount val="2"/>
                <c:pt idx="0">
                  <c:v>125.71</c:v>
                </c:pt>
                <c:pt idx="1">
                  <c:v>125.71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B7-4D6F-A4AB-5C191ADE9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91327"/>
        <c:axId val="304376767"/>
      </c:scatterChart>
      <c:valAx>
        <c:axId val="304391327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return period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76767"/>
        <c:crosses val="autoZero"/>
        <c:crossBetween val="midCat"/>
      </c:valAx>
      <c:valAx>
        <c:axId val="304376767"/>
        <c:scaling>
          <c:orientation val="minMax"/>
          <c:min val="1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water-surface elevation</a:t>
                </a:r>
              </a:p>
              <a:p>
                <a:pPr>
                  <a:defRPr sz="1200"/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 a.s.l.)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9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894101868073335"/>
          <c:y val="0.35991657608455507"/>
          <c:w val="0.42857742782152225"/>
          <c:h val="0.3611402840047837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09336332958378"/>
          <c:y val="5.287763200216087E-2"/>
          <c:w val="0.77021950827575125"/>
          <c:h val="0.7826515761359214"/>
        </c:manualLayout>
      </c:layout>
      <c:scatterChart>
        <c:scatterStyle val="lineMarker"/>
        <c:varyColors val="0"/>
        <c:ser>
          <c:idx val="2"/>
          <c:order val="0"/>
          <c:tx>
            <c:strRef>
              <c:f>values!$Y$1</c:f>
              <c:strCache>
                <c:ptCount val="1"/>
                <c:pt idx="0">
                  <c:v>observed (max)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values!$S$2:$S$1001</c:f>
              <c:numCache>
                <c:formatCode>General</c:formatCode>
                <c:ptCount val="1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values!$Y$2:$Y$1001</c:f>
              <c:numCache>
                <c:formatCode>General</c:formatCode>
                <c:ptCount val="1000"/>
                <c:pt idx="0">
                  <c:v>126.76074199999999</c:v>
                </c:pt>
                <c:pt idx="1">
                  <c:v>126.35966500000001</c:v>
                </c:pt>
                <c:pt idx="2">
                  <c:v>126.017281</c:v>
                </c:pt>
                <c:pt idx="3">
                  <c:v>125.630531</c:v>
                </c:pt>
                <c:pt idx="4">
                  <c:v>125.18401299999999</c:v>
                </c:pt>
                <c:pt idx="5">
                  <c:v>125.023758</c:v>
                </c:pt>
                <c:pt idx="6">
                  <c:v>124.455544</c:v>
                </c:pt>
                <c:pt idx="7">
                  <c:v>123.74097399999999</c:v>
                </c:pt>
                <c:pt idx="8">
                  <c:v>122.282242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60-4095-8325-E868A9165875}"/>
            </c:ext>
          </c:extLst>
        </c:ser>
        <c:ser>
          <c:idx val="1"/>
          <c:order val="1"/>
          <c:tx>
            <c:strRef>
              <c:f>values!$W$1</c:f>
              <c:strCache>
                <c:ptCount val="1"/>
                <c:pt idx="0">
                  <c:v>calibrated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values!$S$2:$S$10001</c:f>
              <c:numCache>
                <c:formatCode>General</c:formatCode>
                <c:ptCount val="10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values!$W$2:$W$10001</c:f>
              <c:numCache>
                <c:formatCode>0.000</c:formatCode>
                <c:ptCount val="10000"/>
                <c:pt idx="0">
                  <c:v>126.53696053891603</c:v>
                </c:pt>
                <c:pt idx="1">
                  <c:v>125.99958884169168</c:v>
                </c:pt>
                <c:pt idx="2">
                  <c:v>125.7110551295669</c:v>
                </c:pt>
                <c:pt idx="3">
                  <c:v>125.47338186235717</c:v>
                </c:pt>
                <c:pt idx="4">
                  <c:v>124.82264298880354</c:v>
                </c:pt>
                <c:pt idx="5">
                  <c:v>124.03915074526607</c:v>
                </c:pt>
                <c:pt idx="6">
                  <c:v>123.04102651886255</c:v>
                </c:pt>
                <c:pt idx="7">
                  <c:v>122.25299642438932</c:v>
                </c:pt>
                <c:pt idx="8">
                  <c:v>120.90108197051737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60-4095-8325-E868A9165875}"/>
            </c:ext>
          </c:extLst>
        </c:ser>
        <c:ser>
          <c:idx val="3"/>
          <c:order val="2"/>
          <c:tx>
            <c:strRef>
              <c:f>values!$Z$1</c:f>
              <c:strCache>
                <c:ptCount val="1"/>
                <c:pt idx="0">
                  <c:v>observed (min)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values!$S$2:$S$1001</c:f>
              <c:numCache>
                <c:formatCode>General</c:formatCode>
                <c:ptCount val="1000"/>
                <c:pt idx="0">
                  <c:v>500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  <c:pt idx="4">
                  <c:v>20</c:v>
                </c:pt>
                <c:pt idx="5">
                  <c:v>10</c:v>
                </c:pt>
                <c:pt idx="6">
                  <c:v>5</c:v>
                </c:pt>
                <c:pt idx="7">
                  <c:v>3.3330000000000002</c:v>
                </c:pt>
                <c:pt idx="8">
                  <c:v>2</c:v>
                </c:pt>
              </c:numCache>
            </c:numRef>
          </c:xVal>
          <c:yVal>
            <c:numRef>
              <c:f>values!$Z$2:$Z$1001</c:f>
              <c:numCache>
                <c:formatCode>General</c:formatCode>
                <c:ptCount val="1000"/>
                <c:pt idx="0">
                  <c:v>126.427139</c:v>
                </c:pt>
                <c:pt idx="1">
                  <c:v>126.085793</c:v>
                </c:pt>
                <c:pt idx="2">
                  <c:v>125.79135100000001</c:v>
                </c:pt>
                <c:pt idx="3">
                  <c:v>125.455231</c:v>
                </c:pt>
                <c:pt idx="4">
                  <c:v>125.06229399999999</c:v>
                </c:pt>
                <c:pt idx="5">
                  <c:v>124.91995199999999</c:v>
                </c:pt>
                <c:pt idx="6">
                  <c:v>124.409363</c:v>
                </c:pt>
                <c:pt idx="7">
                  <c:v>123.71272999999999</c:v>
                </c:pt>
                <c:pt idx="8">
                  <c:v>122.203033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60-4095-8325-E868A9165875}"/>
            </c:ext>
          </c:extLst>
        </c:ser>
        <c:ser>
          <c:idx val="4"/>
          <c:order val="3"/>
          <c:tx>
            <c:strRef>
              <c:f>HWmarks!$C$1</c:f>
              <c:strCache>
                <c:ptCount val="1"/>
                <c:pt idx="0">
                  <c:v>highwater mark (max)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HWmarks!$A$2:$A$3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HWmarks!$C$2:$C$3</c:f>
              <c:numCache>
                <c:formatCode>General</c:formatCode>
                <c:ptCount val="2"/>
                <c:pt idx="0">
                  <c:v>125.88200000000001</c:v>
                </c:pt>
                <c:pt idx="1">
                  <c:v>125.88200000000001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60-4095-8325-E868A9165875}"/>
            </c:ext>
          </c:extLst>
        </c:ser>
        <c:ser>
          <c:idx val="0"/>
          <c:order val="4"/>
          <c:tx>
            <c:strRef>
              <c:f>HWmarks!$B$1</c:f>
              <c:strCache>
                <c:ptCount val="1"/>
                <c:pt idx="0">
                  <c:v>highwater mark (min)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HWmarks!$A$2:$A$3</c:f>
              <c:numCache>
                <c:formatCode>General</c:formatCode>
                <c:ptCount val="2"/>
                <c:pt idx="0">
                  <c:v>0</c:v>
                </c:pt>
                <c:pt idx="1">
                  <c:v>500</c:v>
                </c:pt>
              </c:numCache>
            </c:numRef>
          </c:xVal>
          <c:yVal>
            <c:numRef>
              <c:f>HWmarks!$B$2:$B$3</c:f>
              <c:numCache>
                <c:formatCode>General</c:formatCode>
                <c:ptCount val="2"/>
                <c:pt idx="0">
                  <c:v>125.71</c:v>
                </c:pt>
                <c:pt idx="1">
                  <c:v>125.71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60-4095-8325-E868A9165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91327"/>
        <c:axId val="304376767"/>
      </c:scatterChart>
      <c:valAx>
        <c:axId val="304391327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return period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76767"/>
        <c:crosses val="autoZero"/>
        <c:crossBetween val="midCat"/>
      </c:valAx>
      <c:valAx>
        <c:axId val="304376767"/>
        <c:scaling>
          <c:orientation val="minMax"/>
          <c:min val="1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water-surface elevation</a:t>
                </a:r>
              </a:p>
              <a:p>
                <a:pPr>
                  <a:defRPr sz="1200"/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(m a.s.l.)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39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894101868073335"/>
          <c:y val="0.35991657608455507"/>
          <c:w val="0.42857742782152225"/>
          <c:h val="0.3611402840047837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333333333333332E-2"/>
          <c:y val="5.1353874883286646E-2"/>
          <c:w val="0.80100546806649164"/>
          <c:h val="0.78336457942757176"/>
        </c:manualLayout>
      </c:layout>
      <c:scatterChart>
        <c:scatterStyle val="lineMarker"/>
        <c:varyColors val="0"/>
        <c:ser>
          <c:idx val="0"/>
          <c:order val="0"/>
          <c:tx>
            <c:strRef>
              <c:f>geomorph!$B$1</c:f>
              <c:strCache>
                <c:ptCount val="1"/>
                <c:pt idx="0">
                  <c:v>width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geomorph!$A$2:$A$3498</c:f>
              <c:numCache>
                <c:formatCode>General</c:formatCode>
                <c:ptCount val="349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  <c:pt idx="2669">
                  <c:v>26690</c:v>
                </c:pt>
                <c:pt idx="2670">
                  <c:v>26700</c:v>
                </c:pt>
                <c:pt idx="2671">
                  <c:v>26710</c:v>
                </c:pt>
                <c:pt idx="2672">
                  <c:v>26720</c:v>
                </c:pt>
                <c:pt idx="2673">
                  <c:v>26730</c:v>
                </c:pt>
                <c:pt idx="2674">
                  <c:v>26740</c:v>
                </c:pt>
                <c:pt idx="2675">
                  <c:v>26750</c:v>
                </c:pt>
                <c:pt idx="2676">
                  <c:v>26760</c:v>
                </c:pt>
                <c:pt idx="2677">
                  <c:v>26770</c:v>
                </c:pt>
                <c:pt idx="2678">
                  <c:v>26780</c:v>
                </c:pt>
                <c:pt idx="2679">
                  <c:v>26790</c:v>
                </c:pt>
                <c:pt idx="2680">
                  <c:v>26800</c:v>
                </c:pt>
                <c:pt idx="2681">
                  <c:v>26810</c:v>
                </c:pt>
                <c:pt idx="2682">
                  <c:v>26820</c:v>
                </c:pt>
                <c:pt idx="2683">
                  <c:v>26830</c:v>
                </c:pt>
                <c:pt idx="2684">
                  <c:v>26840</c:v>
                </c:pt>
                <c:pt idx="2685">
                  <c:v>26850</c:v>
                </c:pt>
                <c:pt idx="2686">
                  <c:v>26860</c:v>
                </c:pt>
                <c:pt idx="2687">
                  <c:v>26870</c:v>
                </c:pt>
                <c:pt idx="2688">
                  <c:v>26880</c:v>
                </c:pt>
                <c:pt idx="2689">
                  <c:v>26890</c:v>
                </c:pt>
                <c:pt idx="2690">
                  <c:v>26900</c:v>
                </c:pt>
                <c:pt idx="2691">
                  <c:v>26910</c:v>
                </c:pt>
                <c:pt idx="2692">
                  <c:v>26920</c:v>
                </c:pt>
                <c:pt idx="2693">
                  <c:v>26930</c:v>
                </c:pt>
                <c:pt idx="2694">
                  <c:v>26940</c:v>
                </c:pt>
                <c:pt idx="2695">
                  <c:v>26950</c:v>
                </c:pt>
                <c:pt idx="2696">
                  <c:v>26960</c:v>
                </c:pt>
                <c:pt idx="2697">
                  <c:v>26970</c:v>
                </c:pt>
                <c:pt idx="2698">
                  <c:v>26980</c:v>
                </c:pt>
                <c:pt idx="2699">
                  <c:v>26990</c:v>
                </c:pt>
                <c:pt idx="2700">
                  <c:v>27000</c:v>
                </c:pt>
                <c:pt idx="2701">
                  <c:v>27010</c:v>
                </c:pt>
                <c:pt idx="2702">
                  <c:v>27020</c:v>
                </c:pt>
                <c:pt idx="2703">
                  <c:v>27030</c:v>
                </c:pt>
                <c:pt idx="2704">
                  <c:v>27040</c:v>
                </c:pt>
                <c:pt idx="2705">
                  <c:v>27050</c:v>
                </c:pt>
                <c:pt idx="2706">
                  <c:v>27060</c:v>
                </c:pt>
                <c:pt idx="2707">
                  <c:v>27070</c:v>
                </c:pt>
                <c:pt idx="2708">
                  <c:v>27080</c:v>
                </c:pt>
                <c:pt idx="2709">
                  <c:v>27090</c:v>
                </c:pt>
                <c:pt idx="2710">
                  <c:v>27100</c:v>
                </c:pt>
                <c:pt idx="2711">
                  <c:v>27110</c:v>
                </c:pt>
                <c:pt idx="2712">
                  <c:v>27120</c:v>
                </c:pt>
                <c:pt idx="2713">
                  <c:v>27130</c:v>
                </c:pt>
                <c:pt idx="2714">
                  <c:v>27140</c:v>
                </c:pt>
                <c:pt idx="2715">
                  <c:v>27150</c:v>
                </c:pt>
                <c:pt idx="2716">
                  <c:v>27160</c:v>
                </c:pt>
                <c:pt idx="2717">
                  <c:v>27170</c:v>
                </c:pt>
                <c:pt idx="2718">
                  <c:v>27180</c:v>
                </c:pt>
                <c:pt idx="2719">
                  <c:v>27190</c:v>
                </c:pt>
                <c:pt idx="2720">
                  <c:v>27200</c:v>
                </c:pt>
                <c:pt idx="2721">
                  <c:v>27210</c:v>
                </c:pt>
                <c:pt idx="2722">
                  <c:v>27220</c:v>
                </c:pt>
                <c:pt idx="2723">
                  <c:v>27230</c:v>
                </c:pt>
                <c:pt idx="2724">
                  <c:v>27240</c:v>
                </c:pt>
                <c:pt idx="2725">
                  <c:v>27250</c:v>
                </c:pt>
                <c:pt idx="2726">
                  <c:v>27260</c:v>
                </c:pt>
                <c:pt idx="2727">
                  <c:v>27270</c:v>
                </c:pt>
                <c:pt idx="2728">
                  <c:v>27280</c:v>
                </c:pt>
                <c:pt idx="2729">
                  <c:v>27290</c:v>
                </c:pt>
                <c:pt idx="2730">
                  <c:v>27300</c:v>
                </c:pt>
                <c:pt idx="2731">
                  <c:v>27310</c:v>
                </c:pt>
                <c:pt idx="2732">
                  <c:v>27320</c:v>
                </c:pt>
                <c:pt idx="2733">
                  <c:v>27330</c:v>
                </c:pt>
                <c:pt idx="2734">
                  <c:v>27340</c:v>
                </c:pt>
                <c:pt idx="2735">
                  <c:v>27350</c:v>
                </c:pt>
                <c:pt idx="2736">
                  <c:v>27360</c:v>
                </c:pt>
                <c:pt idx="2737">
                  <c:v>27370</c:v>
                </c:pt>
                <c:pt idx="2738">
                  <c:v>27380</c:v>
                </c:pt>
                <c:pt idx="2739">
                  <c:v>27390</c:v>
                </c:pt>
                <c:pt idx="2740">
                  <c:v>27400</c:v>
                </c:pt>
                <c:pt idx="2741">
                  <c:v>27410</c:v>
                </c:pt>
                <c:pt idx="2742">
                  <c:v>27420</c:v>
                </c:pt>
                <c:pt idx="2743">
                  <c:v>27430</c:v>
                </c:pt>
                <c:pt idx="2744">
                  <c:v>27440</c:v>
                </c:pt>
                <c:pt idx="2745">
                  <c:v>27450</c:v>
                </c:pt>
                <c:pt idx="2746">
                  <c:v>27460</c:v>
                </c:pt>
                <c:pt idx="2747">
                  <c:v>27470</c:v>
                </c:pt>
                <c:pt idx="2748">
                  <c:v>27480</c:v>
                </c:pt>
                <c:pt idx="2749">
                  <c:v>27490</c:v>
                </c:pt>
                <c:pt idx="2750">
                  <c:v>27500</c:v>
                </c:pt>
                <c:pt idx="2751">
                  <c:v>27510</c:v>
                </c:pt>
                <c:pt idx="2752">
                  <c:v>27520</c:v>
                </c:pt>
                <c:pt idx="2753">
                  <c:v>27530</c:v>
                </c:pt>
                <c:pt idx="2754">
                  <c:v>27540</c:v>
                </c:pt>
                <c:pt idx="2755">
                  <c:v>27550</c:v>
                </c:pt>
                <c:pt idx="2756">
                  <c:v>27560</c:v>
                </c:pt>
                <c:pt idx="2757">
                  <c:v>27570</c:v>
                </c:pt>
                <c:pt idx="2758">
                  <c:v>27580</c:v>
                </c:pt>
                <c:pt idx="2759">
                  <c:v>27590</c:v>
                </c:pt>
                <c:pt idx="2760">
                  <c:v>27600</c:v>
                </c:pt>
                <c:pt idx="2761">
                  <c:v>27610</c:v>
                </c:pt>
                <c:pt idx="2762">
                  <c:v>27620</c:v>
                </c:pt>
                <c:pt idx="2763">
                  <c:v>27630</c:v>
                </c:pt>
                <c:pt idx="2764">
                  <c:v>27640</c:v>
                </c:pt>
                <c:pt idx="2765">
                  <c:v>27650</c:v>
                </c:pt>
                <c:pt idx="2766">
                  <c:v>27660</c:v>
                </c:pt>
                <c:pt idx="2767">
                  <c:v>27670</c:v>
                </c:pt>
                <c:pt idx="2768">
                  <c:v>27680</c:v>
                </c:pt>
                <c:pt idx="2769">
                  <c:v>27690</c:v>
                </c:pt>
                <c:pt idx="2770">
                  <c:v>27700</c:v>
                </c:pt>
                <c:pt idx="2771">
                  <c:v>27710</c:v>
                </c:pt>
                <c:pt idx="2772">
                  <c:v>27720</c:v>
                </c:pt>
                <c:pt idx="2773">
                  <c:v>27730</c:v>
                </c:pt>
                <c:pt idx="2774">
                  <c:v>27740</c:v>
                </c:pt>
                <c:pt idx="2775">
                  <c:v>27750</c:v>
                </c:pt>
                <c:pt idx="2776">
                  <c:v>27760</c:v>
                </c:pt>
                <c:pt idx="2777">
                  <c:v>27770</c:v>
                </c:pt>
                <c:pt idx="2778">
                  <c:v>27780</c:v>
                </c:pt>
                <c:pt idx="2779">
                  <c:v>27790</c:v>
                </c:pt>
                <c:pt idx="2780">
                  <c:v>27800</c:v>
                </c:pt>
                <c:pt idx="2781">
                  <c:v>27810</c:v>
                </c:pt>
                <c:pt idx="2782">
                  <c:v>27820</c:v>
                </c:pt>
                <c:pt idx="2783">
                  <c:v>27830</c:v>
                </c:pt>
                <c:pt idx="2784">
                  <c:v>27840</c:v>
                </c:pt>
                <c:pt idx="2785">
                  <c:v>27850</c:v>
                </c:pt>
                <c:pt idx="2786">
                  <c:v>27860</c:v>
                </c:pt>
                <c:pt idx="2787">
                  <c:v>27870</c:v>
                </c:pt>
                <c:pt idx="2788">
                  <c:v>27880</c:v>
                </c:pt>
                <c:pt idx="2789">
                  <c:v>27890</c:v>
                </c:pt>
                <c:pt idx="2790">
                  <c:v>27900</c:v>
                </c:pt>
                <c:pt idx="2791">
                  <c:v>27910</c:v>
                </c:pt>
                <c:pt idx="2792">
                  <c:v>27920</c:v>
                </c:pt>
                <c:pt idx="2793">
                  <c:v>27930</c:v>
                </c:pt>
                <c:pt idx="2794">
                  <c:v>27940</c:v>
                </c:pt>
                <c:pt idx="2795">
                  <c:v>27950</c:v>
                </c:pt>
                <c:pt idx="2796">
                  <c:v>27960</c:v>
                </c:pt>
                <c:pt idx="2797">
                  <c:v>27970</c:v>
                </c:pt>
                <c:pt idx="2798">
                  <c:v>27980</c:v>
                </c:pt>
                <c:pt idx="2799">
                  <c:v>27990</c:v>
                </c:pt>
                <c:pt idx="2800">
                  <c:v>28000</c:v>
                </c:pt>
                <c:pt idx="2801">
                  <c:v>28010</c:v>
                </c:pt>
                <c:pt idx="2802">
                  <c:v>28020</c:v>
                </c:pt>
                <c:pt idx="2803">
                  <c:v>28030</c:v>
                </c:pt>
                <c:pt idx="2804">
                  <c:v>28040</c:v>
                </c:pt>
                <c:pt idx="2805">
                  <c:v>28050</c:v>
                </c:pt>
                <c:pt idx="2806">
                  <c:v>28060</c:v>
                </c:pt>
                <c:pt idx="2807">
                  <c:v>28070</c:v>
                </c:pt>
                <c:pt idx="2808">
                  <c:v>28080</c:v>
                </c:pt>
                <c:pt idx="2809">
                  <c:v>28090</c:v>
                </c:pt>
                <c:pt idx="2810">
                  <c:v>28100</c:v>
                </c:pt>
                <c:pt idx="2811">
                  <c:v>28110</c:v>
                </c:pt>
                <c:pt idx="2812">
                  <c:v>28120</c:v>
                </c:pt>
                <c:pt idx="2813">
                  <c:v>28130</c:v>
                </c:pt>
                <c:pt idx="2814">
                  <c:v>28140</c:v>
                </c:pt>
                <c:pt idx="2815">
                  <c:v>28150</c:v>
                </c:pt>
                <c:pt idx="2816">
                  <c:v>28160</c:v>
                </c:pt>
                <c:pt idx="2817">
                  <c:v>28170</c:v>
                </c:pt>
                <c:pt idx="2818">
                  <c:v>28180</c:v>
                </c:pt>
                <c:pt idx="2819">
                  <c:v>28190</c:v>
                </c:pt>
                <c:pt idx="2820">
                  <c:v>28200</c:v>
                </c:pt>
                <c:pt idx="2821">
                  <c:v>28210</c:v>
                </c:pt>
                <c:pt idx="2822">
                  <c:v>28220</c:v>
                </c:pt>
                <c:pt idx="2823">
                  <c:v>28230</c:v>
                </c:pt>
                <c:pt idx="2824">
                  <c:v>28240</c:v>
                </c:pt>
                <c:pt idx="2825">
                  <c:v>28250</c:v>
                </c:pt>
                <c:pt idx="2826">
                  <c:v>28260</c:v>
                </c:pt>
                <c:pt idx="2827">
                  <c:v>28270</c:v>
                </c:pt>
                <c:pt idx="2828">
                  <c:v>28280</c:v>
                </c:pt>
                <c:pt idx="2829">
                  <c:v>28290</c:v>
                </c:pt>
                <c:pt idx="2830">
                  <c:v>28300</c:v>
                </c:pt>
                <c:pt idx="2831">
                  <c:v>28310</c:v>
                </c:pt>
                <c:pt idx="2832">
                  <c:v>28320</c:v>
                </c:pt>
                <c:pt idx="2833">
                  <c:v>28330</c:v>
                </c:pt>
                <c:pt idx="2834">
                  <c:v>28340</c:v>
                </c:pt>
                <c:pt idx="2835">
                  <c:v>28350</c:v>
                </c:pt>
                <c:pt idx="2836">
                  <c:v>28360</c:v>
                </c:pt>
                <c:pt idx="2837">
                  <c:v>28370</c:v>
                </c:pt>
                <c:pt idx="2838">
                  <c:v>28380</c:v>
                </c:pt>
                <c:pt idx="2839">
                  <c:v>28390</c:v>
                </c:pt>
                <c:pt idx="2840">
                  <c:v>28400</c:v>
                </c:pt>
                <c:pt idx="2841">
                  <c:v>28410</c:v>
                </c:pt>
                <c:pt idx="2842">
                  <c:v>28420</c:v>
                </c:pt>
                <c:pt idx="2843">
                  <c:v>28430</c:v>
                </c:pt>
                <c:pt idx="2844">
                  <c:v>28440</c:v>
                </c:pt>
                <c:pt idx="2845">
                  <c:v>28450</c:v>
                </c:pt>
                <c:pt idx="2846">
                  <c:v>28460</c:v>
                </c:pt>
                <c:pt idx="2847">
                  <c:v>28470</c:v>
                </c:pt>
                <c:pt idx="2848">
                  <c:v>28480</c:v>
                </c:pt>
                <c:pt idx="2849">
                  <c:v>28490</c:v>
                </c:pt>
                <c:pt idx="2850">
                  <c:v>28500</c:v>
                </c:pt>
                <c:pt idx="2851">
                  <c:v>28510</c:v>
                </c:pt>
                <c:pt idx="2852">
                  <c:v>28520</c:v>
                </c:pt>
                <c:pt idx="2853">
                  <c:v>28530</c:v>
                </c:pt>
                <c:pt idx="2854">
                  <c:v>28540</c:v>
                </c:pt>
                <c:pt idx="2855">
                  <c:v>28550</c:v>
                </c:pt>
                <c:pt idx="2856">
                  <c:v>28560</c:v>
                </c:pt>
                <c:pt idx="2857">
                  <c:v>28570</c:v>
                </c:pt>
                <c:pt idx="2858">
                  <c:v>28580</c:v>
                </c:pt>
                <c:pt idx="2859">
                  <c:v>28590</c:v>
                </c:pt>
                <c:pt idx="2860">
                  <c:v>28600</c:v>
                </c:pt>
                <c:pt idx="2861">
                  <c:v>28610</c:v>
                </c:pt>
                <c:pt idx="2862">
                  <c:v>28620</c:v>
                </c:pt>
                <c:pt idx="2863">
                  <c:v>28630</c:v>
                </c:pt>
                <c:pt idx="2864">
                  <c:v>28640</c:v>
                </c:pt>
                <c:pt idx="2865">
                  <c:v>28650</c:v>
                </c:pt>
                <c:pt idx="2866">
                  <c:v>28660</c:v>
                </c:pt>
                <c:pt idx="2867">
                  <c:v>28670</c:v>
                </c:pt>
                <c:pt idx="2868">
                  <c:v>28680</c:v>
                </c:pt>
                <c:pt idx="2869">
                  <c:v>28690</c:v>
                </c:pt>
                <c:pt idx="2870">
                  <c:v>28700</c:v>
                </c:pt>
                <c:pt idx="2871">
                  <c:v>28710</c:v>
                </c:pt>
                <c:pt idx="2872">
                  <c:v>28720</c:v>
                </c:pt>
                <c:pt idx="2873">
                  <c:v>28730</c:v>
                </c:pt>
                <c:pt idx="2874">
                  <c:v>28740</c:v>
                </c:pt>
                <c:pt idx="2875">
                  <c:v>28750</c:v>
                </c:pt>
                <c:pt idx="2876">
                  <c:v>28760</c:v>
                </c:pt>
                <c:pt idx="2877">
                  <c:v>28770</c:v>
                </c:pt>
                <c:pt idx="2878">
                  <c:v>28780</c:v>
                </c:pt>
                <c:pt idx="2879">
                  <c:v>28790</c:v>
                </c:pt>
                <c:pt idx="2880">
                  <c:v>28800</c:v>
                </c:pt>
                <c:pt idx="2881">
                  <c:v>28810</c:v>
                </c:pt>
                <c:pt idx="2882">
                  <c:v>28820</c:v>
                </c:pt>
                <c:pt idx="2883">
                  <c:v>28830</c:v>
                </c:pt>
                <c:pt idx="2884">
                  <c:v>28840</c:v>
                </c:pt>
                <c:pt idx="2885">
                  <c:v>28850</c:v>
                </c:pt>
                <c:pt idx="2886">
                  <c:v>28860</c:v>
                </c:pt>
                <c:pt idx="2887">
                  <c:v>28870</c:v>
                </c:pt>
                <c:pt idx="2888">
                  <c:v>28880</c:v>
                </c:pt>
                <c:pt idx="2889">
                  <c:v>28890</c:v>
                </c:pt>
                <c:pt idx="2890">
                  <c:v>28900</c:v>
                </c:pt>
                <c:pt idx="2891">
                  <c:v>28910</c:v>
                </c:pt>
                <c:pt idx="2892">
                  <c:v>28920</c:v>
                </c:pt>
                <c:pt idx="2893">
                  <c:v>28930</c:v>
                </c:pt>
                <c:pt idx="2894">
                  <c:v>28940</c:v>
                </c:pt>
                <c:pt idx="2895">
                  <c:v>28950</c:v>
                </c:pt>
                <c:pt idx="2896">
                  <c:v>28960</c:v>
                </c:pt>
                <c:pt idx="2897">
                  <c:v>28970</c:v>
                </c:pt>
                <c:pt idx="2898">
                  <c:v>28980</c:v>
                </c:pt>
                <c:pt idx="2899">
                  <c:v>28990</c:v>
                </c:pt>
                <c:pt idx="2900">
                  <c:v>29000</c:v>
                </c:pt>
                <c:pt idx="2901">
                  <c:v>29010</c:v>
                </c:pt>
                <c:pt idx="2902">
                  <c:v>29020</c:v>
                </c:pt>
                <c:pt idx="2903">
                  <c:v>29030</c:v>
                </c:pt>
                <c:pt idx="2904">
                  <c:v>29040</c:v>
                </c:pt>
                <c:pt idx="2905">
                  <c:v>29050</c:v>
                </c:pt>
                <c:pt idx="2906">
                  <c:v>29060</c:v>
                </c:pt>
                <c:pt idx="2907">
                  <c:v>29070</c:v>
                </c:pt>
                <c:pt idx="2908">
                  <c:v>29080</c:v>
                </c:pt>
                <c:pt idx="2909">
                  <c:v>29090</c:v>
                </c:pt>
                <c:pt idx="2910">
                  <c:v>29100</c:v>
                </c:pt>
                <c:pt idx="2911">
                  <c:v>29110</c:v>
                </c:pt>
                <c:pt idx="2912">
                  <c:v>29120</c:v>
                </c:pt>
                <c:pt idx="2913">
                  <c:v>29130</c:v>
                </c:pt>
                <c:pt idx="2914">
                  <c:v>29140</c:v>
                </c:pt>
                <c:pt idx="2915">
                  <c:v>29150</c:v>
                </c:pt>
                <c:pt idx="2916">
                  <c:v>29160</c:v>
                </c:pt>
                <c:pt idx="2917">
                  <c:v>29170</c:v>
                </c:pt>
                <c:pt idx="2918">
                  <c:v>29180</c:v>
                </c:pt>
                <c:pt idx="2919">
                  <c:v>29190</c:v>
                </c:pt>
                <c:pt idx="2920">
                  <c:v>29200</c:v>
                </c:pt>
                <c:pt idx="2921">
                  <c:v>29210</c:v>
                </c:pt>
                <c:pt idx="2922">
                  <c:v>29220</c:v>
                </c:pt>
                <c:pt idx="2923">
                  <c:v>29230</c:v>
                </c:pt>
                <c:pt idx="2924">
                  <c:v>29240</c:v>
                </c:pt>
                <c:pt idx="2925">
                  <c:v>29250</c:v>
                </c:pt>
                <c:pt idx="2926">
                  <c:v>29260</c:v>
                </c:pt>
                <c:pt idx="2927">
                  <c:v>29270</c:v>
                </c:pt>
                <c:pt idx="2928">
                  <c:v>29280</c:v>
                </c:pt>
                <c:pt idx="2929">
                  <c:v>29290</c:v>
                </c:pt>
                <c:pt idx="2930">
                  <c:v>29300</c:v>
                </c:pt>
                <c:pt idx="2931">
                  <c:v>29310</c:v>
                </c:pt>
                <c:pt idx="2932">
                  <c:v>29320</c:v>
                </c:pt>
                <c:pt idx="2933">
                  <c:v>29330</c:v>
                </c:pt>
                <c:pt idx="2934">
                  <c:v>29340</c:v>
                </c:pt>
                <c:pt idx="2935">
                  <c:v>29350</c:v>
                </c:pt>
                <c:pt idx="2936">
                  <c:v>29360</c:v>
                </c:pt>
                <c:pt idx="2937">
                  <c:v>29370</c:v>
                </c:pt>
                <c:pt idx="2938">
                  <c:v>29380</c:v>
                </c:pt>
                <c:pt idx="2939">
                  <c:v>29390</c:v>
                </c:pt>
                <c:pt idx="2940">
                  <c:v>29400</c:v>
                </c:pt>
                <c:pt idx="2941">
                  <c:v>29410</c:v>
                </c:pt>
                <c:pt idx="2942">
                  <c:v>29420</c:v>
                </c:pt>
                <c:pt idx="2943">
                  <c:v>29430</c:v>
                </c:pt>
                <c:pt idx="2944">
                  <c:v>29440</c:v>
                </c:pt>
                <c:pt idx="2945">
                  <c:v>29450</c:v>
                </c:pt>
                <c:pt idx="2946">
                  <c:v>29460</c:v>
                </c:pt>
                <c:pt idx="2947">
                  <c:v>29470</c:v>
                </c:pt>
                <c:pt idx="2948">
                  <c:v>29480</c:v>
                </c:pt>
                <c:pt idx="2949">
                  <c:v>29490</c:v>
                </c:pt>
                <c:pt idx="2950">
                  <c:v>29500</c:v>
                </c:pt>
                <c:pt idx="2951">
                  <c:v>29510</c:v>
                </c:pt>
                <c:pt idx="2952">
                  <c:v>29520</c:v>
                </c:pt>
                <c:pt idx="2953">
                  <c:v>29530</c:v>
                </c:pt>
                <c:pt idx="2954">
                  <c:v>29540</c:v>
                </c:pt>
                <c:pt idx="2955">
                  <c:v>29550</c:v>
                </c:pt>
                <c:pt idx="2956">
                  <c:v>29560</c:v>
                </c:pt>
                <c:pt idx="2957">
                  <c:v>29570</c:v>
                </c:pt>
                <c:pt idx="2958">
                  <c:v>29580</c:v>
                </c:pt>
                <c:pt idx="2959">
                  <c:v>29590</c:v>
                </c:pt>
                <c:pt idx="2960">
                  <c:v>29600</c:v>
                </c:pt>
                <c:pt idx="2961">
                  <c:v>29610</c:v>
                </c:pt>
                <c:pt idx="2962">
                  <c:v>29620</c:v>
                </c:pt>
                <c:pt idx="2963">
                  <c:v>29630</c:v>
                </c:pt>
                <c:pt idx="2964">
                  <c:v>29640</c:v>
                </c:pt>
                <c:pt idx="2965">
                  <c:v>29650</c:v>
                </c:pt>
                <c:pt idx="2966">
                  <c:v>29660</c:v>
                </c:pt>
                <c:pt idx="2967">
                  <c:v>29670</c:v>
                </c:pt>
                <c:pt idx="2968">
                  <c:v>29680</c:v>
                </c:pt>
                <c:pt idx="2969">
                  <c:v>29690</c:v>
                </c:pt>
                <c:pt idx="2970">
                  <c:v>29700</c:v>
                </c:pt>
                <c:pt idx="2971">
                  <c:v>29710</c:v>
                </c:pt>
                <c:pt idx="2972">
                  <c:v>29720</c:v>
                </c:pt>
                <c:pt idx="2973">
                  <c:v>29730</c:v>
                </c:pt>
                <c:pt idx="2974">
                  <c:v>29740</c:v>
                </c:pt>
                <c:pt idx="2975">
                  <c:v>29750</c:v>
                </c:pt>
                <c:pt idx="2976">
                  <c:v>29760</c:v>
                </c:pt>
                <c:pt idx="2977">
                  <c:v>29770</c:v>
                </c:pt>
                <c:pt idx="2978">
                  <c:v>29780</c:v>
                </c:pt>
                <c:pt idx="2979">
                  <c:v>29790</c:v>
                </c:pt>
                <c:pt idx="2980">
                  <c:v>29800</c:v>
                </c:pt>
                <c:pt idx="2981">
                  <c:v>29810</c:v>
                </c:pt>
                <c:pt idx="2982">
                  <c:v>29820</c:v>
                </c:pt>
                <c:pt idx="2983">
                  <c:v>29830</c:v>
                </c:pt>
                <c:pt idx="2984">
                  <c:v>29840</c:v>
                </c:pt>
                <c:pt idx="2985">
                  <c:v>29850</c:v>
                </c:pt>
                <c:pt idx="2986">
                  <c:v>29860</c:v>
                </c:pt>
                <c:pt idx="2987">
                  <c:v>29870</c:v>
                </c:pt>
                <c:pt idx="2988">
                  <c:v>29880</c:v>
                </c:pt>
                <c:pt idx="2989">
                  <c:v>29890</c:v>
                </c:pt>
                <c:pt idx="2990">
                  <c:v>29900</c:v>
                </c:pt>
                <c:pt idx="2991">
                  <c:v>29910</c:v>
                </c:pt>
                <c:pt idx="2992">
                  <c:v>29920</c:v>
                </c:pt>
                <c:pt idx="2993">
                  <c:v>29930</c:v>
                </c:pt>
                <c:pt idx="2994">
                  <c:v>29940</c:v>
                </c:pt>
                <c:pt idx="2995">
                  <c:v>29950</c:v>
                </c:pt>
                <c:pt idx="2996">
                  <c:v>29960</c:v>
                </c:pt>
                <c:pt idx="2997">
                  <c:v>29970</c:v>
                </c:pt>
                <c:pt idx="2998">
                  <c:v>29980</c:v>
                </c:pt>
                <c:pt idx="2999">
                  <c:v>29990</c:v>
                </c:pt>
                <c:pt idx="3000">
                  <c:v>30000</c:v>
                </c:pt>
                <c:pt idx="3001">
                  <c:v>30010</c:v>
                </c:pt>
                <c:pt idx="3002">
                  <c:v>30020</c:v>
                </c:pt>
                <c:pt idx="3003">
                  <c:v>30030</c:v>
                </c:pt>
                <c:pt idx="3004">
                  <c:v>30040</c:v>
                </c:pt>
                <c:pt idx="3005">
                  <c:v>30050</c:v>
                </c:pt>
                <c:pt idx="3006">
                  <c:v>30060</c:v>
                </c:pt>
                <c:pt idx="3007">
                  <c:v>30070</c:v>
                </c:pt>
                <c:pt idx="3008">
                  <c:v>30080</c:v>
                </c:pt>
                <c:pt idx="3009">
                  <c:v>30090</c:v>
                </c:pt>
                <c:pt idx="3010">
                  <c:v>30100</c:v>
                </c:pt>
                <c:pt idx="3011">
                  <c:v>30110</c:v>
                </c:pt>
                <c:pt idx="3012">
                  <c:v>30120</c:v>
                </c:pt>
                <c:pt idx="3013">
                  <c:v>30130</c:v>
                </c:pt>
                <c:pt idx="3014">
                  <c:v>30140</c:v>
                </c:pt>
                <c:pt idx="3015">
                  <c:v>30150</c:v>
                </c:pt>
                <c:pt idx="3016">
                  <c:v>30160</c:v>
                </c:pt>
                <c:pt idx="3017">
                  <c:v>30170</c:v>
                </c:pt>
                <c:pt idx="3018">
                  <c:v>30180</c:v>
                </c:pt>
                <c:pt idx="3019">
                  <c:v>30190</c:v>
                </c:pt>
                <c:pt idx="3020">
                  <c:v>30200</c:v>
                </c:pt>
                <c:pt idx="3021">
                  <c:v>30210</c:v>
                </c:pt>
                <c:pt idx="3022">
                  <c:v>30220</c:v>
                </c:pt>
                <c:pt idx="3023">
                  <c:v>30230</c:v>
                </c:pt>
                <c:pt idx="3024">
                  <c:v>30240</c:v>
                </c:pt>
                <c:pt idx="3025">
                  <c:v>30250</c:v>
                </c:pt>
                <c:pt idx="3026">
                  <c:v>30260</c:v>
                </c:pt>
                <c:pt idx="3027">
                  <c:v>30270</c:v>
                </c:pt>
                <c:pt idx="3028">
                  <c:v>30280</c:v>
                </c:pt>
                <c:pt idx="3029">
                  <c:v>30290</c:v>
                </c:pt>
                <c:pt idx="3030">
                  <c:v>30300</c:v>
                </c:pt>
                <c:pt idx="3031">
                  <c:v>30310</c:v>
                </c:pt>
                <c:pt idx="3032">
                  <c:v>30320</c:v>
                </c:pt>
                <c:pt idx="3033">
                  <c:v>30330</c:v>
                </c:pt>
                <c:pt idx="3034">
                  <c:v>30340</c:v>
                </c:pt>
                <c:pt idx="3035">
                  <c:v>30350</c:v>
                </c:pt>
                <c:pt idx="3036">
                  <c:v>30360</c:v>
                </c:pt>
                <c:pt idx="3037">
                  <c:v>30370</c:v>
                </c:pt>
                <c:pt idx="3038">
                  <c:v>30380</c:v>
                </c:pt>
                <c:pt idx="3039">
                  <c:v>30390</c:v>
                </c:pt>
                <c:pt idx="3040">
                  <c:v>30400</c:v>
                </c:pt>
                <c:pt idx="3041">
                  <c:v>30410</c:v>
                </c:pt>
                <c:pt idx="3042">
                  <c:v>30420</c:v>
                </c:pt>
                <c:pt idx="3043">
                  <c:v>30430</c:v>
                </c:pt>
                <c:pt idx="3044">
                  <c:v>30440</c:v>
                </c:pt>
                <c:pt idx="3045">
                  <c:v>30450</c:v>
                </c:pt>
                <c:pt idx="3046">
                  <c:v>30460</c:v>
                </c:pt>
                <c:pt idx="3047">
                  <c:v>30470</c:v>
                </c:pt>
                <c:pt idx="3048">
                  <c:v>30480</c:v>
                </c:pt>
                <c:pt idx="3049">
                  <c:v>30490</c:v>
                </c:pt>
                <c:pt idx="3050">
                  <c:v>30500</c:v>
                </c:pt>
                <c:pt idx="3051">
                  <c:v>30510</c:v>
                </c:pt>
                <c:pt idx="3052">
                  <c:v>30520</c:v>
                </c:pt>
                <c:pt idx="3053">
                  <c:v>30530</c:v>
                </c:pt>
                <c:pt idx="3054">
                  <c:v>30540</c:v>
                </c:pt>
                <c:pt idx="3055">
                  <c:v>30550</c:v>
                </c:pt>
                <c:pt idx="3056">
                  <c:v>30560</c:v>
                </c:pt>
                <c:pt idx="3057">
                  <c:v>30570</c:v>
                </c:pt>
                <c:pt idx="3058">
                  <c:v>30580</c:v>
                </c:pt>
                <c:pt idx="3059">
                  <c:v>30590</c:v>
                </c:pt>
                <c:pt idx="3060">
                  <c:v>30600</c:v>
                </c:pt>
                <c:pt idx="3061">
                  <c:v>30610</c:v>
                </c:pt>
                <c:pt idx="3062">
                  <c:v>30620</c:v>
                </c:pt>
                <c:pt idx="3063">
                  <c:v>30630</c:v>
                </c:pt>
                <c:pt idx="3064">
                  <c:v>30640</c:v>
                </c:pt>
                <c:pt idx="3065">
                  <c:v>30650</c:v>
                </c:pt>
                <c:pt idx="3066">
                  <c:v>30660</c:v>
                </c:pt>
                <c:pt idx="3067">
                  <c:v>30670</c:v>
                </c:pt>
                <c:pt idx="3068">
                  <c:v>30680</c:v>
                </c:pt>
                <c:pt idx="3069">
                  <c:v>30690</c:v>
                </c:pt>
                <c:pt idx="3070">
                  <c:v>30700</c:v>
                </c:pt>
                <c:pt idx="3071">
                  <c:v>30710</c:v>
                </c:pt>
                <c:pt idx="3072">
                  <c:v>30720</c:v>
                </c:pt>
                <c:pt idx="3073">
                  <c:v>30730</c:v>
                </c:pt>
                <c:pt idx="3074">
                  <c:v>30740</c:v>
                </c:pt>
                <c:pt idx="3075">
                  <c:v>30750</c:v>
                </c:pt>
                <c:pt idx="3076">
                  <c:v>30760</c:v>
                </c:pt>
                <c:pt idx="3077">
                  <c:v>30770</c:v>
                </c:pt>
                <c:pt idx="3078">
                  <c:v>30780</c:v>
                </c:pt>
                <c:pt idx="3079">
                  <c:v>30790</c:v>
                </c:pt>
                <c:pt idx="3080">
                  <c:v>30800</c:v>
                </c:pt>
                <c:pt idx="3081">
                  <c:v>30810</c:v>
                </c:pt>
                <c:pt idx="3082">
                  <c:v>30820</c:v>
                </c:pt>
                <c:pt idx="3083">
                  <c:v>30830</c:v>
                </c:pt>
                <c:pt idx="3084">
                  <c:v>30840</c:v>
                </c:pt>
                <c:pt idx="3085">
                  <c:v>30850</c:v>
                </c:pt>
                <c:pt idx="3086">
                  <c:v>30860</c:v>
                </c:pt>
                <c:pt idx="3087">
                  <c:v>30870</c:v>
                </c:pt>
                <c:pt idx="3088">
                  <c:v>30880</c:v>
                </c:pt>
                <c:pt idx="3089">
                  <c:v>30890</c:v>
                </c:pt>
                <c:pt idx="3090">
                  <c:v>30900</c:v>
                </c:pt>
                <c:pt idx="3091">
                  <c:v>30910</c:v>
                </c:pt>
                <c:pt idx="3092">
                  <c:v>30920</c:v>
                </c:pt>
                <c:pt idx="3093">
                  <c:v>30930</c:v>
                </c:pt>
                <c:pt idx="3094">
                  <c:v>30940</c:v>
                </c:pt>
                <c:pt idx="3095">
                  <c:v>30950</c:v>
                </c:pt>
                <c:pt idx="3096">
                  <c:v>30960</c:v>
                </c:pt>
                <c:pt idx="3097">
                  <c:v>30970</c:v>
                </c:pt>
                <c:pt idx="3098">
                  <c:v>30980</c:v>
                </c:pt>
                <c:pt idx="3099">
                  <c:v>30990</c:v>
                </c:pt>
                <c:pt idx="3100">
                  <c:v>31000</c:v>
                </c:pt>
                <c:pt idx="3101">
                  <c:v>31010</c:v>
                </c:pt>
                <c:pt idx="3102">
                  <c:v>31020</c:v>
                </c:pt>
                <c:pt idx="3103">
                  <c:v>31030</c:v>
                </c:pt>
                <c:pt idx="3104">
                  <c:v>31040</c:v>
                </c:pt>
                <c:pt idx="3105">
                  <c:v>31050</c:v>
                </c:pt>
                <c:pt idx="3106">
                  <c:v>31060</c:v>
                </c:pt>
                <c:pt idx="3107">
                  <c:v>31070</c:v>
                </c:pt>
                <c:pt idx="3108">
                  <c:v>31080</c:v>
                </c:pt>
                <c:pt idx="3109">
                  <c:v>31090</c:v>
                </c:pt>
                <c:pt idx="3110">
                  <c:v>31100</c:v>
                </c:pt>
                <c:pt idx="3111">
                  <c:v>31110</c:v>
                </c:pt>
                <c:pt idx="3112">
                  <c:v>31120</c:v>
                </c:pt>
                <c:pt idx="3113">
                  <c:v>31130</c:v>
                </c:pt>
                <c:pt idx="3114">
                  <c:v>31140</c:v>
                </c:pt>
                <c:pt idx="3115">
                  <c:v>31150</c:v>
                </c:pt>
                <c:pt idx="3116">
                  <c:v>31160</c:v>
                </c:pt>
                <c:pt idx="3117">
                  <c:v>31170</c:v>
                </c:pt>
                <c:pt idx="3118">
                  <c:v>31180</c:v>
                </c:pt>
                <c:pt idx="3119">
                  <c:v>31190</c:v>
                </c:pt>
                <c:pt idx="3120">
                  <c:v>31200</c:v>
                </c:pt>
                <c:pt idx="3121">
                  <c:v>31210</c:v>
                </c:pt>
                <c:pt idx="3122">
                  <c:v>31220</c:v>
                </c:pt>
                <c:pt idx="3123">
                  <c:v>31230</c:v>
                </c:pt>
                <c:pt idx="3124">
                  <c:v>31240</c:v>
                </c:pt>
                <c:pt idx="3125">
                  <c:v>31250</c:v>
                </c:pt>
                <c:pt idx="3126">
                  <c:v>31260</c:v>
                </c:pt>
                <c:pt idx="3127">
                  <c:v>31270</c:v>
                </c:pt>
                <c:pt idx="3128">
                  <c:v>31280</c:v>
                </c:pt>
                <c:pt idx="3129">
                  <c:v>31290</c:v>
                </c:pt>
                <c:pt idx="3130">
                  <c:v>31300</c:v>
                </c:pt>
                <c:pt idx="3131">
                  <c:v>31310</c:v>
                </c:pt>
                <c:pt idx="3132">
                  <c:v>31320</c:v>
                </c:pt>
                <c:pt idx="3133">
                  <c:v>31330</c:v>
                </c:pt>
                <c:pt idx="3134">
                  <c:v>31340</c:v>
                </c:pt>
                <c:pt idx="3135">
                  <c:v>31350</c:v>
                </c:pt>
                <c:pt idx="3136">
                  <c:v>31360</c:v>
                </c:pt>
                <c:pt idx="3137">
                  <c:v>31370</c:v>
                </c:pt>
                <c:pt idx="3138">
                  <c:v>31380</c:v>
                </c:pt>
                <c:pt idx="3139">
                  <c:v>31390</c:v>
                </c:pt>
                <c:pt idx="3140">
                  <c:v>31400</c:v>
                </c:pt>
                <c:pt idx="3141">
                  <c:v>31410</c:v>
                </c:pt>
                <c:pt idx="3142">
                  <c:v>31420</c:v>
                </c:pt>
                <c:pt idx="3143">
                  <c:v>31430</c:v>
                </c:pt>
                <c:pt idx="3144">
                  <c:v>31440</c:v>
                </c:pt>
                <c:pt idx="3145">
                  <c:v>31450</c:v>
                </c:pt>
                <c:pt idx="3146">
                  <c:v>31460</c:v>
                </c:pt>
                <c:pt idx="3147">
                  <c:v>31470</c:v>
                </c:pt>
                <c:pt idx="3148">
                  <c:v>31480</c:v>
                </c:pt>
                <c:pt idx="3149">
                  <c:v>31490</c:v>
                </c:pt>
                <c:pt idx="3150">
                  <c:v>31500</c:v>
                </c:pt>
                <c:pt idx="3151">
                  <c:v>31510</c:v>
                </c:pt>
                <c:pt idx="3152">
                  <c:v>31520</c:v>
                </c:pt>
                <c:pt idx="3153">
                  <c:v>31530</c:v>
                </c:pt>
                <c:pt idx="3154">
                  <c:v>31540</c:v>
                </c:pt>
                <c:pt idx="3155">
                  <c:v>31550</c:v>
                </c:pt>
                <c:pt idx="3156">
                  <c:v>31560</c:v>
                </c:pt>
                <c:pt idx="3157">
                  <c:v>31570</c:v>
                </c:pt>
                <c:pt idx="3158">
                  <c:v>31580</c:v>
                </c:pt>
                <c:pt idx="3159">
                  <c:v>31590</c:v>
                </c:pt>
                <c:pt idx="3160">
                  <c:v>31600</c:v>
                </c:pt>
                <c:pt idx="3161">
                  <c:v>31610</c:v>
                </c:pt>
                <c:pt idx="3162">
                  <c:v>31620</c:v>
                </c:pt>
                <c:pt idx="3163">
                  <c:v>31630</c:v>
                </c:pt>
                <c:pt idx="3164">
                  <c:v>31640</c:v>
                </c:pt>
                <c:pt idx="3165">
                  <c:v>31650</c:v>
                </c:pt>
                <c:pt idx="3166">
                  <c:v>31660</c:v>
                </c:pt>
                <c:pt idx="3167">
                  <c:v>31670</c:v>
                </c:pt>
                <c:pt idx="3168">
                  <c:v>31680</c:v>
                </c:pt>
                <c:pt idx="3169">
                  <c:v>31690</c:v>
                </c:pt>
                <c:pt idx="3170">
                  <c:v>31700</c:v>
                </c:pt>
                <c:pt idx="3171">
                  <c:v>31710</c:v>
                </c:pt>
                <c:pt idx="3172">
                  <c:v>31720</c:v>
                </c:pt>
                <c:pt idx="3173">
                  <c:v>31730</c:v>
                </c:pt>
                <c:pt idx="3174">
                  <c:v>31740</c:v>
                </c:pt>
                <c:pt idx="3175">
                  <c:v>31750</c:v>
                </c:pt>
                <c:pt idx="3176">
                  <c:v>31760</c:v>
                </c:pt>
                <c:pt idx="3177">
                  <c:v>31770</c:v>
                </c:pt>
                <c:pt idx="3178">
                  <c:v>31780</c:v>
                </c:pt>
                <c:pt idx="3179">
                  <c:v>31790</c:v>
                </c:pt>
                <c:pt idx="3180">
                  <c:v>31800</c:v>
                </c:pt>
                <c:pt idx="3181">
                  <c:v>31810</c:v>
                </c:pt>
                <c:pt idx="3182">
                  <c:v>31820</c:v>
                </c:pt>
                <c:pt idx="3183">
                  <c:v>31830</c:v>
                </c:pt>
                <c:pt idx="3184">
                  <c:v>31840</c:v>
                </c:pt>
                <c:pt idx="3185">
                  <c:v>31850</c:v>
                </c:pt>
                <c:pt idx="3186">
                  <c:v>31860</c:v>
                </c:pt>
                <c:pt idx="3187">
                  <c:v>31870</c:v>
                </c:pt>
                <c:pt idx="3188">
                  <c:v>31880</c:v>
                </c:pt>
                <c:pt idx="3189">
                  <c:v>31890</c:v>
                </c:pt>
                <c:pt idx="3190">
                  <c:v>31900</c:v>
                </c:pt>
                <c:pt idx="3191">
                  <c:v>31910</c:v>
                </c:pt>
                <c:pt idx="3192">
                  <c:v>31920</c:v>
                </c:pt>
                <c:pt idx="3193">
                  <c:v>31930</c:v>
                </c:pt>
                <c:pt idx="3194">
                  <c:v>31940</c:v>
                </c:pt>
                <c:pt idx="3195">
                  <c:v>31950</c:v>
                </c:pt>
                <c:pt idx="3196">
                  <c:v>31960</c:v>
                </c:pt>
                <c:pt idx="3197">
                  <c:v>31970</c:v>
                </c:pt>
                <c:pt idx="3198">
                  <c:v>31980</c:v>
                </c:pt>
                <c:pt idx="3199">
                  <c:v>31990</c:v>
                </c:pt>
                <c:pt idx="3200">
                  <c:v>32000</c:v>
                </c:pt>
                <c:pt idx="3201">
                  <c:v>32010</c:v>
                </c:pt>
                <c:pt idx="3202">
                  <c:v>32020</c:v>
                </c:pt>
                <c:pt idx="3203">
                  <c:v>32030</c:v>
                </c:pt>
                <c:pt idx="3204">
                  <c:v>32040</c:v>
                </c:pt>
                <c:pt idx="3205">
                  <c:v>32050</c:v>
                </c:pt>
                <c:pt idx="3206">
                  <c:v>32060</c:v>
                </c:pt>
                <c:pt idx="3207">
                  <c:v>32070</c:v>
                </c:pt>
                <c:pt idx="3208">
                  <c:v>32080</c:v>
                </c:pt>
                <c:pt idx="3209">
                  <c:v>32090</c:v>
                </c:pt>
                <c:pt idx="3210">
                  <c:v>32100</c:v>
                </c:pt>
                <c:pt idx="3211">
                  <c:v>32110</c:v>
                </c:pt>
                <c:pt idx="3212">
                  <c:v>32120</c:v>
                </c:pt>
                <c:pt idx="3213">
                  <c:v>32130</c:v>
                </c:pt>
                <c:pt idx="3214">
                  <c:v>32140</c:v>
                </c:pt>
                <c:pt idx="3215">
                  <c:v>32150</c:v>
                </c:pt>
                <c:pt idx="3216">
                  <c:v>32160</c:v>
                </c:pt>
                <c:pt idx="3217">
                  <c:v>32170</c:v>
                </c:pt>
                <c:pt idx="3218">
                  <c:v>32180</c:v>
                </c:pt>
                <c:pt idx="3219">
                  <c:v>32190</c:v>
                </c:pt>
                <c:pt idx="3220">
                  <c:v>32200</c:v>
                </c:pt>
                <c:pt idx="3221">
                  <c:v>32210</c:v>
                </c:pt>
                <c:pt idx="3222">
                  <c:v>32220</c:v>
                </c:pt>
                <c:pt idx="3223">
                  <c:v>32230</c:v>
                </c:pt>
                <c:pt idx="3224">
                  <c:v>32240</c:v>
                </c:pt>
                <c:pt idx="3225">
                  <c:v>32250</c:v>
                </c:pt>
                <c:pt idx="3226">
                  <c:v>32260</c:v>
                </c:pt>
                <c:pt idx="3227">
                  <c:v>32270</c:v>
                </c:pt>
                <c:pt idx="3228">
                  <c:v>32280</c:v>
                </c:pt>
                <c:pt idx="3229">
                  <c:v>32290</c:v>
                </c:pt>
                <c:pt idx="3230">
                  <c:v>32300</c:v>
                </c:pt>
                <c:pt idx="3231">
                  <c:v>32310</c:v>
                </c:pt>
                <c:pt idx="3232">
                  <c:v>32320</c:v>
                </c:pt>
                <c:pt idx="3233">
                  <c:v>32330</c:v>
                </c:pt>
                <c:pt idx="3234">
                  <c:v>32340</c:v>
                </c:pt>
                <c:pt idx="3235">
                  <c:v>32350</c:v>
                </c:pt>
                <c:pt idx="3236">
                  <c:v>32360</c:v>
                </c:pt>
                <c:pt idx="3237">
                  <c:v>32370</c:v>
                </c:pt>
                <c:pt idx="3238">
                  <c:v>32380</c:v>
                </c:pt>
                <c:pt idx="3239">
                  <c:v>32390</c:v>
                </c:pt>
                <c:pt idx="3240">
                  <c:v>32400</c:v>
                </c:pt>
                <c:pt idx="3241">
                  <c:v>32410</c:v>
                </c:pt>
                <c:pt idx="3242">
                  <c:v>32420</c:v>
                </c:pt>
                <c:pt idx="3243">
                  <c:v>32430</c:v>
                </c:pt>
                <c:pt idx="3244">
                  <c:v>32440</c:v>
                </c:pt>
                <c:pt idx="3245">
                  <c:v>32450</c:v>
                </c:pt>
                <c:pt idx="3246">
                  <c:v>32460</c:v>
                </c:pt>
                <c:pt idx="3247">
                  <c:v>32470</c:v>
                </c:pt>
                <c:pt idx="3248">
                  <c:v>32480</c:v>
                </c:pt>
                <c:pt idx="3249">
                  <c:v>32490</c:v>
                </c:pt>
                <c:pt idx="3250">
                  <c:v>32500</c:v>
                </c:pt>
                <c:pt idx="3251">
                  <c:v>32510</c:v>
                </c:pt>
                <c:pt idx="3252">
                  <c:v>32520</c:v>
                </c:pt>
                <c:pt idx="3253">
                  <c:v>32530</c:v>
                </c:pt>
                <c:pt idx="3254">
                  <c:v>32540</c:v>
                </c:pt>
                <c:pt idx="3255">
                  <c:v>32550</c:v>
                </c:pt>
                <c:pt idx="3256">
                  <c:v>32560</c:v>
                </c:pt>
                <c:pt idx="3257">
                  <c:v>32570</c:v>
                </c:pt>
                <c:pt idx="3258">
                  <c:v>32580</c:v>
                </c:pt>
                <c:pt idx="3259">
                  <c:v>32590</c:v>
                </c:pt>
                <c:pt idx="3260">
                  <c:v>32600</c:v>
                </c:pt>
                <c:pt idx="3261">
                  <c:v>32610</c:v>
                </c:pt>
                <c:pt idx="3262">
                  <c:v>32620</c:v>
                </c:pt>
                <c:pt idx="3263">
                  <c:v>32630</c:v>
                </c:pt>
                <c:pt idx="3264">
                  <c:v>32640</c:v>
                </c:pt>
                <c:pt idx="3265">
                  <c:v>32650</c:v>
                </c:pt>
                <c:pt idx="3266">
                  <c:v>32660</c:v>
                </c:pt>
                <c:pt idx="3267">
                  <c:v>32670</c:v>
                </c:pt>
                <c:pt idx="3268">
                  <c:v>32680</c:v>
                </c:pt>
                <c:pt idx="3269">
                  <c:v>32690</c:v>
                </c:pt>
                <c:pt idx="3270">
                  <c:v>32700</c:v>
                </c:pt>
                <c:pt idx="3271">
                  <c:v>32710</c:v>
                </c:pt>
                <c:pt idx="3272">
                  <c:v>32720</c:v>
                </c:pt>
                <c:pt idx="3273">
                  <c:v>32730</c:v>
                </c:pt>
                <c:pt idx="3274">
                  <c:v>32740</c:v>
                </c:pt>
                <c:pt idx="3275">
                  <c:v>32750</c:v>
                </c:pt>
                <c:pt idx="3276">
                  <c:v>32760</c:v>
                </c:pt>
                <c:pt idx="3277">
                  <c:v>32770</c:v>
                </c:pt>
                <c:pt idx="3278">
                  <c:v>32780</c:v>
                </c:pt>
                <c:pt idx="3279">
                  <c:v>32790</c:v>
                </c:pt>
                <c:pt idx="3280">
                  <c:v>32800</c:v>
                </c:pt>
                <c:pt idx="3281">
                  <c:v>32810</c:v>
                </c:pt>
                <c:pt idx="3282">
                  <c:v>32820</c:v>
                </c:pt>
                <c:pt idx="3283">
                  <c:v>32830</c:v>
                </c:pt>
                <c:pt idx="3284">
                  <c:v>32840</c:v>
                </c:pt>
                <c:pt idx="3285">
                  <c:v>32850</c:v>
                </c:pt>
                <c:pt idx="3286">
                  <c:v>32860</c:v>
                </c:pt>
                <c:pt idx="3287">
                  <c:v>32870</c:v>
                </c:pt>
                <c:pt idx="3288">
                  <c:v>32880</c:v>
                </c:pt>
                <c:pt idx="3289">
                  <c:v>32890</c:v>
                </c:pt>
                <c:pt idx="3290">
                  <c:v>32900</c:v>
                </c:pt>
                <c:pt idx="3291">
                  <c:v>32910</c:v>
                </c:pt>
                <c:pt idx="3292">
                  <c:v>32920</c:v>
                </c:pt>
                <c:pt idx="3293">
                  <c:v>32930</c:v>
                </c:pt>
                <c:pt idx="3294">
                  <c:v>32940</c:v>
                </c:pt>
                <c:pt idx="3295">
                  <c:v>32950</c:v>
                </c:pt>
                <c:pt idx="3296">
                  <c:v>32960</c:v>
                </c:pt>
                <c:pt idx="3297">
                  <c:v>32970</c:v>
                </c:pt>
                <c:pt idx="3298">
                  <c:v>32980</c:v>
                </c:pt>
                <c:pt idx="3299">
                  <c:v>32990</c:v>
                </c:pt>
                <c:pt idx="3300">
                  <c:v>33000</c:v>
                </c:pt>
                <c:pt idx="3301">
                  <c:v>33010</c:v>
                </c:pt>
                <c:pt idx="3302">
                  <c:v>33020</c:v>
                </c:pt>
                <c:pt idx="3303">
                  <c:v>33030</c:v>
                </c:pt>
                <c:pt idx="3304">
                  <c:v>33040</c:v>
                </c:pt>
                <c:pt idx="3305">
                  <c:v>33050</c:v>
                </c:pt>
                <c:pt idx="3306">
                  <c:v>33060</c:v>
                </c:pt>
                <c:pt idx="3307">
                  <c:v>33070</c:v>
                </c:pt>
                <c:pt idx="3308">
                  <c:v>33080</c:v>
                </c:pt>
                <c:pt idx="3309">
                  <c:v>33090</c:v>
                </c:pt>
                <c:pt idx="3310">
                  <c:v>33100</c:v>
                </c:pt>
                <c:pt idx="3311">
                  <c:v>33110</c:v>
                </c:pt>
                <c:pt idx="3312">
                  <c:v>33120</c:v>
                </c:pt>
                <c:pt idx="3313">
                  <c:v>33130</c:v>
                </c:pt>
                <c:pt idx="3314">
                  <c:v>33140</c:v>
                </c:pt>
                <c:pt idx="3315">
                  <c:v>33150</c:v>
                </c:pt>
                <c:pt idx="3316">
                  <c:v>33160</c:v>
                </c:pt>
                <c:pt idx="3317">
                  <c:v>33170</c:v>
                </c:pt>
                <c:pt idx="3318">
                  <c:v>33180</c:v>
                </c:pt>
                <c:pt idx="3319">
                  <c:v>33190</c:v>
                </c:pt>
                <c:pt idx="3320">
                  <c:v>33200</c:v>
                </c:pt>
                <c:pt idx="3321">
                  <c:v>33210</c:v>
                </c:pt>
                <c:pt idx="3322">
                  <c:v>33220</c:v>
                </c:pt>
                <c:pt idx="3323">
                  <c:v>33230</c:v>
                </c:pt>
                <c:pt idx="3324">
                  <c:v>33240</c:v>
                </c:pt>
                <c:pt idx="3325">
                  <c:v>33250</c:v>
                </c:pt>
                <c:pt idx="3326">
                  <c:v>33260</c:v>
                </c:pt>
                <c:pt idx="3327">
                  <c:v>33270</c:v>
                </c:pt>
                <c:pt idx="3328">
                  <c:v>33280</c:v>
                </c:pt>
                <c:pt idx="3329">
                  <c:v>33290</c:v>
                </c:pt>
                <c:pt idx="3330">
                  <c:v>33300</c:v>
                </c:pt>
                <c:pt idx="3331">
                  <c:v>33310</c:v>
                </c:pt>
                <c:pt idx="3332">
                  <c:v>33320</c:v>
                </c:pt>
                <c:pt idx="3333">
                  <c:v>33330</c:v>
                </c:pt>
                <c:pt idx="3334">
                  <c:v>33340</c:v>
                </c:pt>
                <c:pt idx="3335">
                  <c:v>33350</c:v>
                </c:pt>
                <c:pt idx="3336">
                  <c:v>33360</c:v>
                </c:pt>
                <c:pt idx="3337">
                  <c:v>33370</c:v>
                </c:pt>
                <c:pt idx="3338">
                  <c:v>33380</c:v>
                </c:pt>
                <c:pt idx="3339">
                  <c:v>33390</c:v>
                </c:pt>
                <c:pt idx="3340">
                  <c:v>33400</c:v>
                </c:pt>
                <c:pt idx="3341">
                  <c:v>33410</c:v>
                </c:pt>
                <c:pt idx="3342">
                  <c:v>33420</c:v>
                </c:pt>
                <c:pt idx="3343">
                  <c:v>33430</c:v>
                </c:pt>
                <c:pt idx="3344">
                  <c:v>33440</c:v>
                </c:pt>
                <c:pt idx="3345">
                  <c:v>33450</c:v>
                </c:pt>
                <c:pt idx="3346">
                  <c:v>33460</c:v>
                </c:pt>
                <c:pt idx="3347">
                  <c:v>33470</c:v>
                </c:pt>
                <c:pt idx="3348">
                  <c:v>33480</c:v>
                </c:pt>
                <c:pt idx="3349">
                  <c:v>33490</c:v>
                </c:pt>
                <c:pt idx="3350">
                  <c:v>33500</c:v>
                </c:pt>
                <c:pt idx="3351">
                  <c:v>33510</c:v>
                </c:pt>
                <c:pt idx="3352">
                  <c:v>33520</c:v>
                </c:pt>
                <c:pt idx="3353">
                  <c:v>33530</c:v>
                </c:pt>
                <c:pt idx="3354">
                  <c:v>33540</c:v>
                </c:pt>
                <c:pt idx="3355">
                  <c:v>33550</c:v>
                </c:pt>
                <c:pt idx="3356">
                  <c:v>33560</c:v>
                </c:pt>
                <c:pt idx="3357">
                  <c:v>33570</c:v>
                </c:pt>
                <c:pt idx="3358">
                  <c:v>33580</c:v>
                </c:pt>
                <c:pt idx="3359">
                  <c:v>33590</c:v>
                </c:pt>
                <c:pt idx="3360">
                  <c:v>33600</c:v>
                </c:pt>
                <c:pt idx="3361">
                  <c:v>33610</c:v>
                </c:pt>
                <c:pt idx="3362">
                  <c:v>33620</c:v>
                </c:pt>
                <c:pt idx="3363">
                  <c:v>33630</c:v>
                </c:pt>
                <c:pt idx="3364">
                  <c:v>33640</c:v>
                </c:pt>
                <c:pt idx="3365">
                  <c:v>33650</c:v>
                </c:pt>
                <c:pt idx="3366">
                  <c:v>33660</c:v>
                </c:pt>
                <c:pt idx="3367">
                  <c:v>33670</c:v>
                </c:pt>
                <c:pt idx="3368">
                  <c:v>33680</c:v>
                </c:pt>
                <c:pt idx="3369">
                  <c:v>33690</c:v>
                </c:pt>
                <c:pt idx="3370">
                  <c:v>33700</c:v>
                </c:pt>
                <c:pt idx="3371">
                  <c:v>33710</c:v>
                </c:pt>
                <c:pt idx="3372">
                  <c:v>33720</c:v>
                </c:pt>
                <c:pt idx="3373">
                  <c:v>33730</c:v>
                </c:pt>
                <c:pt idx="3374">
                  <c:v>33740</c:v>
                </c:pt>
                <c:pt idx="3375">
                  <c:v>33750</c:v>
                </c:pt>
                <c:pt idx="3376">
                  <c:v>33760</c:v>
                </c:pt>
                <c:pt idx="3377">
                  <c:v>33770</c:v>
                </c:pt>
                <c:pt idx="3378">
                  <c:v>33780</c:v>
                </c:pt>
                <c:pt idx="3379">
                  <c:v>33790</c:v>
                </c:pt>
                <c:pt idx="3380">
                  <c:v>33800</c:v>
                </c:pt>
                <c:pt idx="3381">
                  <c:v>33810</c:v>
                </c:pt>
                <c:pt idx="3382">
                  <c:v>33820</c:v>
                </c:pt>
                <c:pt idx="3383">
                  <c:v>33830</c:v>
                </c:pt>
                <c:pt idx="3384">
                  <c:v>33840</c:v>
                </c:pt>
                <c:pt idx="3385">
                  <c:v>33850</c:v>
                </c:pt>
                <c:pt idx="3386">
                  <c:v>33860</c:v>
                </c:pt>
                <c:pt idx="3387">
                  <c:v>33870</c:v>
                </c:pt>
                <c:pt idx="3388">
                  <c:v>33880</c:v>
                </c:pt>
                <c:pt idx="3389">
                  <c:v>33890</c:v>
                </c:pt>
                <c:pt idx="3390">
                  <c:v>33900</c:v>
                </c:pt>
                <c:pt idx="3391">
                  <c:v>33910</c:v>
                </c:pt>
                <c:pt idx="3392">
                  <c:v>33920</c:v>
                </c:pt>
                <c:pt idx="3393">
                  <c:v>33930</c:v>
                </c:pt>
                <c:pt idx="3394">
                  <c:v>33940</c:v>
                </c:pt>
                <c:pt idx="3395">
                  <c:v>33950</c:v>
                </c:pt>
                <c:pt idx="3396">
                  <c:v>33960</c:v>
                </c:pt>
                <c:pt idx="3397">
                  <c:v>33970</c:v>
                </c:pt>
                <c:pt idx="3398">
                  <c:v>33980</c:v>
                </c:pt>
                <c:pt idx="3399">
                  <c:v>33990</c:v>
                </c:pt>
                <c:pt idx="3400">
                  <c:v>34000</c:v>
                </c:pt>
                <c:pt idx="3401">
                  <c:v>34010</c:v>
                </c:pt>
                <c:pt idx="3402">
                  <c:v>34020</c:v>
                </c:pt>
                <c:pt idx="3403">
                  <c:v>34030</c:v>
                </c:pt>
                <c:pt idx="3404">
                  <c:v>34040</c:v>
                </c:pt>
                <c:pt idx="3405">
                  <c:v>34050</c:v>
                </c:pt>
                <c:pt idx="3406">
                  <c:v>34060</c:v>
                </c:pt>
                <c:pt idx="3407">
                  <c:v>34070</c:v>
                </c:pt>
                <c:pt idx="3408">
                  <c:v>34080</c:v>
                </c:pt>
                <c:pt idx="3409">
                  <c:v>34090</c:v>
                </c:pt>
                <c:pt idx="3410">
                  <c:v>34100</c:v>
                </c:pt>
                <c:pt idx="3411">
                  <c:v>34110</c:v>
                </c:pt>
                <c:pt idx="3412">
                  <c:v>34120</c:v>
                </c:pt>
                <c:pt idx="3413">
                  <c:v>34130</c:v>
                </c:pt>
                <c:pt idx="3414">
                  <c:v>34140</c:v>
                </c:pt>
                <c:pt idx="3415">
                  <c:v>34150</c:v>
                </c:pt>
                <c:pt idx="3416">
                  <c:v>34160</c:v>
                </c:pt>
                <c:pt idx="3417">
                  <c:v>34170</c:v>
                </c:pt>
                <c:pt idx="3418">
                  <c:v>34180</c:v>
                </c:pt>
                <c:pt idx="3419">
                  <c:v>34190</c:v>
                </c:pt>
                <c:pt idx="3420">
                  <c:v>34200</c:v>
                </c:pt>
                <c:pt idx="3421">
                  <c:v>34210</c:v>
                </c:pt>
                <c:pt idx="3422">
                  <c:v>34220</c:v>
                </c:pt>
                <c:pt idx="3423">
                  <c:v>34230</c:v>
                </c:pt>
                <c:pt idx="3424">
                  <c:v>34240</c:v>
                </c:pt>
                <c:pt idx="3425">
                  <c:v>34250</c:v>
                </c:pt>
                <c:pt idx="3426">
                  <c:v>34260</c:v>
                </c:pt>
                <c:pt idx="3427">
                  <c:v>34270</c:v>
                </c:pt>
                <c:pt idx="3428">
                  <c:v>34280</c:v>
                </c:pt>
                <c:pt idx="3429">
                  <c:v>34290</c:v>
                </c:pt>
                <c:pt idx="3430">
                  <c:v>34300</c:v>
                </c:pt>
                <c:pt idx="3431">
                  <c:v>34310</c:v>
                </c:pt>
                <c:pt idx="3432">
                  <c:v>34320</c:v>
                </c:pt>
                <c:pt idx="3433">
                  <c:v>34330</c:v>
                </c:pt>
                <c:pt idx="3434">
                  <c:v>34340</c:v>
                </c:pt>
                <c:pt idx="3435">
                  <c:v>34350</c:v>
                </c:pt>
                <c:pt idx="3436">
                  <c:v>34360</c:v>
                </c:pt>
                <c:pt idx="3437">
                  <c:v>34370</c:v>
                </c:pt>
                <c:pt idx="3438">
                  <c:v>34380</c:v>
                </c:pt>
                <c:pt idx="3439">
                  <c:v>34390</c:v>
                </c:pt>
                <c:pt idx="3440">
                  <c:v>34400</c:v>
                </c:pt>
                <c:pt idx="3441">
                  <c:v>34410</c:v>
                </c:pt>
                <c:pt idx="3442">
                  <c:v>34420</c:v>
                </c:pt>
                <c:pt idx="3443">
                  <c:v>34430</c:v>
                </c:pt>
                <c:pt idx="3444">
                  <c:v>34440</c:v>
                </c:pt>
                <c:pt idx="3445">
                  <c:v>34450</c:v>
                </c:pt>
                <c:pt idx="3446">
                  <c:v>34460</c:v>
                </c:pt>
                <c:pt idx="3447">
                  <c:v>34470</c:v>
                </c:pt>
                <c:pt idx="3448">
                  <c:v>34480</c:v>
                </c:pt>
                <c:pt idx="3449">
                  <c:v>34490</c:v>
                </c:pt>
                <c:pt idx="3450">
                  <c:v>34500</c:v>
                </c:pt>
                <c:pt idx="3451">
                  <c:v>34510</c:v>
                </c:pt>
                <c:pt idx="3452">
                  <c:v>34520</c:v>
                </c:pt>
                <c:pt idx="3453">
                  <c:v>34530</c:v>
                </c:pt>
                <c:pt idx="3454">
                  <c:v>34540</c:v>
                </c:pt>
                <c:pt idx="3455">
                  <c:v>34550</c:v>
                </c:pt>
                <c:pt idx="3456">
                  <c:v>34560</c:v>
                </c:pt>
                <c:pt idx="3457">
                  <c:v>34570</c:v>
                </c:pt>
                <c:pt idx="3458">
                  <c:v>34580</c:v>
                </c:pt>
                <c:pt idx="3459">
                  <c:v>34590</c:v>
                </c:pt>
                <c:pt idx="3460">
                  <c:v>34600</c:v>
                </c:pt>
                <c:pt idx="3461">
                  <c:v>34610</c:v>
                </c:pt>
                <c:pt idx="3462">
                  <c:v>34620</c:v>
                </c:pt>
                <c:pt idx="3463">
                  <c:v>34630</c:v>
                </c:pt>
                <c:pt idx="3464">
                  <c:v>34640</c:v>
                </c:pt>
                <c:pt idx="3465">
                  <c:v>34650</c:v>
                </c:pt>
                <c:pt idx="3466">
                  <c:v>34660</c:v>
                </c:pt>
                <c:pt idx="3467">
                  <c:v>34670</c:v>
                </c:pt>
                <c:pt idx="3468">
                  <c:v>34680</c:v>
                </c:pt>
                <c:pt idx="3469">
                  <c:v>34690</c:v>
                </c:pt>
                <c:pt idx="3470">
                  <c:v>34700</c:v>
                </c:pt>
                <c:pt idx="3471">
                  <c:v>34710</c:v>
                </c:pt>
                <c:pt idx="3472">
                  <c:v>34720</c:v>
                </c:pt>
                <c:pt idx="3473">
                  <c:v>34730</c:v>
                </c:pt>
                <c:pt idx="3474">
                  <c:v>34740</c:v>
                </c:pt>
                <c:pt idx="3475">
                  <c:v>34750</c:v>
                </c:pt>
                <c:pt idx="3476">
                  <c:v>34760</c:v>
                </c:pt>
                <c:pt idx="3477">
                  <c:v>34770</c:v>
                </c:pt>
                <c:pt idx="3478">
                  <c:v>34780</c:v>
                </c:pt>
                <c:pt idx="3479">
                  <c:v>34790</c:v>
                </c:pt>
                <c:pt idx="3480">
                  <c:v>34800</c:v>
                </c:pt>
                <c:pt idx="3481">
                  <c:v>34810</c:v>
                </c:pt>
                <c:pt idx="3482">
                  <c:v>34820</c:v>
                </c:pt>
                <c:pt idx="3483">
                  <c:v>34830</c:v>
                </c:pt>
                <c:pt idx="3484">
                  <c:v>34840</c:v>
                </c:pt>
                <c:pt idx="3485">
                  <c:v>34850</c:v>
                </c:pt>
                <c:pt idx="3486">
                  <c:v>34860</c:v>
                </c:pt>
                <c:pt idx="3487">
                  <c:v>34870</c:v>
                </c:pt>
                <c:pt idx="3488">
                  <c:v>34880</c:v>
                </c:pt>
                <c:pt idx="3489">
                  <c:v>34890</c:v>
                </c:pt>
                <c:pt idx="3490">
                  <c:v>34900</c:v>
                </c:pt>
                <c:pt idx="3491">
                  <c:v>34910</c:v>
                </c:pt>
                <c:pt idx="3492">
                  <c:v>34920</c:v>
                </c:pt>
                <c:pt idx="3493">
                  <c:v>34930</c:v>
                </c:pt>
                <c:pt idx="3494">
                  <c:v>34940</c:v>
                </c:pt>
                <c:pt idx="3495">
                  <c:v>34950</c:v>
                </c:pt>
                <c:pt idx="3496">
                  <c:v>34960</c:v>
                </c:pt>
              </c:numCache>
            </c:numRef>
          </c:xVal>
          <c:yVal>
            <c:numRef>
              <c:f>geomorph!$B$2:$B$3498</c:f>
              <c:numCache>
                <c:formatCode>General</c:formatCode>
                <c:ptCount val="3497"/>
                <c:pt idx="0">
                  <c:v>2094.4</c:v>
                </c:pt>
                <c:pt idx="1">
                  <c:v>2089.1</c:v>
                </c:pt>
                <c:pt idx="2">
                  <c:v>2083.6999999999998</c:v>
                </c:pt>
                <c:pt idx="3">
                  <c:v>2078.3000000000002</c:v>
                </c:pt>
                <c:pt idx="4">
                  <c:v>2072.9</c:v>
                </c:pt>
                <c:pt idx="5">
                  <c:v>2067.5</c:v>
                </c:pt>
                <c:pt idx="6">
                  <c:v>2061.6999999999998</c:v>
                </c:pt>
                <c:pt idx="7">
                  <c:v>2055.5</c:v>
                </c:pt>
                <c:pt idx="8">
                  <c:v>2049.3000000000002</c:v>
                </c:pt>
                <c:pt idx="9">
                  <c:v>2043.1</c:v>
                </c:pt>
                <c:pt idx="10">
                  <c:v>2037.1</c:v>
                </c:pt>
                <c:pt idx="11">
                  <c:v>2030.8</c:v>
                </c:pt>
                <c:pt idx="12">
                  <c:v>2024.7</c:v>
                </c:pt>
                <c:pt idx="13">
                  <c:v>2018.5</c:v>
                </c:pt>
                <c:pt idx="14">
                  <c:v>2012.4</c:v>
                </c:pt>
                <c:pt idx="15">
                  <c:v>2006.3</c:v>
                </c:pt>
                <c:pt idx="16">
                  <c:v>2000.4</c:v>
                </c:pt>
                <c:pt idx="17">
                  <c:v>1994.3</c:v>
                </c:pt>
                <c:pt idx="18">
                  <c:v>1988.1</c:v>
                </c:pt>
                <c:pt idx="19">
                  <c:v>1981.8</c:v>
                </c:pt>
                <c:pt idx="20">
                  <c:v>1975.3</c:v>
                </c:pt>
                <c:pt idx="21">
                  <c:v>1968.9</c:v>
                </c:pt>
                <c:pt idx="22">
                  <c:v>1962.7</c:v>
                </c:pt>
                <c:pt idx="23">
                  <c:v>1956.3</c:v>
                </c:pt>
                <c:pt idx="24">
                  <c:v>1949.9</c:v>
                </c:pt>
                <c:pt idx="25">
                  <c:v>1943.4</c:v>
                </c:pt>
                <c:pt idx="26">
                  <c:v>1937.1</c:v>
                </c:pt>
                <c:pt idx="27">
                  <c:v>1930.8</c:v>
                </c:pt>
                <c:pt idx="28">
                  <c:v>1924.5</c:v>
                </c:pt>
                <c:pt idx="29">
                  <c:v>1918.4</c:v>
                </c:pt>
                <c:pt idx="30">
                  <c:v>1912.1</c:v>
                </c:pt>
                <c:pt idx="31">
                  <c:v>1905.9</c:v>
                </c:pt>
                <c:pt idx="32">
                  <c:v>1899.6</c:v>
                </c:pt>
                <c:pt idx="33">
                  <c:v>1893.4</c:v>
                </c:pt>
                <c:pt idx="34">
                  <c:v>1887.2</c:v>
                </c:pt>
                <c:pt idx="35">
                  <c:v>1881.1</c:v>
                </c:pt>
                <c:pt idx="36">
                  <c:v>1875</c:v>
                </c:pt>
                <c:pt idx="37">
                  <c:v>1868.9</c:v>
                </c:pt>
                <c:pt idx="38">
                  <c:v>1862.7</c:v>
                </c:pt>
                <c:pt idx="39">
                  <c:v>1856.5</c:v>
                </c:pt>
                <c:pt idx="40">
                  <c:v>1850.5</c:v>
                </c:pt>
                <c:pt idx="41">
                  <c:v>1844.4</c:v>
                </c:pt>
                <c:pt idx="42">
                  <c:v>1838.4</c:v>
                </c:pt>
                <c:pt idx="43">
                  <c:v>1832.4</c:v>
                </c:pt>
                <c:pt idx="44">
                  <c:v>1826.4</c:v>
                </c:pt>
                <c:pt idx="45">
                  <c:v>1820.2</c:v>
                </c:pt>
                <c:pt idx="46">
                  <c:v>1814.3</c:v>
                </c:pt>
                <c:pt idx="47">
                  <c:v>1808.4</c:v>
                </c:pt>
                <c:pt idx="48">
                  <c:v>1802.3</c:v>
                </c:pt>
                <c:pt idx="49">
                  <c:v>1796.4</c:v>
                </c:pt>
                <c:pt idx="50">
                  <c:v>1790.2</c:v>
                </c:pt>
                <c:pt idx="51">
                  <c:v>1783.3</c:v>
                </c:pt>
                <c:pt idx="52">
                  <c:v>1776.8</c:v>
                </c:pt>
                <c:pt idx="53">
                  <c:v>1770.4</c:v>
                </c:pt>
                <c:pt idx="54">
                  <c:v>1763.8</c:v>
                </c:pt>
                <c:pt idx="55">
                  <c:v>1757.5</c:v>
                </c:pt>
                <c:pt idx="56">
                  <c:v>1751.3</c:v>
                </c:pt>
                <c:pt idx="57">
                  <c:v>1745.1</c:v>
                </c:pt>
                <c:pt idx="58">
                  <c:v>1738.8</c:v>
                </c:pt>
                <c:pt idx="59">
                  <c:v>1732.7</c:v>
                </c:pt>
                <c:pt idx="60">
                  <c:v>1726.5</c:v>
                </c:pt>
                <c:pt idx="61">
                  <c:v>1720.3</c:v>
                </c:pt>
                <c:pt idx="62">
                  <c:v>1714.4</c:v>
                </c:pt>
                <c:pt idx="63">
                  <c:v>1708.5</c:v>
                </c:pt>
                <c:pt idx="64">
                  <c:v>1702.3</c:v>
                </c:pt>
                <c:pt idx="65">
                  <c:v>1696.2</c:v>
                </c:pt>
                <c:pt idx="66">
                  <c:v>1690.1</c:v>
                </c:pt>
                <c:pt idx="67">
                  <c:v>1683.9</c:v>
                </c:pt>
                <c:pt idx="68">
                  <c:v>1678</c:v>
                </c:pt>
                <c:pt idx="69">
                  <c:v>1671.8</c:v>
                </c:pt>
                <c:pt idx="70">
                  <c:v>1666</c:v>
                </c:pt>
                <c:pt idx="71">
                  <c:v>1660.1</c:v>
                </c:pt>
                <c:pt idx="72">
                  <c:v>1654.4</c:v>
                </c:pt>
                <c:pt idx="73">
                  <c:v>1648.7</c:v>
                </c:pt>
                <c:pt idx="74">
                  <c:v>1642.8</c:v>
                </c:pt>
                <c:pt idx="75">
                  <c:v>1637.2</c:v>
                </c:pt>
                <c:pt idx="76">
                  <c:v>1631.6</c:v>
                </c:pt>
                <c:pt idx="77">
                  <c:v>1626</c:v>
                </c:pt>
                <c:pt idx="78">
                  <c:v>1620.2</c:v>
                </c:pt>
                <c:pt idx="79">
                  <c:v>1614.7</c:v>
                </c:pt>
                <c:pt idx="80">
                  <c:v>1609.1</c:v>
                </c:pt>
                <c:pt idx="81">
                  <c:v>1603.6</c:v>
                </c:pt>
                <c:pt idx="82">
                  <c:v>1598.2</c:v>
                </c:pt>
                <c:pt idx="83">
                  <c:v>1592.5</c:v>
                </c:pt>
                <c:pt idx="84">
                  <c:v>1587.1</c:v>
                </c:pt>
                <c:pt idx="85">
                  <c:v>1581.7</c:v>
                </c:pt>
                <c:pt idx="86">
                  <c:v>1576.3</c:v>
                </c:pt>
                <c:pt idx="87">
                  <c:v>1570.8</c:v>
                </c:pt>
                <c:pt idx="88">
                  <c:v>1565.3</c:v>
                </c:pt>
                <c:pt idx="89">
                  <c:v>1560</c:v>
                </c:pt>
                <c:pt idx="90">
                  <c:v>1554.6</c:v>
                </c:pt>
                <c:pt idx="91">
                  <c:v>1549.3</c:v>
                </c:pt>
                <c:pt idx="92">
                  <c:v>1544</c:v>
                </c:pt>
                <c:pt idx="93">
                  <c:v>1538.6</c:v>
                </c:pt>
                <c:pt idx="94">
                  <c:v>1533.3</c:v>
                </c:pt>
                <c:pt idx="95">
                  <c:v>1528.1</c:v>
                </c:pt>
                <c:pt idx="96">
                  <c:v>1522.9</c:v>
                </c:pt>
                <c:pt idx="97">
                  <c:v>1517.5</c:v>
                </c:pt>
                <c:pt idx="98">
                  <c:v>1512.3</c:v>
                </c:pt>
                <c:pt idx="99">
                  <c:v>1507.1</c:v>
                </c:pt>
                <c:pt idx="100">
                  <c:v>1501.9</c:v>
                </c:pt>
                <c:pt idx="101">
                  <c:v>1496.7</c:v>
                </c:pt>
                <c:pt idx="102">
                  <c:v>1491.4</c:v>
                </c:pt>
                <c:pt idx="103">
                  <c:v>1486.3</c:v>
                </c:pt>
                <c:pt idx="104">
                  <c:v>1481.1</c:v>
                </c:pt>
                <c:pt idx="105">
                  <c:v>1476</c:v>
                </c:pt>
                <c:pt idx="106">
                  <c:v>1470.9</c:v>
                </c:pt>
                <c:pt idx="107">
                  <c:v>1465.7</c:v>
                </c:pt>
                <c:pt idx="108">
                  <c:v>1460.5</c:v>
                </c:pt>
                <c:pt idx="109">
                  <c:v>1455.4</c:v>
                </c:pt>
                <c:pt idx="110">
                  <c:v>1450.3</c:v>
                </c:pt>
                <c:pt idx="111">
                  <c:v>1445.1</c:v>
                </c:pt>
                <c:pt idx="112">
                  <c:v>1440.1</c:v>
                </c:pt>
                <c:pt idx="113">
                  <c:v>1434.9</c:v>
                </c:pt>
                <c:pt idx="114">
                  <c:v>1429.9</c:v>
                </c:pt>
                <c:pt idx="115">
                  <c:v>1424.8</c:v>
                </c:pt>
                <c:pt idx="116">
                  <c:v>1419.7</c:v>
                </c:pt>
                <c:pt idx="117">
                  <c:v>1414.6</c:v>
                </c:pt>
                <c:pt idx="118">
                  <c:v>1409.6</c:v>
                </c:pt>
                <c:pt idx="119">
                  <c:v>1404.5</c:v>
                </c:pt>
                <c:pt idx="120">
                  <c:v>1399.5</c:v>
                </c:pt>
                <c:pt idx="121">
                  <c:v>1394.4</c:v>
                </c:pt>
                <c:pt idx="122">
                  <c:v>1389.4</c:v>
                </c:pt>
                <c:pt idx="123">
                  <c:v>1384.4</c:v>
                </c:pt>
                <c:pt idx="124">
                  <c:v>1379.4</c:v>
                </c:pt>
                <c:pt idx="125">
                  <c:v>1374.4</c:v>
                </c:pt>
                <c:pt idx="126">
                  <c:v>1369.4</c:v>
                </c:pt>
                <c:pt idx="127">
                  <c:v>1364.4</c:v>
                </c:pt>
                <c:pt idx="128">
                  <c:v>1359.4</c:v>
                </c:pt>
                <c:pt idx="129">
                  <c:v>1354.4</c:v>
                </c:pt>
                <c:pt idx="130">
                  <c:v>1349.4</c:v>
                </c:pt>
                <c:pt idx="131">
                  <c:v>1344.5</c:v>
                </c:pt>
                <c:pt idx="132">
                  <c:v>1339.4</c:v>
                </c:pt>
                <c:pt idx="133">
                  <c:v>1334.5</c:v>
                </c:pt>
                <c:pt idx="134">
                  <c:v>1329.6</c:v>
                </c:pt>
                <c:pt idx="135">
                  <c:v>1324.6</c:v>
                </c:pt>
                <c:pt idx="136">
                  <c:v>1319.6</c:v>
                </c:pt>
                <c:pt idx="137">
                  <c:v>1314.6</c:v>
                </c:pt>
                <c:pt idx="138">
                  <c:v>1309.5</c:v>
                </c:pt>
                <c:pt idx="139">
                  <c:v>1304.5</c:v>
                </c:pt>
                <c:pt idx="140">
                  <c:v>1299.4000000000001</c:v>
                </c:pt>
                <c:pt idx="141">
                  <c:v>1294.4000000000001</c:v>
                </c:pt>
                <c:pt idx="142">
                  <c:v>1289.5</c:v>
                </c:pt>
                <c:pt idx="143">
                  <c:v>1284.4000000000001</c:v>
                </c:pt>
                <c:pt idx="144">
                  <c:v>1279.4000000000001</c:v>
                </c:pt>
                <c:pt idx="145">
                  <c:v>1274.5</c:v>
                </c:pt>
                <c:pt idx="146">
                  <c:v>1269.5</c:v>
                </c:pt>
                <c:pt idx="147">
                  <c:v>1264.5</c:v>
                </c:pt>
                <c:pt idx="148">
                  <c:v>1259.5999999999999</c:v>
                </c:pt>
                <c:pt idx="149">
                  <c:v>1254.5999999999999</c:v>
                </c:pt>
                <c:pt idx="150">
                  <c:v>1249.7</c:v>
                </c:pt>
                <c:pt idx="151">
                  <c:v>1244.7</c:v>
                </c:pt>
                <c:pt idx="152">
                  <c:v>1239.8</c:v>
                </c:pt>
                <c:pt idx="153">
                  <c:v>1234.9000000000001</c:v>
                </c:pt>
                <c:pt idx="154">
                  <c:v>1230</c:v>
                </c:pt>
                <c:pt idx="155">
                  <c:v>1225.0999999999999</c:v>
                </c:pt>
                <c:pt idx="156">
                  <c:v>1220.2</c:v>
                </c:pt>
                <c:pt idx="157">
                  <c:v>1215.3</c:v>
                </c:pt>
                <c:pt idx="158">
                  <c:v>1210.4000000000001</c:v>
                </c:pt>
                <c:pt idx="159">
                  <c:v>1205.5</c:v>
                </c:pt>
                <c:pt idx="160">
                  <c:v>1200.7</c:v>
                </c:pt>
                <c:pt idx="161">
                  <c:v>1195.8</c:v>
                </c:pt>
                <c:pt idx="162">
                  <c:v>1190.9000000000001</c:v>
                </c:pt>
                <c:pt idx="163">
                  <c:v>1186.0999999999999</c:v>
                </c:pt>
                <c:pt idx="164">
                  <c:v>1181.3</c:v>
                </c:pt>
                <c:pt idx="165">
                  <c:v>1176.4000000000001</c:v>
                </c:pt>
                <c:pt idx="166">
                  <c:v>1171.5999999999999</c:v>
                </c:pt>
                <c:pt idx="167">
                  <c:v>1166.8</c:v>
                </c:pt>
                <c:pt idx="168">
                  <c:v>1162</c:v>
                </c:pt>
                <c:pt idx="169">
                  <c:v>1159.0999999999999</c:v>
                </c:pt>
                <c:pt idx="170">
                  <c:v>1159.7</c:v>
                </c:pt>
                <c:pt idx="171">
                  <c:v>1160.3</c:v>
                </c:pt>
                <c:pt idx="172">
                  <c:v>1161</c:v>
                </c:pt>
                <c:pt idx="173">
                  <c:v>1161.5999999999999</c:v>
                </c:pt>
                <c:pt idx="174">
                  <c:v>1162.3</c:v>
                </c:pt>
                <c:pt idx="175">
                  <c:v>1163</c:v>
                </c:pt>
                <c:pt idx="176">
                  <c:v>1163.5999999999999</c:v>
                </c:pt>
                <c:pt idx="177">
                  <c:v>1164.3</c:v>
                </c:pt>
                <c:pt idx="178">
                  <c:v>1165</c:v>
                </c:pt>
                <c:pt idx="179">
                  <c:v>1165.8</c:v>
                </c:pt>
                <c:pt idx="180">
                  <c:v>1166.5</c:v>
                </c:pt>
                <c:pt idx="181">
                  <c:v>1167.2</c:v>
                </c:pt>
                <c:pt idx="182">
                  <c:v>1167.9000000000001</c:v>
                </c:pt>
                <c:pt idx="183">
                  <c:v>1168.7</c:v>
                </c:pt>
                <c:pt idx="184">
                  <c:v>1169.4000000000001</c:v>
                </c:pt>
                <c:pt idx="185">
                  <c:v>1170.2</c:v>
                </c:pt>
                <c:pt idx="186">
                  <c:v>1170.9000000000001</c:v>
                </c:pt>
                <c:pt idx="187">
                  <c:v>1171.7</c:v>
                </c:pt>
                <c:pt idx="188">
                  <c:v>1172.4000000000001</c:v>
                </c:pt>
                <c:pt idx="189">
                  <c:v>1173.0999999999999</c:v>
                </c:pt>
                <c:pt idx="190">
                  <c:v>1173.8</c:v>
                </c:pt>
                <c:pt idx="191">
                  <c:v>1174.4000000000001</c:v>
                </c:pt>
                <c:pt idx="192">
                  <c:v>1175.2</c:v>
                </c:pt>
                <c:pt idx="193">
                  <c:v>1175.9000000000001</c:v>
                </c:pt>
                <c:pt idx="194">
                  <c:v>1176.5999999999999</c:v>
                </c:pt>
                <c:pt idx="195">
                  <c:v>1177.3</c:v>
                </c:pt>
                <c:pt idx="196">
                  <c:v>1178</c:v>
                </c:pt>
                <c:pt idx="197">
                  <c:v>1178.8</c:v>
                </c:pt>
                <c:pt idx="198">
                  <c:v>1179.5</c:v>
                </c:pt>
                <c:pt idx="199">
                  <c:v>1180.3</c:v>
                </c:pt>
                <c:pt idx="200">
                  <c:v>1181.0999999999999</c:v>
                </c:pt>
                <c:pt idx="201">
                  <c:v>1181.9000000000001</c:v>
                </c:pt>
                <c:pt idx="202">
                  <c:v>1182.8</c:v>
                </c:pt>
                <c:pt idx="203">
                  <c:v>1183.5999999999999</c:v>
                </c:pt>
                <c:pt idx="204">
                  <c:v>1184.5</c:v>
                </c:pt>
                <c:pt idx="205">
                  <c:v>1185.4000000000001</c:v>
                </c:pt>
                <c:pt idx="206">
                  <c:v>1186.3</c:v>
                </c:pt>
                <c:pt idx="207">
                  <c:v>1187.3</c:v>
                </c:pt>
                <c:pt idx="208">
                  <c:v>1188.2</c:v>
                </c:pt>
                <c:pt idx="209">
                  <c:v>1189.0999999999999</c:v>
                </c:pt>
                <c:pt idx="210">
                  <c:v>1190.0999999999999</c:v>
                </c:pt>
                <c:pt idx="211">
                  <c:v>1191.0999999999999</c:v>
                </c:pt>
                <c:pt idx="212">
                  <c:v>1192.2</c:v>
                </c:pt>
                <c:pt idx="213">
                  <c:v>1193.2</c:v>
                </c:pt>
                <c:pt idx="214">
                  <c:v>1194.3</c:v>
                </c:pt>
                <c:pt idx="215">
                  <c:v>1195.4000000000001</c:v>
                </c:pt>
                <c:pt idx="216">
                  <c:v>1196.8</c:v>
                </c:pt>
                <c:pt idx="217">
                  <c:v>1198.0999999999999</c:v>
                </c:pt>
                <c:pt idx="218">
                  <c:v>1199.9000000000001</c:v>
                </c:pt>
                <c:pt idx="219">
                  <c:v>1201.8</c:v>
                </c:pt>
                <c:pt idx="220">
                  <c:v>1203.9000000000001</c:v>
                </c:pt>
                <c:pt idx="221">
                  <c:v>1205.7</c:v>
                </c:pt>
                <c:pt idx="222">
                  <c:v>1207.5</c:v>
                </c:pt>
                <c:pt idx="223">
                  <c:v>1209.4000000000001</c:v>
                </c:pt>
                <c:pt idx="224">
                  <c:v>1211.5999999999999</c:v>
                </c:pt>
                <c:pt idx="225">
                  <c:v>1213.5</c:v>
                </c:pt>
                <c:pt idx="226">
                  <c:v>1215</c:v>
                </c:pt>
                <c:pt idx="227">
                  <c:v>1216.4000000000001</c:v>
                </c:pt>
                <c:pt idx="228">
                  <c:v>1217.9000000000001</c:v>
                </c:pt>
                <c:pt idx="229">
                  <c:v>1219.5</c:v>
                </c:pt>
                <c:pt idx="230">
                  <c:v>1220.9000000000001</c:v>
                </c:pt>
                <c:pt idx="231">
                  <c:v>1222.5</c:v>
                </c:pt>
                <c:pt idx="232">
                  <c:v>1224.0999999999999</c:v>
                </c:pt>
                <c:pt idx="233">
                  <c:v>1225.5</c:v>
                </c:pt>
                <c:pt idx="234">
                  <c:v>1226.8</c:v>
                </c:pt>
                <c:pt idx="235">
                  <c:v>1227.9000000000001</c:v>
                </c:pt>
                <c:pt idx="236">
                  <c:v>1229.2</c:v>
                </c:pt>
                <c:pt idx="237">
                  <c:v>1230.3</c:v>
                </c:pt>
                <c:pt idx="238">
                  <c:v>1231.5999999999999</c:v>
                </c:pt>
                <c:pt idx="239">
                  <c:v>1232.9000000000001</c:v>
                </c:pt>
                <c:pt idx="240">
                  <c:v>1234.0999999999999</c:v>
                </c:pt>
                <c:pt idx="241">
                  <c:v>1235.4000000000001</c:v>
                </c:pt>
                <c:pt idx="242">
                  <c:v>1236.5</c:v>
                </c:pt>
                <c:pt idx="243">
                  <c:v>1237.8</c:v>
                </c:pt>
                <c:pt idx="244">
                  <c:v>1239</c:v>
                </c:pt>
                <c:pt idx="245">
                  <c:v>1240.2</c:v>
                </c:pt>
                <c:pt idx="246">
                  <c:v>1241.5</c:v>
                </c:pt>
                <c:pt idx="247">
                  <c:v>1242.5999999999999</c:v>
                </c:pt>
                <c:pt idx="248">
                  <c:v>1243.9000000000001</c:v>
                </c:pt>
                <c:pt idx="249">
                  <c:v>1245.2</c:v>
                </c:pt>
                <c:pt idx="250">
                  <c:v>1246.4000000000001</c:v>
                </c:pt>
                <c:pt idx="251">
                  <c:v>1247.5999999999999</c:v>
                </c:pt>
                <c:pt idx="252">
                  <c:v>1248.7</c:v>
                </c:pt>
                <c:pt idx="253">
                  <c:v>1249.7</c:v>
                </c:pt>
                <c:pt idx="254">
                  <c:v>1250.8</c:v>
                </c:pt>
                <c:pt idx="255">
                  <c:v>1251.9000000000001</c:v>
                </c:pt>
                <c:pt idx="256">
                  <c:v>1253.0999999999999</c:v>
                </c:pt>
                <c:pt idx="257">
                  <c:v>1254.2</c:v>
                </c:pt>
                <c:pt idx="258">
                  <c:v>1255.3</c:v>
                </c:pt>
                <c:pt idx="259">
                  <c:v>1256.4000000000001</c:v>
                </c:pt>
                <c:pt idx="260">
                  <c:v>1257.4000000000001</c:v>
                </c:pt>
                <c:pt idx="261">
                  <c:v>1258.5999999999999</c:v>
                </c:pt>
                <c:pt idx="262">
                  <c:v>1259.7</c:v>
                </c:pt>
                <c:pt idx="263">
                  <c:v>1260.8</c:v>
                </c:pt>
                <c:pt idx="264">
                  <c:v>1261.9000000000001</c:v>
                </c:pt>
                <c:pt idx="265">
                  <c:v>1263</c:v>
                </c:pt>
                <c:pt idx="266">
                  <c:v>1264.0999999999999</c:v>
                </c:pt>
                <c:pt idx="267">
                  <c:v>1265.2</c:v>
                </c:pt>
                <c:pt idx="268">
                  <c:v>1266.3</c:v>
                </c:pt>
                <c:pt idx="269">
                  <c:v>1267.4000000000001</c:v>
                </c:pt>
                <c:pt idx="270">
                  <c:v>1268.5</c:v>
                </c:pt>
                <c:pt idx="271">
                  <c:v>1269.7</c:v>
                </c:pt>
                <c:pt idx="272">
                  <c:v>1270.8</c:v>
                </c:pt>
                <c:pt idx="273">
                  <c:v>1271.9000000000001</c:v>
                </c:pt>
                <c:pt idx="274">
                  <c:v>1273</c:v>
                </c:pt>
                <c:pt idx="275">
                  <c:v>1274.0999999999999</c:v>
                </c:pt>
                <c:pt idx="276">
                  <c:v>1275.3</c:v>
                </c:pt>
                <c:pt idx="277">
                  <c:v>1276.4000000000001</c:v>
                </c:pt>
                <c:pt idx="278">
                  <c:v>1277.5</c:v>
                </c:pt>
                <c:pt idx="279">
                  <c:v>1278.5999999999999</c:v>
                </c:pt>
                <c:pt idx="280">
                  <c:v>1279.8</c:v>
                </c:pt>
                <c:pt idx="281">
                  <c:v>1280.9000000000001</c:v>
                </c:pt>
                <c:pt idx="282">
                  <c:v>1282.0999999999999</c:v>
                </c:pt>
                <c:pt idx="283">
                  <c:v>1283.2</c:v>
                </c:pt>
                <c:pt idx="284">
                  <c:v>1284.4000000000001</c:v>
                </c:pt>
                <c:pt idx="285">
                  <c:v>1285.5</c:v>
                </c:pt>
                <c:pt idx="286">
                  <c:v>1286.7</c:v>
                </c:pt>
                <c:pt idx="287">
                  <c:v>1287.9000000000001</c:v>
                </c:pt>
                <c:pt idx="288">
                  <c:v>1289</c:v>
                </c:pt>
                <c:pt idx="289">
                  <c:v>1290.0999999999999</c:v>
                </c:pt>
                <c:pt idx="290">
                  <c:v>1291.4000000000001</c:v>
                </c:pt>
                <c:pt idx="291">
                  <c:v>1292.5</c:v>
                </c:pt>
                <c:pt idx="292">
                  <c:v>1293.7</c:v>
                </c:pt>
                <c:pt idx="293">
                  <c:v>1294.9000000000001</c:v>
                </c:pt>
                <c:pt idx="294">
                  <c:v>1296.0999999999999</c:v>
                </c:pt>
                <c:pt idx="295">
                  <c:v>1297.2</c:v>
                </c:pt>
                <c:pt idx="296">
                  <c:v>1298.5</c:v>
                </c:pt>
                <c:pt idx="297">
                  <c:v>1299.8</c:v>
                </c:pt>
                <c:pt idx="298">
                  <c:v>1301</c:v>
                </c:pt>
                <c:pt idx="299">
                  <c:v>1302.3</c:v>
                </c:pt>
                <c:pt idx="300">
                  <c:v>1303.5999999999999</c:v>
                </c:pt>
                <c:pt idx="301">
                  <c:v>1304.8</c:v>
                </c:pt>
                <c:pt idx="302">
                  <c:v>1306.0999999999999</c:v>
                </c:pt>
                <c:pt idx="303">
                  <c:v>1307.4000000000001</c:v>
                </c:pt>
                <c:pt idx="304">
                  <c:v>1308.7</c:v>
                </c:pt>
                <c:pt idx="305">
                  <c:v>1310</c:v>
                </c:pt>
                <c:pt idx="306">
                  <c:v>1311.2</c:v>
                </c:pt>
                <c:pt idx="307">
                  <c:v>1312.5</c:v>
                </c:pt>
                <c:pt idx="308">
                  <c:v>1313.9</c:v>
                </c:pt>
                <c:pt idx="309">
                  <c:v>1315.2</c:v>
                </c:pt>
                <c:pt idx="310">
                  <c:v>1316.4</c:v>
                </c:pt>
                <c:pt idx="311">
                  <c:v>1317.8</c:v>
                </c:pt>
                <c:pt idx="312">
                  <c:v>1319</c:v>
                </c:pt>
                <c:pt idx="313">
                  <c:v>1320.4</c:v>
                </c:pt>
                <c:pt idx="314">
                  <c:v>1321.7</c:v>
                </c:pt>
                <c:pt idx="315">
                  <c:v>1323</c:v>
                </c:pt>
                <c:pt idx="316">
                  <c:v>1324.2</c:v>
                </c:pt>
                <c:pt idx="317">
                  <c:v>1325.6</c:v>
                </c:pt>
                <c:pt idx="318">
                  <c:v>1326.9</c:v>
                </c:pt>
                <c:pt idx="319">
                  <c:v>1328.2</c:v>
                </c:pt>
                <c:pt idx="320">
                  <c:v>1329.6</c:v>
                </c:pt>
                <c:pt idx="321">
                  <c:v>1330.8</c:v>
                </c:pt>
                <c:pt idx="322">
                  <c:v>1332.2</c:v>
                </c:pt>
                <c:pt idx="323">
                  <c:v>1333.5</c:v>
                </c:pt>
                <c:pt idx="324">
                  <c:v>1334.8</c:v>
                </c:pt>
                <c:pt idx="325">
                  <c:v>1336.1</c:v>
                </c:pt>
                <c:pt idx="326">
                  <c:v>1337.4</c:v>
                </c:pt>
                <c:pt idx="327">
                  <c:v>1338.7</c:v>
                </c:pt>
                <c:pt idx="328">
                  <c:v>1340.1</c:v>
                </c:pt>
                <c:pt idx="329">
                  <c:v>1341.4</c:v>
                </c:pt>
                <c:pt idx="330">
                  <c:v>1342.7</c:v>
                </c:pt>
                <c:pt idx="331">
                  <c:v>1344</c:v>
                </c:pt>
                <c:pt idx="332">
                  <c:v>1345.3</c:v>
                </c:pt>
                <c:pt idx="333">
                  <c:v>1346.7</c:v>
                </c:pt>
                <c:pt idx="334">
                  <c:v>1348</c:v>
                </c:pt>
                <c:pt idx="335">
                  <c:v>1349.3</c:v>
                </c:pt>
                <c:pt idx="336">
                  <c:v>1350.6</c:v>
                </c:pt>
                <c:pt idx="337">
                  <c:v>1352</c:v>
                </c:pt>
                <c:pt idx="338">
                  <c:v>1353.3</c:v>
                </c:pt>
                <c:pt idx="339">
                  <c:v>1354.7</c:v>
                </c:pt>
                <c:pt idx="340">
                  <c:v>1356</c:v>
                </c:pt>
                <c:pt idx="341">
                  <c:v>1357.3</c:v>
                </c:pt>
                <c:pt idx="342">
                  <c:v>1358.6</c:v>
                </c:pt>
                <c:pt idx="343">
                  <c:v>1360</c:v>
                </c:pt>
                <c:pt idx="344">
                  <c:v>1361.3</c:v>
                </c:pt>
                <c:pt idx="345">
                  <c:v>1362.7</c:v>
                </c:pt>
                <c:pt idx="346">
                  <c:v>1363.9</c:v>
                </c:pt>
                <c:pt idx="347">
                  <c:v>1365.2</c:v>
                </c:pt>
                <c:pt idx="348">
                  <c:v>1366.5</c:v>
                </c:pt>
                <c:pt idx="349">
                  <c:v>1367.8</c:v>
                </c:pt>
                <c:pt idx="350">
                  <c:v>1369</c:v>
                </c:pt>
                <c:pt idx="351">
                  <c:v>1370.9</c:v>
                </c:pt>
                <c:pt idx="352">
                  <c:v>1374.1</c:v>
                </c:pt>
                <c:pt idx="353">
                  <c:v>1378.4</c:v>
                </c:pt>
                <c:pt idx="354">
                  <c:v>1382.8</c:v>
                </c:pt>
                <c:pt idx="355">
                  <c:v>1387.1</c:v>
                </c:pt>
                <c:pt idx="356">
                  <c:v>1391.5</c:v>
                </c:pt>
                <c:pt idx="357">
                  <c:v>1395.9</c:v>
                </c:pt>
                <c:pt idx="358">
                  <c:v>1400.3</c:v>
                </c:pt>
                <c:pt idx="359">
                  <c:v>1404.6</c:v>
                </c:pt>
                <c:pt idx="360">
                  <c:v>1409</c:v>
                </c:pt>
                <c:pt idx="361">
                  <c:v>1413.3</c:v>
                </c:pt>
                <c:pt idx="362">
                  <c:v>1417.7</c:v>
                </c:pt>
                <c:pt idx="363">
                  <c:v>1422.1</c:v>
                </c:pt>
                <c:pt idx="364">
                  <c:v>1426.4</c:v>
                </c:pt>
                <c:pt idx="365">
                  <c:v>1430.8</c:v>
                </c:pt>
                <c:pt idx="366">
                  <c:v>1435.2</c:v>
                </c:pt>
                <c:pt idx="367">
                  <c:v>1439.6</c:v>
                </c:pt>
                <c:pt idx="368">
                  <c:v>1443.9</c:v>
                </c:pt>
                <c:pt idx="369">
                  <c:v>1448.3</c:v>
                </c:pt>
                <c:pt idx="370">
                  <c:v>1452.7</c:v>
                </c:pt>
                <c:pt idx="371">
                  <c:v>1457.1</c:v>
                </c:pt>
                <c:pt idx="372">
                  <c:v>1461.5</c:v>
                </c:pt>
                <c:pt idx="373">
                  <c:v>1465.8</c:v>
                </c:pt>
                <c:pt idx="374">
                  <c:v>1470.2</c:v>
                </c:pt>
                <c:pt idx="375">
                  <c:v>1474.6</c:v>
                </c:pt>
                <c:pt idx="376">
                  <c:v>1479</c:v>
                </c:pt>
                <c:pt idx="377">
                  <c:v>1483.4</c:v>
                </c:pt>
                <c:pt idx="378">
                  <c:v>1487.8</c:v>
                </c:pt>
                <c:pt idx="379">
                  <c:v>1492.1</c:v>
                </c:pt>
                <c:pt idx="380">
                  <c:v>1496.5</c:v>
                </c:pt>
                <c:pt idx="381">
                  <c:v>1500.9</c:v>
                </c:pt>
                <c:pt idx="382">
                  <c:v>1505.3</c:v>
                </c:pt>
                <c:pt idx="383">
                  <c:v>1509.7</c:v>
                </c:pt>
                <c:pt idx="384">
                  <c:v>1514.1</c:v>
                </c:pt>
                <c:pt idx="385">
                  <c:v>1518.5</c:v>
                </c:pt>
                <c:pt idx="386">
                  <c:v>1522.8</c:v>
                </c:pt>
                <c:pt idx="387">
                  <c:v>1527.3</c:v>
                </c:pt>
                <c:pt idx="388">
                  <c:v>1531.6</c:v>
                </c:pt>
                <c:pt idx="389">
                  <c:v>1536</c:v>
                </c:pt>
                <c:pt idx="390">
                  <c:v>1540.4</c:v>
                </c:pt>
                <c:pt idx="391">
                  <c:v>1544.8</c:v>
                </c:pt>
                <c:pt idx="392">
                  <c:v>1549.2</c:v>
                </c:pt>
                <c:pt idx="393">
                  <c:v>1553.6</c:v>
                </c:pt>
                <c:pt idx="394">
                  <c:v>1558</c:v>
                </c:pt>
                <c:pt idx="395">
                  <c:v>1562.4</c:v>
                </c:pt>
                <c:pt idx="396">
                  <c:v>1566.8</c:v>
                </c:pt>
                <c:pt idx="397">
                  <c:v>1571.1</c:v>
                </c:pt>
                <c:pt idx="398">
                  <c:v>1575.6</c:v>
                </c:pt>
                <c:pt idx="399">
                  <c:v>1579.9</c:v>
                </c:pt>
                <c:pt idx="400">
                  <c:v>1584.3</c:v>
                </c:pt>
                <c:pt idx="401">
                  <c:v>1588.7</c:v>
                </c:pt>
                <c:pt idx="402">
                  <c:v>1593</c:v>
                </c:pt>
                <c:pt idx="403">
                  <c:v>1597.5</c:v>
                </c:pt>
                <c:pt idx="404">
                  <c:v>1601.9</c:v>
                </c:pt>
                <c:pt idx="405">
                  <c:v>1606.3</c:v>
                </c:pt>
                <c:pt idx="406">
                  <c:v>1610.7</c:v>
                </c:pt>
                <c:pt idx="407">
                  <c:v>1615</c:v>
                </c:pt>
                <c:pt idx="408">
                  <c:v>1619.4</c:v>
                </c:pt>
                <c:pt idx="409">
                  <c:v>1623.8</c:v>
                </c:pt>
                <c:pt idx="410">
                  <c:v>1628.2</c:v>
                </c:pt>
                <c:pt idx="411">
                  <c:v>1632.5</c:v>
                </c:pt>
                <c:pt idx="412">
                  <c:v>1637</c:v>
                </c:pt>
                <c:pt idx="413">
                  <c:v>1641.3</c:v>
                </c:pt>
                <c:pt idx="414">
                  <c:v>1645.7</c:v>
                </c:pt>
                <c:pt idx="415">
                  <c:v>1650</c:v>
                </c:pt>
                <c:pt idx="416">
                  <c:v>1654.5</c:v>
                </c:pt>
                <c:pt idx="417">
                  <c:v>1658.9</c:v>
                </c:pt>
                <c:pt idx="418">
                  <c:v>1663.2</c:v>
                </c:pt>
                <c:pt idx="419">
                  <c:v>1667.6</c:v>
                </c:pt>
                <c:pt idx="420">
                  <c:v>1672</c:v>
                </c:pt>
                <c:pt idx="421">
                  <c:v>1676.4</c:v>
                </c:pt>
                <c:pt idx="422">
                  <c:v>1680.8</c:v>
                </c:pt>
                <c:pt idx="423">
                  <c:v>1685.2</c:v>
                </c:pt>
                <c:pt idx="424">
                  <c:v>1689.5</c:v>
                </c:pt>
                <c:pt idx="425">
                  <c:v>1694</c:v>
                </c:pt>
                <c:pt idx="426">
                  <c:v>1698.3</c:v>
                </c:pt>
                <c:pt idx="427">
                  <c:v>1702.7</c:v>
                </c:pt>
                <c:pt idx="428">
                  <c:v>1707.1</c:v>
                </c:pt>
                <c:pt idx="429">
                  <c:v>1711.4</c:v>
                </c:pt>
                <c:pt idx="430">
                  <c:v>1715.9</c:v>
                </c:pt>
                <c:pt idx="431">
                  <c:v>1720.3</c:v>
                </c:pt>
                <c:pt idx="432">
                  <c:v>1724.6</c:v>
                </c:pt>
                <c:pt idx="433">
                  <c:v>1729</c:v>
                </c:pt>
                <c:pt idx="434">
                  <c:v>1733.4</c:v>
                </c:pt>
                <c:pt idx="435">
                  <c:v>1737.8</c:v>
                </c:pt>
                <c:pt idx="436">
                  <c:v>1742.3</c:v>
                </c:pt>
                <c:pt idx="437">
                  <c:v>1746.5</c:v>
                </c:pt>
                <c:pt idx="438">
                  <c:v>1750.9</c:v>
                </c:pt>
                <c:pt idx="439">
                  <c:v>1755.4</c:v>
                </c:pt>
                <c:pt idx="440">
                  <c:v>1759.7</c:v>
                </c:pt>
                <c:pt idx="441">
                  <c:v>1764.2</c:v>
                </c:pt>
                <c:pt idx="442">
                  <c:v>1768.5</c:v>
                </c:pt>
                <c:pt idx="443">
                  <c:v>1772.9</c:v>
                </c:pt>
                <c:pt idx="444">
                  <c:v>1777.2</c:v>
                </c:pt>
                <c:pt idx="445">
                  <c:v>1781.5</c:v>
                </c:pt>
                <c:pt idx="446">
                  <c:v>1785.9</c:v>
                </c:pt>
                <c:pt idx="447">
                  <c:v>1790.2</c:v>
                </c:pt>
                <c:pt idx="448">
                  <c:v>1794.5</c:v>
                </c:pt>
                <c:pt idx="449">
                  <c:v>1798.8</c:v>
                </c:pt>
                <c:pt idx="450">
                  <c:v>1803.2</c:v>
                </c:pt>
                <c:pt idx="451">
                  <c:v>1807.4</c:v>
                </c:pt>
                <c:pt idx="452">
                  <c:v>1811.8</c:v>
                </c:pt>
                <c:pt idx="453">
                  <c:v>1816.1</c:v>
                </c:pt>
                <c:pt idx="454">
                  <c:v>1820.4</c:v>
                </c:pt>
                <c:pt idx="455">
                  <c:v>1824.8</c:v>
                </c:pt>
                <c:pt idx="456">
                  <c:v>1829.1</c:v>
                </c:pt>
                <c:pt idx="457">
                  <c:v>1833.4</c:v>
                </c:pt>
                <c:pt idx="458">
                  <c:v>1837.7</c:v>
                </c:pt>
                <c:pt idx="459">
                  <c:v>1842</c:v>
                </c:pt>
                <c:pt idx="460">
                  <c:v>1846.3</c:v>
                </c:pt>
                <c:pt idx="461">
                  <c:v>1850.6</c:v>
                </c:pt>
                <c:pt idx="462">
                  <c:v>1854.9</c:v>
                </c:pt>
                <c:pt idx="463">
                  <c:v>1859.3</c:v>
                </c:pt>
                <c:pt idx="464">
                  <c:v>1863.5</c:v>
                </c:pt>
                <c:pt idx="465">
                  <c:v>1867.9</c:v>
                </c:pt>
                <c:pt idx="466">
                  <c:v>1872.2</c:v>
                </c:pt>
                <c:pt idx="467">
                  <c:v>1876.4</c:v>
                </c:pt>
                <c:pt idx="468">
                  <c:v>1880.7</c:v>
                </c:pt>
                <c:pt idx="469">
                  <c:v>1885.1</c:v>
                </c:pt>
                <c:pt idx="470">
                  <c:v>1889.3</c:v>
                </c:pt>
                <c:pt idx="471">
                  <c:v>1893.6</c:v>
                </c:pt>
                <c:pt idx="472">
                  <c:v>1897.9</c:v>
                </c:pt>
                <c:pt idx="473">
                  <c:v>1902.2</c:v>
                </c:pt>
                <c:pt idx="474">
                  <c:v>1906.5</c:v>
                </c:pt>
                <c:pt idx="475">
                  <c:v>1910.7</c:v>
                </c:pt>
                <c:pt idx="476">
                  <c:v>1915</c:v>
                </c:pt>
                <c:pt idx="477">
                  <c:v>1919.3</c:v>
                </c:pt>
                <c:pt idx="478">
                  <c:v>1923.5</c:v>
                </c:pt>
                <c:pt idx="479">
                  <c:v>1927.9</c:v>
                </c:pt>
                <c:pt idx="480">
                  <c:v>1932</c:v>
                </c:pt>
                <c:pt idx="481">
                  <c:v>1936.4</c:v>
                </c:pt>
                <c:pt idx="482">
                  <c:v>1940.7</c:v>
                </c:pt>
                <c:pt idx="483">
                  <c:v>1944.9</c:v>
                </c:pt>
                <c:pt idx="484">
                  <c:v>1949.1</c:v>
                </c:pt>
                <c:pt idx="485">
                  <c:v>1953.5</c:v>
                </c:pt>
                <c:pt idx="486">
                  <c:v>1957.7</c:v>
                </c:pt>
                <c:pt idx="487">
                  <c:v>1961.9</c:v>
                </c:pt>
                <c:pt idx="488">
                  <c:v>1966.1</c:v>
                </c:pt>
                <c:pt idx="489">
                  <c:v>1970.4</c:v>
                </c:pt>
                <c:pt idx="490">
                  <c:v>1974.6</c:v>
                </c:pt>
                <c:pt idx="491">
                  <c:v>1978.8</c:v>
                </c:pt>
                <c:pt idx="492">
                  <c:v>1983.2</c:v>
                </c:pt>
                <c:pt idx="493">
                  <c:v>1987.3</c:v>
                </c:pt>
                <c:pt idx="494">
                  <c:v>1991.6</c:v>
                </c:pt>
                <c:pt idx="495">
                  <c:v>1995.8</c:v>
                </c:pt>
                <c:pt idx="496">
                  <c:v>2000.1</c:v>
                </c:pt>
                <c:pt idx="497">
                  <c:v>2004.2</c:v>
                </c:pt>
                <c:pt idx="498">
                  <c:v>2008.5</c:v>
                </c:pt>
                <c:pt idx="499">
                  <c:v>2012.7</c:v>
                </c:pt>
                <c:pt idx="500">
                  <c:v>2016.8</c:v>
                </c:pt>
                <c:pt idx="501">
                  <c:v>2021.1</c:v>
                </c:pt>
                <c:pt idx="502">
                  <c:v>2025.3</c:v>
                </c:pt>
                <c:pt idx="503">
                  <c:v>2029.5</c:v>
                </c:pt>
                <c:pt idx="504">
                  <c:v>2033.7</c:v>
                </c:pt>
                <c:pt idx="505">
                  <c:v>2037.9</c:v>
                </c:pt>
                <c:pt idx="506">
                  <c:v>2042.2</c:v>
                </c:pt>
                <c:pt idx="507">
                  <c:v>2046.2</c:v>
                </c:pt>
                <c:pt idx="508">
                  <c:v>2050.5</c:v>
                </c:pt>
                <c:pt idx="509">
                  <c:v>2054.6999999999998</c:v>
                </c:pt>
                <c:pt idx="510">
                  <c:v>2058.6999999999998</c:v>
                </c:pt>
                <c:pt idx="511">
                  <c:v>2062.9</c:v>
                </c:pt>
                <c:pt idx="512">
                  <c:v>2067.1999999999998</c:v>
                </c:pt>
                <c:pt idx="513">
                  <c:v>2071.1999999999998</c:v>
                </c:pt>
                <c:pt idx="514">
                  <c:v>2075.4</c:v>
                </c:pt>
                <c:pt idx="515">
                  <c:v>2079.6</c:v>
                </c:pt>
                <c:pt idx="516">
                  <c:v>2078.6999999999998</c:v>
                </c:pt>
                <c:pt idx="517">
                  <c:v>2075.8000000000002</c:v>
                </c:pt>
                <c:pt idx="518">
                  <c:v>2072.8000000000002</c:v>
                </c:pt>
                <c:pt idx="519">
                  <c:v>2069.9</c:v>
                </c:pt>
                <c:pt idx="520">
                  <c:v>2066.8000000000002</c:v>
                </c:pt>
                <c:pt idx="521">
                  <c:v>2063.9</c:v>
                </c:pt>
                <c:pt idx="522">
                  <c:v>2061</c:v>
                </c:pt>
                <c:pt idx="523">
                  <c:v>2058.1</c:v>
                </c:pt>
                <c:pt idx="524">
                  <c:v>2055.1</c:v>
                </c:pt>
                <c:pt idx="525">
                  <c:v>2052.1999999999998</c:v>
                </c:pt>
                <c:pt idx="526">
                  <c:v>2049.1</c:v>
                </c:pt>
                <c:pt idx="527">
                  <c:v>2046.3</c:v>
                </c:pt>
                <c:pt idx="528">
                  <c:v>2043.3</c:v>
                </c:pt>
                <c:pt idx="529">
                  <c:v>2040.4</c:v>
                </c:pt>
                <c:pt idx="530">
                  <c:v>2037.4</c:v>
                </c:pt>
                <c:pt idx="531">
                  <c:v>2034.6</c:v>
                </c:pt>
                <c:pt idx="532">
                  <c:v>2031.6</c:v>
                </c:pt>
                <c:pt idx="533">
                  <c:v>2028.6</c:v>
                </c:pt>
                <c:pt idx="534">
                  <c:v>2025.7</c:v>
                </c:pt>
                <c:pt idx="535">
                  <c:v>2022.8</c:v>
                </c:pt>
                <c:pt idx="536">
                  <c:v>2019.8</c:v>
                </c:pt>
                <c:pt idx="537">
                  <c:v>2017</c:v>
                </c:pt>
                <c:pt idx="538">
                  <c:v>2014</c:v>
                </c:pt>
                <c:pt idx="539">
                  <c:v>2011</c:v>
                </c:pt>
                <c:pt idx="540">
                  <c:v>2008.1</c:v>
                </c:pt>
                <c:pt idx="541">
                  <c:v>2005.2</c:v>
                </c:pt>
                <c:pt idx="542">
                  <c:v>2002.2</c:v>
                </c:pt>
                <c:pt idx="543">
                  <c:v>1999.4</c:v>
                </c:pt>
                <c:pt idx="544">
                  <c:v>1996.4</c:v>
                </c:pt>
                <c:pt idx="545">
                  <c:v>1993.4</c:v>
                </c:pt>
                <c:pt idx="546">
                  <c:v>1990.5</c:v>
                </c:pt>
                <c:pt idx="547">
                  <c:v>1987.6</c:v>
                </c:pt>
                <c:pt idx="548">
                  <c:v>1984.6</c:v>
                </c:pt>
                <c:pt idx="549">
                  <c:v>1981.7</c:v>
                </c:pt>
                <c:pt idx="550">
                  <c:v>1978.8</c:v>
                </c:pt>
                <c:pt idx="551">
                  <c:v>1975.8</c:v>
                </c:pt>
                <c:pt idx="552">
                  <c:v>1972.9</c:v>
                </c:pt>
                <c:pt idx="553">
                  <c:v>1970</c:v>
                </c:pt>
                <c:pt idx="554">
                  <c:v>1967.1</c:v>
                </c:pt>
                <c:pt idx="555">
                  <c:v>1964.2</c:v>
                </c:pt>
                <c:pt idx="556">
                  <c:v>1961.3</c:v>
                </c:pt>
                <c:pt idx="557">
                  <c:v>1958.3</c:v>
                </c:pt>
                <c:pt idx="558">
                  <c:v>1955.3</c:v>
                </c:pt>
                <c:pt idx="559">
                  <c:v>1952.4</c:v>
                </c:pt>
                <c:pt idx="560">
                  <c:v>1949.5</c:v>
                </c:pt>
                <c:pt idx="561">
                  <c:v>1946.6</c:v>
                </c:pt>
                <c:pt idx="562">
                  <c:v>1943.7</c:v>
                </c:pt>
                <c:pt idx="563">
                  <c:v>1940.8</c:v>
                </c:pt>
                <c:pt idx="564">
                  <c:v>1937.8</c:v>
                </c:pt>
                <c:pt idx="565">
                  <c:v>1934.9</c:v>
                </c:pt>
                <c:pt idx="566">
                  <c:v>1932</c:v>
                </c:pt>
                <c:pt idx="567">
                  <c:v>1929</c:v>
                </c:pt>
                <c:pt idx="568">
                  <c:v>1926.1</c:v>
                </c:pt>
                <c:pt idx="569">
                  <c:v>1923.2</c:v>
                </c:pt>
                <c:pt idx="570">
                  <c:v>1920.2</c:v>
                </c:pt>
                <c:pt idx="571">
                  <c:v>1912.8</c:v>
                </c:pt>
                <c:pt idx="572">
                  <c:v>1906.6</c:v>
                </c:pt>
                <c:pt idx="573">
                  <c:v>1899</c:v>
                </c:pt>
                <c:pt idx="574">
                  <c:v>1892.7</c:v>
                </c:pt>
                <c:pt idx="575">
                  <c:v>1885.2</c:v>
                </c:pt>
                <c:pt idx="576">
                  <c:v>1878.8</c:v>
                </c:pt>
                <c:pt idx="577">
                  <c:v>1871.1</c:v>
                </c:pt>
                <c:pt idx="578">
                  <c:v>1864.7</c:v>
                </c:pt>
                <c:pt idx="579">
                  <c:v>1857</c:v>
                </c:pt>
                <c:pt idx="580">
                  <c:v>1850.6</c:v>
                </c:pt>
                <c:pt idx="581">
                  <c:v>1842.9</c:v>
                </c:pt>
                <c:pt idx="582">
                  <c:v>1835.2</c:v>
                </c:pt>
                <c:pt idx="583">
                  <c:v>1828.7</c:v>
                </c:pt>
                <c:pt idx="584">
                  <c:v>1820.9</c:v>
                </c:pt>
                <c:pt idx="585">
                  <c:v>1814.6</c:v>
                </c:pt>
                <c:pt idx="586">
                  <c:v>1806.8</c:v>
                </c:pt>
                <c:pt idx="587">
                  <c:v>1800.4</c:v>
                </c:pt>
                <c:pt idx="588">
                  <c:v>1792.6</c:v>
                </c:pt>
                <c:pt idx="589">
                  <c:v>1786</c:v>
                </c:pt>
                <c:pt idx="590">
                  <c:v>1776.8</c:v>
                </c:pt>
                <c:pt idx="591">
                  <c:v>1769.4</c:v>
                </c:pt>
                <c:pt idx="592">
                  <c:v>1760.1</c:v>
                </c:pt>
                <c:pt idx="593">
                  <c:v>1751.4</c:v>
                </c:pt>
                <c:pt idx="594">
                  <c:v>1743.5</c:v>
                </c:pt>
                <c:pt idx="595">
                  <c:v>1734.7</c:v>
                </c:pt>
                <c:pt idx="596">
                  <c:v>1726.7</c:v>
                </c:pt>
                <c:pt idx="597">
                  <c:v>1718</c:v>
                </c:pt>
                <c:pt idx="598">
                  <c:v>1710</c:v>
                </c:pt>
                <c:pt idx="599">
                  <c:v>1701.3</c:v>
                </c:pt>
                <c:pt idx="600">
                  <c:v>1693.2</c:v>
                </c:pt>
                <c:pt idx="601">
                  <c:v>1684.5</c:v>
                </c:pt>
                <c:pt idx="602">
                  <c:v>1676.3</c:v>
                </c:pt>
                <c:pt idx="603">
                  <c:v>1667.7</c:v>
                </c:pt>
                <c:pt idx="604">
                  <c:v>1658.4</c:v>
                </c:pt>
                <c:pt idx="605">
                  <c:v>1650.9</c:v>
                </c:pt>
                <c:pt idx="606">
                  <c:v>1641.6</c:v>
                </c:pt>
                <c:pt idx="607">
                  <c:v>1634.1</c:v>
                </c:pt>
                <c:pt idx="608">
                  <c:v>1624.5</c:v>
                </c:pt>
                <c:pt idx="609">
                  <c:v>1617</c:v>
                </c:pt>
                <c:pt idx="610">
                  <c:v>1607.6</c:v>
                </c:pt>
                <c:pt idx="611">
                  <c:v>1600</c:v>
                </c:pt>
                <c:pt idx="612">
                  <c:v>1590.6</c:v>
                </c:pt>
                <c:pt idx="613">
                  <c:v>1582.3</c:v>
                </c:pt>
                <c:pt idx="614">
                  <c:v>1573.4</c:v>
                </c:pt>
                <c:pt idx="615">
                  <c:v>1565.2</c:v>
                </c:pt>
                <c:pt idx="616">
                  <c:v>1556.3</c:v>
                </c:pt>
                <c:pt idx="617">
                  <c:v>1548.1</c:v>
                </c:pt>
                <c:pt idx="618">
                  <c:v>1539.2</c:v>
                </c:pt>
                <c:pt idx="619">
                  <c:v>1531</c:v>
                </c:pt>
                <c:pt idx="620">
                  <c:v>1521.9</c:v>
                </c:pt>
                <c:pt idx="621">
                  <c:v>1513.8</c:v>
                </c:pt>
                <c:pt idx="622">
                  <c:v>1504.7</c:v>
                </c:pt>
                <c:pt idx="623">
                  <c:v>1496.6</c:v>
                </c:pt>
                <c:pt idx="624">
                  <c:v>1487</c:v>
                </c:pt>
                <c:pt idx="625">
                  <c:v>1479.4</c:v>
                </c:pt>
                <c:pt idx="626">
                  <c:v>1469.8</c:v>
                </c:pt>
                <c:pt idx="627">
                  <c:v>1462</c:v>
                </c:pt>
                <c:pt idx="628">
                  <c:v>1452.4</c:v>
                </c:pt>
                <c:pt idx="629">
                  <c:v>1444.7</c:v>
                </c:pt>
                <c:pt idx="630">
                  <c:v>1435.1</c:v>
                </c:pt>
                <c:pt idx="631">
                  <c:v>1427.4</c:v>
                </c:pt>
                <c:pt idx="632">
                  <c:v>1421.5</c:v>
                </c:pt>
                <c:pt idx="633">
                  <c:v>1416.9</c:v>
                </c:pt>
                <c:pt idx="634">
                  <c:v>1412</c:v>
                </c:pt>
                <c:pt idx="635">
                  <c:v>1407.3</c:v>
                </c:pt>
                <c:pt idx="636">
                  <c:v>1402.6</c:v>
                </c:pt>
                <c:pt idx="637">
                  <c:v>1398</c:v>
                </c:pt>
                <c:pt idx="638">
                  <c:v>1393.2</c:v>
                </c:pt>
                <c:pt idx="639">
                  <c:v>1388.5</c:v>
                </c:pt>
                <c:pt idx="640">
                  <c:v>1383.7</c:v>
                </c:pt>
                <c:pt idx="641">
                  <c:v>1379.2</c:v>
                </c:pt>
                <c:pt idx="642">
                  <c:v>1374.4</c:v>
                </c:pt>
                <c:pt idx="643">
                  <c:v>1369.9</c:v>
                </c:pt>
                <c:pt idx="644">
                  <c:v>1365.1</c:v>
                </c:pt>
                <c:pt idx="645">
                  <c:v>1360.6</c:v>
                </c:pt>
                <c:pt idx="646">
                  <c:v>1355.7</c:v>
                </c:pt>
                <c:pt idx="647">
                  <c:v>1351.3</c:v>
                </c:pt>
                <c:pt idx="648">
                  <c:v>1346.5</c:v>
                </c:pt>
                <c:pt idx="649">
                  <c:v>1342.1</c:v>
                </c:pt>
                <c:pt idx="650">
                  <c:v>1337.4</c:v>
                </c:pt>
                <c:pt idx="651">
                  <c:v>1333.6</c:v>
                </c:pt>
                <c:pt idx="652">
                  <c:v>1330</c:v>
                </c:pt>
                <c:pt idx="653">
                  <c:v>1326.4</c:v>
                </c:pt>
                <c:pt idx="654">
                  <c:v>1322.8</c:v>
                </c:pt>
                <c:pt idx="655">
                  <c:v>1319.3</c:v>
                </c:pt>
                <c:pt idx="656">
                  <c:v>1315.7</c:v>
                </c:pt>
                <c:pt idx="657">
                  <c:v>1312.1</c:v>
                </c:pt>
                <c:pt idx="658">
                  <c:v>1308.5</c:v>
                </c:pt>
                <c:pt idx="659">
                  <c:v>1304.9000000000001</c:v>
                </c:pt>
                <c:pt idx="660">
                  <c:v>1301.4000000000001</c:v>
                </c:pt>
                <c:pt idx="661">
                  <c:v>1297.8</c:v>
                </c:pt>
                <c:pt idx="662">
                  <c:v>1294.3</c:v>
                </c:pt>
                <c:pt idx="663">
                  <c:v>1290.7</c:v>
                </c:pt>
                <c:pt idx="664">
                  <c:v>1287.0999999999999</c:v>
                </c:pt>
                <c:pt idx="665">
                  <c:v>1283.5999999999999</c:v>
                </c:pt>
                <c:pt idx="666">
                  <c:v>1280</c:v>
                </c:pt>
                <c:pt idx="667">
                  <c:v>1276.5</c:v>
                </c:pt>
                <c:pt idx="668">
                  <c:v>1273</c:v>
                </c:pt>
                <c:pt idx="669">
                  <c:v>1269.5</c:v>
                </c:pt>
                <c:pt idx="670">
                  <c:v>1265.9000000000001</c:v>
                </c:pt>
                <c:pt idx="671">
                  <c:v>1262.4000000000001</c:v>
                </c:pt>
                <c:pt idx="672">
                  <c:v>1258.9000000000001</c:v>
                </c:pt>
                <c:pt idx="673">
                  <c:v>1255.4000000000001</c:v>
                </c:pt>
                <c:pt idx="674">
                  <c:v>1251.9000000000001</c:v>
                </c:pt>
                <c:pt idx="675">
                  <c:v>1248.4000000000001</c:v>
                </c:pt>
                <c:pt idx="676">
                  <c:v>1230.0999999999999</c:v>
                </c:pt>
                <c:pt idx="677">
                  <c:v>1225</c:v>
                </c:pt>
                <c:pt idx="678">
                  <c:v>1220.3</c:v>
                </c:pt>
                <c:pt idx="679">
                  <c:v>1215.4000000000001</c:v>
                </c:pt>
                <c:pt idx="680">
                  <c:v>1210.9000000000001</c:v>
                </c:pt>
                <c:pt idx="681">
                  <c:v>1206.2</c:v>
                </c:pt>
                <c:pt idx="682">
                  <c:v>1201.5</c:v>
                </c:pt>
                <c:pt idx="683">
                  <c:v>1197.0999999999999</c:v>
                </c:pt>
                <c:pt idx="684">
                  <c:v>1192.5</c:v>
                </c:pt>
                <c:pt idx="685">
                  <c:v>1188.3</c:v>
                </c:pt>
                <c:pt idx="686">
                  <c:v>1183.9000000000001</c:v>
                </c:pt>
                <c:pt idx="687">
                  <c:v>1179.5</c:v>
                </c:pt>
                <c:pt idx="688">
                  <c:v>1175.5</c:v>
                </c:pt>
                <c:pt idx="689">
                  <c:v>1171.0999999999999</c:v>
                </c:pt>
                <c:pt idx="690">
                  <c:v>1167</c:v>
                </c:pt>
                <c:pt idx="691">
                  <c:v>1162.9000000000001</c:v>
                </c:pt>
                <c:pt idx="692">
                  <c:v>1159.2</c:v>
                </c:pt>
                <c:pt idx="693">
                  <c:v>1155.3</c:v>
                </c:pt>
                <c:pt idx="694">
                  <c:v>1151.4000000000001</c:v>
                </c:pt>
                <c:pt idx="695">
                  <c:v>1147.5</c:v>
                </c:pt>
                <c:pt idx="696">
                  <c:v>1146.2</c:v>
                </c:pt>
                <c:pt idx="697">
                  <c:v>1143</c:v>
                </c:pt>
                <c:pt idx="698">
                  <c:v>1139.8</c:v>
                </c:pt>
                <c:pt idx="699">
                  <c:v>1136.7</c:v>
                </c:pt>
                <c:pt idx="700">
                  <c:v>1135.0999999999999</c:v>
                </c:pt>
                <c:pt idx="701">
                  <c:v>1132.4000000000001</c:v>
                </c:pt>
                <c:pt idx="702">
                  <c:v>1129.5999999999999</c:v>
                </c:pt>
                <c:pt idx="703">
                  <c:v>1127.2</c:v>
                </c:pt>
                <c:pt idx="704">
                  <c:v>1124.5</c:v>
                </c:pt>
                <c:pt idx="705">
                  <c:v>1121.5999999999999</c:v>
                </c:pt>
                <c:pt idx="706">
                  <c:v>1119.5</c:v>
                </c:pt>
                <c:pt idx="707">
                  <c:v>1118.5999999999999</c:v>
                </c:pt>
                <c:pt idx="708">
                  <c:v>1116.7</c:v>
                </c:pt>
                <c:pt idx="709">
                  <c:v>1131.2</c:v>
                </c:pt>
                <c:pt idx="710">
                  <c:v>1135.0999999999999</c:v>
                </c:pt>
                <c:pt idx="711">
                  <c:v>1137.3</c:v>
                </c:pt>
                <c:pt idx="712">
                  <c:v>1140.0999999999999</c:v>
                </c:pt>
                <c:pt idx="713">
                  <c:v>1152.5999999999999</c:v>
                </c:pt>
                <c:pt idx="714">
                  <c:v>1156.8</c:v>
                </c:pt>
                <c:pt idx="715">
                  <c:v>1163.4000000000001</c:v>
                </c:pt>
                <c:pt idx="716">
                  <c:v>1178.2</c:v>
                </c:pt>
                <c:pt idx="717">
                  <c:v>1201.5</c:v>
                </c:pt>
                <c:pt idx="718">
                  <c:v>1221.3</c:v>
                </c:pt>
                <c:pt idx="719">
                  <c:v>1238.3</c:v>
                </c:pt>
                <c:pt idx="720">
                  <c:v>1247.9000000000001</c:v>
                </c:pt>
                <c:pt idx="721">
                  <c:v>1256.4000000000001</c:v>
                </c:pt>
                <c:pt idx="722">
                  <c:v>1265</c:v>
                </c:pt>
                <c:pt idx="723">
                  <c:v>1277.9000000000001</c:v>
                </c:pt>
                <c:pt idx="724">
                  <c:v>1296.7</c:v>
                </c:pt>
                <c:pt idx="725">
                  <c:v>1305.5999999999999</c:v>
                </c:pt>
                <c:pt idx="726">
                  <c:v>1306.8</c:v>
                </c:pt>
                <c:pt idx="727">
                  <c:v>1308.2</c:v>
                </c:pt>
                <c:pt idx="728">
                  <c:v>1308.9000000000001</c:v>
                </c:pt>
                <c:pt idx="729">
                  <c:v>1309.9000000000001</c:v>
                </c:pt>
                <c:pt idx="730">
                  <c:v>1311.8</c:v>
                </c:pt>
                <c:pt idx="731">
                  <c:v>1313.8</c:v>
                </c:pt>
                <c:pt idx="732">
                  <c:v>1312.2</c:v>
                </c:pt>
                <c:pt idx="733">
                  <c:v>1307.5</c:v>
                </c:pt>
                <c:pt idx="734">
                  <c:v>1302.9000000000001</c:v>
                </c:pt>
                <c:pt idx="735">
                  <c:v>1298.2</c:v>
                </c:pt>
                <c:pt idx="736">
                  <c:v>1293.5999999999999</c:v>
                </c:pt>
                <c:pt idx="737">
                  <c:v>1288.9000000000001</c:v>
                </c:pt>
                <c:pt idx="738">
                  <c:v>1284.3</c:v>
                </c:pt>
                <c:pt idx="739">
                  <c:v>1279.8</c:v>
                </c:pt>
                <c:pt idx="740">
                  <c:v>1275.0999999999999</c:v>
                </c:pt>
                <c:pt idx="741">
                  <c:v>1270.5</c:v>
                </c:pt>
                <c:pt idx="742">
                  <c:v>1265.8</c:v>
                </c:pt>
                <c:pt idx="743">
                  <c:v>1261.2</c:v>
                </c:pt>
                <c:pt idx="744">
                  <c:v>1256.5</c:v>
                </c:pt>
                <c:pt idx="745">
                  <c:v>1252</c:v>
                </c:pt>
                <c:pt idx="746">
                  <c:v>1247.2</c:v>
                </c:pt>
                <c:pt idx="747">
                  <c:v>1242.5999999999999</c:v>
                </c:pt>
                <c:pt idx="748">
                  <c:v>1237.9000000000001</c:v>
                </c:pt>
                <c:pt idx="749">
                  <c:v>1233.0999999999999</c:v>
                </c:pt>
                <c:pt idx="750">
                  <c:v>1228.2</c:v>
                </c:pt>
                <c:pt idx="751">
                  <c:v>1223.3</c:v>
                </c:pt>
                <c:pt idx="752">
                  <c:v>1218.5999999999999</c:v>
                </c:pt>
                <c:pt idx="753">
                  <c:v>1213.7</c:v>
                </c:pt>
                <c:pt idx="754">
                  <c:v>1208.9000000000001</c:v>
                </c:pt>
                <c:pt idx="755">
                  <c:v>1204.0999999999999</c:v>
                </c:pt>
                <c:pt idx="756">
                  <c:v>1199.2</c:v>
                </c:pt>
                <c:pt idx="757">
                  <c:v>1194.4000000000001</c:v>
                </c:pt>
                <c:pt idx="758">
                  <c:v>1189.5999999999999</c:v>
                </c:pt>
                <c:pt idx="759">
                  <c:v>1184.8</c:v>
                </c:pt>
                <c:pt idx="760">
                  <c:v>1180</c:v>
                </c:pt>
                <c:pt idx="761">
                  <c:v>1175.3</c:v>
                </c:pt>
                <c:pt idx="762">
                  <c:v>1170.5</c:v>
                </c:pt>
                <c:pt idx="763">
                  <c:v>1165.7</c:v>
                </c:pt>
                <c:pt idx="764">
                  <c:v>1160.9000000000001</c:v>
                </c:pt>
                <c:pt idx="765">
                  <c:v>1156.0999999999999</c:v>
                </c:pt>
                <c:pt idx="766">
                  <c:v>1151.3</c:v>
                </c:pt>
                <c:pt idx="767">
                  <c:v>1146.4000000000001</c:v>
                </c:pt>
                <c:pt idx="768">
                  <c:v>1141.5</c:v>
                </c:pt>
                <c:pt idx="769">
                  <c:v>1136.5999999999999</c:v>
                </c:pt>
                <c:pt idx="770">
                  <c:v>1131.8</c:v>
                </c:pt>
                <c:pt idx="771">
                  <c:v>1127.2</c:v>
                </c:pt>
                <c:pt idx="772">
                  <c:v>1121.2</c:v>
                </c:pt>
                <c:pt idx="773">
                  <c:v>1115.2</c:v>
                </c:pt>
                <c:pt idx="774">
                  <c:v>1109.3</c:v>
                </c:pt>
                <c:pt idx="775">
                  <c:v>1103.3</c:v>
                </c:pt>
                <c:pt idx="776">
                  <c:v>1097.5</c:v>
                </c:pt>
                <c:pt idx="777">
                  <c:v>1091.5</c:v>
                </c:pt>
                <c:pt idx="778">
                  <c:v>1085.9000000000001</c:v>
                </c:pt>
                <c:pt idx="779">
                  <c:v>1080</c:v>
                </c:pt>
                <c:pt idx="780">
                  <c:v>1074</c:v>
                </c:pt>
                <c:pt idx="781">
                  <c:v>1068</c:v>
                </c:pt>
                <c:pt idx="782">
                  <c:v>1062.3</c:v>
                </c:pt>
                <c:pt idx="783">
                  <c:v>1056.3</c:v>
                </c:pt>
                <c:pt idx="784">
                  <c:v>1050.4000000000001</c:v>
                </c:pt>
                <c:pt idx="785">
                  <c:v>1044.5999999999999</c:v>
                </c:pt>
                <c:pt idx="786">
                  <c:v>1038.5</c:v>
                </c:pt>
                <c:pt idx="787">
                  <c:v>1032.5</c:v>
                </c:pt>
                <c:pt idx="788">
                  <c:v>1026.5999999999999</c:v>
                </c:pt>
                <c:pt idx="789">
                  <c:v>1020.4</c:v>
                </c:pt>
                <c:pt idx="790">
                  <c:v>1014.1</c:v>
                </c:pt>
                <c:pt idx="791">
                  <c:v>1008</c:v>
                </c:pt>
                <c:pt idx="792">
                  <c:v>1001.6</c:v>
                </c:pt>
                <c:pt idx="793">
                  <c:v>995.3</c:v>
                </c:pt>
                <c:pt idx="794">
                  <c:v>989.3</c:v>
                </c:pt>
                <c:pt idx="795">
                  <c:v>982.8</c:v>
                </c:pt>
                <c:pt idx="796">
                  <c:v>976.3</c:v>
                </c:pt>
                <c:pt idx="797">
                  <c:v>969.8</c:v>
                </c:pt>
                <c:pt idx="798">
                  <c:v>963.3</c:v>
                </c:pt>
                <c:pt idx="799">
                  <c:v>957.3</c:v>
                </c:pt>
                <c:pt idx="800">
                  <c:v>952.8</c:v>
                </c:pt>
                <c:pt idx="801">
                  <c:v>948.1</c:v>
                </c:pt>
                <c:pt idx="802">
                  <c:v>943.4</c:v>
                </c:pt>
                <c:pt idx="803">
                  <c:v>938.7</c:v>
                </c:pt>
                <c:pt idx="804">
                  <c:v>937.4</c:v>
                </c:pt>
                <c:pt idx="805">
                  <c:v>944.3</c:v>
                </c:pt>
                <c:pt idx="806">
                  <c:v>950.9</c:v>
                </c:pt>
                <c:pt idx="807">
                  <c:v>957.6</c:v>
                </c:pt>
                <c:pt idx="808">
                  <c:v>964.3</c:v>
                </c:pt>
                <c:pt idx="809">
                  <c:v>970.9</c:v>
                </c:pt>
                <c:pt idx="810">
                  <c:v>977.5</c:v>
                </c:pt>
                <c:pt idx="811">
                  <c:v>984.2</c:v>
                </c:pt>
                <c:pt idx="812">
                  <c:v>990.9</c:v>
                </c:pt>
                <c:pt idx="813">
                  <c:v>997.2</c:v>
                </c:pt>
                <c:pt idx="814">
                  <c:v>1003.7</c:v>
                </c:pt>
                <c:pt idx="815">
                  <c:v>1009.9</c:v>
                </c:pt>
                <c:pt idx="816">
                  <c:v>1014.9</c:v>
                </c:pt>
                <c:pt idx="817">
                  <c:v>1019.1</c:v>
                </c:pt>
                <c:pt idx="818">
                  <c:v>1022.9</c:v>
                </c:pt>
                <c:pt idx="819">
                  <c:v>1028.3</c:v>
                </c:pt>
                <c:pt idx="820">
                  <c:v>1033.8</c:v>
                </c:pt>
                <c:pt idx="821">
                  <c:v>1039.0999999999999</c:v>
                </c:pt>
                <c:pt idx="822">
                  <c:v>1044.5999999999999</c:v>
                </c:pt>
                <c:pt idx="823">
                  <c:v>1049.9000000000001</c:v>
                </c:pt>
                <c:pt idx="824">
                  <c:v>1055.2</c:v>
                </c:pt>
                <c:pt idx="825">
                  <c:v>1060.5</c:v>
                </c:pt>
                <c:pt idx="826">
                  <c:v>1065.8</c:v>
                </c:pt>
                <c:pt idx="827">
                  <c:v>1070.5999999999999</c:v>
                </c:pt>
                <c:pt idx="828">
                  <c:v>1075.9000000000001</c:v>
                </c:pt>
                <c:pt idx="829">
                  <c:v>1081.0999999999999</c:v>
                </c:pt>
                <c:pt idx="830">
                  <c:v>1086.0999999999999</c:v>
                </c:pt>
                <c:pt idx="831">
                  <c:v>1090.3</c:v>
                </c:pt>
                <c:pt idx="832">
                  <c:v>1093.9000000000001</c:v>
                </c:pt>
                <c:pt idx="833">
                  <c:v>1098.2</c:v>
                </c:pt>
                <c:pt idx="834">
                  <c:v>1103</c:v>
                </c:pt>
                <c:pt idx="835">
                  <c:v>1107.5999999999999</c:v>
                </c:pt>
                <c:pt idx="836">
                  <c:v>1112.3</c:v>
                </c:pt>
                <c:pt idx="837">
                  <c:v>1116.9000000000001</c:v>
                </c:pt>
                <c:pt idx="838">
                  <c:v>1121.4000000000001</c:v>
                </c:pt>
                <c:pt idx="839">
                  <c:v>1125.3</c:v>
                </c:pt>
                <c:pt idx="840">
                  <c:v>1127.7</c:v>
                </c:pt>
                <c:pt idx="841">
                  <c:v>1130.4000000000001</c:v>
                </c:pt>
                <c:pt idx="842">
                  <c:v>1133.5</c:v>
                </c:pt>
                <c:pt idx="843">
                  <c:v>1135.8</c:v>
                </c:pt>
                <c:pt idx="844">
                  <c:v>1138.2</c:v>
                </c:pt>
                <c:pt idx="845">
                  <c:v>1135.7</c:v>
                </c:pt>
                <c:pt idx="846">
                  <c:v>1132</c:v>
                </c:pt>
                <c:pt idx="847">
                  <c:v>1134.5999999999999</c:v>
                </c:pt>
                <c:pt idx="848">
                  <c:v>1137.5999999999999</c:v>
                </c:pt>
                <c:pt idx="849">
                  <c:v>1140</c:v>
                </c:pt>
                <c:pt idx="850">
                  <c:v>1142.7</c:v>
                </c:pt>
                <c:pt idx="851">
                  <c:v>1144.5</c:v>
                </c:pt>
                <c:pt idx="852">
                  <c:v>1146.5999999999999</c:v>
                </c:pt>
                <c:pt idx="853">
                  <c:v>1149.8</c:v>
                </c:pt>
                <c:pt idx="854">
                  <c:v>1152.5</c:v>
                </c:pt>
                <c:pt idx="855">
                  <c:v>1155.0999999999999</c:v>
                </c:pt>
                <c:pt idx="856">
                  <c:v>1157.0999999999999</c:v>
                </c:pt>
                <c:pt idx="857">
                  <c:v>1155.2</c:v>
                </c:pt>
                <c:pt idx="858">
                  <c:v>1156.5</c:v>
                </c:pt>
                <c:pt idx="859">
                  <c:v>1159.4000000000001</c:v>
                </c:pt>
                <c:pt idx="860">
                  <c:v>1162.2</c:v>
                </c:pt>
                <c:pt idx="861">
                  <c:v>1166</c:v>
                </c:pt>
                <c:pt idx="862">
                  <c:v>1169.7</c:v>
                </c:pt>
                <c:pt idx="863">
                  <c:v>1173.5999999999999</c:v>
                </c:pt>
                <c:pt idx="864">
                  <c:v>1177.3</c:v>
                </c:pt>
                <c:pt idx="865">
                  <c:v>1181</c:v>
                </c:pt>
                <c:pt idx="866">
                  <c:v>1184.7</c:v>
                </c:pt>
                <c:pt idx="867">
                  <c:v>1188.5</c:v>
                </c:pt>
                <c:pt idx="868">
                  <c:v>1192.3</c:v>
                </c:pt>
                <c:pt idx="869">
                  <c:v>1196.0999999999999</c:v>
                </c:pt>
                <c:pt idx="870">
                  <c:v>1199.9000000000001</c:v>
                </c:pt>
                <c:pt idx="871">
                  <c:v>1203.0999999999999</c:v>
                </c:pt>
                <c:pt idx="872">
                  <c:v>1206.8</c:v>
                </c:pt>
                <c:pt idx="873">
                  <c:v>1210.8</c:v>
                </c:pt>
                <c:pt idx="874">
                  <c:v>1214.7</c:v>
                </c:pt>
                <c:pt idx="875">
                  <c:v>1218.5999999999999</c:v>
                </c:pt>
                <c:pt idx="876">
                  <c:v>1222.5999999999999</c:v>
                </c:pt>
                <c:pt idx="877">
                  <c:v>1226.5999999999999</c:v>
                </c:pt>
                <c:pt idx="878">
                  <c:v>1230.5</c:v>
                </c:pt>
                <c:pt idx="879">
                  <c:v>1234.4000000000001</c:v>
                </c:pt>
                <c:pt idx="880">
                  <c:v>1238.5</c:v>
                </c:pt>
                <c:pt idx="881">
                  <c:v>1242.5</c:v>
                </c:pt>
                <c:pt idx="882">
                  <c:v>1246.5999999999999</c:v>
                </c:pt>
                <c:pt idx="883">
                  <c:v>1250.7</c:v>
                </c:pt>
                <c:pt idx="884">
                  <c:v>1254.7</c:v>
                </c:pt>
                <c:pt idx="885">
                  <c:v>1258.5999999999999</c:v>
                </c:pt>
                <c:pt idx="886">
                  <c:v>1262.8</c:v>
                </c:pt>
                <c:pt idx="887">
                  <c:v>1266.7</c:v>
                </c:pt>
                <c:pt idx="888">
                  <c:v>1270.5999999999999</c:v>
                </c:pt>
                <c:pt idx="889">
                  <c:v>1274.5999999999999</c:v>
                </c:pt>
                <c:pt idx="890">
                  <c:v>1278.5999999999999</c:v>
                </c:pt>
                <c:pt idx="891">
                  <c:v>1283</c:v>
                </c:pt>
                <c:pt idx="892">
                  <c:v>1287.3</c:v>
                </c:pt>
                <c:pt idx="893">
                  <c:v>1291.8</c:v>
                </c:pt>
                <c:pt idx="894">
                  <c:v>1296.5</c:v>
                </c:pt>
                <c:pt idx="895">
                  <c:v>1301.4000000000001</c:v>
                </c:pt>
                <c:pt idx="896">
                  <c:v>1306.0999999999999</c:v>
                </c:pt>
                <c:pt idx="897">
                  <c:v>1310.5999999999999</c:v>
                </c:pt>
                <c:pt idx="898">
                  <c:v>1315</c:v>
                </c:pt>
                <c:pt idx="899">
                  <c:v>1319.5</c:v>
                </c:pt>
                <c:pt idx="900">
                  <c:v>1323.6</c:v>
                </c:pt>
                <c:pt idx="901">
                  <c:v>1327.8</c:v>
                </c:pt>
                <c:pt idx="902">
                  <c:v>1332.1</c:v>
                </c:pt>
                <c:pt idx="903">
                  <c:v>1336.2</c:v>
                </c:pt>
                <c:pt idx="904">
                  <c:v>1340.3</c:v>
                </c:pt>
                <c:pt idx="905">
                  <c:v>1344.7</c:v>
                </c:pt>
                <c:pt idx="906">
                  <c:v>1348.8</c:v>
                </c:pt>
                <c:pt idx="907">
                  <c:v>1353.1</c:v>
                </c:pt>
                <c:pt idx="908">
                  <c:v>1357.3</c:v>
                </c:pt>
                <c:pt idx="909">
                  <c:v>1361.5</c:v>
                </c:pt>
                <c:pt idx="910">
                  <c:v>1365.8</c:v>
                </c:pt>
                <c:pt idx="911">
                  <c:v>1370.1</c:v>
                </c:pt>
                <c:pt idx="912">
                  <c:v>1374.4</c:v>
                </c:pt>
                <c:pt idx="913">
                  <c:v>1378.6</c:v>
                </c:pt>
                <c:pt idx="914">
                  <c:v>1382.9</c:v>
                </c:pt>
                <c:pt idx="915">
                  <c:v>1387.3</c:v>
                </c:pt>
                <c:pt idx="916">
                  <c:v>1391.7</c:v>
                </c:pt>
                <c:pt idx="917">
                  <c:v>1395.9</c:v>
                </c:pt>
                <c:pt idx="918">
                  <c:v>1400.1</c:v>
                </c:pt>
                <c:pt idx="919">
                  <c:v>1404.3</c:v>
                </c:pt>
                <c:pt idx="920">
                  <c:v>1408.5</c:v>
                </c:pt>
                <c:pt idx="921">
                  <c:v>1414.1</c:v>
                </c:pt>
                <c:pt idx="922">
                  <c:v>1419.7</c:v>
                </c:pt>
                <c:pt idx="923">
                  <c:v>1426.7</c:v>
                </c:pt>
                <c:pt idx="924">
                  <c:v>1432.4</c:v>
                </c:pt>
                <c:pt idx="925">
                  <c:v>1439.5</c:v>
                </c:pt>
                <c:pt idx="926">
                  <c:v>1446.5</c:v>
                </c:pt>
                <c:pt idx="927">
                  <c:v>1452.4</c:v>
                </c:pt>
                <c:pt idx="928">
                  <c:v>1459.5</c:v>
                </c:pt>
                <c:pt idx="929">
                  <c:v>1466.4</c:v>
                </c:pt>
                <c:pt idx="930">
                  <c:v>1472.7</c:v>
                </c:pt>
                <c:pt idx="931">
                  <c:v>1479.8</c:v>
                </c:pt>
                <c:pt idx="932">
                  <c:v>1485.6</c:v>
                </c:pt>
                <c:pt idx="933">
                  <c:v>1493.4</c:v>
                </c:pt>
                <c:pt idx="934">
                  <c:v>1502</c:v>
                </c:pt>
                <c:pt idx="935">
                  <c:v>1507.6</c:v>
                </c:pt>
                <c:pt idx="936">
                  <c:v>1514.7</c:v>
                </c:pt>
                <c:pt idx="937">
                  <c:v>1520.6</c:v>
                </c:pt>
                <c:pt idx="938">
                  <c:v>1534.8</c:v>
                </c:pt>
                <c:pt idx="939">
                  <c:v>1555.7</c:v>
                </c:pt>
                <c:pt idx="940">
                  <c:v>1573.3</c:v>
                </c:pt>
                <c:pt idx="941">
                  <c:v>1589.6</c:v>
                </c:pt>
                <c:pt idx="942">
                  <c:v>1597.7</c:v>
                </c:pt>
                <c:pt idx="943">
                  <c:v>1605.7</c:v>
                </c:pt>
                <c:pt idx="944">
                  <c:v>1613.3</c:v>
                </c:pt>
                <c:pt idx="945">
                  <c:v>1622.4</c:v>
                </c:pt>
                <c:pt idx="946">
                  <c:v>1630.8</c:v>
                </c:pt>
                <c:pt idx="947">
                  <c:v>1638.9</c:v>
                </c:pt>
                <c:pt idx="948">
                  <c:v>1648.1</c:v>
                </c:pt>
                <c:pt idx="949">
                  <c:v>1658.1</c:v>
                </c:pt>
                <c:pt idx="950">
                  <c:v>1674.4</c:v>
                </c:pt>
                <c:pt idx="951">
                  <c:v>1693.6</c:v>
                </c:pt>
                <c:pt idx="952">
                  <c:v>1712.5</c:v>
                </c:pt>
                <c:pt idx="953">
                  <c:v>1728.7</c:v>
                </c:pt>
                <c:pt idx="954">
                  <c:v>1738.2</c:v>
                </c:pt>
                <c:pt idx="955">
                  <c:v>1743.9</c:v>
                </c:pt>
                <c:pt idx="956">
                  <c:v>1750.5</c:v>
                </c:pt>
                <c:pt idx="957">
                  <c:v>1757</c:v>
                </c:pt>
                <c:pt idx="958">
                  <c:v>1763.6</c:v>
                </c:pt>
                <c:pt idx="959">
                  <c:v>1770.3</c:v>
                </c:pt>
                <c:pt idx="960">
                  <c:v>1776.9</c:v>
                </c:pt>
                <c:pt idx="961">
                  <c:v>1783.5</c:v>
                </c:pt>
                <c:pt idx="962">
                  <c:v>1790.3</c:v>
                </c:pt>
                <c:pt idx="963">
                  <c:v>1796.7</c:v>
                </c:pt>
                <c:pt idx="964">
                  <c:v>1803.2</c:v>
                </c:pt>
                <c:pt idx="965">
                  <c:v>1810</c:v>
                </c:pt>
                <c:pt idx="966">
                  <c:v>1815.7</c:v>
                </c:pt>
                <c:pt idx="967">
                  <c:v>1822.5</c:v>
                </c:pt>
                <c:pt idx="968">
                  <c:v>1829</c:v>
                </c:pt>
                <c:pt idx="969">
                  <c:v>1835.4</c:v>
                </c:pt>
                <c:pt idx="970">
                  <c:v>1842.2</c:v>
                </c:pt>
                <c:pt idx="971">
                  <c:v>1848.8</c:v>
                </c:pt>
                <c:pt idx="972">
                  <c:v>1855.9</c:v>
                </c:pt>
                <c:pt idx="973">
                  <c:v>1862.8</c:v>
                </c:pt>
                <c:pt idx="974">
                  <c:v>1870</c:v>
                </c:pt>
                <c:pt idx="975">
                  <c:v>1877</c:v>
                </c:pt>
                <c:pt idx="976">
                  <c:v>1883.7</c:v>
                </c:pt>
                <c:pt idx="977">
                  <c:v>1890.5</c:v>
                </c:pt>
                <c:pt idx="978">
                  <c:v>1897.1</c:v>
                </c:pt>
                <c:pt idx="979">
                  <c:v>1904.1</c:v>
                </c:pt>
                <c:pt idx="980">
                  <c:v>1910.7</c:v>
                </c:pt>
                <c:pt idx="981">
                  <c:v>1917.8</c:v>
                </c:pt>
                <c:pt idx="982">
                  <c:v>1925</c:v>
                </c:pt>
                <c:pt idx="983">
                  <c:v>1931.6</c:v>
                </c:pt>
                <c:pt idx="984">
                  <c:v>1938.8</c:v>
                </c:pt>
                <c:pt idx="985">
                  <c:v>1926</c:v>
                </c:pt>
                <c:pt idx="986">
                  <c:v>1918</c:v>
                </c:pt>
                <c:pt idx="987">
                  <c:v>1909.3</c:v>
                </c:pt>
                <c:pt idx="988">
                  <c:v>1901.2</c:v>
                </c:pt>
                <c:pt idx="989">
                  <c:v>1892.7</c:v>
                </c:pt>
                <c:pt idx="990">
                  <c:v>1884.3</c:v>
                </c:pt>
                <c:pt idx="991">
                  <c:v>1876</c:v>
                </c:pt>
                <c:pt idx="992">
                  <c:v>1867.2</c:v>
                </c:pt>
                <c:pt idx="993">
                  <c:v>1858.6</c:v>
                </c:pt>
                <c:pt idx="994">
                  <c:v>1850.9</c:v>
                </c:pt>
                <c:pt idx="995">
                  <c:v>1842.5</c:v>
                </c:pt>
                <c:pt idx="996">
                  <c:v>1834.4</c:v>
                </c:pt>
                <c:pt idx="997">
                  <c:v>1814.3</c:v>
                </c:pt>
                <c:pt idx="998">
                  <c:v>1796.1</c:v>
                </c:pt>
                <c:pt idx="999">
                  <c:v>1756.6</c:v>
                </c:pt>
                <c:pt idx="1000">
                  <c:v>1720.6</c:v>
                </c:pt>
                <c:pt idx="1001">
                  <c:v>1705.9</c:v>
                </c:pt>
                <c:pt idx="1002">
                  <c:v>1689.6</c:v>
                </c:pt>
                <c:pt idx="1003">
                  <c:v>1654.6</c:v>
                </c:pt>
                <c:pt idx="1004">
                  <c:v>1645.1</c:v>
                </c:pt>
                <c:pt idx="1005">
                  <c:v>1635.5</c:v>
                </c:pt>
                <c:pt idx="1006">
                  <c:v>1626.2</c:v>
                </c:pt>
                <c:pt idx="1007">
                  <c:v>1616.6</c:v>
                </c:pt>
                <c:pt idx="1008">
                  <c:v>1606.9</c:v>
                </c:pt>
                <c:pt idx="1009">
                  <c:v>1602.4</c:v>
                </c:pt>
                <c:pt idx="1010">
                  <c:v>1600.5</c:v>
                </c:pt>
                <c:pt idx="1011">
                  <c:v>1598.8</c:v>
                </c:pt>
                <c:pt idx="1012">
                  <c:v>1597.3</c:v>
                </c:pt>
                <c:pt idx="1013">
                  <c:v>1595.6</c:v>
                </c:pt>
                <c:pt idx="1014">
                  <c:v>1594.2</c:v>
                </c:pt>
                <c:pt idx="1015">
                  <c:v>1592.9</c:v>
                </c:pt>
                <c:pt idx="1016">
                  <c:v>1591.7</c:v>
                </c:pt>
                <c:pt idx="1017">
                  <c:v>1590.7</c:v>
                </c:pt>
                <c:pt idx="1018">
                  <c:v>1590.2</c:v>
                </c:pt>
                <c:pt idx="1019">
                  <c:v>1590.7</c:v>
                </c:pt>
                <c:pt idx="1020">
                  <c:v>1591.4</c:v>
                </c:pt>
                <c:pt idx="1021">
                  <c:v>1592.5</c:v>
                </c:pt>
                <c:pt idx="1022">
                  <c:v>1593.6</c:v>
                </c:pt>
                <c:pt idx="1023">
                  <c:v>1595.3</c:v>
                </c:pt>
                <c:pt idx="1024">
                  <c:v>1632.5</c:v>
                </c:pt>
                <c:pt idx="1025">
                  <c:v>1649</c:v>
                </c:pt>
                <c:pt idx="1026">
                  <c:v>1651.4</c:v>
                </c:pt>
                <c:pt idx="1027">
                  <c:v>1653.6</c:v>
                </c:pt>
                <c:pt idx="1028">
                  <c:v>1655.4</c:v>
                </c:pt>
                <c:pt idx="1029">
                  <c:v>1657.3</c:v>
                </c:pt>
                <c:pt idx="1030">
                  <c:v>1659</c:v>
                </c:pt>
                <c:pt idx="1031">
                  <c:v>1659.7</c:v>
                </c:pt>
                <c:pt idx="1032">
                  <c:v>1660.2</c:v>
                </c:pt>
                <c:pt idx="1033">
                  <c:v>1660.3</c:v>
                </c:pt>
                <c:pt idx="1034">
                  <c:v>1660.5</c:v>
                </c:pt>
                <c:pt idx="1035">
                  <c:v>1661.1</c:v>
                </c:pt>
                <c:pt idx="1036">
                  <c:v>1692.2</c:v>
                </c:pt>
                <c:pt idx="1037">
                  <c:v>1712.8</c:v>
                </c:pt>
                <c:pt idx="1038">
                  <c:v>1723.6</c:v>
                </c:pt>
                <c:pt idx="1039">
                  <c:v>1726.3</c:v>
                </c:pt>
                <c:pt idx="1040">
                  <c:v>1728.6</c:v>
                </c:pt>
                <c:pt idx="1041">
                  <c:v>1750.5</c:v>
                </c:pt>
                <c:pt idx="1042">
                  <c:v>1754.8</c:v>
                </c:pt>
                <c:pt idx="1043">
                  <c:v>1757.1</c:v>
                </c:pt>
                <c:pt idx="1044">
                  <c:v>1759.3</c:v>
                </c:pt>
                <c:pt idx="1045">
                  <c:v>1761.6</c:v>
                </c:pt>
                <c:pt idx="1046">
                  <c:v>1762.9</c:v>
                </c:pt>
                <c:pt idx="1047">
                  <c:v>1762.8</c:v>
                </c:pt>
                <c:pt idx="1048">
                  <c:v>1762.5</c:v>
                </c:pt>
                <c:pt idx="1049">
                  <c:v>1762.1</c:v>
                </c:pt>
                <c:pt idx="1050">
                  <c:v>1761.5</c:v>
                </c:pt>
                <c:pt idx="1051">
                  <c:v>1761.2</c:v>
                </c:pt>
                <c:pt idx="1052">
                  <c:v>1760.5</c:v>
                </c:pt>
                <c:pt idx="1053">
                  <c:v>1759.3</c:v>
                </c:pt>
                <c:pt idx="1054">
                  <c:v>1756.7</c:v>
                </c:pt>
                <c:pt idx="1055">
                  <c:v>1754.1</c:v>
                </c:pt>
                <c:pt idx="1056">
                  <c:v>1751.4</c:v>
                </c:pt>
                <c:pt idx="1057">
                  <c:v>1748.7</c:v>
                </c:pt>
                <c:pt idx="1058">
                  <c:v>1746</c:v>
                </c:pt>
                <c:pt idx="1059">
                  <c:v>1743.3</c:v>
                </c:pt>
                <c:pt idx="1060">
                  <c:v>1740.5</c:v>
                </c:pt>
                <c:pt idx="1061">
                  <c:v>1737.7</c:v>
                </c:pt>
                <c:pt idx="1062">
                  <c:v>1734.9</c:v>
                </c:pt>
                <c:pt idx="1063">
                  <c:v>1732</c:v>
                </c:pt>
                <c:pt idx="1064">
                  <c:v>1729.2</c:v>
                </c:pt>
                <c:pt idx="1065">
                  <c:v>1726.3</c:v>
                </c:pt>
                <c:pt idx="1066">
                  <c:v>1723.4</c:v>
                </c:pt>
                <c:pt idx="1067">
                  <c:v>1720.5</c:v>
                </c:pt>
                <c:pt idx="1068">
                  <c:v>1717.5</c:v>
                </c:pt>
                <c:pt idx="1069">
                  <c:v>1714.6</c:v>
                </c:pt>
                <c:pt idx="1070">
                  <c:v>1711.6</c:v>
                </c:pt>
                <c:pt idx="1071">
                  <c:v>1705.7</c:v>
                </c:pt>
                <c:pt idx="1072">
                  <c:v>1700.5</c:v>
                </c:pt>
                <c:pt idx="1073">
                  <c:v>1695.2</c:v>
                </c:pt>
                <c:pt idx="1074">
                  <c:v>1690</c:v>
                </c:pt>
                <c:pt idx="1075">
                  <c:v>1686.5</c:v>
                </c:pt>
                <c:pt idx="1076">
                  <c:v>1683.1</c:v>
                </c:pt>
                <c:pt idx="1077">
                  <c:v>1679.6</c:v>
                </c:pt>
                <c:pt idx="1078">
                  <c:v>1676.5</c:v>
                </c:pt>
                <c:pt idx="1079">
                  <c:v>1673.3</c:v>
                </c:pt>
                <c:pt idx="1080">
                  <c:v>1670.1</c:v>
                </c:pt>
                <c:pt idx="1081">
                  <c:v>1667.1</c:v>
                </c:pt>
                <c:pt idx="1082">
                  <c:v>1664.2</c:v>
                </c:pt>
                <c:pt idx="1083">
                  <c:v>1661.3</c:v>
                </c:pt>
                <c:pt idx="1084">
                  <c:v>1663</c:v>
                </c:pt>
                <c:pt idx="1085">
                  <c:v>1665.5</c:v>
                </c:pt>
                <c:pt idx="1086">
                  <c:v>1667.9</c:v>
                </c:pt>
                <c:pt idx="1087">
                  <c:v>1670.1</c:v>
                </c:pt>
                <c:pt idx="1088">
                  <c:v>1672.1</c:v>
                </c:pt>
                <c:pt idx="1089">
                  <c:v>1674</c:v>
                </c:pt>
                <c:pt idx="1090">
                  <c:v>1675.9</c:v>
                </c:pt>
                <c:pt idx="1091">
                  <c:v>1678.2</c:v>
                </c:pt>
                <c:pt idx="1092">
                  <c:v>1679.7</c:v>
                </c:pt>
                <c:pt idx="1093">
                  <c:v>1681.1</c:v>
                </c:pt>
                <c:pt idx="1094">
                  <c:v>1682.3</c:v>
                </c:pt>
                <c:pt idx="1095">
                  <c:v>1683.3</c:v>
                </c:pt>
                <c:pt idx="1096">
                  <c:v>1684.2</c:v>
                </c:pt>
                <c:pt idx="1097">
                  <c:v>1685</c:v>
                </c:pt>
                <c:pt idx="1098">
                  <c:v>1685.7</c:v>
                </c:pt>
                <c:pt idx="1099">
                  <c:v>1686.6</c:v>
                </c:pt>
                <c:pt idx="1100">
                  <c:v>1687</c:v>
                </c:pt>
                <c:pt idx="1101">
                  <c:v>1687.2</c:v>
                </c:pt>
                <c:pt idx="1102">
                  <c:v>1687.4</c:v>
                </c:pt>
                <c:pt idx="1103">
                  <c:v>1687.3</c:v>
                </c:pt>
                <c:pt idx="1104">
                  <c:v>1687.2</c:v>
                </c:pt>
                <c:pt idx="1105">
                  <c:v>1686.9</c:v>
                </c:pt>
                <c:pt idx="1106">
                  <c:v>1686.8</c:v>
                </c:pt>
                <c:pt idx="1107">
                  <c:v>1686.3</c:v>
                </c:pt>
                <c:pt idx="1108">
                  <c:v>1685.7</c:v>
                </c:pt>
                <c:pt idx="1109">
                  <c:v>1684.9</c:v>
                </c:pt>
                <c:pt idx="1110">
                  <c:v>1684.1</c:v>
                </c:pt>
                <c:pt idx="1111">
                  <c:v>1683</c:v>
                </c:pt>
                <c:pt idx="1112">
                  <c:v>1681.9</c:v>
                </c:pt>
                <c:pt idx="1113">
                  <c:v>1680.6</c:v>
                </c:pt>
                <c:pt idx="1114">
                  <c:v>1679.3</c:v>
                </c:pt>
                <c:pt idx="1115">
                  <c:v>1677.7</c:v>
                </c:pt>
                <c:pt idx="1116">
                  <c:v>1676.1</c:v>
                </c:pt>
                <c:pt idx="1117">
                  <c:v>1673.8</c:v>
                </c:pt>
                <c:pt idx="1118">
                  <c:v>1669.7</c:v>
                </c:pt>
                <c:pt idx="1119">
                  <c:v>1665.3</c:v>
                </c:pt>
                <c:pt idx="1120">
                  <c:v>1660.7</c:v>
                </c:pt>
                <c:pt idx="1121">
                  <c:v>1655.9</c:v>
                </c:pt>
                <c:pt idx="1122">
                  <c:v>1650.9</c:v>
                </c:pt>
                <c:pt idx="1123">
                  <c:v>1645.7</c:v>
                </c:pt>
                <c:pt idx="1124">
                  <c:v>1640.3</c:v>
                </c:pt>
                <c:pt idx="1125">
                  <c:v>1634.6</c:v>
                </c:pt>
                <c:pt idx="1126">
                  <c:v>1629</c:v>
                </c:pt>
                <c:pt idx="1127">
                  <c:v>1623</c:v>
                </c:pt>
                <c:pt idx="1128">
                  <c:v>1617.2</c:v>
                </c:pt>
                <c:pt idx="1129">
                  <c:v>1611.1</c:v>
                </c:pt>
                <c:pt idx="1130">
                  <c:v>1604.8</c:v>
                </c:pt>
                <c:pt idx="1131">
                  <c:v>1598.7</c:v>
                </c:pt>
                <c:pt idx="1132">
                  <c:v>1592.4</c:v>
                </c:pt>
                <c:pt idx="1133">
                  <c:v>1586.1</c:v>
                </c:pt>
                <c:pt idx="1134">
                  <c:v>1579.6</c:v>
                </c:pt>
                <c:pt idx="1135">
                  <c:v>1572.9</c:v>
                </c:pt>
                <c:pt idx="1136">
                  <c:v>1566</c:v>
                </c:pt>
                <c:pt idx="1137">
                  <c:v>1558.9</c:v>
                </c:pt>
                <c:pt idx="1138">
                  <c:v>1552</c:v>
                </c:pt>
                <c:pt idx="1139">
                  <c:v>1544.9</c:v>
                </c:pt>
                <c:pt idx="1140">
                  <c:v>1537.9</c:v>
                </c:pt>
                <c:pt idx="1141">
                  <c:v>1530.7</c:v>
                </c:pt>
                <c:pt idx="1142">
                  <c:v>1523.4</c:v>
                </c:pt>
                <c:pt idx="1143">
                  <c:v>1516.2</c:v>
                </c:pt>
                <c:pt idx="1144">
                  <c:v>1507.1</c:v>
                </c:pt>
                <c:pt idx="1145">
                  <c:v>1504.2</c:v>
                </c:pt>
                <c:pt idx="1146">
                  <c:v>1501.3</c:v>
                </c:pt>
                <c:pt idx="1147">
                  <c:v>1498.4</c:v>
                </c:pt>
                <c:pt idx="1148">
                  <c:v>1495.6</c:v>
                </c:pt>
                <c:pt idx="1149">
                  <c:v>1492.7</c:v>
                </c:pt>
                <c:pt idx="1150">
                  <c:v>1489.9</c:v>
                </c:pt>
                <c:pt idx="1151">
                  <c:v>1487</c:v>
                </c:pt>
                <c:pt idx="1152">
                  <c:v>1484.2</c:v>
                </c:pt>
                <c:pt idx="1153">
                  <c:v>1481.4</c:v>
                </c:pt>
                <c:pt idx="1154">
                  <c:v>1479.1</c:v>
                </c:pt>
                <c:pt idx="1155">
                  <c:v>1477</c:v>
                </c:pt>
                <c:pt idx="1156">
                  <c:v>1474.6</c:v>
                </c:pt>
                <c:pt idx="1157">
                  <c:v>1472.3</c:v>
                </c:pt>
                <c:pt idx="1158">
                  <c:v>1469.8</c:v>
                </c:pt>
                <c:pt idx="1159">
                  <c:v>1467.5</c:v>
                </c:pt>
                <c:pt idx="1160">
                  <c:v>1465.1</c:v>
                </c:pt>
                <c:pt idx="1161">
                  <c:v>1462.5</c:v>
                </c:pt>
                <c:pt idx="1162">
                  <c:v>1460.1</c:v>
                </c:pt>
                <c:pt idx="1163">
                  <c:v>1457.4</c:v>
                </c:pt>
                <c:pt idx="1164">
                  <c:v>1454.9</c:v>
                </c:pt>
                <c:pt idx="1165">
                  <c:v>1452.5</c:v>
                </c:pt>
                <c:pt idx="1166">
                  <c:v>1449.8</c:v>
                </c:pt>
                <c:pt idx="1167">
                  <c:v>1447.2</c:v>
                </c:pt>
                <c:pt idx="1168">
                  <c:v>1444.4</c:v>
                </c:pt>
                <c:pt idx="1169">
                  <c:v>1441.8</c:v>
                </c:pt>
                <c:pt idx="1170">
                  <c:v>1439</c:v>
                </c:pt>
                <c:pt idx="1171">
                  <c:v>1436.4</c:v>
                </c:pt>
                <c:pt idx="1172">
                  <c:v>1433.7</c:v>
                </c:pt>
                <c:pt idx="1173">
                  <c:v>1430.8</c:v>
                </c:pt>
                <c:pt idx="1174">
                  <c:v>1428</c:v>
                </c:pt>
                <c:pt idx="1175">
                  <c:v>1425.2</c:v>
                </c:pt>
                <c:pt idx="1176">
                  <c:v>1422.4</c:v>
                </c:pt>
                <c:pt idx="1177">
                  <c:v>1419.5</c:v>
                </c:pt>
                <c:pt idx="1178">
                  <c:v>1416.6</c:v>
                </c:pt>
                <c:pt idx="1179">
                  <c:v>1413.8</c:v>
                </c:pt>
                <c:pt idx="1180">
                  <c:v>1410.8</c:v>
                </c:pt>
                <c:pt idx="1181">
                  <c:v>1408</c:v>
                </c:pt>
                <c:pt idx="1182">
                  <c:v>1405</c:v>
                </c:pt>
                <c:pt idx="1183">
                  <c:v>1402.1</c:v>
                </c:pt>
                <c:pt idx="1184">
                  <c:v>1399.1</c:v>
                </c:pt>
                <c:pt idx="1185">
                  <c:v>1396.1</c:v>
                </c:pt>
                <c:pt idx="1186">
                  <c:v>1393.2</c:v>
                </c:pt>
                <c:pt idx="1187">
                  <c:v>1390.1</c:v>
                </c:pt>
                <c:pt idx="1188">
                  <c:v>1387.2</c:v>
                </c:pt>
                <c:pt idx="1189">
                  <c:v>1384.1</c:v>
                </c:pt>
                <c:pt idx="1190">
                  <c:v>1381.1</c:v>
                </c:pt>
                <c:pt idx="1191">
                  <c:v>1378.1</c:v>
                </c:pt>
                <c:pt idx="1192">
                  <c:v>1375</c:v>
                </c:pt>
                <c:pt idx="1193">
                  <c:v>1371.9</c:v>
                </c:pt>
                <c:pt idx="1194">
                  <c:v>1368.9</c:v>
                </c:pt>
                <c:pt idx="1195">
                  <c:v>1365.8</c:v>
                </c:pt>
                <c:pt idx="1196">
                  <c:v>1362.7</c:v>
                </c:pt>
                <c:pt idx="1197">
                  <c:v>1359.6</c:v>
                </c:pt>
                <c:pt idx="1198">
                  <c:v>1356.6</c:v>
                </c:pt>
                <c:pt idx="1199">
                  <c:v>1353.5</c:v>
                </c:pt>
                <c:pt idx="1200">
                  <c:v>1350.4</c:v>
                </c:pt>
                <c:pt idx="1201">
                  <c:v>1347.3</c:v>
                </c:pt>
                <c:pt idx="1202">
                  <c:v>1344.1</c:v>
                </c:pt>
                <c:pt idx="1203">
                  <c:v>1341</c:v>
                </c:pt>
                <c:pt idx="1204">
                  <c:v>1337.9</c:v>
                </c:pt>
                <c:pt idx="1205">
                  <c:v>1334.8</c:v>
                </c:pt>
                <c:pt idx="1206">
                  <c:v>1331.7</c:v>
                </c:pt>
                <c:pt idx="1207">
                  <c:v>1328.5</c:v>
                </c:pt>
                <c:pt idx="1208">
                  <c:v>1325.3</c:v>
                </c:pt>
                <c:pt idx="1209">
                  <c:v>1322.2</c:v>
                </c:pt>
                <c:pt idx="1210">
                  <c:v>1319.1</c:v>
                </c:pt>
                <c:pt idx="1211">
                  <c:v>1315.7</c:v>
                </c:pt>
                <c:pt idx="1212">
                  <c:v>1312.4</c:v>
                </c:pt>
                <c:pt idx="1213">
                  <c:v>1309.0999999999999</c:v>
                </c:pt>
                <c:pt idx="1214">
                  <c:v>1305.8</c:v>
                </c:pt>
                <c:pt idx="1215">
                  <c:v>1302.4000000000001</c:v>
                </c:pt>
                <c:pt idx="1216">
                  <c:v>1300.8</c:v>
                </c:pt>
                <c:pt idx="1217">
                  <c:v>1298.3</c:v>
                </c:pt>
                <c:pt idx="1218">
                  <c:v>1295.7</c:v>
                </c:pt>
                <c:pt idx="1219">
                  <c:v>1293.0999999999999</c:v>
                </c:pt>
                <c:pt idx="1220">
                  <c:v>1290.5</c:v>
                </c:pt>
                <c:pt idx="1221">
                  <c:v>1287.7</c:v>
                </c:pt>
                <c:pt idx="1222">
                  <c:v>1285</c:v>
                </c:pt>
                <c:pt idx="1223">
                  <c:v>1282.2</c:v>
                </c:pt>
                <c:pt idx="1224">
                  <c:v>1279.4000000000001</c:v>
                </c:pt>
                <c:pt idx="1225">
                  <c:v>1276.7</c:v>
                </c:pt>
                <c:pt idx="1226">
                  <c:v>1274</c:v>
                </c:pt>
                <c:pt idx="1227">
                  <c:v>1271.3</c:v>
                </c:pt>
                <c:pt idx="1228">
                  <c:v>1268.5</c:v>
                </c:pt>
                <c:pt idx="1229">
                  <c:v>1265.7</c:v>
                </c:pt>
                <c:pt idx="1230">
                  <c:v>1263.0999999999999</c:v>
                </c:pt>
                <c:pt idx="1231">
                  <c:v>1260.3</c:v>
                </c:pt>
                <c:pt idx="1232">
                  <c:v>1257.5999999999999</c:v>
                </c:pt>
                <c:pt idx="1233">
                  <c:v>1254.9000000000001</c:v>
                </c:pt>
                <c:pt idx="1234">
                  <c:v>1252.2</c:v>
                </c:pt>
                <c:pt idx="1235">
                  <c:v>1249.5</c:v>
                </c:pt>
                <c:pt idx="1236">
                  <c:v>1246.8</c:v>
                </c:pt>
                <c:pt idx="1237">
                  <c:v>1244.0999999999999</c:v>
                </c:pt>
                <c:pt idx="1238">
                  <c:v>1241.5</c:v>
                </c:pt>
                <c:pt idx="1239">
                  <c:v>1238.8</c:v>
                </c:pt>
                <c:pt idx="1240">
                  <c:v>1236.0999999999999</c:v>
                </c:pt>
                <c:pt idx="1241">
                  <c:v>1233.4000000000001</c:v>
                </c:pt>
                <c:pt idx="1242">
                  <c:v>1230.8</c:v>
                </c:pt>
                <c:pt idx="1243">
                  <c:v>1228.0999999999999</c:v>
                </c:pt>
                <c:pt idx="1244">
                  <c:v>1225.5</c:v>
                </c:pt>
                <c:pt idx="1245">
                  <c:v>1222.8</c:v>
                </c:pt>
                <c:pt idx="1246">
                  <c:v>1220.2</c:v>
                </c:pt>
                <c:pt idx="1247">
                  <c:v>1217.5999999999999</c:v>
                </c:pt>
                <c:pt idx="1248">
                  <c:v>1214.9000000000001</c:v>
                </c:pt>
                <c:pt idx="1249">
                  <c:v>1212.3</c:v>
                </c:pt>
                <c:pt idx="1250">
                  <c:v>1209.7</c:v>
                </c:pt>
                <c:pt idx="1251">
                  <c:v>1207.0999999999999</c:v>
                </c:pt>
                <c:pt idx="1252">
                  <c:v>1204.5</c:v>
                </c:pt>
                <c:pt idx="1253">
                  <c:v>1201.9000000000001</c:v>
                </c:pt>
                <c:pt idx="1254">
                  <c:v>1199.2</c:v>
                </c:pt>
                <c:pt idx="1255">
                  <c:v>1196.5999999999999</c:v>
                </c:pt>
                <c:pt idx="1256">
                  <c:v>1194.0999999999999</c:v>
                </c:pt>
                <c:pt idx="1257">
                  <c:v>1191.5</c:v>
                </c:pt>
                <c:pt idx="1258">
                  <c:v>1188.8</c:v>
                </c:pt>
                <c:pt idx="1259">
                  <c:v>1186.3</c:v>
                </c:pt>
                <c:pt idx="1260">
                  <c:v>1183.7</c:v>
                </c:pt>
                <c:pt idx="1261">
                  <c:v>1181.0999999999999</c:v>
                </c:pt>
                <c:pt idx="1262">
                  <c:v>1178.5</c:v>
                </c:pt>
                <c:pt idx="1263">
                  <c:v>1175.9000000000001</c:v>
                </c:pt>
                <c:pt idx="1264">
                  <c:v>1173.4000000000001</c:v>
                </c:pt>
                <c:pt idx="1265">
                  <c:v>1170.8</c:v>
                </c:pt>
                <c:pt idx="1266">
                  <c:v>1168.3</c:v>
                </c:pt>
                <c:pt idx="1267">
                  <c:v>1165.7</c:v>
                </c:pt>
                <c:pt idx="1268">
                  <c:v>1163.0999999999999</c:v>
                </c:pt>
                <c:pt idx="1269">
                  <c:v>1160.5999999999999</c:v>
                </c:pt>
                <c:pt idx="1270">
                  <c:v>1158.0999999999999</c:v>
                </c:pt>
                <c:pt idx="1271">
                  <c:v>1155.5999999999999</c:v>
                </c:pt>
                <c:pt idx="1272">
                  <c:v>1153.0999999999999</c:v>
                </c:pt>
                <c:pt idx="1273">
                  <c:v>1150.5</c:v>
                </c:pt>
                <c:pt idx="1274">
                  <c:v>1148</c:v>
                </c:pt>
                <c:pt idx="1275">
                  <c:v>1145.5</c:v>
                </c:pt>
                <c:pt idx="1276">
                  <c:v>1143</c:v>
                </c:pt>
                <c:pt idx="1277">
                  <c:v>1140.5</c:v>
                </c:pt>
                <c:pt idx="1278">
                  <c:v>1138</c:v>
                </c:pt>
                <c:pt idx="1279">
                  <c:v>1135.5</c:v>
                </c:pt>
                <c:pt idx="1280">
                  <c:v>1133</c:v>
                </c:pt>
                <c:pt idx="1281">
                  <c:v>1131.7</c:v>
                </c:pt>
                <c:pt idx="1282">
                  <c:v>1132.3</c:v>
                </c:pt>
                <c:pt idx="1283">
                  <c:v>1132.9000000000001</c:v>
                </c:pt>
                <c:pt idx="1284">
                  <c:v>1133.5</c:v>
                </c:pt>
                <c:pt idx="1285">
                  <c:v>1134.0999999999999</c:v>
                </c:pt>
                <c:pt idx="1286">
                  <c:v>1134.7</c:v>
                </c:pt>
                <c:pt idx="1287">
                  <c:v>1135.3</c:v>
                </c:pt>
                <c:pt idx="1288">
                  <c:v>1136</c:v>
                </c:pt>
                <c:pt idx="1289">
                  <c:v>1136.7</c:v>
                </c:pt>
                <c:pt idx="1290">
                  <c:v>1137.3</c:v>
                </c:pt>
                <c:pt idx="1291">
                  <c:v>1137.9000000000001</c:v>
                </c:pt>
                <c:pt idx="1292">
                  <c:v>1138.5999999999999</c:v>
                </c:pt>
                <c:pt idx="1293">
                  <c:v>1139.3</c:v>
                </c:pt>
                <c:pt idx="1294">
                  <c:v>1140</c:v>
                </c:pt>
                <c:pt idx="1295">
                  <c:v>1140.5999999999999</c:v>
                </c:pt>
                <c:pt idx="1296">
                  <c:v>1141.3</c:v>
                </c:pt>
                <c:pt idx="1297">
                  <c:v>1142</c:v>
                </c:pt>
                <c:pt idx="1298">
                  <c:v>1142.5999999999999</c:v>
                </c:pt>
                <c:pt idx="1299">
                  <c:v>1143.3</c:v>
                </c:pt>
                <c:pt idx="1300">
                  <c:v>1144</c:v>
                </c:pt>
                <c:pt idx="1301">
                  <c:v>1144.8</c:v>
                </c:pt>
                <c:pt idx="1302">
                  <c:v>1145.5999999999999</c:v>
                </c:pt>
                <c:pt idx="1303">
                  <c:v>1146.3</c:v>
                </c:pt>
                <c:pt idx="1304">
                  <c:v>1147.0999999999999</c:v>
                </c:pt>
                <c:pt idx="1305">
                  <c:v>1147.9000000000001</c:v>
                </c:pt>
                <c:pt idx="1306">
                  <c:v>1148.7</c:v>
                </c:pt>
                <c:pt idx="1307">
                  <c:v>1149.5999999999999</c:v>
                </c:pt>
                <c:pt idx="1308">
                  <c:v>1150.5</c:v>
                </c:pt>
                <c:pt idx="1309">
                  <c:v>1151.4000000000001</c:v>
                </c:pt>
                <c:pt idx="1310">
                  <c:v>1152.2</c:v>
                </c:pt>
                <c:pt idx="1311">
                  <c:v>1153.2</c:v>
                </c:pt>
                <c:pt idx="1312">
                  <c:v>1154.2</c:v>
                </c:pt>
                <c:pt idx="1313">
                  <c:v>1155.3</c:v>
                </c:pt>
                <c:pt idx="1314">
                  <c:v>1156.3</c:v>
                </c:pt>
                <c:pt idx="1315">
                  <c:v>1157.4000000000001</c:v>
                </c:pt>
                <c:pt idx="1316">
                  <c:v>1158.5999999999999</c:v>
                </c:pt>
                <c:pt idx="1317">
                  <c:v>1159.7</c:v>
                </c:pt>
                <c:pt idx="1318">
                  <c:v>1161</c:v>
                </c:pt>
                <c:pt idx="1319">
                  <c:v>1162.3</c:v>
                </c:pt>
                <c:pt idx="1320">
                  <c:v>1163.4000000000001</c:v>
                </c:pt>
                <c:pt idx="1321">
                  <c:v>1164.4000000000001</c:v>
                </c:pt>
                <c:pt idx="1322">
                  <c:v>1165.5</c:v>
                </c:pt>
                <c:pt idx="1323">
                  <c:v>1166.5</c:v>
                </c:pt>
                <c:pt idx="1324">
                  <c:v>1167.5999999999999</c:v>
                </c:pt>
                <c:pt idx="1325">
                  <c:v>1168.7</c:v>
                </c:pt>
                <c:pt idx="1326">
                  <c:v>1169.8</c:v>
                </c:pt>
                <c:pt idx="1327">
                  <c:v>1171</c:v>
                </c:pt>
                <c:pt idx="1328">
                  <c:v>1172</c:v>
                </c:pt>
                <c:pt idx="1329">
                  <c:v>1173.0999999999999</c:v>
                </c:pt>
                <c:pt idx="1330">
                  <c:v>1174.2</c:v>
                </c:pt>
                <c:pt idx="1331">
                  <c:v>1175.3</c:v>
                </c:pt>
                <c:pt idx="1332">
                  <c:v>1176.5</c:v>
                </c:pt>
                <c:pt idx="1333">
                  <c:v>1177.5999999999999</c:v>
                </c:pt>
                <c:pt idx="1334">
                  <c:v>1178.8</c:v>
                </c:pt>
                <c:pt idx="1335">
                  <c:v>1179.9000000000001</c:v>
                </c:pt>
                <c:pt idx="1336">
                  <c:v>1181.2</c:v>
                </c:pt>
                <c:pt idx="1337">
                  <c:v>1182.4000000000001</c:v>
                </c:pt>
                <c:pt idx="1338">
                  <c:v>1183.5999999999999</c:v>
                </c:pt>
                <c:pt idx="1339">
                  <c:v>1184.9000000000001</c:v>
                </c:pt>
                <c:pt idx="1340">
                  <c:v>1186.2</c:v>
                </c:pt>
                <c:pt idx="1341">
                  <c:v>1187.4000000000001</c:v>
                </c:pt>
                <c:pt idx="1342">
                  <c:v>1188.5</c:v>
                </c:pt>
                <c:pt idx="1343">
                  <c:v>1189.5</c:v>
                </c:pt>
                <c:pt idx="1344">
                  <c:v>1190.5999999999999</c:v>
                </c:pt>
                <c:pt idx="1345">
                  <c:v>1191.5999999999999</c:v>
                </c:pt>
                <c:pt idx="1346">
                  <c:v>1192.5999999999999</c:v>
                </c:pt>
                <c:pt idx="1347">
                  <c:v>1193.5999999999999</c:v>
                </c:pt>
                <c:pt idx="1348">
                  <c:v>1197.4000000000001</c:v>
                </c:pt>
                <c:pt idx="1349">
                  <c:v>1199.9000000000001</c:v>
                </c:pt>
                <c:pt idx="1350">
                  <c:v>1202.5</c:v>
                </c:pt>
                <c:pt idx="1351">
                  <c:v>1205</c:v>
                </c:pt>
                <c:pt idx="1352">
                  <c:v>1207.5999999999999</c:v>
                </c:pt>
                <c:pt idx="1353">
                  <c:v>1210.0999999999999</c:v>
                </c:pt>
                <c:pt idx="1354">
                  <c:v>1212.7</c:v>
                </c:pt>
                <c:pt idx="1355">
                  <c:v>1215.2</c:v>
                </c:pt>
                <c:pt idx="1356">
                  <c:v>1217.8</c:v>
                </c:pt>
                <c:pt idx="1357">
                  <c:v>1220.3</c:v>
                </c:pt>
                <c:pt idx="1358">
                  <c:v>1222.8</c:v>
                </c:pt>
                <c:pt idx="1359">
                  <c:v>1225.4000000000001</c:v>
                </c:pt>
                <c:pt idx="1360">
                  <c:v>1227.8</c:v>
                </c:pt>
                <c:pt idx="1361">
                  <c:v>1230.4000000000001</c:v>
                </c:pt>
                <c:pt idx="1362">
                  <c:v>1232.9000000000001</c:v>
                </c:pt>
                <c:pt idx="1363">
                  <c:v>1235.4000000000001</c:v>
                </c:pt>
                <c:pt idx="1364">
                  <c:v>1238</c:v>
                </c:pt>
                <c:pt idx="1365">
                  <c:v>1240.5</c:v>
                </c:pt>
                <c:pt idx="1366">
                  <c:v>1243.0999999999999</c:v>
                </c:pt>
                <c:pt idx="1367">
                  <c:v>1245.5999999999999</c:v>
                </c:pt>
                <c:pt idx="1368">
                  <c:v>1248.0999999999999</c:v>
                </c:pt>
                <c:pt idx="1369">
                  <c:v>1250.5999999999999</c:v>
                </c:pt>
                <c:pt idx="1370">
                  <c:v>1253.2</c:v>
                </c:pt>
                <c:pt idx="1371">
                  <c:v>1255.7</c:v>
                </c:pt>
                <c:pt idx="1372">
                  <c:v>1258.0999999999999</c:v>
                </c:pt>
                <c:pt idx="1373">
                  <c:v>1260.7</c:v>
                </c:pt>
                <c:pt idx="1374">
                  <c:v>1263.2</c:v>
                </c:pt>
                <c:pt idx="1375">
                  <c:v>1265.7</c:v>
                </c:pt>
                <c:pt idx="1376">
                  <c:v>1268.2</c:v>
                </c:pt>
                <c:pt idx="1377">
                  <c:v>1270.7</c:v>
                </c:pt>
                <c:pt idx="1378">
                  <c:v>1273.3</c:v>
                </c:pt>
                <c:pt idx="1379">
                  <c:v>1275.7</c:v>
                </c:pt>
                <c:pt idx="1380">
                  <c:v>1278.3</c:v>
                </c:pt>
                <c:pt idx="1381">
                  <c:v>1280.8</c:v>
                </c:pt>
                <c:pt idx="1382">
                  <c:v>1283.2</c:v>
                </c:pt>
                <c:pt idx="1383">
                  <c:v>1285.7</c:v>
                </c:pt>
                <c:pt idx="1384">
                  <c:v>1288</c:v>
                </c:pt>
                <c:pt idx="1385">
                  <c:v>1290.5</c:v>
                </c:pt>
                <c:pt idx="1386">
                  <c:v>1292.9000000000001</c:v>
                </c:pt>
                <c:pt idx="1387">
                  <c:v>1295.4000000000001</c:v>
                </c:pt>
                <c:pt idx="1388">
                  <c:v>1297.9000000000001</c:v>
                </c:pt>
                <c:pt idx="1389">
                  <c:v>1300.3</c:v>
                </c:pt>
                <c:pt idx="1390">
                  <c:v>1302.8</c:v>
                </c:pt>
                <c:pt idx="1391">
                  <c:v>1305.2</c:v>
                </c:pt>
                <c:pt idx="1392">
                  <c:v>1307.7</c:v>
                </c:pt>
                <c:pt idx="1393">
                  <c:v>1310.2</c:v>
                </c:pt>
                <c:pt idx="1394">
                  <c:v>1312.6</c:v>
                </c:pt>
                <c:pt idx="1395">
                  <c:v>1315.1</c:v>
                </c:pt>
                <c:pt idx="1396">
                  <c:v>1317.5</c:v>
                </c:pt>
                <c:pt idx="1397">
                  <c:v>1320</c:v>
                </c:pt>
                <c:pt idx="1398">
                  <c:v>1322.4</c:v>
                </c:pt>
                <c:pt idx="1399">
                  <c:v>1324.9</c:v>
                </c:pt>
                <c:pt idx="1400">
                  <c:v>1327.4</c:v>
                </c:pt>
                <c:pt idx="1401">
                  <c:v>1329.8</c:v>
                </c:pt>
                <c:pt idx="1402">
                  <c:v>1332.3</c:v>
                </c:pt>
                <c:pt idx="1403">
                  <c:v>1334.8</c:v>
                </c:pt>
                <c:pt idx="1404">
                  <c:v>1337.2</c:v>
                </c:pt>
                <c:pt idx="1405">
                  <c:v>1339.7</c:v>
                </c:pt>
                <c:pt idx="1406">
                  <c:v>1342.1</c:v>
                </c:pt>
                <c:pt idx="1407">
                  <c:v>1344.6</c:v>
                </c:pt>
                <c:pt idx="1408">
                  <c:v>1347</c:v>
                </c:pt>
                <c:pt idx="1409">
                  <c:v>1349.5</c:v>
                </c:pt>
                <c:pt idx="1410">
                  <c:v>1352</c:v>
                </c:pt>
                <c:pt idx="1411">
                  <c:v>1354.4</c:v>
                </c:pt>
                <c:pt idx="1412">
                  <c:v>1356.9</c:v>
                </c:pt>
                <c:pt idx="1413">
                  <c:v>1359.3</c:v>
                </c:pt>
                <c:pt idx="1414">
                  <c:v>1361.8</c:v>
                </c:pt>
                <c:pt idx="1415">
                  <c:v>1293.8</c:v>
                </c:pt>
                <c:pt idx="1416">
                  <c:v>1297.5999999999999</c:v>
                </c:pt>
                <c:pt idx="1417">
                  <c:v>1301.4000000000001</c:v>
                </c:pt>
                <c:pt idx="1418">
                  <c:v>1305</c:v>
                </c:pt>
                <c:pt idx="1419">
                  <c:v>1308.8</c:v>
                </c:pt>
                <c:pt idx="1420">
                  <c:v>1312.4</c:v>
                </c:pt>
                <c:pt idx="1421">
                  <c:v>1315.9</c:v>
                </c:pt>
                <c:pt idx="1422">
                  <c:v>1319.5</c:v>
                </c:pt>
                <c:pt idx="1423">
                  <c:v>1323.1</c:v>
                </c:pt>
                <c:pt idx="1424">
                  <c:v>1326.5</c:v>
                </c:pt>
                <c:pt idx="1425">
                  <c:v>1329.8</c:v>
                </c:pt>
                <c:pt idx="1426">
                  <c:v>1333.2</c:v>
                </c:pt>
                <c:pt idx="1427">
                  <c:v>1336.7</c:v>
                </c:pt>
                <c:pt idx="1428">
                  <c:v>1339.9</c:v>
                </c:pt>
                <c:pt idx="1429">
                  <c:v>1343.1</c:v>
                </c:pt>
                <c:pt idx="1430">
                  <c:v>1346.2</c:v>
                </c:pt>
                <c:pt idx="1431">
                  <c:v>1349.6</c:v>
                </c:pt>
                <c:pt idx="1432">
                  <c:v>1352.7</c:v>
                </c:pt>
                <c:pt idx="1433">
                  <c:v>1355.7</c:v>
                </c:pt>
                <c:pt idx="1434">
                  <c:v>1358.6</c:v>
                </c:pt>
                <c:pt idx="1435">
                  <c:v>1361.8</c:v>
                </c:pt>
                <c:pt idx="1436">
                  <c:v>1364.8</c:v>
                </c:pt>
                <c:pt idx="1437">
                  <c:v>1367.7</c:v>
                </c:pt>
                <c:pt idx="1438">
                  <c:v>1370.7</c:v>
                </c:pt>
                <c:pt idx="1439">
                  <c:v>1373.5</c:v>
                </c:pt>
                <c:pt idx="1440">
                  <c:v>1376.3</c:v>
                </c:pt>
                <c:pt idx="1441">
                  <c:v>1378.9</c:v>
                </c:pt>
                <c:pt idx="1442">
                  <c:v>1381.7</c:v>
                </c:pt>
                <c:pt idx="1443">
                  <c:v>1384.1</c:v>
                </c:pt>
                <c:pt idx="1444">
                  <c:v>1386.6</c:v>
                </c:pt>
                <c:pt idx="1445">
                  <c:v>1389</c:v>
                </c:pt>
                <c:pt idx="1446">
                  <c:v>1391.7</c:v>
                </c:pt>
                <c:pt idx="1447">
                  <c:v>1394</c:v>
                </c:pt>
                <c:pt idx="1448">
                  <c:v>1396.3</c:v>
                </c:pt>
                <c:pt idx="1449">
                  <c:v>1398.5</c:v>
                </c:pt>
                <c:pt idx="1450">
                  <c:v>1401.3</c:v>
                </c:pt>
                <c:pt idx="1451">
                  <c:v>1403.7</c:v>
                </c:pt>
                <c:pt idx="1452">
                  <c:v>1406.1</c:v>
                </c:pt>
                <c:pt idx="1453">
                  <c:v>1408.4</c:v>
                </c:pt>
                <c:pt idx="1454">
                  <c:v>1411</c:v>
                </c:pt>
                <c:pt idx="1455">
                  <c:v>1413.3</c:v>
                </c:pt>
                <c:pt idx="1456">
                  <c:v>1415.6</c:v>
                </c:pt>
                <c:pt idx="1457">
                  <c:v>1418</c:v>
                </c:pt>
                <c:pt idx="1458">
                  <c:v>1420.5</c:v>
                </c:pt>
                <c:pt idx="1459">
                  <c:v>1423.8</c:v>
                </c:pt>
                <c:pt idx="1460">
                  <c:v>1427.1</c:v>
                </c:pt>
                <c:pt idx="1461">
                  <c:v>1430.4</c:v>
                </c:pt>
                <c:pt idx="1462">
                  <c:v>1433.7</c:v>
                </c:pt>
                <c:pt idx="1463">
                  <c:v>1436.9</c:v>
                </c:pt>
                <c:pt idx="1464">
                  <c:v>1440.3</c:v>
                </c:pt>
                <c:pt idx="1465">
                  <c:v>1443.7</c:v>
                </c:pt>
                <c:pt idx="1466">
                  <c:v>1447</c:v>
                </c:pt>
                <c:pt idx="1467">
                  <c:v>1450</c:v>
                </c:pt>
                <c:pt idx="1468">
                  <c:v>1453.2</c:v>
                </c:pt>
                <c:pt idx="1469">
                  <c:v>1456.5</c:v>
                </c:pt>
                <c:pt idx="1470">
                  <c:v>1459.7</c:v>
                </c:pt>
                <c:pt idx="1471">
                  <c:v>1462.9</c:v>
                </c:pt>
                <c:pt idx="1472">
                  <c:v>1466.2</c:v>
                </c:pt>
                <c:pt idx="1473">
                  <c:v>1469.6</c:v>
                </c:pt>
                <c:pt idx="1474">
                  <c:v>1473.1</c:v>
                </c:pt>
                <c:pt idx="1475">
                  <c:v>1476.3</c:v>
                </c:pt>
                <c:pt idx="1476">
                  <c:v>1479.8</c:v>
                </c:pt>
                <c:pt idx="1477">
                  <c:v>1483.3</c:v>
                </c:pt>
                <c:pt idx="1478">
                  <c:v>1486.7</c:v>
                </c:pt>
                <c:pt idx="1479">
                  <c:v>1490.3</c:v>
                </c:pt>
                <c:pt idx="1480">
                  <c:v>1493.1</c:v>
                </c:pt>
                <c:pt idx="1481">
                  <c:v>1494.5</c:v>
                </c:pt>
                <c:pt idx="1482">
                  <c:v>1495.9</c:v>
                </c:pt>
                <c:pt idx="1483">
                  <c:v>1497.3</c:v>
                </c:pt>
                <c:pt idx="1484">
                  <c:v>1498.6</c:v>
                </c:pt>
                <c:pt idx="1485">
                  <c:v>1500.1</c:v>
                </c:pt>
                <c:pt idx="1486">
                  <c:v>1501.6</c:v>
                </c:pt>
                <c:pt idx="1487">
                  <c:v>1502.9</c:v>
                </c:pt>
                <c:pt idx="1488">
                  <c:v>1504.3</c:v>
                </c:pt>
                <c:pt idx="1489">
                  <c:v>1505.6</c:v>
                </c:pt>
                <c:pt idx="1490">
                  <c:v>1507</c:v>
                </c:pt>
                <c:pt idx="1491">
                  <c:v>1508.3</c:v>
                </c:pt>
                <c:pt idx="1492">
                  <c:v>1509.8</c:v>
                </c:pt>
                <c:pt idx="1493">
                  <c:v>1511.1</c:v>
                </c:pt>
                <c:pt idx="1494">
                  <c:v>1512.4</c:v>
                </c:pt>
                <c:pt idx="1495">
                  <c:v>1500.2</c:v>
                </c:pt>
                <c:pt idx="1496">
                  <c:v>1497.1</c:v>
                </c:pt>
                <c:pt idx="1497">
                  <c:v>1493.8</c:v>
                </c:pt>
                <c:pt idx="1498">
                  <c:v>1493.8</c:v>
                </c:pt>
                <c:pt idx="1499">
                  <c:v>1493.9</c:v>
                </c:pt>
                <c:pt idx="1500">
                  <c:v>1494</c:v>
                </c:pt>
                <c:pt idx="1501">
                  <c:v>1492.5</c:v>
                </c:pt>
                <c:pt idx="1502">
                  <c:v>1489.6</c:v>
                </c:pt>
                <c:pt idx="1503">
                  <c:v>1489.5</c:v>
                </c:pt>
                <c:pt idx="1504">
                  <c:v>1489.6</c:v>
                </c:pt>
                <c:pt idx="1505">
                  <c:v>1489.8</c:v>
                </c:pt>
                <c:pt idx="1506">
                  <c:v>1489.7</c:v>
                </c:pt>
                <c:pt idx="1507">
                  <c:v>1489.7</c:v>
                </c:pt>
                <c:pt idx="1508">
                  <c:v>1489.6</c:v>
                </c:pt>
                <c:pt idx="1509">
                  <c:v>1489.4</c:v>
                </c:pt>
                <c:pt idx="1510">
                  <c:v>1486.9</c:v>
                </c:pt>
                <c:pt idx="1511">
                  <c:v>1438.9</c:v>
                </c:pt>
                <c:pt idx="1512">
                  <c:v>1419.2</c:v>
                </c:pt>
                <c:pt idx="1513">
                  <c:v>1410.3</c:v>
                </c:pt>
                <c:pt idx="1514">
                  <c:v>1406</c:v>
                </c:pt>
                <c:pt idx="1515">
                  <c:v>1396.1</c:v>
                </c:pt>
                <c:pt idx="1516">
                  <c:v>1378.2</c:v>
                </c:pt>
                <c:pt idx="1517">
                  <c:v>1372.9</c:v>
                </c:pt>
                <c:pt idx="1518">
                  <c:v>1367.5</c:v>
                </c:pt>
                <c:pt idx="1519">
                  <c:v>1362</c:v>
                </c:pt>
                <c:pt idx="1520">
                  <c:v>1356.6</c:v>
                </c:pt>
                <c:pt idx="1521">
                  <c:v>1351.5</c:v>
                </c:pt>
                <c:pt idx="1522">
                  <c:v>1346.8</c:v>
                </c:pt>
                <c:pt idx="1523">
                  <c:v>1342.3</c:v>
                </c:pt>
                <c:pt idx="1524">
                  <c:v>1337</c:v>
                </c:pt>
                <c:pt idx="1525">
                  <c:v>1331.3</c:v>
                </c:pt>
                <c:pt idx="1526">
                  <c:v>1325</c:v>
                </c:pt>
                <c:pt idx="1527">
                  <c:v>1306.8</c:v>
                </c:pt>
                <c:pt idx="1528">
                  <c:v>1300</c:v>
                </c:pt>
                <c:pt idx="1529">
                  <c:v>1292.2</c:v>
                </c:pt>
                <c:pt idx="1530">
                  <c:v>1284.5</c:v>
                </c:pt>
                <c:pt idx="1531">
                  <c:v>1276.8</c:v>
                </c:pt>
                <c:pt idx="1532">
                  <c:v>1271.3</c:v>
                </c:pt>
                <c:pt idx="1533">
                  <c:v>1271.5</c:v>
                </c:pt>
                <c:pt idx="1534">
                  <c:v>1271.3</c:v>
                </c:pt>
                <c:pt idx="1535">
                  <c:v>1271.5999999999999</c:v>
                </c:pt>
                <c:pt idx="1536">
                  <c:v>1271.7</c:v>
                </c:pt>
                <c:pt idx="1537">
                  <c:v>1271.9000000000001</c:v>
                </c:pt>
                <c:pt idx="1538">
                  <c:v>1271.9000000000001</c:v>
                </c:pt>
                <c:pt idx="1539">
                  <c:v>1272.3</c:v>
                </c:pt>
                <c:pt idx="1540">
                  <c:v>1272.4000000000001</c:v>
                </c:pt>
                <c:pt idx="1541">
                  <c:v>1272.7</c:v>
                </c:pt>
                <c:pt idx="1542">
                  <c:v>1273</c:v>
                </c:pt>
                <c:pt idx="1543">
                  <c:v>1273.3</c:v>
                </c:pt>
                <c:pt idx="1544">
                  <c:v>1273.5999999999999</c:v>
                </c:pt>
                <c:pt idx="1545">
                  <c:v>1273.8</c:v>
                </c:pt>
                <c:pt idx="1546">
                  <c:v>1274.0999999999999</c:v>
                </c:pt>
                <c:pt idx="1547">
                  <c:v>1274.5999999999999</c:v>
                </c:pt>
                <c:pt idx="1548">
                  <c:v>1274.9000000000001</c:v>
                </c:pt>
                <c:pt idx="1549">
                  <c:v>1275.4000000000001</c:v>
                </c:pt>
                <c:pt idx="1550">
                  <c:v>1275.9000000000001</c:v>
                </c:pt>
                <c:pt idx="1551">
                  <c:v>1276.3</c:v>
                </c:pt>
                <c:pt idx="1552">
                  <c:v>1276.8</c:v>
                </c:pt>
                <c:pt idx="1553">
                  <c:v>1277.3</c:v>
                </c:pt>
                <c:pt idx="1554">
                  <c:v>1277.8</c:v>
                </c:pt>
                <c:pt idx="1555">
                  <c:v>1278.2</c:v>
                </c:pt>
                <c:pt idx="1556">
                  <c:v>1278.8</c:v>
                </c:pt>
                <c:pt idx="1557">
                  <c:v>1279.3</c:v>
                </c:pt>
                <c:pt idx="1558">
                  <c:v>1279.7</c:v>
                </c:pt>
                <c:pt idx="1559">
                  <c:v>1280.4000000000001</c:v>
                </c:pt>
                <c:pt idx="1560">
                  <c:v>1281</c:v>
                </c:pt>
                <c:pt idx="1561">
                  <c:v>1281.5</c:v>
                </c:pt>
                <c:pt idx="1562">
                  <c:v>1282.2</c:v>
                </c:pt>
                <c:pt idx="1563">
                  <c:v>1282.7</c:v>
                </c:pt>
                <c:pt idx="1564">
                  <c:v>1283.3</c:v>
                </c:pt>
                <c:pt idx="1565">
                  <c:v>1284</c:v>
                </c:pt>
                <c:pt idx="1566">
                  <c:v>1284.5999999999999</c:v>
                </c:pt>
                <c:pt idx="1567">
                  <c:v>1285.0999999999999</c:v>
                </c:pt>
                <c:pt idx="1568">
                  <c:v>1286</c:v>
                </c:pt>
                <c:pt idx="1569">
                  <c:v>1286.4000000000001</c:v>
                </c:pt>
                <c:pt idx="1570">
                  <c:v>1287.3</c:v>
                </c:pt>
                <c:pt idx="1571">
                  <c:v>1287.9000000000001</c:v>
                </c:pt>
                <c:pt idx="1572">
                  <c:v>1288.4000000000001</c:v>
                </c:pt>
                <c:pt idx="1573">
                  <c:v>1289.2</c:v>
                </c:pt>
                <c:pt idx="1574">
                  <c:v>1290.9000000000001</c:v>
                </c:pt>
                <c:pt idx="1575">
                  <c:v>1292.5999999999999</c:v>
                </c:pt>
                <c:pt idx="1576">
                  <c:v>1294.7</c:v>
                </c:pt>
                <c:pt idx="1577">
                  <c:v>1296.5999999999999</c:v>
                </c:pt>
                <c:pt idx="1578">
                  <c:v>1298.2</c:v>
                </c:pt>
                <c:pt idx="1579">
                  <c:v>1299.9000000000001</c:v>
                </c:pt>
                <c:pt idx="1580">
                  <c:v>1301.5</c:v>
                </c:pt>
                <c:pt idx="1581">
                  <c:v>1302.5</c:v>
                </c:pt>
                <c:pt idx="1582">
                  <c:v>1304</c:v>
                </c:pt>
                <c:pt idx="1583">
                  <c:v>1305.3</c:v>
                </c:pt>
                <c:pt idx="1584">
                  <c:v>1306.0999999999999</c:v>
                </c:pt>
                <c:pt idx="1585">
                  <c:v>1307.4000000000001</c:v>
                </c:pt>
                <c:pt idx="1586">
                  <c:v>1308.8</c:v>
                </c:pt>
                <c:pt idx="1587">
                  <c:v>1309.9000000000001</c:v>
                </c:pt>
                <c:pt idx="1588">
                  <c:v>1311.1</c:v>
                </c:pt>
                <c:pt idx="1589">
                  <c:v>1312.2</c:v>
                </c:pt>
                <c:pt idx="1590">
                  <c:v>1313.1</c:v>
                </c:pt>
                <c:pt idx="1591">
                  <c:v>1314</c:v>
                </c:pt>
                <c:pt idx="1592">
                  <c:v>1315.1</c:v>
                </c:pt>
                <c:pt idx="1593">
                  <c:v>1315.7</c:v>
                </c:pt>
                <c:pt idx="1594">
                  <c:v>1316.2</c:v>
                </c:pt>
                <c:pt idx="1595">
                  <c:v>1317.4</c:v>
                </c:pt>
                <c:pt idx="1596">
                  <c:v>1319.3</c:v>
                </c:pt>
                <c:pt idx="1597">
                  <c:v>1321.2</c:v>
                </c:pt>
                <c:pt idx="1598">
                  <c:v>1323</c:v>
                </c:pt>
                <c:pt idx="1599">
                  <c:v>1324.9</c:v>
                </c:pt>
                <c:pt idx="1600">
                  <c:v>1326.3</c:v>
                </c:pt>
                <c:pt idx="1601">
                  <c:v>1327.6</c:v>
                </c:pt>
                <c:pt idx="1602">
                  <c:v>1329</c:v>
                </c:pt>
                <c:pt idx="1603">
                  <c:v>1328.9</c:v>
                </c:pt>
                <c:pt idx="1604">
                  <c:v>1329.7</c:v>
                </c:pt>
                <c:pt idx="1605">
                  <c:v>1329.8</c:v>
                </c:pt>
                <c:pt idx="1606">
                  <c:v>1331.1</c:v>
                </c:pt>
                <c:pt idx="1607">
                  <c:v>1326.6</c:v>
                </c:pt>
                <c:pt idx="1608">
                  <c:v>1320.3</c:v>
                </c:pt>
                <c:pt idx="1609">
                  <c:v>1314.4</c:v>
                </c:pt>
                <c:pt idx="1610">
                  <c:v>1305</c:v>
                </c:pt>
                <c:pt idx="1611">
                  <c:v>1300.8</c:v>
                </c:pt>
                <c:pt idx="1612">
                  <c:v>1283.2</c:v>
                </c:pt>
                <c:pt idx="1613">
                  <c:v>1282</c:v>
                </c:pt>
                <c:pt idx="1614">
                  <c:v>1282.5</c:v>
                </c:pt>
                <c:pt idx="1615">
                  <c:v>1271.0999999999999</c:v>
                </c:pt>
                <c:pt idx="1616">
                  <c:v>1251.9000000000001</c:v>
                </c:pt>
                <c:pt idx="1617">
                  <c:v>1235.4000000000001</c:v>
                </c:pt>
                <c:pt idx="1618">
                  <c:v>1220.9000000000001</c:v>
                </c:pt>
                <c:pt idx="1619">
                  <c:v>1214.5999999999999</c:v>
                </c:pt>
                <c:pt idx="1620">
                  <c:v>1178.9000000000001</c:v>
                </c:pt>
                <c:pt idx="1621">
                  <c:v>1180.3</c:v>
                </c:pt>
                <c:pt idx="1622">
                  <c:v>1182</c:v>
                </c:pt>
                <c:pt idx="1623">
                  <c:v>1184.0999999999999</c:v>
                </c:pt>
                <c:pt idx="1624">
                  <c:v>1186.4000000000001</c:v>
                </c:pt>
                <c:pt idx="1625">
                  <c:v>1188.7</c:v>
                </c:pt>
                <c:pt idx="1626">
                  <c:v>1191.0999999999999</c:v>
                </c:pt>
                <c:pt idx="1627">
                  <c:v>1193.5999999999999</c:v>
                </c:pt>
                <c:pt idx="1628">
                  <c:v>1196</c:v>
                </c:pt>
                <c:pt idx="1629">
                  <c:v>1198.8</c:v>
                </c:pt>
                <c:pt idx="1630">
                  <c:v>1192.5</c:v>
                </c:pt>
                <c:pt idx="1631">
                  <c:v>1195.0999999999999</c:v>
                </c:pt>
                <c:pt idx="1632">
                  <c:v>1197.2</c:v>
                </c:pt>
                <c:pt idx="1633">
                  <c:v>1199.9000000000001</c:v>
                </c:pt>
                <c:pt idx="1634">
                  <c:v>1202.5999999999999</c:v>
                </c:pt>
                <c:pt idx="1635">
                  <c:v>1205.8</c:v>
                </c:pt>
                <c:pt idx="1636">
                  <c:v>1209.0999999999999</c:v>
                </c:pt>
                <c:pt idx="1637">
                  <c:v>1212.0999999999999</c:v>
                </c:pt>
                <c:pt idx="1638">
                  <c:v>1215.7</c:v>
                </c:pt>
                <c:pt idx="1639">
                  <c:v>1219.3</c:v>
                </c:pt>
                <c:pt idx="1640">
                  <c:v>1222.7</c:v>
                </c:pt>
                <c:pt idx="1641">
                  <c:v>1226.3</c:v>
                </c:pt>
                <c:pt idx="1642">
                  <c:v>1229.8</c:v>
                </c:pt>
                <c:pt idx="1643">
                  <c:v>1233.5</c:v>
                </c:pt>
                <c:pt idx="1644">
                  <c:v>1237.2</c:v>
                </c:pt>
                <c:pt idx="1645">
                  <c:v>1240.7</c:v>
                </c:pt>
                <c:pt idx="1646">
                  <c:v>1244.4000000000001</c:v>
                </c:pt>
                <c:pt idx="1647">
                  <c:v>1248</c:v>
                </c:pt>
                <c:pt idx="1648">
                  <c:v>1251.5999999999999</c:v>
                </c:pt>
                <c:pt idx="1649">
                  <c:v>1255.3</c:v>
                </c:pt>
                <c:pt idx="1650">
                  <c:v>1258.9000000000001</c:v>
                </c:pt>
                <c:pt idx="1651">
                  <c:v>1262.7</c:v>
                </c:pt>
                <c:pt idx="1652">
                  <c:v>1266.3</c:v>
                </c:pt>
                <c:pt idx="1653">
                  <c:v>1270</c:v>
                </c:pt>
                <c:pt idx="1654">
                  <c:v>1273.7</c:v>
                </c:pt>
                <c:pt idx="1655">
                  <c:v>1277.4000000000001</c:v>
                </c:pt>
                <c:pt idx="1656">
                  <c:v>1281.0999999999999</c:v>
                </c:pt>
                <c:pt idx="1657">
                  <c:v>1284.8</c:v>
                </c:pt>
                <c:pt idx="1658">
                  <c:v>1288.5999999999999</c:v>
                </c:pt>
                <c:pt idx="1659">
                  <c:v>1292.3</c:v>
                </c:pt>
                <c:pt idx="1660">
                  <c:v>1296.0999999999999</c:v>
                </c:pt>
                <c:pt idx="1661">
                  <c:v>1299.7</c:v>
                </c:pt>
                <c:pt idx="1662">
                  <c:v>1303.5</c:v>
                </c:pt>
                <c:pt idx="1663">
                  <c:v>1307.2</c:v>
                </c:pt>
                <c:pt idx="1664">
                  <c:v>1311</c:v>
                </c:pt>
                <c:pt idx="1665">
                  <c:v>1314.8</c:v>
                </c:pt>
                <c:pt idx="1666">
                  <c:v>1318.6</c:v>
                </c:pt>
                <c:pt idx="1667">
                  <c:v>1322.4</c:v>
                </c:pt>
                <c:pt idx="1668">
                  <c:v>1326</c:v>
                </c:pt>
                <c:pt idx="1669">
                  <c:v>1329.8</c:v>
                </c:pt>
                <c:pt idx="1670">
                  <c:v>1333.7</c:v>
                </c:pt>
                <c:pt idx="1671">
                  <c:v>1337.4</c:v>
                </c:pt>
                <c:pt idx="1672">
                  <c:v>1341.2</c:v>
                </c:pt>
                <c:pt idx="1673">
                  <c:v>1344.9</c:v>
                </c:pt>
                <c:pt idx="1674">
                  <c:v>1348.8</c:v>
                </c:pt>
                <c:pt idx="1675">
                  <c:v>1352.5</c:v>
                </c:pt>
                <c:pt idx="1676">
                  <c:v>1356.4</c:v>
                </c:pt>
                <c:pt idx="1677">
                  <c:v>1360.2</c:v>
                </c:pt>
                <c:pt idx="1678">
                  <c:v>1363.9</c:v>
                </c:pt>
                <c:pt idx="1679">
                  <c:v>1367.8</c:v>
                </c:pt>
                <c:pt idx="1680">
                  <c:v>1371.5</c:v>
                </c:pt>
                <c:pt idx="1681">
                  <c:v>1368.4</c:v>
                </c:pt>
                <c:pt idx="1682">
                  <c:v>1363.4</c:v>
                </c:pt>
                <c:pt idx="1683">
                  <c:v>1358.5</c:v>
                </c:pt>
                <c:pt idx="1684">
                  <c:v>1353.6</c:v>
                </c:pt>
                <c:pt idx="1685">
                  <c:v>1348.7</c:v>
                </c:pt>
                <c:pt idx="1686">
                  <c:v>1343.8</c:v>
                </c:pt>
                <c:pt idx="1687">
                  <c:v>1338.9</c:v>
                </c:pt>
                <c:pt idx="1688">
                  <c:v>1333.9</c:v>
                </c:pt>
                <c:pt idx="1689">
                  <c:v>1329.1</c:v>
                </c:pt>
                <c:pt idx="1690">
                  <c:v>1324.1</c:v>
                </c:pt>
                <c:pt idx="1691">
                  <c:v>1319.2</c:v>
                </c:pt>
                <c:pt idx="1692">
                  <c:v>1314.3</c:v>
                </c:pt>
                <c:pt idx="1693">
                  <c:v>1309.3</c:v>
                </c:pt>
                <c:pt idx="1694">
                  <c:v>1304.4000000000001</c:v>
                </c:pt>
                <c:pt idx="1695">
                  <c:v>1299.5</c:v>
                </c:pt>
                <c:pt idx="1696">
                  <c:v>1294.5999999999999</c:v>
                </c:pt>
                <c:pt idx="1697">
                  <c:v>1289.7</c:v>
                </c:pt>
                <c:pt idx="1698">
                  <c:v>1284.7</c:v>
                </c:pt>
                <c:pt idx="1699">
                  <c:v>1279.8</c:v>
                </c:pt>
                <c:pt idx="1700">
                  <c:v>1275</c:v>
                </c:pt>
                <c:pt idx="1701">
                  <c:v>1270.0999999999999</c:v>
                </c:pt>
                <c:pt idx="1702">
                  <c:v>1265.2</c:v>
                </c:pt>
                <c:pt idx="1703">
                  <c:v>1260.3</c:v>
                </c:pt>
                <c:pt idx="1704">
                  <c:v>1255.5</c:v>
                </c:pt>
                <c:pt idx="1705">
                  <c:v>1250.5999999999999</c:v>
                </c:pt>
                <c:pt idx="1706">
                  <c:v>1245.8</c:v>
                </c:pt>
                <c:pt idx="1707">
                  <c:v>1240.9000000000001</c:v>
                </c:pt>
                <c:pt idx="1708">
                  <c:v>1236</c:v>
                </c:pt>
                <c:pt idx="1709">
                  <c:v>1231.2</c:v>
                </c:pt>
                <c:pt idx="1710">
                  <c:v>1226.3</c:v>
                </c:pt>
                <c:pt idx="1711">
                  <c:v>1221.5999999999999</c:v>
                </c:pt>
                <c:pt idx="1712">
                  <c:v>1216.5999999999999</c:v>
                </c:pt>
                <c:pt idx="1713">
                  <c:v>1211.7</c:v>
                </c:pt>
                <c:pt idx="1714">
                  <c:v>1206.7</c:v>
                </c:pt>
                <c:pt idx="1715">
                  <c:v>1209.8</c:v>
                </c:pt>
                <c:pt idx="1716">
                  <c:v>1209.9000000000001</c:v>
                </c:pt>
                <c:pt idx="1717">
                  <c:v>1207.8</c:v>
                </c:pt>
                <c:pt idx="1718">
                  <c:v>1205.3</c:v>
                </c:pt>
                <c:pt idx="1719">
                  <c:v>1203.4000000000001</c:v>
                </c:pt>
                <c:pt idx="1720">
                  <c:v>1200.5999999999999</c:v>
                </c:pt>
                <c:pt idx="1721">
                  <c:v>1197.9000000000001</c:v>
                </c:pt>
                <c:pt idx="1722">
                  <c:v>1195.8</c:v>
                </c:pt>
                <c:pt idx="1723">
                  <c:v>1193</c:v>
                </c:pt>
                <c:pt idx="1724">
                  <c:v>1190.5</c:v>
                </c:pt>
                <c:pt idx="1725">
                  <c:v>1187.5999999999999</c:v>
                </c:pt>
                <c:pt idx="1726">
                  <c:v>1185.4000000000001</c:v>
                </c:pt>
                <c:pt idx="1727">
                  <c:v>1182.0999999999999</c:v>
                </c:pt>
                <c:pt idx="1728">
                  <c:v>1179</c:v>
                </c:pt>
                <c:pt idx="1729">
                  <c:v>1175.7</c:v>
                </c:pt>
                <c:pt idx="1730">
                  <c:v>1172.4000000000001</c:v>
                </c:pt>
                <c:pt idx="1731">
                  <c:v>1169.2</c:v>
                </c:pt>
                <c:pt idx="1732">
                  <c:v>1166.2</c:v>
                </c:pt>
                <c:pt idx="1733">
                  <c:v>1163.7</c:v>
                </c:pt>
                <c:pt idx="1734">
                  <c:v>1162.7</c:v>
                </c:pt>
                <c:pt idx="1735">
                  <c:v>1163.9000000000001</c:v>
                </c:pt>
                <c:pt idx="1736">
                  <c:v>1163.8</c:v>
                </c:pt>
                <c:pt idx="1737">
                  <c:v>1164.0999999999999</c:v>
                </c:pt>
                <c:pt idx="1738">
                  <c:v>1163.8</c:v>
                </c:pt>
                <c:pt idx="1739">
                  <c:v>1163.3</c:v>
                </c:pt>
                <c:pt idx="1740">
                  <c:v>1163</c:v>
                </c:pt>
                <c:pt idx="1741">
                  <c:v>1162.0999999999999</c:v>
                </c:pt>
                <c:pt idx="1742">
                  <c:v>1161.3</c:v>
                </c:pt>
                <c:pt idx="1743">
                  <c:v>1160.3</c:v>
                </c:pt>
                <c:pt idx="1744">
                  <c:v>1159</c:v>
                </c:pt>
                <c:pt idx="1745">
                  <c:v>1157.4000000000001</c:v>
                </c:pt>
                <c:pt idx="1746">
                  <c:v>1163.0999999999999</c:v>
                </c:pt>
                <c:pt idx="1747">
                  <c:v>1169</c:v>
                </c:pt>
                <c:pt idx="1748">
                  <c:v>1177.8</c:v>
                </c:pt>
                <c:pt idx="1749">
                  <c:v>1195.7</c:v>
                </c:pt>
                <c:pt idx="1750">
                  <c:v>1206</c:v>
                </c:pt>
                <c:pt idx="1751">
                  <c:v>1212.9000000000001</c:v>
                </c:pt>
                <c:pt idx="1752">
                  <c:v>1225.5999999999999</c:v>
                </c:pt>
                <c:pt idx="1753">
                  <c:v>1240.2</c:v>
                </c:pt>
                <c:pt idx="1754">
                  <c:v>1253.4000000000001</c:v>
                </c:pt>
                <c:pt idx="1755">
                  <c:v>1278.7</c:v>
                </c:pt>
                <c:pt idx="1756">
                  <c:v>1299.7</c:v>
                </c:pt>
                <c:pt idx="1757">
                  <c:v>1318.1</c:v>
                </c:pt>
                <c:pt idx="1758">
                  <c:v>1325.1</c:v>
                </c:pt>
                <c:pt idx="1759">
                  <c:v>1331.5</c:v>
                </c:pt>
                <c:pt idx="1760">
                  <c:v>1338</c:v>
                </c:pt>
                <c:pt idx="1761">
                  <c:v>1353.5</c:v>
                </c:pt>
                <c:pt idx="1762">
                  <c:v>1355.7</c:v>
                </c:pt>
                <c:pt idx="1763">
                  <c:v>1355.9</c:v>
                </c:pt>
                <c:pt idx="1764">
                  <c:v>1360.3</c:v>
                </c:pt>
                <c:pt idx="1765">
                  <c:v>1361</c:v>
                </c:pt>
                <c:pt idx="1766">
                  <c:v>1363</c:v>
                </c:pt>
                <c:pt idx="1767">
                  <c:v>1370.6</c:v>
                </c:pt>
                <c:pt idx="1768">
                  <c:v>1378.9</c:v>
                </c:pt>
                <c:pt idx="1769">
                  <c:v>1377.7</c:v>
                </c:pt>
                <c:pt idx="1770">
                  <c:v>1376.7</c:v>
                </c:pt>
                <c:pt idx="1771">
                  <c:v>1379.5</c:v>
                </c:pt>
                <c:pt idx="1772">
                  <c:v>1375.4</c:v>
                </c:pt>
                <c:pt idx="1773">
                  <c:v>1371.2</c:v>
                </c:pt>
                <c:pt idx="1774">
                  <c:v>1367.4</c:v>
                </c:pt>
                <c:pt idx="1775">
                  <c:v>1363.4</c:v>
                </c:pt>
                <c:pt idx="1776">
                  <c:v>1359.5</c:v>
                </c:pt>
                <c:pt idx="1777">
                  <c:v>1356</c:v>
                </c:pt>
                <c:pt idx="1778">
                  <c:v>1352.7</c:v>
                </c:pt>
                <c:pt idx="1779">
                  <c:v>1349.1</c:v>
                </c:pt>
                <c:pt idx="1780">
                  <c:v>1346.5</c:v>
                </c:pt>
                <c:pt idx="1781">
                  <c:v>1343.7</c:v>
                </c:pt>
                <c:pt idx="1782">
                  <c:v>1343.5</c:v>
                </c:pt>
                <c:pt idx="1783">
                  <c:v>1343.4</c:v>
                </c:pt>
                <c:pt idx="1784">
                  <c:v>1342.5</c:v>
                </c:pt>
                <c:pt idx="1785">
                  <c:v>1339.3</c:v>
                </c:pt>
                <c:pt idx="1786">
                  <c:v>1336.9</c:v>
                </c:pt>
                <c:pt idx="1787">
                  <c:v>1334.7</c:v>
                </c:pt>
                <c:pt idx="1788">
                  <c:v>1331.5</c:v>
                </c:pt>
                <c:pt idx="1789">
                  <c:v>1329.5</c:v>
                </c:pt>
                <c:pt idx="1790">
                  <c:v>1326.6</c:v>
                </c:pt>
                <c:pt idx="1791">
                  <c:v>1323.1</c:v>
                </c:pt>
                <c:pt idx="1792">
                  <c:v>1319.6</c:v>
                </c:pt>
                <c:pt idx="1793">
                  <c:v>1316.5</c:v>
                </c:pt>
                <c:pt idx="1794">
                  <c:v>1312.9</c:v>
                </c:pt>
                <c:pt idx="1795">
                  <c:v>1309.5999999999999</c:v>
                </c:pt>
                <c:pt idx="1796">
                  <c:v>1306.5</c:v>
                </c:pt>
                <c:pt idx="1797">
                  <c:v>1302.9000000000001</c:v>
                </c:pt>
                <c:pt idx="1798">
                  <c:v>1299.8</c:v>
                </c:pt>
                <c:pt idx="1799">
                  <c:v>1298.0999999999999</c:v>
                </c:pt>
                <c:pt idx="1800">
                  <c:v>1299.0999999999999</c:v>
                </c:pt>
                <c:pt idx="1801">
                  <c:v>1299.9000000000001</c:v>
                </c:pt>
                <c:pt idx="1802">
                  <c:v>1300.8</c:v>
                </c:pt>
                <c:pt idx="1803">
                  <c:v>1301.5999999999999</c:v>
                </c:pt>
                <c:pt idx="1804">
                  <c:v>1302.5</c:v>
                </c:pt>
                <c:pt idx="1805">
                  <c:v>1303.5</c:v>
                </c:pt>
                <c:pt idx="1806">
                  <c:v>1304.2</c:v>
                </c:pt>
                <c:pt idx="1807">
                  <c:v>1305.3</c:v>
                </c:pt>
                <c:pt idx="1808">
                  <c:v>1306</c:v>
                </c:pt>
                <c:pt idx="1809">
                  <c:v>1306.9000000000001</c:v>
                </c:pt>
                <c:pt idx="1810">
                  <c:v>1307.9000000000001</c:v>
                </c:pt>
                <c:pt idx="1811">
                  <c:v>1308.5999999999999</c:v>
                </c:pt>
                <c:pt idx="1812">
                  <c:v>1309.4000000000001</c:v>
                </c:pt>
                <c:pt idx="1813">
                  <c:v>1310.7</c:v>
                </c:pt>
                <c:pt idx="1814">
                  <c:v>1311.4</c:v>
                </c:pt>
                <c:pt idx="1815">
                  <c:v>1311.3</c:v>
                </c:pt>
                <c:pt idx="1816">
                  <c:v>1312.3</c:v>
                </c:pt>
                <c:pt idx="1817">
                  <c:v>1312.2</c:v>
                </c:pt>
                <c:pt idx="1818">
                  <c:v>1312.7</c:v>
                </c:pt>
                <c:pt idx="1819">
                  <c:v>1313.4</c:v>
                </c:pt>
                <c:pt idx="1820">
                  <c:v>1313.4</c:v>
                </c:pt>
                <c:pt idx="1821">
                  <c:v>1313.6</c:v>
                </c:pt>
                <c:pt idx="1822">
                  <c:v>1314.1</c:v>
                </c:pt>
                <c:pt idx="1823">
                  <c:v>1314.1</c:v>
                </c:pt>
                <c:pt idx="1824">
                  <c:v>1314.5</c:v>
                </c:pt>
                <c:pt idx="1825">
                  <c:v>1314.8</c:v>
                </c:pt>
                <c:pt idx="1826">
                  <c:v>1314.7</c:v>
                </c:pt>
                <c:pt idx="1827">
                  <c:v>1315.3</c:v>
                </c:pt>
                <c:pt idx="1828">
                  <c:v>1314.1</c:v>
                </c:pt>
                <c:pt idx="1829">
                  <c:v>1310.5</c:v>
                </c:pt>
                <c:pt idx="1830">
                  <c:v>1311.2</c:v>
                </c:pt>
                <c:pt idx="1831">
                  <c:v>1311.7</c:v>
                </c:pt>
                <c:pt idx="1832">
                  <c:v>1313</c:v>
                </c:pt>
                <c:pt idx="1833">
                  <c:v>1313.4</c:v>
                </c:pt>
                <c:pt idx="1834">
                  <c:v>1314.1</c:v>
                </c:pt>
                <c:pt idx="1835">
                  <c:v>1315.1</c:v>
                </c:pt>
                <c:pt idx="1836">
                  <c:v>1315.6</c:v>
                </c:pt>
                <c:pt idx="1837">
                  <c:v>1316.1</c:v>
                </c:pt>
                <c:pt idx="1838">
                  <c:v>1317</c:v>
                </c:pt>
                <c:pt idx="1839">
                  <c:v>1317.6</c:v>
                </c:pt>
                <c:pt idx="1840">
                  <c:v>1318</c:v>
                </c:pt>
                <c:pt idx="1841">
                  <c:v>1319.2</c:v>
                </c:pt>
                <c:pt idx="1842">
                  <c:v>1319.6</c:v>
                </c:pt>
                <c:pt idx="1843">
                  <c:v>1320.2</c:v>
                </c:pt>
                <c:pt idx="1844">
                  <c:v>1320.9</c:v>
                </c:pt>
                <c:pt idx="1845">
                  <c:v>1321.2</c:v>
                </c:pt>
                <c:pt idx="1846">
                  <c:v>1322</c:v>
                </c:pt>
                <c:pt idx="1847">
                  <c:v>1322.7</c:v>
                </c:pt>
                <c:pt idx="1848">
                  <c:v>1323.3</c:v>
                </c:pt>
                <c:pt idx="1849">
                  <c:v>1323.7</c:v>
                </c:pt>
                <c:pt idx="1850">
                  <c:v>1324.8</c:v>
                </c:pt>
                <c:pt idx="1851">
                  <c:v>1325.6</c:v>
                </c:pt>
                <c:pt idx="1852">
                  <c:v>1326.6</c:v>
                </c:pt>
                <c:pt idx="1853">
                  <c:v>1327.3</c:v>
                </c:pt>
                <c:pt idx="1854">
                  <c:v>1328</c:v>
                </c:pt>
                <c:pt idx="1855">
                  <c:v>1329</c:v>
                </c:pt>
                <c:pt idx="1856">
                  <c:v>1329.3</c:v>
                </c:pt>
                <c:pt idx="1857">
                  <c:v>1330.2</c:v>
                </c:pt>
                <c:pt idx="1858">
                  <c:v>1330.9</c:v>
                </c:pt>
                <c:pt idx="1859">
                  <c:v>1331.6</c:v>
                </c:pt>
                <c:pt idx="1860">
                  <c:v>1332.1</c:v>
                </c:pt>
                <c:pt idx="1861">
                  <c:v>1333.1</c:v>
                </c:pt>
                <c:pt idx="1862">
                  <c:v>1333.4</c:v>
                </c:pt>
                <c:pt idx="1863">
                  <c:v>1334</c:v>
                </c:pt>
                <c:pt idx="1864">
                  <c:v>1334.6</c:v>
                </c:pt>
                <c:pt idx="1865">
                  <c:v>1335.2</c:v>
                </c:pt>
                <c:pt idx="1866">
                  <c:v>1335.7</c:v>
                </c:pt>
                <c:pt idx="1867">
                  <c:v>1336.5</c:v>
                </c:pt>
                <c:pt idx="1868">
                  <c:v>1336.8</c:v>
                </c:pt>
                <c:pt idx="1869">
                  <c:v>1337.4</c:v>
                </c:pt>
                <c:pt idx="1870">
                  <c:v>1338.1</c:v>
                </c:pt>
                <c:pt idx="1871">
                  <c:v>1338.8</c:v>
                </c:pt>
                <c:pt idx="1872">
                  <c:v>1339.2</c:v>
                </c:pt>
                <c:pt idx="1873">
                  <c:v>1339.9</c:v>
                </c:pt>
                <c:pt idx="1874">
                  <c:v>1340.3</c:v>
                </c:pt>
                <c:pt idx="1875">
                  <c:v>1341.2</c:v>
                </c:pt>
                <c:pt idx="1876">
                  <c:v>1341.6</c:v>
                </c:pt>
                <c:pt idx="1877">
                  <c:v>1342.3</c:v>
                </c:pt>
                <c:pt idx="1878">
                  <c:v>1342.6</c:v>
                </c:pt>
                <c:pt idx="1879">
                  <c:v>1343.5</c:v>
                </c:pt>
                <c:pt idx="1880">
                  <c:v>1343.9</c:v>
                </c:pt>
                <c:pt idx="1881">
                  <c:v>1344.5</c:v>
                </c:pt>
                <c:pt idx="1882">
                  <c:v>1344.6</c:v>
                </c:pt>
                <c:pt idx="1883">
                  <c:v>1345.5</c:v>
                </c:pt>
                <c:pt idx="1884">
                  <c:v>1346.1</c:v>
                </c:pt>
                <c:pt idx="1885">
                  <c:v>1346.5</c:v>
                </c:pt>
                <c:pt idx="1886">
                  <c:v>1347.2</c:v>
                </c:pt>
                <c:pt idx="1887">
                  <c:v>1347.6</c:v>
                </c:pt>
                <c:pt idx="1888">
                  <c:v>1347.8</c:v>
                </c:pt>
                <c:pt idx="1889">
                  <c:v>1348.3</c:v>
                </c:pt>
                <c:pt idx="1890">
                  <c:v>1348.9</c:v>
                </c:pt>
                <c:pt idx="1891">
                  <c:v>1349.2</c:v>
                </c:pt>
                <c:pt idx="1892">
                  <c:v>1349.8</c:v>
                </c:pt>
                <c:pt idx="1893">
                  <c:v>1417.3</c:v>
                </c:pt>
                <c:pt idx="1894">
                  <c:v>1419</c:v>
                </c:pt>
                <c:pt idx="1895">
                  <c:v>1420.6</c:v>
                </c:pt>
                <c:pt idx="1896">
                  <c:v>1428.8</c:v>
                </c:pt>
                <c:pt idx="1897">
                  <c:v>1429.3</c:v>
                </c:pt>
                <c:pt idx="1898">
                  <c:v>1430.3</c:v>
                </c:pt>
                <c:pt idx="1899">
                  <c:v>1430.9</c:v>
                </c:pt>
                <c:pt idx="1900">
                  <c:v>1432.1</c:v>
                </c:pt>
                <c:pt idx="1901">
                  <c:v>1432.8</c:v>
                </c:pt>
                <c:pt idx="1902">
                  <c:v>1433.5</c:v>
                </c:pt>
                <c:pt idx="1903">
                  <c:v>1434.4</c:v>
                </c:pt>
                <c:pt idx="1904">
                  <c:v>1435.6</c:v>
                </c:pt>
                <c:pt idx="1905">
                  <c:v>1436.4</c:v>
                </c:pt>
                <c:pt idx="1906">
                  <c:v>1437.4</c:v>
                </c:pt>
                <c:pt idx="1907">
                  <c:v>1438.9</c:v>
                </c:pt>
                <c:pt idx="1908">
                  <c:v>1439.7</c:v>
                </c:pt>
                <c:pt idx="1909">
                  <c:v>1440.8</c:v>
                </c:pt>
                <c:pt idx="1910">
                  <c:v>1442</c:v>
                </c:pt>
                <c:pt idx="1911">
                  <c:v>1446.1</c:v>
                </c:pt>
                <c:pt idx="1912">
                  <c:v>1452.2</c:v>
                </c:pt>
                <c:pt idx="1913">
                  <c:v>1456.9</c:v>
                </c:pt>
                <c:pt idx="1914">
                  <c:v>1462.3</c:v>
                </c:pt>
                <c:pt idx="1915">
                  <c:v>1466</c:v>
                </c:pt>
                <c:pt idx="1916">
                  <c:v>1471</c:v>
                </c:pt>
                <c:pt idx="1917">
                  <c:v>1474.7</c:v>
                </c:pt>
                <c:pt idx="1918">
                  <c:v>1480</c:v>
                </c:pt>
                <c:pt idx="1919">
                  <c:v>1484.8</c:v>
                </c:pt>
                <c:pt idx="1920">
                  <c:v>1496.3</c:v>
                </c:pt>
                <c:pt idx="1921">
                  <c:v>1512.2</c:v>
                </c:pt>
                <c:pt idx="1922">
                  <c:v>1533.9</c:v>
                </c:pt>
                <c:pt idx="1923">
                  <c:v>1554.7</c:v>
                </c:pt>
                <c:pt idx="1924">
                  <c:v>1570.2</c:v>
                </c:pt>
                <c:pt idx="1925">
                  <c:v>1571.7</c:v>
                </c:pt>
                <c:pt idx="1926">
                  <c:v>1572.5</c:v>
                </c:pt>
                <c:pt idx="1927">
                  <c:v>1573</c:v>
                </c:pt>
                <c:pt idx="1928">
                  <c:v>1573.3</c:v>
                </c:pt>
                <c:pt idx="1929">
                  <c:v>1573.9</c:v>
                </c:pt>
                <c:pt idx="1930">
                  <c:v>1573.3</c:v>
                </c:pt>
                <c:pt idx="1931">
                  <c:v>1572.3</c:v>
                </c:pt>
                <c:pt idx="1932">
                  <c:v>1571.6</c:v>
                </c:pt>
                <c:pt idx="1933">
                  <c:v>1570.7</c:v>
                </c:pt>
                <c:pt idx="1934">
                  <c:v>1571.6</c:v>
                </c:pt>
                <c:pt idx="1935">
                  <c:v>1572.2</c:v>
                </c:pt>
                <c:pt idx="1936">
                  <c:v>1573</c:v>
                </c:pt>
                <c:pt idx="1937">
                  <c:v>1574</c:v>
                </c:pt>
                <c:pt idx="1938">
                  <c:v>1575.2</c:v>
                </c:pt>
                <c:pt idx="1939">
                  <c:v>1576.8</c:v>
                </c:pt>
                <c:pt idx="1940">
                  <c:v>1578.9</c:v>
                </c:pt>
                <c:pt idx="1941">
                  <c:v>1606.6</c:v>
                </c:pt>
                <c:pt idx="1942">
                  <c:v>1668.4</c:v>
                </c:pt>
                <c:pt idx="1943">
                  <c:v>1710.6</c:v>
                </c:pt>
                <c:pt idx="1944">
                  <c:v>1733.3</c:v>
                </c:pt>
                <c:pt idx="1945">
                  <c:v>1731.1</c:v>
                </c:pt>
                <c:pt idx="1946">
                  <c:v>1728.9</c:v>
                </c:pt>
                <c:pt idx="1947">
                  <c:v>1726.7</c:v>
                </c:pt>
                <c:pt idx="1948">
                  <c:v>1724.6</c:v>
                </c:pt>
                <c:pt idx="1949">
                  <c:v>1722.4</c:v>
                </c:pt>
                <c:pt idx="1950">
                  <c:v>1720.3</c:v>
                </c:pt>
                <c:pt idx="1951">
                  <c:v>1718</c:v>
                </c:pt>
                <c:pt idx="1952">
                  <c:v>1715.8</c:v>
                </c:pt>
                <c:pt idx="1953">
                  <c:v>1713.6</c:v>
                </c:pt>
                <c:pt idx="1954">
                  <c:v>1711.3</c:v>
                </c:pt>
                <c:pt idx="1955">
                  <c:v>1709.1</c:v>
                </c:pt>
                <c:pt idx="1956">
                  <c:v>1706.8</c:v>
                </c:pt>
                <c:pt idx="1957">
                  <c:v>1704.6</c:v>
                </c:pt>
                <c:pt idx="1958">
                  <c:v>1702.3</c:v>
                </c:pt>
                <c:pt idx="1959">
                  <c:v>1700.1</c:v>
                </c:pt>
                <c:pt idx="1960">
                  <c:v>1697.8</c:v>
                </c:pt>
                <c:pt idx="1961">
                  <c:v>1695.6</c:v>
                </c:pt>
                <c:pt idx="1962">
                  <c:v>1693.4</c:v>
                </c:pt>
                <c:pt idx="1963">
                  <c:v>1691.1</c:v>
                </c:pt>
                <c:pt idx="1964">
                  <c:v>1688.8</c:v>
                </c:pt>
                <c:pt idx="1965">
                  <c:v>1686.6</c:v>
                </c:pt>
                <c:pt idx="1966">
                  <c:v>1684.3</c:v>
                </c:pt>
                <c:pt idx="1967">
                  <c:v>1682.1</c:v>
                </c:pt>
                <c:pt idx="1968">
                  <c:v>1679.9</c:v>
                </c:pt>
                <c:pt idx="1969">
                  <c:v>1677.6</c:v>
                </c:pt>
                <c:pt idx="1970">
                  <c:v>1675.4</c:v>
                </c:pt>
                <c:pt idx="1971">
                  <c:v>1664.2</c:v>
                </c:pt>
                <c:pt idx="1972">
                  <c:v>1641.2</c:v>
                </c:pt>
                <c:pt idx="1973">
                  <c:v>1624.9</c:v>
                </c:pt>
                <c:pt idx="1974">
                  <c:v>1610.6</c:v>
                </c:pt>
                <c:pt idx="1975">
                  <c:v>1581.7</c:v>
                </c:pt>
                <c:pt idx="1976">
                  <c:v>1561.5</c:v>
                </c:pt>
                <c:pt idx="1977">
                  <c:v>1551.9</c:v>
                </c:pt>
                <c:pt idx="1978">
                  <c:v>1544.7</c:v>
                </c:pt>
                <c:pt idx="1979">
                  <c:v>1533</c:v>
                </c:pt>
                <c:pt idx="1980">
                  <c:v>1518.6</c:v>
                </c:pt>
                <c:pt idx="1981">
                  <c:v>1508</c:v>
                </c:pt>
                <c:pt idx="1982">
                  <c:v>1499.3</c:v>
                </c:pt>
                <c:pt idx="1983">
                  <c:v>1494.6</c:v>
                </c:pt>
                <c:pt idx="1984">
                  <c:v>1490.7</c:v>
                </c:pt>
                <c:pt idx="1985">
                  <c:v>1487.3</c:v>
                </c:pt>
                <c:pt idx="1986">
                  <c:v>1484.2</c:v>
                </c:pt>
                <c:pt idx="1987">
                  <c:v>1480.8</c:v>
                </c:pt>
                <c:pt idx="1988">
                  <c:v>1477.4</c:v>
                </c:pt>
                <c:pt idx="1989">
                  <c:v>1474.3</c:v>
                </c:pt>
                <c:pt idx="1990">
                  <c:v>1470.3</c:v>
                </c:pt>
                <c:pt idx="1991">
                  <c:v>1453.1</c:v>
                </c:pt>
                <c:pt idx="1992">
                  <c:v>1427.2</c:v>
                </c:pt>
                <c:pt idx="1993">
                  <c:v>1434.1</c:v>
                </c:pt>
                <c:pt idx="1994">
                  <c:v>1437.8</c:v>
                </c:pt>
                <c:pt idx="1995">
                  <c:v>1440.9</c:v>
                </c:pt>
                <c:pt idx="1996">
                  <c:v>1448.7</c:v>
                </c:pt>
                <c:pt idx="1997">
                  <c:v>1449.8</c:v>
                </c:pt>
                <c:pt idx="1998">
                  <c:v>1450.6</c:v>
                </c:pt>
                <c:pt idx="1999">
                  <c:v>1451.2</c:v>
                </c:pt>
                <c:pt idx="2000">
                  <c:v>1452</c:v>
                </c:pt>
                <c:pt idx="2001">
                  <c:v>1453.8</c:v>
                </c:pt>
                <c:pt idx="2002">
                  <c:v>1454.5</c:v>
                </c:pt>
                <c:pt idx="2003">
                  <c:v>1455.4</c:v>
                </c:pt>
                <c:pt idx="2004">
                  <c:v>1455.7</c:v>
                </c:pt>
                <c:pt idx="2005">
                  <c:v>1456.1</c:v>
                </c:pt>
                <c:pt idx="2006">
                  <c:v>1458.2</c:v>
                </c:pt>
                <c:pt idx="2007">
                  <c:v>1458.2</c:v>
                </c:pt>
                <c:pt idx="2008">
                  <c:v>1459.2</c:v>
                </c:pt>
                <c:pt idx="2009">
                  <c:v>1458.9</c:v>
                </c:pt>
                <c:pt idx="2010">
                  <c:v>1458.3</c:v>
                </c:pt>
                <c:pt idx="2011">
                  <c:v>1470.1</c:v>
                </c:pt>
                <c:pt idx="2012">
                  <c:v>1469</c:v>
                </c:pt>
                <c:pt idx="2013">
                  <c:v>1467.1</c:v>
                </c:pt>
                <c:pt idx="2014">
                  <c:v>1463.1</c:v>
                </c:pt>
                <c:pt idx="2015">
                  <c:v>1460.4</c:v>
                </c:pt>
                <c:pt idx="2016">
                  <c:v>1461.8</c:v>
                </c:pt>
                <c:pt idx="2017">
                  <c:v>1463</c:v>
                </c:pt>
                <c:pt idx="2018">
                  <c:v>1463.9</c:v>
                </c:pt>
                <c:pt idx="2019">
                  <c:v>1464.5</c:v>
                </c:pt>
                <c:pt idx="2020">
                  <c:v>1465.8</c:v>
                </c:pt>
                <c:pt idx="2021">
                  <c:v>1466.4</c:v>
                </c:pt>
                <c:pt idx="2022">
                  <c:v>1467.4</c:v>
                </c:pt>
                <c:pt idx="2023">
                  <c:v>1468.6</c:v>
                </c:pt>
                <c:pt idx="2024">
                  <c:v>1469.4</c:v>
                </c:pt>
                <c:pt idx="2025">
                  <c:v>1470.2</c:v>
                </c:pt>
                <c:pt idx="2026">
                  <c:v>1470.9</c:v>
                </c:pt>
                <c:pt idx="2027">
                  <c:v>1472</c:v>
                </c:pt>
                <c:pt idx="2028">
                  <c:v>1473</c:v>
                </c:pt>
                <c:pt idx="2029">
                  <c:v>1473.5</c:v>
                </c:pt>
                <c:pt idx="2030">
                  <c:v>1477.9</c:v>
                </c:pt>
                <c:pt idx="2031">
                  <c:v>1480.3</c:v>
                </c:pt>
                <c:pt idx="2032">
                  <c:v>1485.5</c:v>
                </c:pt>
                <c:pt idx="2033">
                  <c:v>1486.7</c:v>
                </c:pt>
                <c:pt idx="2034">
                  <c:v>1489.2</c:v>
                </c:pt>
                <c:pt idx="2035">
                  <c:v>1490.5</c:v>
                </c:pt>
                <c:pt idx="2036">
                  <c:v>1493.5</c:v>
                </c:pt>
                <c:pt idx="2037">
                  <c:v>1495.2</c:v>
                </c:pt>
                <c:pt idx="2038">
                  <c:v>1495.6</c:v>
                </c:pt>
                <c:pt idx="2039">
                  <c:v>1495.2</c:v>
                </c:pt>
                <c:pt idx="2040">
                  <c:v>1495.6</c:v>
                </c:pt>
                <c:pt idx="2041">
                  <c:v>1496.4</c:v>
                </c:pt>
                <c:pt idx="2042">
                  <c:v>1496.8</c:v>
                </c:pt>
                <c:pt idx="2043">
                  <c:v>1497.8</c:v>
                </c:pt>
                <c:pt idx="2044">
                  <c:v>1497.6</c:v>
                </c:pt>
                <c:pt idx="2045">
                  <c:v>1497.9</c:v>
                </c:pt>
                <c:pt idx="2046">
                  <c:v>1498.3</c:v>
                </c:pt>
                <c:pt idx="2047">
                  <c:v>1498.6</c:v>
                </c:pt>
                <c:pt idx="2048">
                  <c:v>1499.6</c:v>
                </c:pt>
                <c:pt idx="2049">
                  <c:v>1499.8</c:v>
                </c:pt>
                <c:pt idx="2050">
                  <c:v>1499.5</c:v>
                </c:pt>
                <c:pt idx="2051">
                  <c:v>1499.8</c:v>
                </c:pt>
                <c:pt idx="2052">
                  <c:v>1499.9</c:v>
                </c:pt>
                <c:pt idx="2053">
                  <c:v>1500.6</c:v>
                </c:pt>
                <c:pt idx="2054">
                  <c:v>1500.8</c:v>
                </c:pt>
                <c:pt idx="2055">
                  <c:v>1498.4</c:v>
                </c:pt>
                <c:pt idx="2056">
                  <c:v>1497.9</c:v>
                </c:pt>
                <c:pt idx="2057">
                  <c:v>1497.8</c:v>
                </c:pt>
                <c:pt idx="2058">
                  <c:v>1497.9</c:v>
                </c:pt>
                <c:pt idx="2059">
                  <c:v>1497.9</c:v>
                </c:pt>
                <c:pt idx="2060">
                  <c:v>1498.1</c:v>
                </c:pt>
                <c:pt idx="2061">
                  <c:v>1497.4</c:v>
                </c:pt>
                <c:pt idx="2062">
                  <c:v>1497.7</c:v>
                </c:pt>
                <c:pt idx="2063">
                  <c:v>1497.3</c:v>
                </c:pt>
                <c:pt idx="2064">
                  <c:v>1497.4</c:v>
                </c:pt>
                <c:pt idx="2065">
                  <c:v>1497.5</c:v>
                </c:pt>
                <c:pt idx="2066">
                  <c:v>1497.5</c:v>
                </c:pt>
                <c:pt idx="2067">
                  <c:v>1496.9</c:v>
                </c:pt>
                <c:pt idx="2068">
                  <c:v>1496.6</c:v>
                </c:pt>
                <c:pt idx="2069">
                  <c:v>1496.7</c:v>
                </c:pt>
                <c:pt idx="2070">
                  <c:v>1496.6</c:v>
                </c:pt>
                <c:pt idx="2071">
                  <c:v>1496.5</c:v>
                </c:pt>
                <c:pt idx="2072">
                  <c:v>1494.6</c:v>
                </c:pt>
                <c:pt idx="2073">
                  <c:v>1490</c:v>
                </c:pt>
                <c:pt idx="2074">
                  <c:v>1484.6</c:v>
                </c:pt>
                <c:pt idx="2075">
                  <c:v>1480.5</c:v>
                </c:pt>
                <c:pt idx="2076">
                  <c:v>1477.1</c:v>
                </c:pt>
                <c:pt idx="2077">
                  <c:v>1470.4</c:v>
                </c:pt>
                <c:pt idx="2078">
                  <c:v>1464.9</c:v>
                </c:pt>
                <c:pt idx="2079">
                  <c:v>1462.9</c:v>
                </c:pt>
                <c:pt idx="2080">
                  <c:v>1461.4</c:v>
                </c:pt>
                <c:pt idx="2081">
                  <c:v>1460.2</c:v>
                </c:pt>
                <c:pt idx="2082">
                  <c:v>1459</c:v>
                </c:pt>
                <c:pt idx="2083">
                  <c:v>1457.7</c:v>
                </c:pt>
                <c:pt idx="2084">
                  <c:v>1455.5</c:v>
                </c:pt>
                <c:pt idx="2085">
                  <c:v>1454</c:v>
                </c:pt>
                <c:pt idx="2086">
                  <c:v>1452.9</c:v>
                </c:pt>
                <c:pt idx="2087">
                  <c:v>1452.1</c:v>
                </c:pt>
                <c:pt idx="2088">
                  <c:v>1451</c:v>
                </c:pt>
                <c:pt idx="2089">
                  <c:v>1450.2</c:v>
                </c:pt>
                <c:pt idx="2090">
                  <c:v>1448.3</c:v>
                </c:pt>
                <c:pt idx="2091">
                  <c:v>1445.8</c:v>
                </c:pt>
                <c:pt idx="2092">
                  <c:v>1444.1</c:v>
                </c:pt>
                <c:pt idx="2093">
                  <c:v>1442.1</c:v>
                </c:pt>
                <c:pt idx="2094">
                  <c:v>1440.4</c:v>
                </c:pt>
                <c:pt idx="2095">
                  <c:v>1437.7</c:v>
                </c:pt>
                <c:pt idx="2096">
                  <c:v>1436.2</c:v>
                </c:pt>
                <c:pt idx="2097">
                  <c:v>1434.3</c:v>
                </c:pt>
                <c:pt idx="2098">
                  <c:v>1432.3</c:v>
                </c:pt>
                <c:pt idx="2099">
                  <c:v>1430.6</c:v>
                </c:pt>
                <c:pt idx="2100">
                  <c:v>1429</c:v>
                </c:pt>
                <c:pt idx="2101">
                  <c:v>1427.6</c:v>
                </c:pt>
                <c:pt idx="2102">
                  <c:v>1425.6</c:v>
                </c:pt>
                <c:pt idx="2103">
                  <c:v>1423.8</c:v>
                </c:pt>
                <c:pt idx="2104">
                  <c:v>1424.3</c:v>
                </c:pt>
                <c:pt idx="2105">
                  <c:v>1423.9</c:v>
                </c:pt>
                <c:pt idx="2106">
                  <c:v>1424</c:v>
                </c:pt>
                <c:pt idx="2107">
                  <c:v>1423.8</c:v>
                </c:pt>
                <c:pt idx="2108">
                  <c:v>1424.3</c:v>
                </c:pt>
                <c:pt idx="2109">
                  <c:v>1424.4</c:v>
                </c:pt>
                <c:pt idx="2110">
                  <c:v>1424.2</c:v>
                </c:pt>
                <c:pt idx="2111">
                  <c:v>1424.2</c:v>
                </c:pt>
                <c:pt idx="2112">
                  <c:v>1424.8</c:v>
                </c:pt>
                <c:pt idx="2113">
                  <c:v>1424.6</c:v>
                </c:pt>
                <c:pt idx="2114">
                  <c:v>1424.9</c:v>
                </c:pt>
                <c:pt idx="2115">
                  <c:v>1425.4</c:v>
                </c:pt>
                <c:pt idx="2116">
                  <c:v>1425.8</c:v>
                </c:pt>
                <c:pt idx="2117">
                  <c:v>1427.8</c:v>
                </c:pt>
                <c:pt idx="2118">
                  <c:v>1430.2</c:v>
                </c:pt>
                <c:pt idx="2119">
                  <c:v>1432.7</c:v>
                </c:pt>
                <c:pt idx="2120">
                  <c:v>1434.9</c:v>
                </c:pt>
                <c:pt idx="2121">
                  <c:v>1438.2</c:v>
                </c:pt>
                <c:pt idx="2122">
                  <c:v>1441.8</c:v>
                </c:pt>
                <c:pt idx="2123">
                  <c:v>1444.8</c:v>
                </c:pt>
                <c:pt idx="2124">
                  <c:v>1451.3</c:v>
                </c:pt>
                <c:pt idx="2125">
                  <c:v>1459.3</c:v>
                </c:pt>
                <c:pt idx="2126">
                  <c:v>1469</c:v>
                </c:pt>
                <c:pt idx="2127">
                  <c:v>1482.4</c:v>
                </c:pt>
                <c:pt idx="2128">
                  <c:v>1498.2</c:v>
                </c:pt>
                <c:pt idx="2129">
                  <c:v>1511.3</c:v>
                </c:pt>
                <c:pt idx="2130">
                  <c:v>1532.4</c:v>
                </c:pt>
                <c:pt idx="2131">
                  <c:v>1552.2</c:v>
                </c:pt>
                <c:pt idx="2132">
                  <c:v>1570.1</c:v>
                </c:pt>
                <c:pt idx="2133">
                  <c:v>1582.1</c:v>
                </c:pt>
                <c:pt idx="2134">
                  <c:v>1595.1</c:v>
                </c:pt>
                <c:pt idx="2135">
                  <c:v>1607.6</c:v>
                </c:pt>
                <c:pt idx="2136">
                  <c:v>1628.4</c:v>
                </c:pt>
                <c:pt idx="2137">
                  <c:v>1649.6</c:v>
                </c:pt>
                <c:pt idx="2138">
                  <c:v>1667.5</c:v>
                </c:pt>
                <c:pt idx="2139">
                  <c:v>1680.2</c:v>
                </c:pt>
                <c:pt idx="2140">
                  <c:v>1687.2</c:v>
                </c:pt>
                <c:pt idx="2141">
                  <c:v>1687</c:v>
                </c:pt>
                <c:pt idx="2142">
                  <c:v>1685.6</c:v>
                </c:pt>
                <c:pt idx="2143">
                  <c:v>1684.9</c:v>
                </c:pt>
                <c:pt idx="2144">
                  <c:v>1684.5</c:v>
                </c:pt>
                <c:pt idx="2145">
                  <c:v>1684.8</c:v>
                </c:pt>
                <c:pt idx="2146">
                  <c:v>1686.1</c:v>
                </c:pt>
                <c:pt idx="2147">
                  <c:v>1685.9</c:v>
                </c:pt>
                <c:pt idx="2148">
                  <c:v>1684.2</c:v>
                </c:pt>
                <c:pt idx="2149">
                  <c:v>1682.4</c:v>
                </c:pt>
                <c:pt idx="2150">
                  <c:v>1680.9</c:v>
                </c:pt>
                <c:pt idx="2151">
                  <c:v>1679.5</c:v>
                </c:pt>
                <c:pt idx="2152">
                  <c:v>1678.2</c:v>
                </c:pt>
                <c:pt idx="2153">
                  <c:v>1677</c:v>
                </c:pt>
                <c:pt idx="2154">
                  <c:v>1675</c:v>
                </c:pt>
                <c:pt idx="2155">
                  <c:v>1673</c:v>
                </c:pt>
                <c:pt idx="2156">
                  <c:v>1671</c:v>
                </c:pt>
                <c:pt idx="2157">
                  <c:v>1669</c:v>
                </c:pt>
                <c:pt idx="2158">
                  <c:v>1667.1</c:v>
                </c:pt>
                <c:pt idx="2159">
                  <c:v>1665.1</c:v>
                </c:pt>
                <c:pt idx="2160">
                  <c:v>1663.2</c:v>
                </c:pt>
                <c:pt idx="2161">
                  <c:v>1661.3</c:v>
                </c:pt>
                <c:pt idx="2162">
                  <c:v>1659.5</c:v>
                </c:pt>
                <c:pt idx="2163">
                  <c:v>1657.6</c:v>
                </c:pt>
                <c:pt idx="2164">
                  <c:v>1655.8</c:v>
                </c:pt>
                <c:pt idx="2165">
                  <c:v>1654</c:v>
                </c:pt>
                <c:pt idx="2166">
                  <c:v>1652.3</c:v>
                </c:pt>
                <c:pt idx="2167">
                  <c:v>1650.4</c:v>
                </c:pt>
                <c:pt idx="2168">
                  <c:v>1648.7</c:v>
                </c:pt>
                <c:pt idx="2169">
                  <c:v>1647</c:v>
                </c:pt>
                <c:pt idx="2170">
                  <c:v>1645.2</c:v>
                </c:pt>
                <c:pt idx="2171">
                  <c:v>1643.4</c:v>
                </c:pt>
                <c:pt idx="2172">
                  <c:v>1641.7</c:v>
                </c:pt>
                <c:pt idx="2173">
                  <c:v>1640</c:v>
                </c:pt>
                <c:pt idx="2174">
                  <c:v>1638.3</c:v>
                </c:pt>
                <c:pt idx="2175">
                  <c:v>1636.5</c:v>
                </c:pt>
                <c:pt idx="2176">
                  <c:v>1634.9</c:v>
                </c:pt>
                <c:pt idx="2177">
                  <c:v>1633.2</c:v>
                </c:pt>
                <c:pt idx="2178">
                  <c:v>1631.6</c:v>
                </c:pt>
                <c:pt idx="2179">
                  <c:v>1630</c:v>
                </c:pt>
                <c:pt idx="2180">
                  <c:v>1628.4</c:v>
                </c:pt>
                <c:pt idx="2181">
                  <c:v>1626.8</c:v>
                </c:pt>
                <c:pt idx="2182">
                  <c:v>1625.3</c:v>
                </c:pt>
                <c:pt idx="2183">
                  <c:v>1623.7</c:v>
                </c:pt>
                <c:pt idx="2184">
                  <c:v>1622.2</c:v>
                </c:pt>
                <c:pt idx="2185">
                  <c:v>1620.7</c:v>
                </c:pt>
                <c:pt idx="2186">
                  <c:v>1619.1</c:v>
                </c:pt>
                <c:pt idx="2187">
                  <c:v>1617.7</c:v>
                </c:pt>
                <c:pt idx="2188">
                  <c:v>1616.2</c:v>
                </c:pt>
                <c:pt idx="2189">
                  <c:v>1614.8</c:v>
                </c:pt>
                <c:pt idx="2190">
                  <c:v>1613.3</c:v>
                </c:pt>
                <c:pt idx="2191">
                  <c:v>1611.9</c:v>
                </c:pt>
                <c:pt idx="2192">
                  <c:v>1610.5</c:v>
                </c:pt>
                <c:pt idx="2193">
                  <c:v>1609.1</c:v>
                </c:pt>
                <c:pt idx="2194">
                  <c:v>1607.7</c:v>
                </c:pt>
                <c:pt idx="2195">
                  <c:v>1606.3</c:v>
                </c:pt>
                <c:pt idx="2196">
                  <c:v>1604.8</c:v>
                </c:pt>
                <c:pt idx="2197">
                  <c:v>1603.4</c:v>
                </c:pt>
                <c:pt idx="2198">
                  <c:v>1602</c:v>
                </c:pt>
                <c:pt idx="2199">
                  <c:v>1600.6</c:v>
                </c:pt>
                <c:pt idx="2200">
                  <c:v>1599.3</c:v>
                </c:pt>
                <c:pt idx="2201">
                  <c:v>1598</c:v>
                </c:pt>
                <c:pt idx="2202">
                  <c:v>1596.7</c:v>
                </c:pt>
                <c:pt idx="2203">
                  <c:v>1595.4</c:v>
                </c:pt>
                <c:pt idx="2204">
                  <c:v>1594.1</c:v>
                </c:pt>
                <c:pt idx="2205">
                  <c:v>1592.9</c:v>
                </c:pt>
                <c:pt idx="2206">
                  <c:v>1591.6</c:v>
                </c:pt>
                <c:pt idx="2207">
                  <c:v>1590.4</c:v>
                </c:pt>
                <c:pt idx="2208">
                  <c:v>1589.2</c:v>
                </c:pt>
                <c:pt idx="2209">
                  <c:v>1588</c:v>
                </c:pt>
                <c:pt idx="2210">
                  <c:v>1586.6</c:v>
                </c:pt>
                <c:pt idx="2211">
                  <c:v>1585.5</c:v>
                </c:pt>
                <c:pt idx="2212">
                  <c:v>1584.2</c:v>
                </c:pt>
                <c:pt idx="2213">
                  <c:v>1583.1</c:v>
                </c:pt>
                <c:pt idx="2214">
                  <c:v>1581.9</c:v>
                </c:pt>
                <c:pt idx="2215">
                  <c:v>1580.7</c:v>
                </c:pt>
                <c:pt idx="2216">
                  <c:v>1579.6</c:v>
                </c:pt>
                <c:pt idx="2217">
                  <c:v>1578.4</c:v>
                </c:pt>
                <c:pt idx="2218">
                  <c:v>1577.3</c:v>
                </c:pt>
                <c:pt idx="2219">
                  <c:v>1576.1</c:v>
                </c:pt>
                <c:pt idx="2220">
                  <c:v>1575</c:v>
                </c:pt>
                <c:pt idx="2221">
                  <c:v>1573.9</c:v>
                </c:pt>
                <c:pt idx="2222">
                  <c:v>1572.7</c:v>
                </c:pt>
                <c:pt idx="2223">
                  <c:v>1571.5</c:v>
                </c:pt>
                <c:pt idx="2224">
                  <c:v>1570.4</c:v>
                </c:pt>
                <c:pt idx="2225">
                  <c:v>1569.3</c:v>
                </c:pt>
                <c:pt idx="2226">
                  <c:v>1568.2</c:v>
                </c:pt>
                <c:pt idx="2227">
                  <c:v>1567.1</c:v>
                </c:pt>
                <c:pt idx="2228">
                  <c:v>1566</c:v>
                </c:pt>
                <c:pt idx="2229">
                  <c:v>1564.9</c:v>
                </c:pt>
                <c:pt idx="2230">
                  <c:v>1563.4</c:v>
                </c:pt>
                <c:pt idx="2231">
                  <c:v>1562</c:v>
                </c:pt>
                <c:pt idx="2232">
                  <c:v>1558.9</c:v>
                </c:pt>
                <c:pt idx="2233">
                  <c:v>1560</c:v>
                </c:pt>
                <c:pt idx="2234">
                  <c:v>1560.6</c:v>
                </c:pt>
                <c:pt idx="2235">
                  <c:v>1560.7</c:v>
                </c:pt>
                <c:pt idx="2236">
                  <c:v>1560.8</c:v>
                </c:pt>
                <c:pt idx="2237">
                  <c:v>1560.9</c:v>
                </c:pt>
                <c:pt idx="2238">
                  <c:v>1561</c:v>
                </c:pt>
                <c:pt idx="2239">
                  <c:v>1561.1</c:v>
                </c:pt>
                <c:pt idx="2240">
                  <c:v>1561.2</c:v>
                </c:pt>
                <c:pt idx="2241">
                  <c:v>1561.3</c:v>
                </c:pt>
                <c:pt idx="2242">
                  <c:v>1561.4</c:v>
                </c:pt>
                <c:pt idx="2243">
                  <c:v>1561.4</c:v>
                </c:pt>
                <c:pt idx="2244">
                  <c:v>1561.6</c:v>
                </c:pt>
                <c:pt idx="2245">
                  <c:v>1561.7</c:v>
                </c:pt>
                <c:pt idx="2246">
                  <c:v>1561.8</c:v>
                </c:pt>
                <c:pt idx="2247">
                  <c:v>1561.9</c:v>
                </c:pt>
                <c:pt idx="2248">
                  <c:v>1562</c:v>
                </c:pt>
                <c:pt idx="2249">
                  <c:v>1562.1</c:v>
                </c:pt>
                <c:pt idx="2250">
                  <c:v>1562.2</c:v>
                </c:pt>
                <c:pt idx="2251">
                  <c:v>1562.3</c:v>
                </c:pt>
                <c:pt idx="2252">
                  <c:v>1562.4</c:v>
                </c:pt>
                <c:pt idx="2253">
                  <c:v>1562.5</c:v>
                </c:pt>
                <c:pt idx="2254">
                  <c:v>1562.6</c:v>
                </c:pt>
                <c:pt idx="2255">
                  <c:v>1562.7</c:v>
                </c:pt>
                <c:pt idx="2256">
                  <c:v>1562.8</c:v>
                </c:pt>
                <c:pt idx="2257">
                  <c:v>1562.9</c:v>
                </c:pt>
                <c:pt idx="2258">
                  <c:v>1563</c:v>
                </c:pt>
                <c:pt idx="2259">
                  <c:v>1563.2</c:v>
                </c:pt>
                <c:pt idx="2260">
                  <c:v>1563.3</c:v>
                </c:pt>
                <c:pt idx="2261">
                  <c:v>1563.3</c:v>
                </c:pt>
                <c:pt idx="2262">
                  <c:v>1563.5</c:v>
                </c:pt>
                <c:pt idx="2263">
                  <c:v>1563.6</c:v>
                </c:pt>
                <c:pt idx="2264">
                  <c:v>1563.7</c:v>
                </c:pt>
                <c:pt idx="2265">
                  <c:v>1563.9</c:v>
                </c:pt>
                <c:pt idx="2266">
                  <c:v>1563.9</c:v>
                </c:pt>
                <c:pt idx="2267">
                  <c:v>1564.1</c:v>
                </c:pt>
                <c:pt idx="2268">
                  <c:v>1564.2</c:v>
                </c:pt>
                <c:pt idx="2269">
                  <c:v>1564.3</c:v>
                </c:pt>
                <c:pt idx="2270">
                  <c:v>1564.4</c:v>
                </c:pt>
                <c:pt idx="2271">
                  <c:v>1564.5</c:v>
                </c:pt>
                <c:pt idx="2272">
                  <c:v>1564.7</c:v>
                </c:pt>
                <c:pt idx="2273">
                  <c:v>1564.8</c:v>
                </c:pt>
                <c:pt idx="2274">
                  <c:v>1564.9</c:v>
                </c:pt>
                <c:pt idx="2275">
                  <c:v>1565</c:v>
                </c:pt>
                <c:pt idx="2276">
                  <c:v>1565.1</c:v>
                </c:pt>
                <c:pt idx="2277">
                  <c:v>1565.3</c:v>
                </c:pt>
                <c:pt idx="2278">
                  <c:v>1565.4</c:v>
                </c:pt>
                <c:pt idx="2279">
                  <c:v>1565.5</c:v>
                </c:pt>
                <c:pt idx="2280">
                  <c:v>1565.6</c:v>
                </c:pt>
                <c:pt idx="2281">
                  <c:v>1565.8</c:v>
                </c:pt>
                <c:pt idx="2282">
                  <c:v>1565.9</c:v>
                </c:pt>
                <c:pt idx="2283">
                  <c:v>1566.1</c:v>
                </c:pt>
                <c:pt idx="2284">
                  <c:v>1566.1</c:v>
                </c:pt>
                <c:pt idx="2285">
                  <c:v>1566.3</c:v>
                </c:pt>
                <c:pt idx="2286">
                  <c:v>1566.5</c:v>
                </c:pt>
                <c:pt idx="2287">
                  <c:v>1566.6</c:v>
                </c:pt>
                <c:pt idx="2288">
                  <c:v>1566.7</c:v>
                </c:pt>
                <c:pt idx="2289">
                  <c:v>1566.8</c:v>
                </c:pt>
                <c:pt idx="2290">
                  <c:v>1567</c:v>
                </c:pt>
                <c:pt idx="2291">
                  <c:v>1567.2</c:v>
                </c:pt>
                <c:pt idx="2292">
                  <c:v>1567.3</c:v>
                </c:pt>
                <c:pt idx="2293">
                  <c:v>1567.4</c:v>
                </c:pt>
                <c:pt idx="2294">
                  <c:v>1567.6</c:v>
                </c:pt>
                <c:pt idx="2295">
                  <c:v>1567.8</c:v>
                </c:pt>
                <c:pt idx="2296">
                  <c:v>1568</c:v>
                </c:pt>
                <c:pt idx="2297">
                  <c:v>1568</c:v>
                </c:pt>
                <c:pt idx="2298">
                  <c:v>1568.2</c:v>
                </c:pt>
                <c:pt idx="2299">
                  <c:v>1568.4</c:v>
                </c:pt>
                <c:pt idx="2300">
                  <c:v>1568.6</c:v>
                </c:pt>
                <c:pt idx="2301">
                  <c:v>1568.8</c:v>
                </c:pt>
                <c:pt idx="2302">
                  <c:v>1568.9</c:v>
                </c:pt>
                <c:pt idx="2303">
                  <c:v>1569</c:v>
                </c:pt>
                <c:pt idx="2304">
                  <c:v>1569.2</c:v>
                </c:pt>
                <c:pt idx="2305">
                  <c:v>1569.5</c:v>
                </c:pt>
                <c:pt idx="2306">
                  <c:v>1569.5</c:v>
                </c:pt>
                <c:pt idx="2307">
                  <c:v>1569.7</c:v>
                </c:pt>
                <c:pt idx="2308">
                  <c:v>1570</c:v>
                </c:pt>
                <c:pt idx="2309">
                  <c:v>1570.1</c:v>
                </c:pt>
                <c:pt idx="2310">
                  <c:v>1570.4</c:v>
                </c:pt>
                <c:pt idx="2311">
                  <c:v>1570.5</c:v>
                </c:pt>
                <c:pt idx="2312">
                  <c:v>1570.7</c:v>
                </c:pt>
                <c:pt idx="2313">
                  <c:v>1570.9</c:v>
                </c:pt>
                <c:pt idx="2314">
                  <c:v>1571.1</c:v>
                </c:pt>
                <c:pt idx="2315">
                  <c:v>1571.4</c:v>
                </c:pt>
                <c:pt idx="2316">
                  <c:v>1571.5</c:v>
                </c:pt>
                <c:pt idx="2317">
                  <c:v>1571.7</c:v>
                </c:pt>
                <c:pt idx="2318">
                  <c:v>1572</c:v>
                </c:pt>
                <c:pt idx="2319">
                  <c:v>1572.3</c:v>
                </c:pt>
                <c:pt idx="2320">
                  <c:v>1572.4</c:v>
                </c:pt>
                <c:pt idx="2321">
                  <c:v>1572.6</c:v>
                </c:pt>
                <c:pt idx="2322">
                  <c:v>1572.9</c:v>
                </c:pt>
                <c:pt idx="2323">
                  <c:v>1573.2</c:v>
                </c:pt>
                <c:pt idx="2324">
                  <c:v>1573.4</c:v>
                </c:pt>
                <c:pt idx="2325">
                  <c:v>1573.6</c:v>
                </c:pt>
                <c:pt idx="2326">
                  <c:v>1573.9</c:v>
                </c:pt>
                <c:pt idx="2327">
                  <c:v>1574.2</c:v>
                </c:pt>
                <c:pt idx="2328">
                  <c:v>1574.5</c:v>
                </c:pt>
                <c:pt idx="2329">
                  <c:v>1574.7</c:v>
                </c:pt>
                <c:pt idx="2330">
                  <c:v>1575</c:v>
                </c:pt>
                <c:pt idx="2331">
                  <c:v>1575.3</c:v>
                </c:pt>
                <c:pt idx="2332">
                  <c:v>1575.6</c:v>
                </c:pt>
                <c:pt idx="2333">
                  <c:v>1575.8</c:v>
                </c:pt>
                <c:pt idx="2334">
                  <c:v>1576</c:v>
                </c:pt>
                <c:pt idx="2335">
                  <c:v>1576.2</c:v>
                </c:pt>
                <c:pt idx="2336">
                  <c:v>1576.4</c:v>
                </c:pt>
                <c:pt idx="2337">
                  <c:v>1576.7</c:v>
                </c:pt>
                <c:pt idx="2338">
                  <c:v>1576.8</c:v>
                </c:pt>
                <c:pt idx="2339">
                  <c:v>1577.1</c:v>
                </c:pt>
                <c:pt idx="2340">
                  <c:v>1577.3</c:v>
                </c:pt>
                <c:pt idx="2341">
                  <c:v>1577.6</c:v>
                </c:pt>
                <c:pt idx="2342">
                  <c:v>1577.8</c:v>
                </c:pt>
                <c:pt idx="2343">
                  <c:v>1578</c:v>
                </c:pt>
                <c:pt idx="2344">
                  <c:v>1578.3</c:v>
                </c:pt>
                <c:pt idx="2345">
                  <c:v>1578.5</c:v>
                </c:pt>
                <c:pt idx="2346">
                  <c:v>1578.8</c:v>
                </c:pt>
                <c:pt idx="2347">
                  <c:v>1579.1</c:v>
                </c:pt>
                <c:pt idx="2348">
                  <c:v>1579.4</c:v>
                </c:pt>
                <c:pt idx="2349">
                  <c:v>1579.6</c:v>
                </c:pt>
                <c:pt idx="2350">
                  <c:v>1579.9</c:v>
                </c:pt>
                <c:pt idx="2351">
                  <c:v>1580.2</c:v>
                </c:pt>
                <c:pt idx="2352">
                  <c:v>1580.4</c:v>
                </c:pt>
                <c:pt idx="2353">
                  <c:v>1580.6</c:v>
                </c:pt>
                <c:pt idx="2354">
                  <c:v>1580.9</c:v>
                </c:pt>
                <c:pt idx="2355">
                  <c:v>1581.2</c:v>
                </c:pt>
                <c:pt idx="2356">
                  <c:v>1581.4</c:v>
                </c:pt>
                <c:pt idx="2357">
                  <c:v>1581.7</c:v>
                </c:pt>
                <c:pt idx="2358">
                  <c:v>1581.9</c:v>
                </c:pt>
                <c:pt idx="2359">
                  <c:v>1582.2</c:v>
                </c:pt>
                <c:pt idx="2360">
                  <c:v>1582.5</c:v>
                </c:pt>
                <c:pt idx="2361">
                  <c:v>1582.7</c:v>
                </c:pt>
                <c:pt idx="2362">
                  <c:v>1583</c:v>
                </c:pt>
                <c:pt idx="2363">
                  <c:v>1583.3</c:v>
                </c:pt>
                <c:pt idx="2364">
                  <c:v>1583.6</c:v>
                </c:pt>
                <c:pt idx="2365">
                  <c:v>1583.9</c:v>
                </c:pt>
                <c:pt idx="2366">
                  <c:v>1584.2</c:v>
                </c:pt>
                <c:pt idx="2367">
                  <c:v>1593.8</c:v>
                </c:pt>
                <c:pt idx="2368">
                  <c:v>1595.6</c:v>
                </c:pt>
                <c:pt idx="2369">
                  <c:v>1597.3</c:v>
                </c:pt>
                <c:pt idx="2370">
                  <c:v>1599</c:v>
                </c:pt>
                <c:pt idx="2371">
                  <c:v>1600.7</c:v>
                </c:pt>
                <c:pt idx="2372">
                  <c:v>1602.5</c:v>
                </c:pt>
                <c:pt idx="2373">
                  <c:v>1604.2</c:v>
                </c:pt>
                <c:pt idx="2374">
                  <c:v>1605.9</c:v>
                </c:pt>
                <c:pt idx="2375">
                  <c:v>1607.7</c:v>
                </c:pt>
                <c:pt idx="2376">
                  <c:v>1609.5</c:v>
                </c:pt>
                <c:pt idx="2377">
                  <c:v>1611.2</c:v>
                </c:pt>
                <c:pt idx="2378">
                  <c:v>1612.8</c:v>
                </c:pt>
                <c:pt idx="2379">
                  <c:v>1614.6</c:v>
                </c:pt>
                <c:pt idx="2380">
                  <c:v>1616.3</c:v>
                </c:pt>
                <c:pt idx="2381">
                  <c:v>1618</c:v>
                </c:pt>
                <c:pt idx="2382">
                  <c:v>1619.8</c:v>
                </c:pt>
                <c:pt idx="2383">
                  <c:v>1621.5</c:v>
                </c:pt>
                <c:pt idx="2384">
                  <c:v>1623.2</c:v>
                </c:pt>
                <c:pt idx="2385">
                  <c:v>1624.9</c:v>
                </c:pt>
                <c:pt idx="2386">
                  <c:v>1626.7</c:v>
                </c:pt>
                <c:pt idx="2387">
                  <c:v>1628.4</c:v>
                </c:pt>
                <c:pt idx="2388">
                  <c:v>1630.2</c:v>
                </c:pt>
                <c:pt idx="2389">
                  <c:v>1631.8</c:v>
                </c:pt>
                <c:pt idx="2390">
                  <c:v>1633.6</c:v>
                </c:pt>
                <c:pt idx="2391">
                  <c:v>1635.4</c:v>
                </c:pt>
                <c:pt idx="2392">
                  <c:v>1637.1</c:v>
                </c:pt>
                <c:pt idx="2393">
                  <c:v>1638.8</c:v>
                </c:pt>
                <c:pt idx="2394">
                  <c:v>1640.6</c:v>
                </c:pt>
                <c:pt idx="2395">
                  <c:v>1642.3</c:v>
                </c:pt>
                <c:pt idx="2396">
                  <c:v>1644.1</c:v>
                </c:pt>
                <c:pt idx="2397">
                  <c:v>1645.8</c:v>
                </c:pt>
                <c:pt idx="2398">
                  <c:v>1647.6</c:v>
                </c:pt>
                <c:pt idx="2399">
                  <c:v>1649.3</c:v>
                </c:pt>
                <c:pt idx="2400">
                  <c:v>1651</c:v>
                </c:pt>
                <c:pt idx="2401">
                  <c:v>1652.8</c:v>
                </c:pt>
                <c:pt idx="2402">
                  <c:v>1654.5</c:v>
                </c:pt>
                <c:pt idx="2403">
                  <c:v>1656.3</c:v>
                </c:pt>
                <c:pt idx="2404">
                  <c:v>1657.9</c:v>
                </c:pt>
                <c:pt idx="2405">
                  <c:v>1659.8</c:v>
                </c:pt>
                <c:pt idx="2406">
                  <c:v>1661.3</c:v>
                </c:pt>
                <c:pt idx="2407">
                  <c:v>1662.4</c:v>
                </c:pt>
                <c:pt idx="2408">
                  <c:v>1663.5</c:v>
                </c:pt>
                <c:pt idx="2409">
                  <c:v>1664.9</c:v>
                </c:pt>
                <c:pt idx="2410">
                  <c:v>1666.1</c:v>
                </c:pt>
                <c:pt idx="2411">
                  <c:v>1667.4</c:v>
                </c:pt>
                <c:pt idx="2412">
                  <c:v>1668.7</c:v>
                </c:pt>
                <c:pt idx="2413">
                  <c:v>1670.4</c:v>
                </c:pt>
                <c:pt idx="2414">
                  <c:v>1672.1</c:v>
                </c:pt>
                <c:pt idx="2415">
                  <c:v>1673.8</c:v>
                </c:pt>
                <c:pt idx="2416">
                  <c:v>1675.3</c:v>
                </c:pt>
                <c:pt idx="2417">
                  <c:v>1676.1</c:v>
                </c:pt>
                <c:pt idx="2418">
                  <c:v>1676.4</c:v>
                </c:pt>
                <c:pt idx="2419">
                  <c:v>1677</c:v>
                </c:pt>
                <c:pt idx="2420">
                  <c:v>1677.6</c:v>
                </c:pt>
                <c:pt idx="2421">
                  <c:v>1678.5</c:v>
                </c:pt>
                <c:pt idx="2422">
                  <c:v>1679.3</c:v>
                </c:pt>
                <c:pt idx="2423">
                  <c:v>1680.1</c:v>
                </c:pt>
                <c:pt idx="2424">
                  <c:v>1681</c:v>
                </c:pt>
                <c:pt idx="2425">
                  <c:v>1682.6</c:v>
                </c:pt>
                <c:pt idx="2426">
                  <c:v>1684.2</c:v>
                </c:pt>
                <c:pt idx="2427">
                  <c:v>1685.9</c:v>
                </c:pt>
                <c:pt idx="2428">
                  <c:v>1687.6</c:v>
                </c:pt>
                <c:pt idx="2429">
                  <c:v>1689.2</c:v>
                </c:pt>
                <c:pt idx="2430">
                  <c:v>1690.8</c:v>
                </c:pt>
                <c:pt idx="2431">
                  <c:v>1692.5</c:v>
                </c:pt>
                <c:pt idx="2432">
                  <c:v>1694</c:v>
                </c:pt>
                <c:pt idx="2433">
                  <c:v>1695.1</c:v>
                </c:pt>
                <c:pt idx="2434">
                  <c:v>1696.5</c:v>
                </c:pt>
                <c:pt idx="2435">
                  <c:v>1695.6</c:v>
                </c:pt>
                <c:pt idx="2436">
                  <c:v>1693.6</c:v>
                </c:pt>
                <c:pt idx="2437">
                  <c:v>1692.4</c:v>
                </c:pt>
                <c:pt idx="2438">
                  <c:v>1688</c:v>
                </c:pt>
                <c:pt idx="2439">
                  <c:v>1685.9</c:v>
                </c:pt>
                <c:pt idx="2440">
                  <c:v>1684.5</c:v>
                </c:pt>
                <c:pt idx="2441">
                  <c:v>1683.6</c:v>
                </c:pt>
                <c:pt idx="2442">
                  <c:v>1682.4</c:v>
                </c:pt>
                <c:pt idx="2443">
                  <c:v>1681.2</c:v>
                </c:pt>
                <c:pt idx="2444">
                  <c:v>1679.6</c:v>
                </c:pt>
                <c:pt idx="2445">
                  <c:v>1677.9</c:v>
                </c:pt>
                <c:pt idx="2446">
                  <c:v>1676.5</c:v>
                </c:pt>
                <c:pt idx="2447">
                  <c:v>1676.1</c:v>
                </c:pt>
                <c:pt idx="2448">
                  <c:v>1675.6</c:v>
                </c:pt>
                <c:pt idx="2449">
                  <c:v>1675.2</c:v>
                </c:pt>
                <c:pt idx="2450">
                  <c:v>1669.9</c:v>
                </c:pt>
                <c:pt idx="2451">
                  <c:v>1662.1</c:v>
                </c:pt>
                <c:pt idx="2452">
                  <c:v>1656.3</c:v>
                </c:pt>
                <c:pt idx="2453">
                  <c:v>1647.8</c:v>
                </c:pt>
                <c:pt idx="2454">
                  <c:v>1637.8</c:v>
                </c:pt>
                <c:pt idx="2455">
                  <c:v>1633.2</c:v>
                </c:pt>
                <c:pt idx="2456">
                  <c:v>1628.7</c:v>
                </c:pt>
                <c:pt idx="2457">
                  <c:v>1624.4</c:v>
                </c:pt>
                <c:pt idx="2458">
                  <c:v>1618.7</c:v>
                </c:pt>
                <c:pt idx="2459">
                  <c:v>1614.4</c:v>
                </c:pt>
                <c:pt idx="2460">
                  <c:v>1610.2</c:v>
                </c:pt>
                <c:pt idx="2461">
                  <c:v>1605.8</c:v>
                </c:pt>
                <c:pt idx="2462">
                  <c:v>1601.7</c:v>
                </c:pt>
                <c:pt idx="2463">
                  <c:v>1599.8</c:v>
                </c:pt>
                <c:pt idx="2464">
                  <c:v>1598.3</c:v>
                </c:pt>
                <c:pt idx="2465">
                  <c:v>1596.6</c:v>
                </c:pt>
                <c:pt idx="2466">
                  <c:v>1594.8</c:v>
                </c:pt>
                <c:pt idx="2467">
                  <c:v>1593.4</c:v>
                </c:pt>
                <c:pt idx="2468">
                  <c:v>1592.6</c:v>
                </c:pt>
                <c:pt idx="2469">
                  <c:v>1592.3</c:v>
                </c:pt>
                <c:pt idx="2470">
                  <c:v>1592.4</c:v>
                </c:pt>
                <c:pt idx="2471">
                  <c:v>1592.7</c:v>
                </c:pt>
                <c:pt idx="2472">
                  <c:v>1592.8</c:v>
                </c:pt>
                <c:pt idx="2473">
                  <c:v>1593.5</c:v>
                </c:pt>
                <c:pt idx="2474">
                  <c:v>1593.6</c:v>
                </c:pt>
                <c:pt idx="2475">
                  <c:v>1594</c:v>
                </c:pt>
                <c:pt idx="2476">
                  <c:v>1594.2</c:v>
                </c:pt>
                <c:pt idx="2477">
                  <c:v>1594.8</c:v>
                </c:pt>
                <c:pt idx="2478">
                  <c:v>1595.2</c:v>
                </c:pt>
                <c:pt idx="2479">
                  <c:v>1595.6</c:v>
                </c:pt>
                <c:pt idx="2480">
                  <c:v>1596</c:v>
                </c:pt>
                <c:pt idx="2481">
                  <c:v>1596.5</c:v>
                </c:pt>
                <c:pt idx="2482">
                  <c:v>1594.6</c:v>
                </c:pt>
                <c:pt idx="2483">
                  <c:v>1592.6</c:v>
                </c:pt>
                <c:pt idx="2484">
                  <c:v>1590.8</c:v>
                </c:pt>
                <c:pt idx="2485">
                  <c:v>1589</c:v>
                </c:pt>
                <c:pt idx="2486">
                  <c:v>1586.8</c:v>
                </c:pt>
                <c:pt idx="2487">
                  <c:v>1585</c:v>
                </c:pt>
                <c:pt idx="2488">
                  <c:v>1583.3</c:v>
                </c:pt>
                <c:pt idx="2489">
                  <c:v>1582.1</c:v>
                </c:pt>
                <c:pt idx="2490">
                  <c:v>1581</c:v>
                </c:pt>
                <c:pt idx="2491">
                  <c:v>1580.1</c:v>
                </c:pt>
                <c:pt idx="2492">
                  <c:v>1578.9</c:v>
                </c:pt>
                <c:pt idx="2493">
                  <c:v>1577.9</c:v>
                </c:pt>
                <c:pt idx="2494">
                  <c:v>1576.8</c:v>
                </c:pt>
                <c:pt idx="2495">
                  <c:v>1575.8</c:v>
                </c:pt>
                <c:pt idx="2496">
                  <c:v>1574.5</c:v>
                </c:pt>
                <c:pt idx="2497">
                  <c:v>1573.7</c:v>
                </c:pt>
                <c:pt idx="2498">
                  <c:v>1574.1</c:v>
                </c:pt>
                <c:pt idx="2499">
                  <c:v>1573.9</c:v>
                </c:pt>
                <c:pt idx="2500">
                  <c:v>1573.6</c:v>
                </c:pt>
                <c:pt idx="2501">
                  <c:v>1573.6</c:v>
                </c:pt>
                <c:pt idx="2502">
                  <c:v>1573.5</c:v>
                </c:pt>
                <c:pt idx="2503">
                  <c:v>1574.4</c:v>
                </c:pt>
                <c:pt idx="2504">
                  <c:v>1575.3</c:v>
                </c:pt>
                <c:pt idx="2505">
                  <c:v>1575.3</c:v>
                </c:pt>
                <c:pt idx="2506">
                  <c:v>1576.3</c:v>
                </c:pt>
                <c:pt idx="2507">
                  <c:v>1577.7</c:v>
                </c:pt>
                <c:pt idx="2508">
                  <c:v>1579.2</c:v>
                </c:pt>
                <c:pt idx="2509">
                  <c:v>1580.9</c:v>
                </c:pt>
                <c:pt idx="2510">
                  <c:v>1583.1</c:v>
                </c:pt>
                <c:pt idx="2511">
                  <c:v>1600.3</c:v>
                </c:pt>
                <c:pt idx="2512">
                  <c:v>1615</c:v>
                </c:pt>
                <c:pt idx="2513">
                  <c:v>1612.9</c:v>
                </c:pt>
                <c:pt idx="2514">
                  <c:v>1610.1</c:v>
                </c:pt>
                <c:pt idx="2515">
                  <c:v>1607.8</c:v>
                </c:pt>
                <c:pt idx="2516">
                  <c:v>1605.1</c:v>
                </c:pt>
                <c:pt idx="2517">
                  <c:v>1602.8</c:v>
                </c:pt>
                <c:pt idx="2518">
                  <c:v>1600.2</c:v>
                </c:pt>
                <c:pt idx="2519">
                  <c:v>1598</c:v>
                </c:pt>
                <c:pt idx="2520">
                  <c:v>1596.3</c:v>
                </c:pt>
                <c:pt idx="2521">
                  <c:v>1594.1</c:v>
                </c:pt>
                <c:pt idx="2522">
                  <c:v>1592.3</c:v>
                </c:pt>
                <c:pt idx="2523">
                  <c:v>1590.5</c:v>
                </c:pt>
                <c:pt idx="2524">
                  <c:v>1589.7</c:v>
                </c:pt>
                <c:pt idx="2525">
                  <c:v>1592.9</c:v>
                </c:pt>
                <c:pt idx="2526">
                  <c:v>1593.2</c:v>
                </c:pt>
                <c:pt idx="2527">
                  <c:v>1595</c:v>
                </c:pt>
                <c:pt idx="2528">
                  <c:v>1596.1</c:v>
                </c:pt>
                <c:pt idx="2529">
                  <c:v>1597.3</c:v>
                </c:pt>
                <c:pt idx="2530">
                  <c:v>1593.5</c:v>
                </c:pt>
                <c:pt idx="2531">
                  <c:v>1589.8</c:v>
                </c:pt>
                <c:pt idx="2532">
                  <c:v>1586.1</c:v>
                </c:pt>
                <c:pt idx="2533">
                  <c:v>1582.3</c:v>
                </c:pt>
                <c:pt idx="2534">
                  <c:v>1578.5</c:v>
                </c:pt>
                <c:pt idx="2535">
                  <c:v>1574.8</c:v>
                </c:pt>
                <c:pt idx="2536">
                  <c:v>1571</c:v>
                </c:pt>
                <c:pt idx="2537">
                  <c:v>1567.3</c:v>
                </c:pt>
                <c:pt idx="2538">
                  <c:v>1563.5</c:v>
                </c:pt>
                <c:pt idx="2539">
                  <c:v>1559.7</c:v>
                </c:pt>
                <c:pt idx="2540">
                  <c:v>1556</c:v>
                </c:pt>
                <c:pt idx="2541">
                  <c:v>1552.1</c:v>
                </c:pt>
                <c:pt idx="2542">
                  <c:v>1548.5</c:v>
                </c:pt>
                <c:pt idx="2543">
                  <c:v>1544.7</c:v>
                </c:pt>
                <c:pt idx="2544">
                  <c:v>1540.9</c:v>
                </c:pt>
                <c:pt idx="2545">
                  <c:v>1537.1</c:v>
                </c:pt>
                <c:pt idx="2546">
                  <c:v>1533.1</c:v>
                </c:pt>
                <c:pt idx="2547">
                  <c:v>1529.3</c:v>
                </c:pt>
                <c:pt idx="2548">
                  <c:v>1525.2</c:v>
                </c:pt>
                <c:pt idx="2549">
                  <c:v>1521.3</c:v>
                </c:pt>
                <c:pt idx="2550">
                  <c:v>1517.3</c:v>
                </c:pt>
                <c:pt idx="2551">
                  <c:v>1513.3</c:v>
                </c:pt>
                <c:pt idx="2552">
                  <c:v>1509.4</c:v>
                </c:pt>
                <c:pt idx="2553">
                  <c:v>1505.3</c:v>
                </c:pt>
                <c:pt idx="2554">
                  <c:v>1501.3</c:v>
                </c:pt>
                <c:pt idx="2555">
                  <c:v>1497.3</c:v>
                </c:pt>
                <c:pt idx="2556">
                  <c:v>1493.3</c:v>
                </c:pt>
                <c:pt idx="2557">
                  <c:v>1489.4</c:v>
                </c:pt>
                <c:pt idx="2558">
                  <c:v>1485.4</c:v>
                </c:pt>
                <c:pt idx="2559">
                  <c:v>1481.3</c:v>
                </c:pt>
                <c:pt idx="2560">
                  <c:v>1477.2</c:v>
                </c:pt>
                <c:pt idx="2561">
                  <c:v>1473.2</c:v>
                </c:pt>
                <c:pt idx="2562">
                  <c:v>1469.3</c:v>
                </c:pt>
                <c:pt idx="2563">
                  <c:v>1465.2</c:v>
                </c:pt>
                <c:pt idx="2564">
                  <c:v>1461.2</c:v>
                </c:pt>
                <c:pt idx="2565">
                  <c:v>1457.2</c:v>
                </c:pt>
                <c:pt idx="2566">
                  <c:v>1453.1</c:v>
                </c:pt>
                <c:pt idx="2567">
                  <c:v>1449.1</c:v>
                </c:pt>
                <c:pt idx="2568">
                  <c:v>1445.1</c:v>
                </c:pt>
                <c:pt idx="2569">
                  <c:v>1441</c:v>
                </c:pt>
                <c:pt idx="2570">
                  <c:v>1436.9</c:v>
                </c:pt>
                <c:pt idx="2571">
                  <c:v>1432.8</c:v>
                </c:pt>
                <c:pt idx="2572">
                  <c:v>1428.8</c:v>
                </c:pt>
                <c:pt idx="2573">
                  <c:v>1424.7</c:v>
                </c:pt>
                <c:pt idx="2574">
                  <c:v>1420.8</c:v>
                </c:pt>
                <c:pt idx="2575">
                  <c:v>1416.7</c:v>
                </c:pt>
                <c:pt idx="2576">
                  <c:v>1412.5</c:v>
                </c:pt>
                <c:pt idx="2577">
                  <c:v>1408.5</c:v>
                </c:pt>
                <c:pt idx="2578">
                  <c:v>1404.4</c:v>
                </c:pt>
                <c:pt idx="2579">
                  <c:v>1400.3</c:v>
                </c:pt>
                <c:pt idx="2580">
                  <c:v>1396.2</c:v>
                </c:pt>
                <c:pt idx="2581">
                  <c:v>1392.2</c:v>
                </c:pt>
                <c:pt idx="2582">
                  <c:v>1388.1</c:v>
                </c:pt>
                <c:pt idx="2583">
                  <c:v>1384.1</c:v>
                </c:pt>
                <c:pt idx="2584">
                  <c:v>1380</c:v>
                </c:pt>
                <c:pt idx="2585">
                  <c:v>1375.8</c:v>
                </c:pt>
                <c:pt idx="2586">
                  <c:v>1371.8</c:v>
                </c:pt>
                <c:pt idx="2587">
                  <c:v>1367.7</c:v>
                </c:pt>
                <c:pt idx="2588">
                  <c:v>1363.6</c:v>
                </c:pt>
                <c:pt idx="2589">
                  <c:v>1359.6</c:v>
                </c:pt>
                <c:pt idx="2590">
                  <c:v>1355.5</c:v>
                </c:pt>
                <c:pt idx="2591">
                  <c:v>1351.5</c:v>
                </c:pt>
                <c:pt idx="2592">
                  <c:v>1347.4</c:v>
                </c:pt>
                <c:pt idx="2593">
                  <c:v>1343.5</c:v>
                </c:pt>
                <c:pt idx="2594">
                  <c:v>1339.4</c:v>
                </c:pt>
                <c:pt idx="2595">
                  <c:v>1335.4</c:v>
                </c:pt>
                <c:pt idx="2596">
                  <c:v>1331.3</c:v>
                </c:pt>
                <c:pt idx="2597">
                  <c:v>1327.3</c:v>
                </c:pt>
                <c:pt idx="2598">
                  <c:v>1323.2</c:v>
                </c:pt>
                <c:pt idx="2599">
                  <c:v>1319.1</c:v>
                </c:pt>
                <c:pt idx="2600">
                  <c:v>1315.2</c:v>
                </c:pt>
                <c:pt idx="2601">
                  <c:v>1311.1</c:v>
                </c:pt>
                <c:pt idx="2602">
                  <c:v>1307.0999999999999</c:v>
                </c:pt>
                <c:pt idx="2603">
                  <c:v>1303</c:v>
                </c:pt>
                <c:pt idx="2604">
                  <c:v>1298.9000000000001</c:v>
                </c:pt>
                <c:pt idx="2605">
                  <c:v>1302.4000000000001</c:v>
                </c:pt>
                <c:pt idx="2606">
                  <c:v>1307.9000000000001</c:v>
                </c:pt>
                <c:pt idx="2607">
                  <c:v>1313.4</c:v>
                </c:pt>
                <c:pt idx="2608">
                  <c:v>1318.8</c:v>
                </c:pt>
                <c:pt idx="2609">
                  <c:v>1324.3</c:v>
                </c:pt>
                <c:pt idx="2610">
                  <c:v>1329.8</c:v>
                </c:pt>
                <c:pt idx="2611">
                  <c:v>1335.3</c:v>
                </c:pt>
                <c:pt idx="2612">
                  <c:v>1340.7</c:v>
                </c:pt>
                <c:pt idx="2613">
                  <c:v>1346.2</c:v>
                </c:pt>
                <c:pt idx="2614">
                  <c:v>1351.7</c:v>
                </c:pt>
                <c:pt idx="2615">
                  <c:v>1357.1</c:v>
                </c:pt>
                <c:pt idx="2616">
                  <c:v>1362.6</c:v>
                </c:pt>
                <c:pt idx="2617">
                  <c:v>1368.1</c:v>
                </c:pt>
                <c:pt idx="2618">
                  <c:v>1373.6</c:v>
                </c:pt>
                <c:pt idx="2619">
                  <c:v>1379</c:v>
                </c:pt>
                <c:pt idx="2620">
                  <c:v>1384.5</c:v>
                </c:pt>
                <c:pt idx="2621">
                  <c:v>1390.1</c:v>
                </c:pt>
                <c:pt idx="2622">
                  <c:v>1395.5</c:v>
                </c:pt>
                <c:pt idx="2623">
                  <c:v>1401</c:v>
                </c:pt>
                <c:pt idx="2624">
                  <c:v>1406.5</c:v>
                </c:pt>
                <c:pt idx="2625">
                  <c:v>1412</c:v>
                </c:pt>
                <c:pt idx="2626">
                  <c:v>1417.4</c:v>
                </c:pt>
                <c:pt idx="2627">
                  <c:v>1423</c:v>
                </c:pt>
                <c:pt idx="2628">
                  <c:v>1428.5</c:v>
                </c:pt>
                <c:pt idx="2629">
                  <c:v>1434</c:v>
                </c:pt>
                <c:pt idx="2630">
                  <c:v>1439.5</c:v>
                </c:pt>
                <c:pt idx="2631">
                  <c:v>1445.1</c:v>
                </c:pt>
                <c:pt idx="2632">
                  <c:v>1450.6</c:v>
                </c:pt>
                <c:pt idx="2633">
                  <c:v>1456.1</c:v>
                </c:pt>
                <c:pt idx="2634">
                  <c:v>1461.6</c:v>
                </c:pt>
                <c:pt idx="2635">
                  <c:v>1467.2</c:v>
                </c:pt>
                <c:pt idx="2636">
                  <c:v>1472.6</c:v>
                </c:pt>
                <c:pt idx="2637">
                  <c:v>1478.2</c:v>
                </c:pt>
                <c:pt idx="2638">
                  <c:v>1483.7</c:v>
                </c:pt>
                <c:pt idx="2639">
                  <c:v>1489.3</c:v>
                </c:pt>
                <c:pt idx="2640">
                  <c:v>1494.7</c:v>
                </c:pt>
                <c:pt idx="2641">
                  <c:v>1500.3</c:v>
                </c:pt>
                <c:pt idx="2642">
                  <c:v>1505.9</c:v>
                </c:pt>
                <c:pt idx="2643">
                  <c:v>1511.4</c:v>
                </c:pt>
                <c:pt idx="2644">
                  <c:v>1516.9</c:v>
                </c:pt>
                <c:pt idx="2645">
                  <c:v>1522.5</c:v>
                </c:pt>
                <c:pt idx="2646">
                  <c:v>1528.1</c:v>
                </c:pt>
                <c:pt idx="2647">
                  <c:v>1533.5</c:v>
                </c:pt>
                <c:pt idx="2648">
                  <c:v>1539.1</c:v>
                </c:pt>
                <c:pt idx="2649">
                  <c:v>1544.7</c:v>
                </c:pt>
                <c:pt idx="2650">
                  <c:v>1550.3</c:v>
                </c:pt>
                <c:pt idx="2651">
                  <c:v>1555.7</c:v>
                </c:pt>
                <c:pt idx="2652">
                  <c:v>1561.3</c:v>
                </c:pt>
                <c:pt idx="2653">
                  <c:v>1566.9</c:v>
                </c:pt>
                <c:pt idx="2654">
                  <c:v>1572.3</c:v>
                </c:pt>
                <c:pt idx="2655">
                  <c:v>1577.9</c:v>
                </c:pt>
                <c:pt idx="2656">
                  <c:v>1583.6</c:v>
                </c:pt>
                <c:pt idx="2657">
                  <c:v>1589.1</c:v>
                </c:pt>
                <c:pt idx="2658">
                  <c:v>1594.6</c:v>
                </c:pt>
                <c:pt idx="2659">
                  <c:v>1600.2</c:v>
                </c:pt>
                <c:pt idx="2660">
                  <c:v>1605.8</c:v>
                </c:pt>
                <c:pt idx="2661">
                  <c:v>1611.2</c:v>
                </c:pt>
                <c:pt idx="2662">
                  <c:v>1616.9</c:v>
                </c:pt>
                <c:pt idx="2663">
                  <c:v>1622.5</c:v>
                </c:pt>
                <c:pt idx="2664">
                  <c:v>1628.1</c:v>
                </c:pt>
                <c:pt idx="2665">
                  <c:v>1633.6</c:v>
                </c:pt>
                <c:pt idx="2666">
                  <c:v>1639.2</c:v>
                </c:pt>
                <c:pt idx="2667">
                  <c:v>1644.8</c:v>
                </c:pt>
                <c:pt idx="2668">
                  <c:v>1650.3</c:v>
                </c:pt>
                <c:pt idx="2669">
                  <c:v>1655.9</c:v>
                </c:pt>
                <c:pt idx="2670">
                  <c:v>1661.5</c:v>
                </c:pt>
                <c:pt idx="2671">
                  <c:v>1667.2</c:v>
                </c:pt>
                <c:pt idx="2672">
                  <c:v>1672.7</c:v>
                </c:pt>
                <c:pt idx="2673">
                  <c:v>1678.3</c:v>
                </c:pt>
                <c:pt idx="2674">
                  <c:v>1683.9</c:v>
                </c:pt>
                <c:pt idx="2675">
                  <c:v>1689.4</c:v>
                </c:pt>
                <c:pt idx="2676">
                  <c:v>1695.1</c:v>
                </c:pt>
                <c:pt idx="2677">
                  <c:v>1700.7</c:v>
                </c:pt>
                <c:pt idx="2678">
                  <c:v>1706.3</c:v>
                </c:pt>
                <c:pt idx="2679">
                  <c:v>1711.8</c:v>
                </c:pt>
                <c:pt idx="2680">
                  <c:v>1717.5</c:v>
                </c:pt>
                <c:pt idx="2681">
                  <c:v>1723.1</c:v>
                </c:pt>
                <c:pt idx="2682">
                  <c:v>1728.6</c:v>
                </c:pt>
                <c:pt idx="2683">
                  <c:v>1734.4</c:v>
                </c:pt>
                <c:pt idx="2684">
                  <c:v>1739.9</c:v>
                </c:pt>
                <c:pt idx="2685">
                  <c:v>1745.6</c:v>
                </c:pt>
                <c:pt idx="2686">
                  <c:v>1751.1</c:v>
                </c:pt>
                <c:pt idx="2687">
                  <c:v>1756.8</c:v>
                </c:pt>
                <c:pt idx="2688">
                  <c:v>1762.4</c:v>
                </c:pt>
                <c:pt idx="2689">
                  <c:v>1768</c:v>
                </c:pt>
                <c:pt idx="2690">
                  <c:v>1773.7</c:v>
                </c:pt>
                <c:pt idx="2691">
                  <c:v>1779.4</c:v>
                </c:pt>
                <c:pt idx="2692">
                  <c:v>1785.1</c:v>
                </c:pt>
                <c:pt idx="2693">
                  <c:v>1790.6</c:v>
                </c:pt>
                <c:pt idx="2694">
                  <c:v>1796.2</c:v>
                </c:pt>
                <c:pt idx="2695">
                  <c:v>1802</c:v>
                </c:pt>
                <c:pt idx="2696">
                  <c:v>1807.5</c:v>
                </c:pt>
                <c:pt idx="2697">
                  <c:v>1811.1</c:v>
                </c:pt>
                <c:pt idx="2698">
                  <c:v>1813.7</c:v>
                </c:pt>
                <c:pt idx="2699">
                  <c:v>1816.4</c:v>
                </c:pt>
                <c:pt idx="2700">
                  <c:v>1818.8</c:v>
                </c:pt>
                <c:pt idx="2701">
                  <c:v>1821.9</c:v>
                </c:pt>
                <c:pt idx="2702">
                  <c:v>1825.1</c:v>
                </c:pt>
                <c:pt idx="2703">
                  <c:v>1828.8</c:v>
                </c:pt>
                <c:pt idx="2704">
                  <c:v>1832.3</c:v>
                </c:pt>
                <c:pt idx="2705">
                  <c:v>1835.4</c:v>
                </c:pt>
                <c:pt idx="2706">
                  <c:v>1838.9</c:v>
                </c:pt>
                <c:pt idx="2707">
                  <c:v>1842.2</c:v>
                </c:pt>
                <c:pt idx="2708">
                  <c:v>1845.3</c:v>
                </c:pt>
                <c:pt idx="2709">
                  <c:v>1848.6</c:v>
                </c:pt>
                <c:pt idx="2710">
                  <c:v>1852.3</c:v>
                </c:pt>
                <c:pt idx="2711">
                  <c:v>1854.2</c:v>
                </c:pt>
                <c:pt idx="2712">
                  <c:v>1855.1</c:v>
                </c:pt>
                <c:pt idx="2713">
                  <c:v>1858.3</c:v>
                </c:pt>
                <c:pt idx="2714">
                  <c:v>1861.3</c:v>
                </c:pt>
                <c:pt idx="2715">
                  <c:v>1864.7</c:v>
                </c:pt>
                <c:pt idx="2716">
                  <c:v>1867.8</c:v>
                </c:pt>
                <c:pt idx="2717">
                  <c:v>1869.2</c:v>
                </c:pt>
                <c:pt idx="2718">
                  <c:v>1869.7</c:v>
                </c:pt>
                <c:pt idx="2719">
                  <c:v>1870.9</c:v>
                </c:pt>
                <c:pt idx="2720">
                  <c:v>1826.6</c:v>
                </c:pt>
                <c:pt idx="2721">
                  <c:v>1825.5</c:v>
                </c:pt>
                <c:pt idx="2722">
                  <c:v>1823.7</c:v>
                </c:pt>
                <c:pt idx="2723">
                  <c:v>1819.3</c:v>
                </c:pt>
                <c:pt idx="2724">
                  <c:v>1814.9</c:v>
                </c:pt>
                <c:pt idx="2725">
                  <c:v>1810.7</c:v>
                </c:pt>
                <c:pt idx="2726">
                  <c:v>1806.4</c:v>
                </c:pt>
                <c:pt idx="2727">
                  <c:v>1802.1</c:v>
                </c:pt>
                <c:pt idx="2728">
                  <c:v>1797.7</c:v>
                </c:pt>
                <c:pt idx="2729">
                  <c:v>1793.5</c:v>
                </c:pt>
                <c:pt idx="2730">
                  <c:v>1789.3</c:v>
                </c:pt>
                <c:pt idx="2731">
                  <c:v>1785.1</c:v>
                </c:pt>
                <c:pt idx="2732">
                  <c:v>1781</c:v>
                </c:pt>
                <c:pt idx="2733">
                  <c:v>1779.5</c:v>
                </c:pt>
                <c:pt idx="2734">
                  <c:v>1777.4</c:v>
                </c:pt>
                <c:pt idx="2735">
                  <c:v>1777.6</c:v>
                </c:pt>
                <c:pt idx="2736">
                  <c:v>1790.9</c:v>
                </c:pt>
                <c:pt idx="2737">
                  <c:v>1790.4</c:v>
                </c:pt>
                <c:pt idx="2738">
                  <c:v>1785.8</c:v>
                </c:pt>
                <c:pt idx="2739">
                  <c:v>1780.9</c:v>
                </c:pt>
                <c:pt idx="2740">
                  <c:v>1776.2</c:v>
                </c:pt>
                <c:pt idx="2741">
                  <c:v>1771.2</c:v>
                </c:pt>
                <c:pt idx="2742">
                  <c:v>1766.3</c:v>
                </c:pt>
                <c:pt idx="2743">
                  <c:v>1761.5</c:v>
                </c:pt>
                <c:pt idx="2744">
                  <c:v>1756.7</c:v>
                </c:pt>
                <c:pt idx="2745">
                  <c:v>1751.9</c:v>
                </c:pt>
                <c:pt idx="2746">
                  <c:v>1746.8</c:v>
                </c:pt>
                <c:pt idx="2747">
                  <c:v>1741.8</c:v>
                </c:pt>
                <c:pt idx="2748">
                  <c:v>1736.6</c:v>
                </c:pt>
                <c:pt idx="2749">
                  <c:v>1731.7</c:v>
                </c:pt>
                <c:pt idx="2750">
                  <c:v>1726.6</c:v>
                </c:pt>
                <c:pt idx="2751">
                  <c:v>1721.7</c:v>
                </c:pt>
                <c:pt idx="2752">
                  <c:v>1716.7</c:v>
                </c:pt>
                <c:pt idx="2753">
                  <c:v>1711.6</c:v>
                </c:pt>
                <c:pt idx="2754">
                  <c:v>1706.6</c:v>
                </c:pt>
                <c:pt idx="2755">
                  <c:v>1701.5</c:v>
                </c:pt>
                <c:pt idx="2756">
                  <c:v>1696.6</c:v>
                </c:pt>
                <c:pt idx="2757">
                  <c:v>1691.5</c:v>
                </c:pt>
                <c:pt idx="2758">
                  <c:v>1686.6</c:v>
                </c:pt>
                <c:pt idx="2759">
                  <c:v>1681.5</c:v>
                </c:pt>
                <c:pt idx="2760">
                  <c:v>1676.6</c:v>
                </c:pt>
                <c:pt idx="2761">
                  <c:v>1671.6</c:v>
                </c:pt>
                <c:pt idx="2762">
                  <c:v>1666.6</c:v>
                </c:pt>
                <c:pt idx="2763">
                  <c:v>1661.7</c:v>
                </c:pt>
                <c:pt idx="2764">
                  <c:v>1656.6</c:v>
                </c:pt>
                <c:pt idx="2765">
                  <c:v>1651.7</c:v>
                </c:pt>
                <c:pt idx="2766">
                  <c:v>1646.7</c:v>
                </c:pt>
                <c:pt idx="2767">
                  <c:v>1641.7</c:v>
                </c:pt>
                <c:pt idx="2768">
                  <c:v>1636.7</c:v>
                </c:pt>
                <c:pt idx="2769">
                  <c:v>1631.8</c:v>
                </c:pt>
                <c:pt idx="2770">
                  <c:v>1626.8</c:v>
                </c:pt>
                <c:pt idx="2771">
                  <c:v>1621.9</c:v>
                </c:pt>
                <c:pt idx="2772">
                  <c:v>1616.9</c:v>
                </c:pt>
                <c:pt idx="2773">
                  <c:v>1612</c:v>
                </c:pt>
                <c:pt idx="2774">
                  <c:v>1606.9</c:v>
                </c:pt>
                <c:pt idx="2775">
                  <c:v>1602</c:v>
                </c:pt>
                <c:pt idx="2776">
                  <c:v>1597</c:v>
                </c:pt>
                <c:pt idx="2777">
                  <c:v>1592.1</c:v>
                </c:pt>
                <c:pt idx="2778">
                  <c:v>1587.2</c:v>
                </c:pt>
                <c:pt idx="2779">
                  <c:v>1582.2</c:v>
                </c:pt>
                <c:pt idx="2780">
                  <c:v>1577.2</c:v>
                </c:pt>
                <c:pt idx="2781">
                  <c:v>1572.3</c:v>
                </c:pt>
                <c:pt idx="2782">
                  <c:v>1567.4</c:v>
                </c:pt>
                <c:pt idx="2783">
                  <c:v>1562.3</c:v>
                </c:pt>
                <c:pt idx="2784">
                  <c:v>1557.5</c:v>
                </c:pt>
                <c:pt idx="2785">
                  <c:v>1552.5</c:v>
                </c:pt>
                <c:pt idx="2786">
                  <c:v>1547.5</c:v>
                </c:pt>
                <c:pt idx="2787">
                  <c:v>1542.6</c:v>
                </c:pt>
                <c:pt idx="2788">
                  <c:v>1537.6</c:v>
                </c:pt>
                <c:pt idx="2789">
                  <c:v>1532.7</c:v>
                </c:pt>
                <c:pt idx="2790">
                  <c:v>1527.7</c:v>
                </c:pt>
                <c:pt idx="2791">
                  <c:v>1522.8</c:v>
                </c:pt>
                <c:pt idx="2792">
                  <c:v>1517.8</c:v>
                </c:pt>
                <c:pt idx="2793">
                  <c:v>1513</c:v>
                </c:pt>
                <c:pt idx="2794">
                  <c:v>1508</c:v>
                </c:pt>
                <c:pt idx="2795">
                  <c:v>1503.1</c:v>
                </c:pt>
                <c:pt idx="2796">
                  <c:v>1498.1</c:v>
                </c:pt>
                <c:pt idx="2797">
                  <c:v>1493.2</c:v>
                </c:pt>
                <c:pt idx="2798">
                  <c:v>1488.3</c:v>
                </c:pt>
                <c:pt idx="2799">
                  <c:v>1483.3</c:v>
                </c:pt>
                <c:pt idx="2800">
                  <c:v>1478.4</c:v>
                </c:pt>
                <c:pt idx="2801">
                  <c:v>1473.4</c:v>
                </c:pt>
                <c:pt idx="2802">
                  <c:v>1468.5</c:v>
                </c:pt>
                <c:pt idx="2803">
                  <c:v>1463.5</c:v>
                </c:pt>
                <c:pt idx="2804">
                  <c:v>1458.7</c:v>
                </c:pt>
                <c:pt idx="2805">
                  <c:v>1453.7</c:v>
                </c:pt>
                <c:pt idx="2806">
                  <c:v>1448.8</c:v>
                </c:pt>
                <c:pt idx="2807">
                  <c:v>1443.8</c:v>
                </c:pt>
                <c:pt idx="2808">
                  <c:v>1438.9</c:v>
                </c:pt>
                <c:pt idx="2809">
                  <c:v>1434</c:v>
                </c:pt>
                <c:pt idx="2810">
                  <c:v>1429</c:v>
                </c:pt>
                <c:pt idx="2811">
                  <c:v>1424.2</c:v>
                </c:pt>
                <c:pt idx="2812">
                  <c:v>1419.2</c:v>
                </c:pt>
                <c:pt idx="2813">
                  <c:v>1414.3</c:v>
                </c:pt>
                <c:pt idx="2814">
                  <c:v>1409.3</c:v>
                </c:pt>
                <c:pt idx="2815">
                  <c:v>1404.4</c:v>
                </c:pt>
                <c:pt idx="2816">
                  <c:v>1399.5</c:v>
                </c:pt>
                <c:pt idx="2817">
                  <c:v>1394.6</c:v>
                </c:pt>
                <c:pt idx="2818">
                  <c:v>1389.7</c:v>
                </c:pt>
                <c:pt idx="2819">
                  <c:v>1384.8</c:v>
                </c:pt>
                <c:pt idx="2820">
                  <c:v>1379.8</c:v>
                </c:pt>
                <c:pt idx="2821">
                  <c:v>1374.9</c:v>
                </c:pt>
                <c:pt idx="2822">
                  <c:v>1370</c:v>
                </c:pt>
                <c:pt idx="2823">
                  <c:v>1370.8</c:v>
                </c:pt>
                <c:pt idx="2824">
                  <c:v>1372.7</c:v>
                </c:pt>
                <c:pt idx="2825">
                  <c:v>1374.5</c:v>
                </c:pt>
                <c:pt idx="2826">
                  <c:v>1376.2</c:v>
                </c:pt>
                <c:pt idx="2827">
                  <c:v>1378</c:v>
                </c:pt>
                <c:pt idx="2828">
                  <c:v>1379.8</c:v>
                </c:pt>
                <c:pt idx="2829">
                  <c:v>1381.7</c:v>
                </c:pt>
                <c:pt idx="2830">
                  <c:v>1383.5</c:v>
                </c:pt>
                <c:pt idx="2831">
                  <c:v>1385.3</c:v>
                </c:pt>
                <c:pt idx="2832">
                  <c:v>1387.2</c:v>
                </c:pt>
                <c:pt idx="2833">
                  <c:v>1389</c:v>
                </c:pt>
                <c:pt idx="2834">
                  <c:v>1390.8</c:v>
                </c:pt>
                <c:pt idx="2835">
                  <c:v>1392.7</c:v>
                </c:pt>
                <c:pt idx="2836">
                  <c:v>1394.6</c:v>
                </c:pt>
                <c:pt idx="2837">
                  <c:v>1396.5</c:v>
                </c:pt>
                <c:pt idx="2838">
                  <c:v>1398.4</c:v>
                </c:pt>
                <c:pt idx="2839">
                  <c:v>1400.2</c:v>
                </c:pt>
                <c:pt idx="2840">
                  <c:v>1402.2</c:v>
                </c:pt>
                <c:pt idx="2841">
                  <c:v>1404.1</c:v>
                </c:pt>
                <c:pt idx="2842">
                  <c:v>1406</c:v>
                </c:pt>
                <c:pt idx="2843">
                  <c:v>1408</c:v>
                </c:pt>
                <c:pt idx="2844">
                  <c:v>1409.9</c:v>
                </c:pt>
                <c:pt idx="2845">
                  <c:v>1411.9</c:v>
                </c:pt>
                <c:pt idx="2846">
                  <c:v>1413.8</c:v>
                </c:pt>
                <c:pt idx="2847">
                  <c:v>1415.8</c:v>
                </c:pt>
                <c:pt idx="2848">
                  <c:v>1417.8</c:v>
                </c:pt>
                <c:pt idx="2849">
                  <c:v>1419.8</c:v>
                </c:pt>
                <c:pt idx="2850">
                  <c:v>1421.8</c:v>
                </c:pt>
                <c:pt idx="2851">
                  <c:v>1423.8</c:v>
                </c:pt>
                <c:pt idx="2852">
                  <c:v>1425.7</c:v>
                </c:pt>
                <c:pt idx="2853">
                  <c:v>1427.7</c:v>
                </c:pt>
                <c:pt idx="2854">
                  <c:v>1429.7</c:v>
                </c:pt>
                <c:pt idx="2855">
                  <c:v>1431.7</c:v>
                </c:pt>
                <c:pt idx="2856">
                  <c:v>1433.7</c:v>
                </c:pt>
                <c:pt idx="2857">
                  <c:v>1435.7</c:v>
                </c:pt>
                <c:pt idx="2858">
                  <c:v>1437.7</c:v>
                </c:pt>
                <c:pt idx="2859">
                  <c:v>1439.7</c:v>
                </c:pt>
                <c:pt idx="2860">
                  <c:v>1441.8</c:v>
                </c:pt>
                <c:pt idx="2861">
                  <c:v>1443.8</c:v>
                </c:pt>
                <c:pt idx="2862">
                  <c:v>1445.9</c:v>
                </c:pt>
                <c:pt idx="2863">
                  <c:v>1447.8</c:v>
                </c:pt>
                <c:pt idx="2864">
                  <c:v>1449.9</c:v>
                </c:pt>
                <c:pt idx="2865">
                  <c:v>1452</c:v>
                </c:pt>
                <c:pt idx="2866">
                  <c:v>1454.1</c:v>
                </c:pt>
                <c:pt idx="2867">
                  <c:v>1456.2</c:v>
                </c:pt>
                <c:pt idx="2868">
                  <c:v>1458.2</c:v>
                </c:pt>
                <c:pt idx="2869">
                  <c:v>1460.2</c:v>
                </c:pt>
                <c:pt idx="2870">
                  <c:v>1462.2</c:v>
                </c:pt>
                <c:pt idx="2871">
                  <c:v>1464.2</c:v>
                </c:pt>
                <c:pt idx="2872">
                  <c:v>1466.2</c:v>
                </c:pt>
                <c:pt idx="2873">
                  <c:v>1468.3</c:v>
                </c:pt>
                <c:pt idx="2874">
                  <c:v>1470.3</c:v>
                </c:pt>
                <c:pt idx="2875">
                  <c:v>1472.3</c:v>
                </c:pt>
                <c:pt idx="2876">
                  <c:v>1474.3</c:v>
                </c:pt>
                <c:pt idx="2877">
                  <c:v>1476.3</c:v>
                </c:pt>
                <c:pt idx="2878">
                  <c:v>1478.4</c:v>
                </c:pt>
                <c:pt idx="2879">
                  <c:v>1480.5</c:v>
                </c:pt>
                <c:pt idx="2880">
                  <c:v>1482.5</c:v>
                </c:pt>
                <c:pt idx="2881">
                  <c:v>1484.6</c:v>
                </c:pt>
                <c:pt idx="2882">
                  <c:v>1486.7</c:v>
                </c:pt>
                <c:pt idx="2883">
                  <c:v>1488.7</c:v>
                </c:pt>
                <c:pt idx="2884">
                  <c:v>1490.9</c:v>
                </c:pt>
                <c:pt idx="2885">
                  <c:v>1493</c:v>
                </c:pt>
                <c:pt idx="2886">
                  <c:v>1495.2</c:v>
                </c:pt>
                <c:pt idx="2887">
                  <c:v>1497.2</c:v>
                </c:pt>
                <c:pt idx="2888">
                  <c:v>1499.3</c:v>
                </c:pt>
                <c:pt idx="2889">
                  <c:v>1501.5</c:v>
                </c:pt>
                <c:pt idx="2890">
                  <c:v>1503.6</c:v>
                </c:pt>
                <c:pt idx="2891">
                  <c:v>1505.8</c:v>
                </c:pt>
                <c:pt idx="2892">
                  <c:v>1508</c:v>
                </c:pt>
                <c:pt idx="2893">
                  <c:v>1510.1</c:v>
                </c:pt>
                <c:pt idx="2894">
                  <c:v>1512.3</c:v>
                </c:pt>
                <c:pt idx="2895">
                  <c:v>1514.5</c:v>
                </c:pt>
                <c:pt idx="2896">
                  <c:v>1516.7</c:v>
                </c:pt>
                <c:pt idx="2897">
                  <c:v>1519.1</c:v>
                </c:pt>
                <c:pt idx="2898">
                  <c:v>1521.3</c:v>
                </c:pt>
                <c:pt idx="2899">
                  <c:v>1523.5</c:v>
                </c:pt>
                <c:pt idx="2900">
                  <c:v>1525.8</c:v>
                </c:pt>
                <c:pt idx="2901">
                  <c:v>1528</c:v>
                </c:pt>
                <c:pt idx="2902">
                  <c:v>1530.3</c:v>
                </c:pt>
                <c:pt idx="2903">
                  <c:v>1532.6</c:v>
                </c:pt>
                <c:pt idx="2904">
                  <c:v>1534.9</c:v>
                </c:pt>
                <c:pt idx="2905">
                  <c:v>1537</c:v>
                </c:pt>
                <c:pt idx="2906">
                  <c:v>1539.2</c:v>
                </c:pt>
                <c:pt idx="2907">
                  <c:v>1541.5</c:v>
                </c:pt>
                <c:pt idx="2908">
                  <c:v>1543.7</c:v>
                </c:pt>
                <c:pt idx="2909">
                  <c:v>1546</c:v>
                </c:pt>
                <c:pt idx="2910">
                  <c:v>1548.4</c:v>
                </c:pt>
                <c:pt idx="2911">
                  <c:v>1550.6</c:v>
                </c:pt>
                <c:pt idx="2912">
                  <c:v>1552.9</c:v>
                </c:pt>
                <c:pt idx="2913">
                  <c:v>1556.2</c:v>
                </c:pt>
                <c:pt idx="2914">
                  <c:v>1557.6</c:v>
                </c:pt>
                <c:pt idx="2915">
                  <c:v>1560</c:v>
                </c:pt>
                <c:pt idx="2916">
                  <c:v>1562.3</c:v>
                </c:pt>
                <c:pt idx="2917">
                  <c:v>1564.3</c:v>
                </c:pt>
                <c:pt idx="2918">
                  <c:v>1566.3</c:v>
                </c:pt>
                <c:pt idx="2919">
                  <c:v>1568.4</c:v>
                </c:pt>
                <c:pt idx="2920">
                  <c:v>1587.4</c:v>
                </c:pt>
                <c:pt idx="2921">
                  <c:v>1581.6</c:v>
                </c:pt>
                <c:pt idx="2922">
                  <c:v>1575.9</c:v>
                </c:pt>
                <c:pt idx="2923">
                  <c:v>1570.2</c:v>
                </c:pt>
                <c:pt idx="2924">
                  <c:v>1564.6</c:v>
                </c:pt>
                <c:pt idx="2925">
                  <c:v>1558.9</c:v>
                </c:pt>
                <c:pt idx="2926">
                  <c:v>1553.3</c:v>
                </c:pt>
                <c:pt idx="2927">
                  <c:v>1547.6</c:v>
                </c:pt>
                <c:pt idx="2928">
                  <c:v>1542</c:v>
                </c:pt>
                <c:pt idx="2929">
                  <c:v>1536.5</c:v>
                </c:pt>
                <c:pt idx="2930">
                  <c:v>1530.8</c:v>
                </c:pt>
                <c:pt idx="2931">
                  <c:v>1525.2</c:v>
                </c:pt>
                <c:pt idx="2932">
                  <c:v>1519.7</c:v>
                </c:pt>
                <c:pt idx="2933">
                  <c:v>1514.1</c:v>
                </c:pt>
                <c:pt idx="2934">
                  <c:v>1508.6</c:v>
                </c:pt>
                <c:pt idx="2935">
                  <c:v>1503</c:v>
                </c:pt>
                <c:pt idx="2936">
                  <c:v>1497.5</c:v>
                </c:pt>
                <c:pt idx="2937">
                  <c:v>1492</c:v>
                </c:pt>
                <c:pt idx="2938">
                  <c:v>1486.5</c:v>
                </c:pt>
                <c:pt idx="2939">
                  <c:v>1481</c:v>
                </c:pt>
                <c:pt idx="2940">
                  <c:v>1475.5</c:v>
                </c:pt>
                <c:pt idx="2941">
                  <c:v>1469.8</c:v>
                </c:pt>
                <c:pt idx="2942">
                  <c:v>1464.3</c:v>
                </c:pt>
                <c:pt idx="2943">
                  <c:v>1458.6</c:v>
                </c:pt>
                <c:pt idx="2944">
                  <c:v>1453.1</c:v>
                </c:pt>
                <c:pt idx="2945">
                  <c:v>1447.5</c:v>
                </c:pt>
                <c:pt idx="2946">
                  <c:v>1441.9</c:v>
                </c:pt>
                <c:pt idx="2947">
                  <c:v>1436.5</c:v>
                </c:pt>
                <c:pt idx="2948">
                  <c:v>1430.9</c:v>
                </c:pt>
                <c:pt idx="2949">
                  <c:v>1425.4</c:v>
                </c:pt>
                <c:pt idx="2950">
                  <c:v>1419.9</c:v>
                </c:pt>
                <c:pt idx="2951">
                  <c:v>1414.4</c:v>
                </c:pt>
                <c:pt idx="2952">
                  <c:v>1408.8</c:v>
                </c:pt>
                <c:pt idx="2953">
                  <c:v>1403.2</c:v>
                </c:pt>
                <c:pt idx="2954">
                  <c:v>1397.6</c:v>
                </c:pt>
                <c:pt idx="2955">
                  <c:v>1392</c:v>
                </c:pt>
                <c:pt idx="2956">
                  <c:v>1386.4</c:v>
                </c:pt>
                <c:pt idx="2957">
                  <c:v>1380.9</c:v>
                </c:pt>
                <c:pt idx="2958">
                  <c:v>1375.4</c:v>
                </c:pt>
                <c:pt idx="2959">
                  <c:v>1369.9</c:v>
                </c:pt>
                <c:pt idx="2960">
                  <c:v>1364.5</c:v>
                </c:pt>
                <c:pt idx="2961">
                  <c:v>1359</c:v>
                </c:pt>
                <c:pt idx="2962">
                  <c:v>1353.6</c:v>
                </c:pt>
                <c:pt idx="2963">
                  <c:v>1348.2</c:v>
                </c:pt>
                <c:pt idx="2964">
                  <c:v>1342.9</c:v>
                </c:pt>
                <c:pt idx="2965">
                  <c:v>1337.5</c:v>
                </c:pt>
                <c:pt idx="2966">
                  <c:v>1332.1</c:v>
                </c:pt>
                <c:pt idx="2967">
                  <c:v>1326.8</c:v>
                </c:pt>
                <c:pt idx="2968">
                  <c:v>1321.4</c:v>
                </c:pt>
                <c:pt idx="2969">
                  <c:v>1316.2</c:v>
                </c:pt>
                <c:pt idx="2970">
                  <c:v>1310.8</c:v>
                </c:pt>
                <c:pt idx="2971">
                  <c:v>1305.5</c:v>
                </c:pt>
                <c:pt idx="2972">
                  <c:v>1300.3</c:v>
                </c:pt>
                <c:pt idx="2973">
                  <c:v>1295</c:v>
                </c:pt>
                <c:pt idx="2974">
                  <c:v>1289.8</c:v>
                </c:pt>
                <c:pt idx="2975">
                  <c:v>1284.5999999999999</c:v>
                </c:pt>
                <c:pt idx="2976">
                  <c:v>1279.4000000000001</c:v>
                </c:pt>
                <c:pt idx="2977">
                  <c:v>1274.2</c:v>
                </c:pt>
                <c:pt idx="2978">
                  <c:v>1269</c:v>
                </c:pt>
                <c:pt idx="2979">
                  <c:v>1263.8</c:v>
                </c:pt>
                <c:pt idx="2980">
                  <c:v>1258.7</c:v>
                </c:pt>
                <c:pt idx="2981">
                  <c:v>1253.5</c:v>
                </c:pt>
                <c:pt idx="2982">
                  <c:v>1248.4000000000001</c:v>
                </c:pt>
                <c:pt idx="2983">
                  <c:v>1243.2</c:v>
                </c:pt>
                <c:pt idx="2984">
                  <c:v>1238.0999999999999</c:v>
                </c:pt>
                <c:pt idx="2985">
                  <c:v>1233</c:v>
                </c:pt>
                <c:pt idx="2986">
                  <c:v>1227.9000000000001</c:v>
                </c:pt>
                <c:pt idx="2987">
                  <c:v>1222.8</c:v>
                </c:pt>
                <c:pt idx="2988">
                  <c:v>1217.5999999999999</c:v>
                </c:pt>
                <c:pt idx="2989">
                  <c:v>1212.5</c:v>
                </c:pt>
                <c:pt idx="2990">
                  <c:v>1207.4000000000001</c:v>
                </c:pt>
                <c:pt idx="2991">
                  <c:v>1202.3</c:v>
                </c:pt>
                <c:pt idx="2992">
                  <c:v>1197.2</c:v>
                </c:pt>
                <c:pt idx="2993">
                  <c:v>1192.0999999999999</c:v>
                </c:pt>
                <c:pt idx="2994">
                  <c:v>1187</c:v>
                </c:pt>
                <c:pt idx="2995">
                  <c:v>1182</c:v>
                </c:pt>
                <c:pt idx="2996">
                  <c:v>1177</c:v>
                </c:pt>
                <c:pt idx="2997">
                  <c:v>1171.9000000000001</c:v>
                </c:pt>
                <c:pt idx="2998">
                  <c:v>1166.9000000000001</c:v>
                </c:pt>
                <c:pt idx="2999">
                  <c:v>1161.9000000000001</c:v>
                </c:pt>
                <c:pt idx="3000">
                  <c:v>1156.9000000000001</c:v>
                </c:pt>
                <c:pt idx="3001">
                  <c:v>1151.9000000000001</c:v>
                </c:pt>
                <c:pt idx="3002">
                  <c:v>1146.8</c:v>
                </c:pt>
                <c:pt idx="3003">
                  <c:v>1141.9000000000001</c:v>
                </c:pt>
                <c:pt idx="3004">
                  <c:v>1136.9000000000001</c:v>
                </c:pt>
                <c:pt idx="3005">
                  <c:v>1131.9000000000001</c:v>
                </c:pt>
                <c:pt idx="3006">
                  <c:v>1126.9000000000001</c:v>
                </c:pt>
                <c:pt idx="3007">
                  <c:v>1122</c:v>
                </c:pt>
                <c:pt idx="3008">
                  <c:v>1117</c:v>
                </c:pt>
                <c:pt idx="3009">
                  <c:v>1112.0999999999999</c:v>
                </c:pt>
                <c:pt idx="3010">
                  <c:v>1107.0999999999999</c:v>
                </c:pt>
                <c:pt idx="3011">
                  <c:v>1102.2</c:v>
                </c:pt>
                <c:pt idx="3012">
                  <c:v>1097.3</c:v>
                </c:pt>
                <c:pt idx="3013">
                  <c:v>1092.3</c:v>
                </c:pt>
                <c:pt idx="3014">
                  <c:v>1087.4000000000001</c:v>
                </c:pt>
                <c:pt idx="3015">
                  <c:v>1082.5</c:v>
                </c:pt>
                <c:pt idx="3016">
                  <c:v>1077.5999999999999</c:v>
                </c:pt>
                <c:pt idx="3017">
                  <c:v>1072.5999999999999</c:v>
                </c:pt>
                <c:pt idx="3018">
                  <c:v>1071.5</c:v>
                </c:pt>
                <c:pt idx="3019">
                  <c:v>1070.4000000000001</c:v>
                </c:pt>
                <c:pt idx="3020">
                  <c:v>1069.2</c:v>
                </c:pt>
                <c:pt idx="3021">
                  <c:v>1068.0999999999999</c:v>
                </c:pt>
                <c:pt idx="3022">
                  <c:v>1067</c:v>
                </c:pt>
                <c:pt idx="3023">
                  <c:v>1065.8</c:v>
                </c:pt>
                <c:pt idx="3024">
                  <c:v>1064.7</c:v>
                </c:pt>
                <c:pt idx="3025">
                  <c:v>1063.5</c:v>
                </c:pt>
                <c:pt idx="3026">
                  <c:v>1062.3</c:v>
                </c:pt>
                <c:pt idx="3027">
                  <c:v>1061.2</c:v>
                </c:pt>
                <c:pt idx="3028">
                  <c:v>1060</c:v>
                </c:pt>
                <c:pt idx="3029">
                  <c:v>1058.8</c:v>
                </c:pt>
                <c:pt idx="3030">
                  <c:v>1057.5999999999999</c:v>
                </c:pt>
                <c:pt idx="3031">
                  <c:v>1056.4000000000001</c:v>
                </c:pt>
                <c:pt idx="3032">
                  <c:v>1055.2</c:v>
                </c:pt>
                <c:pt idx="3033">
                  <c:v>1054</c:v>
                </c:pt>
                <c:pt idx="3034">
                  <c:v>1052.9000000000001</c:v>
                </c:pt>
                <c:pt idx="3035">
                  <c:v>1051.7</c:v>
                </c:pt>
                <c:pt idx="3036">
                  <c:v>1050.5</c:v>
                </c:pt>
                <c:pt idx="3037">
                  <c:v>1049.3</c:v>
                </c:pt>
                <c:pt idx="3038">
                  <c:v>1048.2</c:v>
                </c:pt>
                <c:pt idx="3039">
                  <c:v>1047</c:v>
                </c:pt>
                <c:pt idx="3040">
                  <c:v>1045.9000000000001</c:v>
                </c:pt>
                <c:pt idx="3041">
                  <c:v>1044.7</c:v>
                </c:pt>
                <c:pt idx="3042">
                  <c:v>1043.5999999999999</c:v>
                </c:pt>
                <c:pt idx="3043">
                  <c:v>1042.4000000000001</c:v>
                </c:pt>
                <c:pt idx="3044">
                  <c:v>1041.2</c:v>
                </c:pt>
                <c:pt idx="3045">
                  <c:v>1040.0999999999999</c:v>
                </c:pt>
                <c:pt idx="3046">
                  <c:v>1038.9000000000001</c:v>
                </c:pt>
                <c:pt idx="3047">
                  <c:v>1037.7</c:v>
                </c:pt>
                <c:pt idx="3048">
                  <c:v>1036.5999999999999</c:v>
                </c:pt>
                <c:pt idx="3049">
                  <c:v>1035.4000000000001</c:v>
                </c:pt>
                <c:pt idx="3050">
                  <c:v>1034.3</c:v>
                </c:pt>
                <c:pt idx="3051">
                  <c:v>1033.2</c:v>
                </c:pt>
                <c:pt idx="3052">
                  <c:v>1032</c:v>
                </c:pt>
                <c:pt idx="3053">
                  <c:v>1030.9000000000001</c:v>
                </c:pt>
                <c:pt idx="3054">
                  <c:v>1029.7</c:v>
                </c:pt>
                <c:pt idx="3055">
                  <c:v>1028.5999999999999</c:v>
                </c:pt>
                <c:pt idx="3056">
                  <c:v>1027.5</c:v>
                </c:pt>
                <c:pt idx="3057">
                  <c:v>1026.3</c:v>
                </c:pt>
                <c:pt idx="3058">
                  <c:v>1025.2</c:v>
                </c:pt>
                <c:pt idx="3059">
                  <c:v>1024.0999999999999</c:v>
                </c:pt>
                <c:pt idx="3060">
                  <c:v>1022.9</c:v>
                </c:pt>
                <c:pt idx="3061">
                  <c:v>1021.8</c:v>
                </c:pt>
                <c:pt idx="3062">
                  <c:v>1020.7</c:v>
                </c:pt>
                <c:pt idx="3063">
                  <c:v>1019.6</c:v>
                </c:pt>
                <c:pt idx="3064">
                  <c:v>1018.4</c:v>
                </c:pt>
                <c:pt idx="3065">
                  <c:v>1017.3</c:v>
                </c:pt>
                <c:pt idx="3066">
                  <c:v>1016.2</c:v>
                </c:pt>
                <c:pt idx="3067">
                  <c:v>1015.1</c:v>
                </c:pt>
                <c:pt idx="3068">
                  <c:v>1014</c:v>
                </c:pt>
                <c:pt idx="3069">
                  <c:v>1012.8</c:v>
                </c:pt>
                <c:pt idx="3070">
                  <c:v>1011.7</c:v>
                </c:pt>
                <c:pt idx="3071">
                  <c:v>1010.6</c:v>
                </c:pt>
                <c:pt idx="3072">
                  <c:v>1009.5</c:v>
                </c:pt>
                <c:pt idx="3073">
                  <c:v>1008.4</c:v>
                </c:pt>
                <c:pt idx="3074">
                  <c:v>1007.3</c:v>
                </c:pt>
                <c:pt idx="3075">
                  <c:v>1006.2</c:v>
                </c:pt>
                <c:pt idx="3076">
                  <c:v>1005.1</c:v>
                </c:pt>
                <c:pt idx="3077">
                  <c:v>1003.9</c:v>
                </c:pt>
                <c:pt idx="3078">
                  <c:v>1002.6</c:v>
                </c:pt>
                <c:pt idx="3079">
                  <c:v>1001.4</c:v>
                </c:pt>
                <c:pt idx="3080">
                  <c:v>1000.2</c:v>
                </c:pt>
                <c:pt idx="3081">
                  <c:v>999</c:v>
                </c:pt>
                <c:pt idx="3082">
                  <c:v>997.7</c:v>
                </c:pt>
                <c:pt idx="3083">
                  <c:v>996.5</c:v>
                </c:pt>
                <c:pt idx="3084">
                  <c:v>995.3</c:v>
                </c:pt>
                <c:pt idx="3085">
                  <c:v>994.1</c:v>
                </c:pt>
                <c:pt idx="3086">
                  <c:v>992.9</c:v>
                </c:pt>
                <c:pt idx="3087">
                  <c:v>991.6</c:v>
                </c:pt>
                <c:pt idx="3088">
                  <c:v>990</c:v>
                </c:pt>
                <c:pt idx="3089">
                  <c:v>988.2</c:v>
                </c:pt>
                <c:pt idx="3090">
                  <c:v>986.6</c:v>
                </c:pt>
                <c:pt idx="3091">
                  <c:v>984.8</c:v>
                </c:pt>
                <c:pt idx="3092">
                  <c:v>983.2</c:v>
                </c:pt>
                <c:pt idx="3093">
                  <c:v>981.5</c:v>
                </c:pt>
                <c:pt idx="3094">
                  <c:v>979.7</c:v>
                </c:pt>
                <c:pt idx="3095">
                  <c:v>978</c:v>
                </c:pt>
                <c:pt idx="3096">
                  <c:v>976.2</c:v>
                </c:pt>
                <c:pt idx="3097">
                  <c:v>974.6</c:v>
                </c:pt>
                <c:pt idx="3098">
                  <c:v>972.9</c:v>
                </c:pt>
                <c:pt idx="3099">
                  <c:v>971.2</c:v>
                </c:pt>
                <c:pt idx="3100">
                  <c:v>969.5</c:v>
                </c:pt>
                <c:pt idx="3101">
                  <c:v>967.8</c:v>
                </c:pt>
                <c:pt idx="3102">
                  <c:v>966.1</c:v>
                </c:pt>
                <c:pt idx="3103">
                  <c:v>956.4</c:v>
                </c:pt>
                <c:pt idx="3104">
                  <c:v>956.4</c:v>
                </c:pt>
                <c:pt idx="3105">
                  <c:v>956.4</c:v>
                </c:pt>
                <c:pt idx="3106">
                  <c:v>956.4</c:v>
                </c:pt>
                <c:pt idx="3107">
                  <c:v>956.4</c:v>
                </c:pt>
                <c:pt idx="3108">
                  <c:v>956.3</c:v>
                </c:pt>
                <c:pt idx="3109">
                  <c:v>956.3</c:v>
                </c:pt>
                <c:pt idx="3110">
                  <c:v>956.3</c:v>
                </c:pt>
                <c:pt idx="3111">
                  <c:v>956.3</c:v>
                </c:pt>
                <c:pt idx="3112">
                  <c:v>956.2</c:v>
                </c:pt>
                <c:pt idx="3113">
                  <c:v>956.2</c:v>
                </c:pt>
                <c:pt idx="3114">
                  <c:v>956.2</c:v>
                </c:pt>
                <c:pt idx="3115">
                  <c:v>956.2</c:v>
                </c:pt>
                <c:pt idx="3116">
                  <c:v>956.1</c:v>
                </c:pt>
                <c:pt idx="3117">
                  <c:v>956.1</c:v>
                </c:pt>
                <c:pt idx="3118">
                  <c:v>956</c:v>
                </c:pt>
                <c:pt idx="3119">
                  <c:v>955.9</c:v>
                </c:pt>
                <c:pt idx="3120">
                  <c:v>955.8</c:v>
                </c:pt>
                <c:pt idx="3121">
                  <c:v>955.7</c:v>
                </c:pt>
                <c:pt idx="3122">
                  <c:v>955.5</c:v>
                </c:pt>
                <c:pt idx="3123">
                  <c:v>955.5</c:v>
                </c:pt>
                <c:pt idx="3124">
                  <c:v>955.4</c:v>
                </c:pt>
                <c:pt idx="3125">
                  <c:v>955.4</c:v>
                </c:pt>
                <c:pt idx="3126">
                  <c:v>955.2</c:v>
                </c:pt>
                <c:pt idx="3127">
                  <c:v>955.1</c:v>
                </c:pt>
                <c:pt idx="3128">
                  <c:v>955</c:v>
                </c:pt>
                <c:pt idx="3129">
                  <c:v>954.9</c:v>
                </c:pt>
                <c:pt idx="3130">
                  <c:v>954.8</c:v>
                </c:pt>
                <c:pt idx="3131">
                  <c:v>954.7</c:v>
                </c:pt>
                <c:pt idx="3132">
                  <c:v>954.7</c:v>
                </c:pt>
                <c:pt idx="3133">
                  <c:v>954.5</c:v>
                </c:pt>
                <c:pt idx="3134">
                  <c:v>954.5</c:v>
                </c:pt>
                <c:pt idx="3135">
                  <c:v>954.4</c:v>
                </c:pt>
                <c:pt idx="3136">
                  <c:v>954.3</c:v>
                </c:pt>
                <c:pt idx="3137">
                  <c:v>954.2</c:v>
                </c:pt>
                <c:pt idx="3138">
                  <c:v>954.1</c:v>
                </c:pt>
                <c:pt idx="3139">
                  <c:v>954</c:v>
                </c:pt>
                <c:pt idx="3140">
                  <c:v>953.9</c:v>
                </c:pt>
                <c:pt idx="3141">
                  <c:v>953.9</c:v>
                </c:pt>
                <c:pt idx="3142">
                  <c:v>953.7</c:v>
                </c:pt>
                <c:pt idx="3143">
                  <c:v>953.7</c:v>
                </c:pt>
                <c:pt idx="3144">
                  <c:v>953.6</c:v>
                </c:pt>
                <c:pt idx="3145">
                  <c:v>953.6</c:v>
                </c:pt>
                <c:pt idx="3146">
                  <c:v>953.5</c:v>
                </c:pt>
                <c:pt idx="3147">
                  <c:v>953.5</c:v>
                </c:pt>
                <c:pt idx="3148">
                  <c:v>953.4</c:v>
                </c:pt>
                <c:pt idx="3149">
                  <c:v>953.1</c:v>
                </c:pt>
                <c:pt idx="3150">
                  <c:v>953.1</c:v>
                </c:pt>
                <c:pt idx="3151">
                  <c:v>952.8</c:v>
                </c:pt>
                <c:pt idx="3152">
                  <c:v>952.7</c:v>
                </c:pt>
                <c:pt idx="3153">
                  <c:v>952.4</c:v>
                </c:pt>
                <c:pt idx="3154">
                  <c:v>952.3</c:v>
                </c:pt>
                <c:pt idx="3155">
                  <c:v>952.1</c:v>
                </c:pt>
                <c:pt idx="3156">
                  <c:v>951.9</c:v>
                </c:pt>
                <c:pt idx="3157">
                  <c:v>951.7</c:v>
                </c:pt>
                <c:pt idx="3158">
                  <c:v>951.6</c:v>
                </c:pt>
                <c:pt idx="3159">
                  <c:v>951.3</c:v>
                </c:pt>
                <c:pt idx="3160">
                  <c:v>951.1</c:v>
                </c:pt>
                <c:pt idx="3161">
                  <c:v>950.9</c:v>
                </c:pt>
                <c:pt idx="3162">
                  <c:v>950.6</c:v>
                </c:pt>
                <c:pt idx="3163">
                  <c:v>950.6</c:v>
                </c:pt>
                <c:pt idx="3164">
                  <c:v>950.3</c:v>
                </c:pt>
                <c:pt idx="3165">
                  <c:v>950.2</c:v>
                </c:pt>
                <c:pt idx="3166">
                  <c:v>949.9</c:v>
                </c:pt>
                <c:pt idx="3167">
                  <c:v>949.8</c:v>
                </c:pt>
                <c:pt idx="3168">
                  <c:v>949.6</c:v>
                </c:pt>
                <c:pt idx="3169">
                  <c:v>949.5</c:v>
                </c:pt>
                <c:pt idx="3170">
                  <c:v>949.3</c:v>
                </c:pt>
                <c:pt idx="3171">
                  <c:v>949.1</c:v>
                </c:pt>
                <c:pt idx="3172">
                  <c:v>948.9</c:v>
                </c:pt>
                <c:pt idx="3173">
                  <c:v>948.8</c:v>
                </c:pt>
                <c:pt idx="3174">
                  <c:v>948.5</c:v>
                </c:pt>
                <c:pt idx="3175">
                  <c:v>948.3</c:v>
                </c:pt>
                <c:pt idx="3176">
                  <c:v>948.2</c:v>
                </c:pt>
                <c:pt idx="3177">
                  <c:v>948</c:v>
                </c:pt>
                <c:pt idx="3178">
                  <c:v>948</c:v>
                </c:pt>
                <c:pt idx="3179">
                  <c:v>947.8</c:v>
                </c:pt>
                <c:pt idx="3180">
                  <c:v>947.6</c:v>
                </c:pt>
                <c:pt idx="3181">
                  <c:v>947.5</c:v>
                </c:pt>
                <c:pt idx="3182">
                  <c:v>947.3</c:v>
                </c:pt>
                <c:pt idx="3183">
                  <c:v>947.1</c:v>
                </c:pt>
                <c:pt idx="3184">
                  <c:v>946.9</c:v>
                </c:pt>
                <c:pt idx="3185">
                  <c:v>946.7</c:v>
                </c:pt>
                <c:pt idx="3186">
                  <c:v>946.4</c:v>
                </c:pt>
                <c:pt idx="3187">
                  <c:v>946.3</c:v>
                </c:pt>
                <c:pt idx="3188">
                  <c:v>946.1</c:v>
                </c:pt>
                <c:pt idx="3189">
                  <c:v>945.9</c:v>
                </c:pt>
                <c:pt idx="3190">
                  <c:v>945.7</c:v>
                </c:pt>
                <c:pt idx="3191">
                  <c:v>945.5</c:v>
                </c:pt>
                <c:pt idx="3192">
                  <c:v>945.3</c:v>
                </c:pt>
                <c:pt idx="3193">
                  <c:v>945.1</c:v>
                </c:pt>
                <c:pt idx="3194">
                  <c:v>945</c:v>
                </c:pt>
                <c:pt idx="3195">
                  <c:v>944.8</c:v>
                </c:pt>
                <c:pt idx="3196">
                  <c:v>944.6</c:v>
                </c:pt>
                <c:pt idx="3197">
                  <c:v>944.4</c:v>
                </c:pt>
                <c:pt idx="3198">
                  <c:v>945.7</c:v>
                </c:pt>
                <c:pt idx="3199">
                  <c:v>946</c:v>
                </c:pt>
                <c:pt idx="3200">
                  <c:v>946.5</c:v>
                </c:pt>
                <c:pt idx="3201">
                  <c:v>947</c:v>
                </c:pt>
                <c:pt idx="3202">
                  <c:v>947.6</c:v>
                </c:pt>
                <c:pt idx="3203">
                  <c:v>948.3</c:v>
                </c:pt>
                <c:pt idx="3204">
                  <c:v>948.8</c:v>
                </c:pt>
                <c:pt idx="3205">
                  <c:v>949.5</c:v>
                </c:pt>
                <c:pt idx="3206">
                  <c:v>950.2</c:v>
                </c:pt>
                <c:pt idx="3207">
                  <c:v>950.9</c:v>
                </c:pt>
                <c:pt idx="3208">
                  <c:v>951.7</c:v>
                </c:pt>
                <c:pt idx="3209">
                  <c:v>952.4</c:v>
                </c:pt>
                <c:pt idx="3210">
                  <c:v>953.1</c:v>
                </c:pt>
                <c:pt idx="3211">
                  <c:v>954</c:v>
                </c:pt>
                <c:pt idx="3212">
                  <c:v>954.7</c:v>
                </c:pt>
                <c:pt idx="3213">
                  <c:v>955.7</c:v>
                </c:pt>
                <c:pt idx="3214">
                  <c:v>956.6</c:v>
                </c:pt>
                <c:pt idx="3215">
                  <c:v>957.4</c:v>
                </c:pt>
                <c:pt idx="3216">
                  <c:v>958.2</c:v>
                </c:pt>
                <c:pt idx="3217">
                  <c:v>959</c:v>
                </c:pt>
                <c:pt idx="3218">
                  <c:v>959.9</c:v>
                </c:pt>
                <c:pt idx="3219">
                  <c:v>960.8</c:v>
                </c:pt>
                <c:pt idx="3220">
                  <c:v>961.8</c:v>
                </c:pt>
                <c:pt idx="3221">
                  <c:v>962.8</c:v>
                </c:pt>
                <c:pt idx="3222">
                  <c:v>963.9</c:v>
                </c:pt>
                <c:pt idx="3223">
                  <c:v>965</c:v>
                </c:pt>
                <c:pt idx="3224">
                  <c:v>966</c:v>
                </c:pt>
                <c:pt idx="3225">
                  <c:v>967.2</c:v>
                </c:pt>
                <c:pt idx="3226">
                  <c:v>968.5</c:v>
                </c:pt>
                <c:pt idx="3227">
                  <c:v>969.7</c:v>
                </c:pt>
                <c:pt idx="3228">
                  <c:v>971.2</c:v>
                </c:pt>
                <c:pt idx="3229">
                  <c:v>972.6</c:v>
                </c:pt>
                <c:pt idx="3230">
                  <c:v>974.1</c:v>
                </c:pt>
                <c:pt idx="3231">
                  <c:v>975.5</c:v>
                </c:pt>
                <c:pt idx="3232">
                  <c:v>976.8</c:v>
                </c:pt>
                <c:pt idx="3233">
                  <c:v>978.1</c:v>
                </c:pt>
                <c:pt idx="3234">
                  <c:v>979.5</c:v>
                </c:pt>
                <c:pt idx="3235">
                  <c:v>980.9</c:v>
                </c:pt>
                <c:pt idx="3236">
                  <c:v>982.5</c:v>
                </c:pt>
                <c:pt idx="3237">
                  <c:v>984.1</c:v>
                </c:pt>
                <c:pt idx="3238">
                  <c:v>986.5</c:v>
                </c:pt>
                <c:pt idx="3239">
                  <c:v>988.5</c:v>
                </c:pt>
                <c:pt idx="3240">
                  <c:v>990.5</c:v>
                </c:pt>
                <c:pt idx="3241">
                  <c:v>992.8</c:v>
                </c:pt>
                <c:pt idx="3242">
                  <c:v>994.7</c:v>
                </c:pt>
                <c:pt idx="3243">
                  <c:v>996.8</c:v>
                </c:pt>
                <c:pt idx="3244">
                  <c:v>999.1</c:v>
                </c:pt>
                <c:pt idx="3245">
                  <c:v>1001.5</c:v>
                </c:pt>
                <c:pt idx="3246">
                  <c:v>1004.1</c:v>
                </c:pt>
                <c:pt idx="3247">
                  <c:v>1008.2</c:v>
                </c:pt>
                <c:pt idx="3248">
                  <c:v>1014.2</c:v>
                </c:pt>
                <c:pt idx="3249">
                  <c:v>1018.2</c:v>
                </c:pt>
                <c:pt idx="3250">
                  <c:v>1021.4</c:v>
                </c:pt>
                <c:pt idx="3251">
                  <c:v>1024</c:v>
                </c:pt>
                <c:pt idx="3252">
                  <c:v>1027.8</c:v>
                </c:pt>
                <c:pt idx="3253">
                  <c:v>1039.0999999999999</c:v>
                </c:pt>
                <c:pt idx="3254">
                  <c:v>1043.2</c:v>
                </c:pt>
                <c:pt idx="3255">
                  <c:v>1047.5999999999999</c:v>
                </c:pt>
                <c:pt idx="3256">
                  <c:v>1053</c:v>
                </c:pt>
                <c:pt idx="3257">
                  <c:v>1068.5</c:v>
                </c:pt>
                <c:pt idx="3258">
                  <c:v>1080.5999999999999</c:v>
                </c:pt>
                <c:pt idx="3259">
                  <c:v>1087.3</c:v>
                </c:pt>
                <c:pt idx="3260">
                  <c:v>1098.8</c:v>
                </c:pt>
                <c:pt idx="3261">
                  <c:v>1114.8</c:v>
                </c:pt>
                <c:pt idx="3262">
                  <c:v>1134</c:v>
                </c:pt>
                <c:pt idx="3263">
                  <c:v>1140.3</c:v>
                </c:pt>
                <c:pt idx="3264">
                  <c:v>1153.2</c:v>
                </c:pt>
                <c:pt idx="3265">
                  <c:v>1159.5</c:v>
                </c:pt>
                <c:pt idx="3266">
                  <c:v>1162.0999999999999</c:v>
                </c:pt>
                <c:pt idx="3267">
                  <c:v>1164.8</c:v>
                </c:pt>
                <c:pt idx="3268">
                  <c:v>1167.5</c:v>
                </c:pt>
                <c:pt idx="3269">
                  <c:v>1170.2</c:v>
                </c:pt>
                <c:pt idx="3270">
                  <c:v>1172.9000000000001</c:v>
                </c:pt>
                <c:pt idx="3271">
                  <c:v>1175.7</c:v>
                </c:pt>
                <c:pt idx="3272">
                  <c:v>1176.3</c:v>
                </c:pt>
                <c:pt idx="3273">
                  <c:v>1176.5999999999999</c:v>
                </c:pt>
                <c:pt idx="3274">
                  <c:v>1177</c:v>
                </c:pt>
                <c:pt idx="3275">
                  <c:v>1177.4000000000001</c:v>
                </c:pt>
                <c:pt idx="3276">
                  <c:v>1177.7</c:v>
                </c:pt>
                <c:pt idx="3277">
                  <c:v>1178.0999999999999</c:v>
                </c:pt>
                <c:pt idx="3278">
                  <c:v>1178.5</c:v>
                </c:pt>
                <c:pt idx="3279">
                  <c:v>1178.9000000000001</c:v>
                </c:pt>
                <c:pt idx="3280">
                  <c:v>1179.3</c:v>
                </c:pt>
                <c:pt idx="3281">
                  <c:v>1179.5999999999999</c:v>
                </c:pt>
                <c:pt idx="3282">
                  <c:v>1180.0999999999999</c:v>
                </c:pt>
                <c:pt idx="3283">
                  <c:v>1180.5</c:v>
                </c:pt>
                <c:pt idx="3284">
                  <c:v>1180.9000000000001</c:v>
                </c:pt>
                <c:pt idx="3285">
                  <c:v>1177.9000000000001</c:v>
                </c:pt>
                <c:pt idx="3286">
                  <c:v>1175.9000000000001</c:v>
                </c:pt>
                <c:pt idx="3287">
                  <c:v>1175.4000000000001</c:v>
                </c:pt>
                <c:pt idx="3288">
                  <c:v>1173.0999999999999</c:v>
                </c:pt>
                <c:pt idx="3289">
                  <c:v>1171</c:v>
                </c:pt>
                <c:pt idx="3290">
                  <c:v>1169.7</c:v>
                </c:pt>
                <c:pt idx="3291">
                  <c:v>1169.0999999999999</c:v>
                </c:pt>
                <c:pt idx="3292">
                  <c:v>1168.7</c:v>
                </c:pt>
                <c:pt idx="3293">
                  <c:v>1168.5</c:v>
                </c:pt>
                <c:pt idx="3294">
                  <c:v>1168.4000000000001</c:v>
                </c:pt>
                <c:pt idx="3295">
                  <c:v>1168.3</c:v>
                </c:pt>
                <c:pt idx="3296">
                  <c:v>1168.3</c:v>
                </c:pt>
                <c:pt idx="3297">
                  <c:v>1168.5</c:v>
                </c:pt>
                <c:pt idx="3298">
                  <c:v>1168.7</c:v>
                </c:pt>
                <c:pt idx="3299">
                  <c:v>1168.9000000000001</c:v>
                </c:pt>
                <c:pt idx="3300">
                  <c:v>1169.2</c:v>
                </c:pt>
                <c:pt idx="3301">
                  <c:v>1169.5999999999999</c:v>
                </c:pt>
                <c:pt idx="3302">
                  <c:v>1170</c:v>
                </c:pt>
                <c:pt idx="3303">
                  <c:v>1170.4000000000001</c:v>
                </c:pt>
                <c:pt idx="3304">
                  <c:v>1170.8</c:v>
                </c:pt>
                <c:pt idx="3305">
                  <c:v>1171.4000000000001</c:v>
                </c:pt>
                <c:pt idx="3306">
                  <c:v>1171.9000000000001</c:v>
                </c:pt>
                <c:pt idx="3307">
                  <c:v>1172.5</c:v>
                </c:pt>
                <c:pt idx="3308">
                  <c:v>1173.0999999999999</c:v>
                </c:pt>
                <c:pt idx="3309">
                  <c:v>1173.7</c:v>
                </c:pt>
                <c:pt idx="3310">
                  <c:v>1174.3</c:v>
                </c:pt>
                <c:pt idx="3311">
                  <c:v>1175</c:v>
                </c:pt>
                <c:pt idx="3312">
                  <c:v>1175.5999999999999</c:v>
                </c:pt>
                <c:pt idx="3313">
                  <c:v>1176.3</c:v>
                </c:pt>
                <c:pt idx="3314">
                  <c:v>1177</c:v>
                </c:pt>
                <c:pt idx="3315">
                  <c:v>1177.8</c:v>
                </c:pt>
                <c:pt idx="3316">
                  <c:v>1178.5</c:v>
                </c:pt>
                <c:pt idx="3317">
                  <c:v>1179.3</c:v>
                </c:pt>
                <c:pt idx="3318">
                  <c:v>1180</c:v>
                </c:pt>
                <c:pt idx="3319">
                  <c:v>1180.7</c:v>
                </c:pt>
                <c:pt idx="3320">
                  <c:v>1181.5999999999999</c:v>
                </c:pt>
                <c:pt idx="3321">
                  <c:v>1182.4000000000001</c:v>
                </c:pt>
                <c:pt idx="3322">
                  <c:v>1183.2</c:v>
                </c:pt>
                <c:pt idx="3323">
                  <c:v>1184</c:v>
                </c:pt>
                <c:pt idx="3324">
                  <c:v>1184.8</c:v>
                </c:pt>
                <c:pt idx="3325">
                  <c:v>1185.5999999999999</c:v>
                </c:pt>
                <c:pt idx="3326">
                  <c:v>1186.5999999999999</c:v>
                </c:pt>
                <c:pt idx="3327">
                  <c:v>1187.4000000000001</c:v>
                </c:pt>
                <c:pt idx="3328">
                  <c:v>1188.3</c:v>
                </c:pt>
                <c:pt idx="3329">
                  <c:v>1189.0999999999999</c:v>
                </c:pt>
                <c:pt idx="3330">
                  <c:v>1190</c:v>
                </c:pt>
                <c:pt idx="3331">
                  <c:v>1190.9000000000001</c:v>
                </c:pt>
                <c:pt idx="3332">
                  <c:v>1191.8</c:v>
                </c:pt>
                <c:pt idx="3333">
                  <c:v>1192.7</c:v>
                </c:pt>
                <c:pt idx="3334">
                  <c:v>1193.5999999999999</c:v>
                </c:pt>
                <c:pt idx="3335">
                  <c:v>1194.5</c:v>
                </c:pt>
                <c:pt idx="3336">
                  <c:v>1195.4000000000001</c:v>
                </c:pt>
                <c:pt idx="3337">
                  <c:v>1196.3</c:v>
                </c:pt>
                <c:pt idx="3338">
                  <c:v>1197.2</c:v>
                </c:pt>
                <c:pt idx="3339">
                  <c:v>1198.0999999999999</c:v>
                </c:pt>
                <c:pt idx="3340">
                  <c:v>1199.0999999999999</c:v>
                </c:pt>
                <c:pt idx="3341">
                  <c:v>1200</c:v>
                </c:pt>
                <c:pt idx="3342">
                  <c:v>1200.9000000000001</c:v>
                </c:pt>
                <c:pt idx="3343">
                  <c:v>1201.9000000000001</c:v>
                </c:pt>
                <c:pt idx="3344">
                  <c:v>1202.8</c:v>
                </c:pt>
                <c:pt idx="3345">
                  <c:v>1203.5</c:v>
                </c:pt>
                <c:pt idx="3346">
                  <c:v>1207.5</c:v>
                </c:pt>
                <c:pt idx="3347">
                  <c:v>1211.3</c:v>
                </c:pt>
                <c:pt idx="3348">
                  <c:v>1215.4000000000001</c:v>
                </c:pt>
                <c:pt idx="3349">
                  <c:v>1219.3</c:v>
                </c:pt>
                <c:pt idx="3350">
                  <c:v>1223.3</c:v>
                </c:pt>
                <c:pt idx="3351">
                  <c:v>1227.2</c:v>
                </c:pt>
                <c:pt idx="3352">
                  <c:v>1231.2</c:v>
                </c:pt>
                <c:pt idx="3353">
                  <c:v>1235.2</c:v>
                </c:pt>
                <c:pt idx="3354">
                  <c:v>1239.0999999999999</c:v>
                </c:pt>
                <c:pt idx="3355">
                  <c:v>1243.0999999999999</c:v>
                </c:pt>
                <c:pt idx="3356">
                  <c:v>1247</c:v>
                </c:pt>
                <c:pt idx="3357">
                  <c:v>1250.9000000000001</c:v>
                </c:pt>
                <c:pt idx="3358">
                  <c:v>1255</c:v>
                </c:pt>
                <c:pt idx="3359">
                  <c:v>1259</c:v>
                </c:pt>
                <c:pt idx="3360">
                  <c:v>1262.9000000000001</c:v>
                </c:pt>
                <c:pt idx="3361">
                  <c:v>1267</c:v>
                </c:pt>
                <c:pt idx="3362">
                  <c:v>1271</c:v>
                </c:pt>
                <c:pt idx="3363">
                  <c:v>1274.9000000000001</c:v>
                </c:pt>
                <c:pt idx="3364">
                  <c:v>1278.8</c:v>
                </c:pt>
                <c:pt idx="3365">
                  <c:v>1282.7</c:v>
                </c:pt>
                <c:pt idx="3366">
                  <c:v>1286.5999999999999</c:v>
                </c:pt>
                <c:pt idx="3367">
                  <c:v>1290.5</c:v>
                </c:pt>
                <c:pt idx="3368">
                  <c:v>1294.5</c:v>
                </c:pt>
                <c:pt idx="3369">
                  <c:v>1298.4000000000001</c:v>
                </c:pt>
                <c:pt idx="3370">
                  <c:v>1302.3</c:v>
                </c:pt>
                <c:pt idx="3371">
                  <c:v>1306.0999999999999</c:v>
                </c:pt>
                <c:pt idx="3372">
                  <c:v>1310</c:v>
                </c:pt>
                <c:pt idx="3373">
                  <c:v>1314</c:v>
                </c:pt>
                <c:pt idx="3374">
                  <c:v>1317.8</c:v>
                </c:pt>
                <c:pt idx="3375">
                  <c:v>1321.7</c:v>
                </c:pt>
                <c:pt idx="3376">
                  <c:v>1325.6</c:v>
                </c:pt>
                <c:pt idx="3377">
                  <c:v>1329.5</c:v>
                </c:pt>
                <c:pt idx="3378">
                  <c:v>1333.4</c:v>
                </c:pt>
                <c:pt idx="3379">
                  <c:v>1337.3</c:v>
                </c:pt>
                <c:pt idx="3380">
                  <c:v>1341.1</c:v>
                </c:pt>
                <c:pt idx="3381">
                  <c:v>1344.9</c:v>
                </c:pt>
                <c:pt idx="3382">
                  <c:v>1348.7</c:v>
                </c:pt>
                <c:pt idx="3383">
                  <c:v>1352.4</c:v>
                </c:pt>
                <c:pt idx="3384">
                  <c:v>1355.9</c:v>
                </c:pt>
                <c:pt idx="3385">
                  <c:v>1359.6</c:v>
                </c:pt>
                <c:pt idx="3386">
                  <c:v>1363.2</c:v>
                </c:pt>
                <c:pt idx="3387">
                  <c:v>1366.8</c:v>
                </c:pt>
                <c:pt idx="3388">
                  <c:v>1370.6</c:v>
                </c:pt>
                <c:pt idx="3389">
                  <c:v>1374.3</c:v>
                </c:pt>
                <c:pt idx="3390">
                  <c:v>1378.1</c:v>
                </c:pt>
                <c:pt idx="3391">
                  <c:v>1381.7</c:v>
                </c:pt>
                <c:pt idx="3392">
                  <c:v>1385.5</c:v>
                </c:pt>
                <c:pt idx="3393">
                  <c:v>1389.2</c:v>
                </c:pt>
                <c:pt idx="3394">
                  <c:v>1393</c:v>
                </c:pt>
                <c:pt idx="3395">
                  <c:v>1396.5</c:v>
                </c:pt>
                <c:pt idx="3396">
                  <c:v>1400.2</c:v>
                </c:pt>
                <c:pt idx="3397">
                  <c:v>1403.7</c:v>
                </c:pt>
                <c:pt idx="3398">
                  <c:v>1407.6</c:v>
                </c:pt>
                <c:pt idx="3399">
                  <c:v>1411</c:v>
                </c:pt>
                <c:pt idx="3400">
                  <c:v>1414.7</c:v>
                </c:pt>
                <c:pt idx="3401">
                  <c:v>1418.4</c:v>
                </c:pt>
                <c:pt idx="3402">
                  <c:v>1422.1</c:v>
                </c:pt>
                <c:pt idx="3403">
                  <c:v>1425.9</c:v>
                </c:pt>
                <c:pt idx="3404">
                  <c:v>1429.6</c:v>
                </c:pt>
                <c:pt idx="3405">
                  <c:v>1433.4</c:v>
                </c:pt>
                <c:pt idx="3406">
                  <c:v>1437.1</c:v>
                </c:pt>
                <c:pt idx="3407">
                  <c:v>1441</c:v>
                </c:pt>
                <c:pt idx="3408">
                  <c:v>1444.9</c:v>
                </c:pt>
                <c:pt idx="3409">
                  <c:v>1448.7</c:v>
                </c:pt>
                <c:pt idx="3410">
                  <c:v>1452.6</c:v>
                </c:pt>
                <c:pt idx="3411">
                  <c:v>1456.5</c:v>
                </c:pt>
                <c:pt idx="3412">
                  <c:v>1460.3</c:v>
                </c:pt>
                <c:pt idx="3413">
                  <c:v>1464.2</c:v>
                </c:pt>
                <c:pt idx="3414">
                  <c:v>1467.9</c:v>
                </c:pt>
                <c:pt idx="3415">
                  <c:v>1470.6</c:v>
                </c:pt>
                <c:pt idx="3416">
                  <c:v>1469.8</c:v>
                </c:pt>
                <c:pt idx="3417">
                  <c:v>1469</c:v>
                </c:pt>
                <c:pt idx="3418">
                  <c:v>1468.2</c:v>
                </c:pt>
                <c:pt idx="3419">
                  <c:v>1467.4</c:v>
                </c:pt>
                <c:pt idx="3420">
                  <c:v>1466.6</c:v>
                </c:pt>
                <c:pt idx="3421">
                  <c:v>1465.9</c:v>
                </c:pt>
                <c:pt idx="3422">
                  <c:v>1465.2</c:v>
                </c:pt>
                <c:pt idx="3423">
                  <c:v>1464.4</c:v>
                </c:pt>
                <c:pt idx="3424">
                  <c:v>1463.7</c:v>
                </c:pt>
                <c:pt idx="3425">
                  <c:v>1463</c:v>
                </c:pt>
                <c:pt idx="3426">
                  <c:v>1462.4</c:v>
                </c:pt>
                <c:pt idx="3427">
                  <c:v>1461.7</c:v>
                </c:pt>
                <c:pt idx="3428">
                  <c:v>1461.1</c:v>
                </c:pt>
                <c:pt idx="3429">
                  <c:v>1460.5</c:v>
                </c:pt>
                <c:pt idx="3430">
                  <c:v>1459.9</c:v>
                </c:pt>
                <c:pt idx="3431">
                  <c:v>1459.3</c:v>
                </c:pt>
                <c:pt idx="3432">
                  <c:v>1458.9</c:v>
                </c:pt>
                <c:pt idx="3433">
                  <c:v>1458.3</c:v>
                </c:pt>
                <c:pt idx="3434">
                  <c:v>1457.8</c:v>
                </c:pt>
                <c:pt idx="3435">
                  <c:v>1457.4</c:v>
                </c:pt>
                <c:pt idx="3436">
                  <c:v>1456.9</c:v>
                </c:pt>
                <c:pt idx="3437">
                  <c:v>1456.5</c:v>
                </c:pt>
                <c:pt idx="3438">
                  <c:v>1456.1</c:v>
                </c:pt>
                <c:pt idx="3439">
                  <c:v>1455.4</c:v>
                </c:pt>
                <c:pt idx="3440">
                  <c:v>1453.9</c:v>
                </c:pt>
                <c:pt idx="3441">
                  <c:v>1452.6</c:v>
                </c:pt>
                <c:pt idx="3442">
                  <c:v>1451.1</c:v>
                </c:pt>
                <c:pt idx="3443">
                  <c:v>1449.3</c:v>
                </c:pt>
                <c:pt idx="3444">
                  <c:v>1447.8</c:v>
                </c:pt>
                <c:pt idx="3445">
                  <c:v>1446.3</c:v>
                </c:pt>
                <c:pt idx="3446">
                  <c:v>1445.3</c:v>
                </c:pt>
                <c:pt idx="3447">
                  <c:v>1444.6</c:v>
                </c:pt>
                <c:pt idx="3448">
                  <c:v>1444</c:v>
                </c:pt>
                <c:pt idx="3449">
                  <c:v>1443.5</c:v>
                </c:pt>
                <c:pt idx="3450">
                  <c:v>1443</c:v>
                </c:pt>
                <c:pt idx="3451">
                  <c:v>1442.5</c:v>
                </c:pt>
                <c:pt idx="3452">
                  <c:v>1442.2</c:v>
                </c:pt>
                <c:pt idx="3453">
                  <c:v>1441.7</c:v>
                </c:pt>
                <c:pt idx="3454">
                  <c:v>1441.4</c:v>
                </c:pt>
                <c:pt idx="3455">
                  <c:v>1441.1</c:v>
                </c:pt>
                <c:pt idx="3456">
                  <c:v>1441</c:v>
                </c:pt>
                <c:pt idx="3457">
                  <c:v>1441</c:v>
                </c:pt>
                <c:pt idx="3458">
                  <c:v>1441</c:v>
                </c:pt>
                <c:pt idx="3459">
                  <c:v>1441.1</c:v>
                </c:pt>
                <c:pt idx="3460">
                  <c:v>1441.4</c:v>
                </c:pt>
                <c:pt idx="3461">
                  <c:v>1441.7</c:v>
                </c:pt>
                <c:pt idx="3462">
                  <c:v>1442</c:v>
                </c:pt>
                <c:pt idx="3463">
                  <c:v>1442.5</c:v>
                </c:pt>
                <c:pt idx="3464">
                  <c:v>1442.9</c:v>
                </c:pt>
                <c:pt idx="3465">
                  <c:v>1443.6</c:v>
                </c:pt>
                <c:pt idx="3466">
                  <c:v>1444.2</c:v>
                </c:pt>
                <c:pt idx="3467">
                  <c:v>1445</c:v>
                </c:pt>
                <c:pt idx="3468">
                  <c:v>1445.8</c:v>
                </c:pt>
                <c:pt idx="3469">
                  <c:v>1446.6</c:v>
                </c:pt>
                <c:pt idx="3470">
                  <c:v>1447.6</c:v>
                </c:pt>
                <c:pt idx="3471">
                  <c:v>1448.5</c:v>
                </c:pt>
                <c:pt idx="3472">
                  <c:v>1449.7</c:v>
                </c:pt>
                <c:pt idx="3473">
                  <c:v>1450.8</c:v>
                </c:pt>
                <c:pt idx="3474">
                  <c:v>1452</c:v>
                </c:pt>
                <c:pt idx="3475">
                  <c:v>1453.3</c:v>
                </c:pt>
                <c:pt idx="3476">
                  <c:v>1454.8</c:v>
                </c:pt>
                <c:pt idx="3477">
                  <c:v>1456.5</c:v>
                </c:pt>
                <c:pt idx="3478">
                  <c:v>1458.3</c:v>
                </c:pt>
                <c:pt idx="3479">
                  <c:v>1460.4</c:v>
                </c:pt>
                <c:pt idx="3480">
                  <c:v>1462.6</c:v>
                </c:pt>
                <c:pt idx="3481">
                  <c:v>1465.5</c:v>
                </c:pt>
                <c:pt idx="3482">
                  <c:v>1468.6</c:v>
                </c:pt>
                <c:pt idx="3483">
                  <c:v>1472</c:v>
                </c:pt>
                <c:pt idx="3484">
                  <c:v>1474.5</c:v>
                </c:pt>
                <c:pt idx="3485">
                  <c:v>1476.5</c:v>
                </c:pt>
                <c:pt idx="3486">
                  <c:v>1478.3</c:v>
                </c:pt>
                <c:pt idx="3487">
                  <c:v>1480.2</c:v>
                </c:pt>
                <c:pt idx="3488">
                  <c:v>1482</c:v>
                </c:pt>
                <c:pt idx="3489">
                  <c:v>1483.8</c:v>
                </c:pt>
                <c:pt idx="3490">
                  <c:v>1485.6</c:v>
                </c:pt>
                <c:pt idx="3491">
                  <c:v>1487.4</c:v>
                </c:pt>
                <c:pt idx="3492">
                  <c:v>1489.4</c:v>
                </c:pt>
                <c:pt idx="3493">
                  <c:v>1491.3</c:v>
                </c:pt>
                <c:pt idx="3494">
                  <c:v>1493.3</c:v>
                </c:pt>
                <c:pt idx="3495">
                  <c:v>1495.3</c:v>
                </c:pt>
                <c:pt idx="3496">
                  <c:v>1497.4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5E-4F30-98ED-26A16AA34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300271"/>
        <c:axId val="1962301231"/>
      </c:scatterChart>
      <c:valAx>
        <c:axId val="1962300271"/>
        <c:scaling>
          <c:orientation val="maxMin"/>
          <c:max val="3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chainage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01231"/>
        <c:crosses val="autoZero"/>
        <c:crossBetween val="midCat"/>
      </c:valAx>
      <c:valAx>
        <c:axId val="196230123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width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00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5381889763779529E-2"/>
          <c:y val="5.0925925925925923E-2"/>
          <c:w val="0.81841863517060365"/>
          <c:h val="0.77643700787401571"/>
        </c:manualLayout>
      </c:layout>
      <c:scatterChart>
        <c:scatterStyle val="lineMarker"/>
        <c:varyColors val="0"/>
        <c:ser>
          <c:idx val="1"/>
          <c:order val="1"/>
          <c:tx>
            <c:strRef>
              <c:f>geomorph!$F$1</c:f>
              <c:strCache>
                <c:ptCount val="1"/>
                <c:pt idx="0">
                  <c:v>thalweg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2777777777777777"/>
                  <c:y val="-0.24061606882473024"/>
                </c:manualLayout>
              </c:layout>
              <c:numFmt formatCode="#,##0.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0277777777777776"/>
                  <c:y val="-0.279790390784485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192214111922141"/>
                  <c:y val="-0.2078485978726343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-0.000113x + 106.53</a:t>
                    </a:r>
                    <a:endParaRPr lang="en-US" sz="1200"/>
                  </a:p>
                </c:rich>
              </c:tx>
              <c:numFmt formatCode="#,##0.000000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geomorph!$A$2:$A$3499</c:f>
              <c:numCache>
                <c:formatCode>General</c:formatCode>
                <c:ptCount val="349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  <c:pt idx="2669">
                  <c:v>26690</c:v>
                </c:pt>
                <c:pt idx="2670">
                  <c:v>26700</c:v>
                </c:pt>
                <c:pt idx="2671">
                  <c:v>26710</c:v>
                </c:pt>
                <c:pt idx="2672">
                  <c:v>26720</c:v>
                </c:pt>
                <c:pt idx="2673">
                  <c:v>26730</c:v>
                </c:pt>
                <c:pt idx="2674">
                  <c:v>26740</c:v>
                </c:pt>
                <c:pt idx="2675">
                  <c:v>26750</c:v>
                </c:pt>
                <c:pt idx="2676">
                  <c:v>26760</c:v>
                </c:pt>
                <c:pt idx="2677">
                  <c:v>26770</c:v>
                </c:pt>
                <c:pt idx="2678">
                  <c:v>26780</c:v>
                </c:pt>
                <c:pt idx="2679">
                  <c:v>26790</c:v>
                </c:pt>
                <c:pt idx="2680">
                  <c:v>26800</c:v>
                </c:pt>
                <c:pt idx="2681">
                  <c:v>26810</c:v>
                </c:pt>
                <c:pt idx="2682">
                  <c:v>26820</c:v>
                </c:pt>
                <c:pt idx="2683">
                  <c:v>26830</c:v>
                </c:pt>
                <c:pt idx="2684">
                  <c:v>26840</c:v>
                </c:pt>
                <c:pt idx="2685">
                  <c:v>26850</c:v>
                </c:pt>
                <c:pt idx="2686">
                  <c:v>26860</c:v>
                </c:pt>
                <c:pt idx="2687">
                  <c:v>26870</c:v>
                </c:pt>
                <c:pt idx="2688">
                  <c:v>26880</c:v>
                </c:pt>
                <c:pt idx="2689">
                  <c:v>26890</c:v>
                </c:pt>
                <c:pt idx="2690">
                  <c:v>26900</c:v>
                </c:pt>
                <c:pt idx="2691">
                  <c:v>26910</c:v>
                </c:pt>
                <c:pt idx="2692">
                  <c:v>26920</c:v>
                </c:pt>
                <c:pt idx="2693">
                  <c:v>26930</c:v>
                </c:pt>
                <c:pt idx="2694">
                  <c:v>26940</c:v>
                </c:pt>
                <c:pt idx="2695">
                  <c:v>26950</c:v>
                </c:pt>
                <c:pt idx="2696">
                  <c:v>26960</c:v>
                </c:pt>
                <c:pt idx="2697">
                  <c:v>26970</c:v>
                </c:pt>
                <c:pt idx="2698">
                  <c:v>26980</c:v>
                </c:pt>
                <c:pt idx="2699">
                  <c:v>26990</c:v>
                </c:pt>
                <c:pt idx="2700">
                  <c:v>27000</c:v>
                </c:pt>
                <c:pt idx="2701">
                  <c:v>27010</c:v>
                </c:pt>
                <c:pt idx="2702">
                  <c:v>27020</c:v>
                </c:pt>
                <c:pt idx="2703">
                  <c:v>27030</c:v>
                </c:pt>
                <c:pt idx="2704">
                  <c:v>27040</c:v>
                </c:pt>
                <c:pt idx="2705">
                  <c:v>27050</c:v>
                </c:pt>
                <c:pt idx="2706">
                  <c:v>27060</c:v>
                </c:pt>
                <c:pt idx="2707">
                  <c:v>27070</c:v>
                </c:pt>
                <c:pt idx="2708">
                  <c:v>27080</c:v>
                </c:pt>
                <c:pt idx="2709">
                  <c:v>27090</c:v>
                </c:pt>
                <c:pt idx="2710">
                  <c:v>27100</c:v>
                </c:pt>
                <c:pt idx="2711">
                  <c:v>27110</c:v>
                </c:pt>
                <c:pt idx="2712">
                  <c:v>27120</c:v>
                </c:pt>
                <c:pt idx="2713">
                  <c:v>27130</c:v>
                </c:pt>
                <c:pt idx="2714">
                  <c:v>27140</c:v>
                </c:pt>
                <c:pt idx="2715">
                  <c:v>27150</c:v>
                </c:pt>
                <c:pt idx="2716">
                  <c:v>27160</c:v>
                </c:pt>
                <c:pt idx="2717">
                  <c:v>27170</c:v>
                </c:pt>
                <c:pt idx="2718">
                  <c:v>27180</c:v>
                </c:pt>
                <c:pt idx="2719">
                  <c:v>27190</c:v>
                </c:pt>
                <c:pt idx="2720">
                  <c:v>27200</c:v>
                </c:pt>
                <c:pt idx="2721">
                  <c:v>27210</c:v>
                </c:pt>
                <c:pt idx="2722">
                  <c:v>27220</c:v>
                </c:pt>
                <c:pt idx="2723">
                  <c:v>27230</c:v>
                </c:pt>
                <c:pt idx="2724">
                  <c:v>27240</c:v>
                </c:pt>
                <c:pt idx="2725">
                  <c:v>27250</c:v>
                </c:pt>
                <c:pt idx="2726">
                  <c:v>27260</c:v>
                </c:pt>
                <c:pt idx="2727">
                  <c:v>27270</c:v>
                </c:pt>
                <c:pt idx="2728">
                  <c:v>27280</c:v>
                </c:pt>
                <c:pt idx="2729">
                  <c:v>27290</c:v>
                </c:pt>
                <c:pt idx="2730">
                  <c:v>27300</c:v>
                </c:pt>
                <c:pt idx="2731">
                  <c:v>27310</c:v>
                </c:pt>
                <c:pt idx="2732">
                  <c:v>27320</c:v>
                </c:pt>
                <c:pt idx="2733">
                  <c:v>27330</c:v>
                </c:pt>
                <c:pt idx="2734">
                  <c:v>27340</c:v>
                </c:pt>
                <c:pt idx="2735">
                  <c:v>27350</c:v>
                </c:pt>
                <c:pt idx="2736">
                  <c:v>27360</c:v>
                </c:pt>
                <c:pt idx="2737">
                  <c:v>27370</c:v>
                </c:pt>
                <c:pt idx="2738">
                  <c:v>27380</c:v>
                </c:pt>
                <c:pt idx="2739">
                  <c:v>27390</c:v>
                </c:pt>
                <c:pt idx="2740">
                  <c:v>27400</c:v>
                </c:pt>
                <c:pt idx="2741">
                  <c:v>27410</c:v>
                </c:pt>
                <c:pt idx="2742">
                  <c:v>27420</c:v>
                </c:pt>
                <c:pt idx="2743">
                  <c:v>27430</c:v>
                </c:pt>
                <c:pt idx="2744">
                  <c:v>27440</c:v>
                </c:pt>
                <c:pt idx="2745">
                  <c:v>27450</c:v>
                </c:pt>
                <c:pt idx="2746">
                  <c:v>27460</c:v>
                </c:pt>
                <c:pt idx="2747">
                  <c:v>27470</c:v>
                </c:pt>
                <c:pt idx="2748">
                  <c:v>27480</c:v>
                </c:pt>
                <c:pt idx="2749">
                  <c:v>27490</c:v>
                </c:pt>
                <c:pt idx="2750">
                  <c:v>27500</c:v>
                </c:pt>
                <c:pt idx="2751">
                  <c:v>27510</c:v>
                </c:pt>
                <c:pt idx="2752">
                  <c:v>27520</c:v>
                </c:pt>
                <c:pt idx="2753">
                  <c:v>27530</c:v>
                </c:pt>
                <c:pt idx="2754">
                  <c:v>27540</c:v>
                </c:pt>
                <c:pt idx="2755">
                  <c:v>27550</c:v>
                </c:pt>
                <c:pt idx="2756">
                  <c:v>27560</c:v>
                </c:pt>
                <c:pt idx="2757">
                  <c:v>27570</c:v>
                </c:pt>
                <c:pt idx="2758">
                  <c:v>27580</c:v>
                </c:pt>
                <c:pt idx="2759">
                  <c:v>27590</c:v>
                </c:pt>
                <c:pt idx="2760">
                  <c:v>27600</c:v>
                </c:pt>
                <c:pt idx="2761">
                  <c:v>27610</c:v>
                </c:pt>
                <c:pt idx="2762">
                  <c:v>27620</c:v>
                </c:pt>
                <c:pt idx="2763">
                  <c:v>27630</c:v>
                </c:pt>
                <c:pt idx="2764">
                  <c:v>27640</c:v>
                </c:pt>
                <c:pt idx="2765">
                  <c:v>27650</c:v>
                </c:pt>
                <c:pt idx="2766">
                  <c:v>27660</c:v>
                </c:pt>
                <c:pt idx="2767">
                  <c:v>27670</c:v>
                </c:pt>
                <c:pt idx="2768">
                  <c:v>27680</c:v>
                </c:pt>
                <c:pt idx="2769">
                  <c:v>27690</c:v>
                </c:pt>
                <c:pt idx="2770">
                  <c:v>27700</c:v>
                </c:pt>
                <c:pt idx="2771">
                  <c:v>27710</c:v>
                </c:pt>
                <c:pt idx="2772">
                  <c:v>27720</c:v>
                </c:pt>
                <c:pt idx="2773">
                  <c:v>27730</c:v>
                </c:pt>
                <c:pt idx="2774">
                  <c:v>27740</c:v>
                </c:pt>
                <c:pt idx="2775">
                  <c:v>27750</c:v>
                </c:pt>
                <c:pt idx="2776">
                  <c:v>27760</c:v>
                </c:pt>
                <c:pt idx="2777">
                  <c:v>27770</c:v>
                </c:pt>
                <c:pt idx="2778">
                  <c:v>27780</c:v>
                </c:pt>
                <c:pt idx="2779">
                  <c:v>27790</c:v>
                </c:pt>
                <c:pt idx="2780">
                  <c:v>27800</c:v>
                </c:pt>
                <c:pt idx="2781">
                  <c:v>27810</c:v>
                </c:pt>
                <c:pt idx="2782">
                  <c:v>27820</c:v>
                </c:pt>
                <c:pt idx="2783">
                  <c:v>27830</c:v>
                </c:pt>
                <c:pt idx="2784">
                  <c:v>27840</c:v>
                </c:pt>
                <c:pt idx="2785">
                  <c:v>27850</c:v>
                </c:pt>
                <c:pt idx="2786">
                  <c:v>27860</c:v>
                </c:pt>
                <c:pt idx="2787">
                  <c:v>27870</c:v>
                </c:pt>
                <c:pt idx="2788">
                  <c:v>27880</c:v>
                </c:pt>
                <c:pt idx="2789">
                  <c:v>27890</c:v>
                </c:pt>
                <c:pt idx="2790">
                  <c:v>27900</c:v>
                </c:pt>
                <c:pt idx="2791">
                  <c:v>27910</c:v>
                </c:pt>
                <c:pt idx="2792">
                  <c:v>27920</c:v>
                </c:pt>
                <c:pt idx="2793">
                  <c:v>27930</c:v>
                </c:pt>
                <c:pt idx="2794">
                  <c:v>27940</c:v>
                </c:pt>
                <c:pt idx="2795">
                  <c:v>27950</c:v>
                </c:pt>
                <c:pt idx="2796">
                  <c:v>27960</c:v>
                </c:pt>
                <c:pt idx="2797">
                  <c:v>27970</c:v>
                </c:pt>
                <c:pt idx="2798">
                  <c:v>27980</c:v>
                </c:pt>
                <c:pt idx="2799">
                  <c:v>27990</c:v>
                </c:pt>
                <c:pt idx="2800">
                  <c:v>28000</c:v>
                </c:pt>
                <c:pt idx="2801">
                  <c:v>28010</c:v>
                </c:pt>
                <c:pt idx="2802">
                  <c:v>28020</c:v>
                </c:pt>
                <c:pt idx="2803">
                  <c:v>28030</c:v>
                </c:pt>
                <c:pt idx="2804">
                  <c:v>28040</c:v>
                </c:pt>
                <c:pt idx="2805">
                  <c:v>28050</c:v>
                </c:pt>
                <c:pt idx="2806">
                  <c:v>28060</c:v>
                </c:pt>
                <c:pt idx="2807">
                  <c:v>28070</c:v>
                </c:pt>
                <c:pt idx="2808">
                  <c:v>28080</c:v>
                </c:pt>
                <c:pt idx="2809">
                  <c:v>28090</c:v>
                </c:pt>
                <c:pt idx="2810">
                  <c:v>28100</c:v>
                </c:pt>
                <c:pt idx="2811">
                  <c:v>28110</c:v>
                </c:pt>
                <c:pt idx="2812">
                  <c:v>28120</c:v>
                </c:pt>
                <c:pt idx="2813">
                  <c:v>28130</c:v>
                </c:pt>
                <c:pt idx="2814">
                  <c:v>28140</c:v>
                </c:pt>
                <c:pt idx="2815">
                  <c:v>28150</c:v>
                </c:pt>
                <c:pt idx="2816">
                  <c:v>28160</c:v>
                </c:pt>
                <c:pt idx="2817">
                  <c:v>28170</c:v>
                </c:pt>
                <c:pt idx="2818">
                  <c:v>28180</c:v>
                </c:pt>
                <c:pt idx="2819">
                  <c:v>28190</c:v>
                </c:pt>
                <c:pt idx="2820">
                  <c:v>28200</c:v>
                </c:pt>
                <c:pt idx="2821">
                  <c:v>28210</c:v>
                </c:pt>
                <c:pt idx="2822">
                  <c:v>28220</c:v>
                </c:pt>
                <c:pt idx="2823">
                  <c:v>28230</c:v>
                </c:pt>
                <c:pt idx="2824">
                  <c:v>28240</c:v>
                </c:pt>
                <c:pt idx="2825">
                  <c:v>28250</c:v>
                </c:pt>
                <c:pt idx="2826">
                  <c:v>28260</c:v>
                </c:pt>
                <c:pt idx="2827">
                  <c:v>28270</c:v>
                </c:pt>
                <c:pt idx="2828">
                  <c:v>28280</c:v>
                </c:pt>
                <c:pt idx="2829">
                  <c:v>28290</c:v>
                </c:pt>
                <c:pt idx="2830">
                  <c:v>28300</c:v>
                </c:pt>
                <c:pt idx="2831">
                  <c:v>28310</c:v>
                </c:pt>
                <c:pt idx="2832">
                  <c:v>28320</c:v>
                </c:pt>
                <c:pt idx="2833">
                  <c:v>28330</c:v>
                </c:pt>
                <c:pt idx="2834">
                  <c:v>28340</c:v>
                </c:pt>
                <c:pt idx="2835">
                  <c:v>28350</c:v>
                </c:pt>
                <c:pt idx="2836">
                  <c:v>28360</c:v>
                </c:pt>
                <c:pt idx="2837">
                  <c:v>28370</c:v>
                </c:pt>
                <c:pt idx="2838">
                  <c:v>28380</c:v>
                </c:pt>
                <c:pt idx="2839">
                  <c:v>28390</c:v>
                </c:pt>
                <c:pt idx="2840">
                  <c:v>28400</c:v>
                </c:pt>
                <c:pt idx="2841">
                  <c:v>28410</c:v>
                </c:pt>
                <c:pt idx="2842">
                  <c:v>28420</c:v>
                </c:pt>
                <c:pt idx="2843">
                  <c:v>28430</c:v>
                </c:pt>
                <c:pt idx="2844">
                  <c:v>28440</c:v>
                </c:pt>
                <c:pt idx="2845">
                  <c:v>28450</c:v>
                </c:pt>
                <c:pt idx="2846">
                  <c:v>28460</c:v>
                </c:pt>
                <c:pt idx="2847">
                  <c:v>28470</c:v>
                </c:pt>
                <c:pt idx="2848">
                  <c:v>28480</c:v>
                </c:pt>
                <c:pt idx="2849">
                  <c:v>28490</c:v>
                </c:pt>
                <c:pt idx="2850">
                  <c:v>28500</c:v>
                </c:pt>
                <c:pt idx="2851">
                  <c:v>28510</c:v>
                </c:pt>
                <c:pt idx="2852">
                  <c:v>28520</c:v>
                </c:pt>
                <c:pt idx="2853">
                  <c:v>28530</c:v>
                </c:pt>
                <c:pt idx="2854">
                  <c:v>28540</c:v>
                </c:pt>
                <c:pt idx="2855">
                  <c:v>28550</c:v>
                </c:pt>
                <c:pt idx="2856">
                  <c:v>28560</c:v>
                </c:pt>
                <c:pt idx="2857">
                  <c:v>28570</c:v>
                </c:pt>
                <c:pt idx="2858">
                  <c:v>28580</c:v>
                </c:pt>
                <c:pt idx="2859">
                  <c:v>28590</c:v>
                </c:pt>
                <c:pt idx="2860">
                  <c:v>28600</c:v>
                </c:pt>
                <c:pt idx="2861">
                  <c:v>28610</c:v>
                </c:pt>
                <c:pt idx="2862">
                  <c:v>28620</c:v>
                </c:pt>
                <c:pt idx="2863">
                  <c:v>28630</c:v>
                </c:pt>
                <c:pt idx="2864">
                  <c:v>28640</c:v>
                </c:pt>
                <c:pt idx="2865">
                  <c:v>28650</c:v>
                </c:pt>
                <c:pt idx="2866">
                  <c:v>28660</c:v>
                </c:pt>
                <c:pt idx="2867">
                  <c:v>28670</c:v>
                </c:pt>
                <c:pt idx="2868">
                  <c:v>28680</c:v>
                </c:pt>
                <c:pt idx="2869">
                  <c:v>28690</c:v>
                </c:pt>
                <c:pt idx="2870">
                  <c:v>28700</c:v>
                </c:pt>
                <c:pt idx="2871">
                  <c:v>28710</c:v>
                </c:pt>
                <c:pt idx="2872">
                  <c:v>28720</c:v>
                </c:pt>
                <c:pt idx="2873">
                  <c:v>28730</c:v>
                </c:pt>
                <c:pt idx="2874">
                  <c:v>28740</c:v>
                </c:pt>
                <c:pt idx="2875">
                  <c:v>28750</c:v>
                </c:pt>
                <c:pt idx="2876">
                  <c:v>28760</c:v>
                </c:pt>
                <c:pt idx="2877">
                  <c:v>28770</c:v>
                </c:pt>
                <c:pt idx="2878">
                  <c:v>28780</c:v>
                </c:pt>
                <c:pt idx="2879">
                  <c:v>28790</c:v>
                </c:pt>
                <c:pt idx="2880">
                  <c:v>28800</c:v>
                </c:pt>
                <c:pt idx="2881">
                  <c:v>28810</c:v>
                </c:pt>
                <c:pt idx="2882">
                  <c:v>28820</c:v>
                </c:pt>
                <c:pt idx="2883">
                  <c:v>28830</c:v>
                </c:pt>
                <c:pt idx="2884">
                  <c:v>28840</c:v>
                </c:pt>
                <c:pt idx="2885">
                  <c:v>28850</c:v>
                </c:pt>
                <c:pt idx="2886">
                  <c:v>28860</c:v>
                </c:pt>
                <c:pt idx="2887">
                  <c:v>28870</c:v>
                </c:pt>
                <c:pt idx="2888">
                  <c:v>28880</c:v>
                </c:pt>
                <c:pt idx="2889">
                  <c:v>28890</c:v>
                </c:pt>
                <c:pt idx="2890">
                  <c:v>28900</c:v>
                </c:pt>
                <c:pt idx="2891">
                  <c:v>28910</c:v>
                </c:pt>
                <c:pt idx="2892">
                  <c:v>28920</c:v>
                </c:pt>
                <c:pt idx="2893">
                  <c:v>28930</c:v>
                </c:pt>
                <c:pt idx="2894">
                  <c:v>28940</c:v>
                </c:pt>
                <c:pt idx="2895">
                  <c:v>28950</c:v>
                </c:pt>
                <c:pt idx="2896">
                  <c:v>28960</c:v>
                </c:pt>
                <c:pt idx="2897">
                  <c:v>28970</c:v>
                </c:pt>
                <c:pt idx="2898">
                  <c:v>28980</c:v>
                </c:pt>
                <c:pt idx="2899">
                  <c:v>28990</c:v>
                </c:pt>
                <c:pt idx="2900">
                  <c:v>29000</c:v>
                </c:pt>
                <c:pt idx="2901">
                  <c:v>29010</c:v>
                </c:pt>
                <c:pt idx="2902">
                  <c:v>29020</c:v>
                </c:pt>
                <c:pt idx="2903">
                  <c:v>29030</c:v>
                </c:pt>
                <c:pt idx="2904">
                  <c:v>29040</c:v>
                </c:pt>
                <c:pt idx="2905">
                  <c:v>29050</c:v>
                </c:pt>
                <c:pt idx="2906">
                  <c:v>29060</c:v>
                </c:pt>
                <c:pt idx="2907">
                  <c:v>29070</c:v>
                </c:pt>
                <c:pt idx="2908">
                  <c:v>29080</c:v>
                </c:pt>
                <c:pt idx="2909">
                  <c:v>29090</c:v>
                </c:pt>
                <c:pt idx="2910">
                  <c:v>29100</c:v>
                </c:pt>
                <c:pt idx="2911">
                  <c:v>29110</c:v>
                </c:pt>
                <c:pt idx="2912">
                  <c:v>29120</c:v>
                </c:pt>
                <c:pt idx="2913">
                  <c:v>29130</c:v>
                </c:pt>
                <c:pt idx="2914">
                  <c:v>29140</c:v>
                </c:pt>
                <c:pt idx="2915">
                  <c:v>29150</c:v>
                </c:pt>
                <c:pt idx="2916">
                  <c:v>29160</c:v>
                </c:pt>
                <c:pt idx="2917">
                  <c:v>29170</c:v>
                </c:pt>
                <c:pt idx="2918">
                  <c:v>29180</c:v>
                </c:pt>
                <c:pt idx="2919">
                  <c:v>29190</c:v>
                </c:pt>
                <c:pt idx="2920">
                  <c:v>29200</c:v>
                </c:pt>
                <c:pt idx="2921">
                  <c:v>29210</c:v>
                </c:pt>
                <c:pt idx="2922">
                  <c:v>29220</c:v>
                </c:pt>
                <c:pt idx="2923">
                  <c:v>29230</c:v>
                </c:pt>
                <c:pt idx="2924">
                  <c:v>29240</c:v>
                </c:pt>
                <c:pt idx="2925">
                  <c:v>29250</c:v>
                </c:pt>
                <c:pt idx="2926">
                  <c:v>29260</c:v>
                </c:pt>
                <c:pt idx="2927">
                  <c:v>29270</c:v>
                </c:pt>
                <c:pt idx="2928">
                  <c:v>29280</c:v>
                </c:pt>
                <c:pt idx="2929">
                  <c:v>29290</c:v>
                </c:pt>
                <c:pt idx="2930">
                  <c:v>29300</c:v>
                </c:pt>
                <c:pt idx="2931">
                  <c:v>29310</c:v>
                </c:pt>
                <c:pt idx="2932">
                  <c:v>29320</c:v>
                </c:pt>
                <c:pt idx="2933">
                  <c:v>29330</c:v>
                </c:pt>
                <c:pt idx="2934">
                  <c:v>29340</c:v>
                </c:pt>
                <c:pt idx="2935">
                  <c:v>29350</c:v>
                </c:pt>
                <c:pt idx="2936">
                  <c:v>29360</c:v>
                </c:pt>
                <c:pt idx="2937">
                  <c:v>29370</c:v>
                </c:pt>
                <c:pt idx="2938">
                  <c:v>29380</c:v>
                </c:pt>
                <c:pt idx="2939">
                  <c:v>29390</c:v>
                </c:pt>
                <c:pt idx="2940">
                  <c:v>29400</c:v>
                </c:pt>
                <c:pt idx="2941">
                  <c:v>29410</c:v>
                </c:pt>
                <c:pt idx="2942">
                  <c:v>29420</c:v>
                </c:pt>
                <c:pt idx="2943">
                  <c:v>29430</c:v>
                </c:pt>
                <c:pt idx="2944">
                  <c:v>29440</c:v>
                </c:pt>
                <c:pt idx="2945">
                  <c:v>29450</c:v>
                </c:pt>
                <c:pt idx="2946">
                  <c:v>29460</c:v>
                </c:pt>
                <c:pt idx="2947">
                  <c:v>29470</c:v>
                </c:pt>
                <c:pt idx="2948">
                  <c:v>29480</c:v>
                </c:pt>
                <c:pt idx="2949">
                  <c:v>29490</c:v>
                </c:pt>
                <c:pt idx="2950">
                  <c:v>29500</c:v>
                </c:pt>
                <c:pt idx="2951">
                  <c:v>29510</c:v>
                </c:pt>
                <c:pt idx="2952">
                  <c:v>29520</c:v>
                </c:pt>
                <c:pt idx="2953">
                  <c:v>29530</c:v>
                </c:pt>
                <c:pt idx="2954">
                  <c:v>29540</c:v>
                </c:pt>
                <c:pt idx="2955">
                  <c:v>29550</c:v>
                </c:pt>
                <c:pt idx="2956">
                  <c:v>29560</c:v>
                </c:pt>
                <c:pt idx="2957">
                  <c:v>29570</c:v>
                </c:pt>
                <c:pt idx="2958">
                  <c:v>29580</c:v>
                </c:pt>
                <c:pt idx="2959">
                  <c:v>29590</c:v>
                </c:pt>
                <c:pt idx="2960">
                  <c:v>29600</c:v>
                </c:pt>
                <c:pt idx="2961">
                  <c:v>29610</c:v>
                </c:pt>
                <c:pt idx="2962">
                  <c:v>29620</c:v>
                </c:pt>
                <c:pt idx="2963">
                  <c:v>29630</c:v>
                </c:pt>
                <c:pt idx="2964">
                  <c:v>29640</c:v>
                </c:pt>
                <c:pt idx="2965">
                  <c:v>29650</c:v>
                </c:pt>
                <c:pt idx="2966">
                  <c:v>29660</c:v>
                </c:pt>
                <c:pt idx="2967">
                  <c:v>29670</c:v>
                </c:pt>
                <c:pt idx="2968">
                  <c:v>29680</c:v>
                </c:pt>
                <c:pt idx="2969">
                  <c:v>29690</c:v>
                </c:pt>
                <c:pt idx="2970">
                  <c:v>29700</c:v>
                </c:pt>
                <c:pt idx="2971">
                  <c:v>29710</c:v>
                </c:pt>
                <c:pt idx="2972">
                  <c:v>29720</c:v>
                </c:pt>
                <c:pt idx="2973">
                  <c:v>29730</c:v>
                </c:pt>
                <c:pt idx="2974">
                  <c:v>29740</c:v>
                </c:pt>
                <c:pt idx="2975">
                  <c:v>29750</c:v>
                </c:pt>
                <c:pt idx="2976">
                  <c:v>29760</c:v>
                </c:pt>
                <c:pt idx="2977">
                  <c:v>29770</c:v>
                </c:pt>
                <c:pt idx="2978">
                  <c:v>29780</c:v>
                </c:pt>
                <c:pt idx="2979">
                  <c:v>29790</c:v>
                </c:pt>
                <c:pt idx="2980">
                  <c:v>29800</c:v>
                </c:pt>
                <c:pt idx="2981">
                  <c:v>29810</c:v>
                </c:pt>
                <c:pt idx="2982">
                  <c:v>29820</c:v>
                </c:pt>
                <c:pt idx="2983">
                  <c:v>29830</c:v>
                </c:pt>
                <c:pt idx="2984">
                  <c:v>29840</c:v>
                </c:pt>
                <c:pt idx="2985">
                  <c:v>29850</c:v>
                </c:pt>
                <c:pt idx="2986">
                  <c:v>29860</c:v>
                </c:pt>
                <c:pt idx="2987">
                  <c:v>29870</c:v>
                </c:pt>
                <c:pt idx="2988">
                  <c:v>29880</c:v>
                </c:pt>
                <c:pt idx="2989">
                  <c:v>29890</c:v>
                </c:pt>
                <c:pt idx="2990">
                  <c:v>29900</c:v>
                </c:pt>
                <c:pt idx="2991">
                  <c:v>29910</c:v>
                </c:pt>
                <c:pt idx="2992">
                  <c:v>29920</c:v>
                </c:pt>
                <c:pt idx="2993">
                  <c:v>29930</c:v>
                </c:pt>
                <c:pt idx="2994">
                  <c:v>29940</c:v>
                </c:pt>
                <c:pt idx="2995">
                  <c:v>29950</c:v>
                </c:pt>
                <c:pt idx="2996">
                  <c:v>29960</c:v>
                </c:pt>
                <c:pt idx="2997">
                  <c:v>29970</c:v>
                </c:pt>
                <c:pt idx="2998">
                  <c:v>29980</c:v>
                </c:pt>
                <c:pt idx="2999">
                  <c:v>29990</c:v>
                </c:pt>
                <c:pt idx="3000">
                  <c:v>30000</c:v>
                </c:pt>
                <c:pt idx="3001">
                  <c:v>30010</c:v>
                </c:pt>
                <c:pt idx="3002">
                  <c:v>30020</c:v>
                </c:pt>
                <c:pt idx="3003">
                  <c:v>30030</c:v>
                </c:pt>
                <c:pt idx="3004">
                  <c:v>30040</c:v>
                </c:pt>
                <c:pt idx="3005">
                  <c:v>30050</c:v>
                </c:pt>
                <c:pt idx="3006">
                  <c:v>30060</c:v>
                </c:pt>
                <c:pt idx="3007">
                  <c:v>30070</c:v>
                </c:pt>
                <c:pt idx="3008">
                  <c:v>30080</c:v>
                </c:pt>
                <c:pt idx="3009">
                  <c:v>30090</c:v>
                </c:pt>
                <c:pt idx="3010">
                  <c:v>30100</c:v>
                </c:pt>
                <c:pt idx="3011">
                  <c:v>30110</c:v>
                </c:pt>
                <c:pt idx="3012">
                  <c:v>30120</c:v>
                </c:pt>
                <c:pt idx="3013">
                  <c:v>30130</c:v>
                </c:pt>
                <c:pt idx="3014">
                  <c:v>30140</c:v>
                </c:pt>
                <c:pt idx="3015">
                  <c:v>30150</c:v>
                </c:pt>
                <c:pt idx="3016">
                  <c:v>30160</c:v>
                </c:pt>
                <c:pt idx="3017">
                  <c:v>30170</c:v>
                </c:pt>
                <c:pt idx="3018">
                  <c:v>30180</c:v>
                </c:pt>
                <c:pt idx="3019">
                  <c:v>30190</c:v>
                </c:pt>
                <c:pt idx="3020">
                  <c:v>30200</c:v>
                </c:pt>
                <c:pt idx="3021">
                  <c:v>30210</c:v>
                </c:pt>
                <c:pt idx="3022">
                  <c:v>30220</c:v>
                </c:pt>
                <c:pt idx="3023">
                  <c:v>30230</c:v>
                </c:pt>
                <c:pt idx="3024">
                  <c:v>30240</c:v>
                </c:pt>
                <c:pt idx="3025">
                  <c:v>30250</c:v>
                </c:pt>
                <c:pt idx="3026">
                  <c:v>30260</c:v>
                </c:pt>
                <c:pt idx="3027">
                  <c:v>30270</c:v>
                </c:pt>
                <c:pt idx="3028">
                  <c:v>30280</c:v>
                </c:pt>
                <c:pt idx="3029">
                  <c:v>30290</c:v>
                </c:pt>
                <c:pt idx="3030">
                  <c:v>30300</c:v>
                </c:pt>
                <c:pt idx="3031">
                  <c:v>30310</c:v>
                </c:pt>
                <c:pt idx="3032">
                  <c:v>30320</c:v>
                </c:pt>
                <c:pt idx="3033">
                  <c:v>30330</c:v>
                </c:pt>
                <c:pt idx="3034">
                  <c:v>30340</c:v>
                </c:pt>
                <c:pt idx="3035">
                  <c:v>30350</c:v>
                </c:pt>
                <c:pt idx="3036">
                  <c:v>30360</c:v>
                </c:pt>
                <c:pt idx="3037">
                  <c:v>30370</c:v>
                </c:pt>
                <c:pt idx="3038">
                  <c:v>30380</c:v>
                </c:pt>
                <c:pt idx="3039">
                  <c:v>30390</c:v>
                </c:pt>
                <c:pt idx="3040">
                  <c:v>30400</c:v>
                </c:pt>
                <c:pt idx="3041">
                  <c:v>30410</c:v>
                </c:pt>
                <c:pt idx="3042">
                  <c:v>30420</c:v>
                </c:pt>
                <c:pt idx="3043">
                  <c:v>30430</c:v>
                </c:pt>
                <c:pt idx="3044">
                  <c:v>30440</c:v>
                </c:pt>
                <c:pt idx="3045">
                  <c:v>30450</c:v>
                </c:pt>
                <c:pt idx="3046">
                  <c:v>30460</c:v>
                </c:pt>
                <c:pt idx="3047">
                  <c:v>30470</c:v>
                </c:pt>
                <c:pt idx="3048">
                  <c:v>30480</c:v>
                </c:pt>
                <c:pt idx="3049">
                  <c:v>30490</c:v>
                </c:pt>
                <c:pt idx="3050">
                  <c:v>30500</c:v>
                </c:pt>
                <c:pt idx="3051">
                  <c:v>30510</c:v>
                </c:pt>
                <c:pt idx="3052">
                  <c:v>30520</c:v>
                </c:pt>
                <c:pt idx="3053">
                  <c:v>30530</c:v>
                </c:pt>
                <c:pt idx="3054">
                  <c:v>30540</c:v>
                </c:pt>
                <c:pt idx="3055">
                  <c:v>30550</c:v>
                </c:pt>
                <c:pt idx="3056">
                  <c:v>30560</c:v>
                </c:pt>
                <c:pt idx="3057">
                  <c:v>30570</c:v>
                </c:pt>
                <c:pt idx="3058">
                  <c:v>30580</c:v>
                </c:pt>
                <c:pt idx="3059">
                  <c:v>30590</c:v>
                </c:pt>
                <c:pt idx="3060">
                  <c:v>30600</c:v>
                </c:pt>
                <c:pt idx="3061">
                  <c:v>30610</c:v>
                </c:pt>
                <c:pt idx="3062">
                  <c:v>30620</c:v>
                </c:pt>
                <c:pt idx="3063">
                  <c:v>30630</c:v>
                </c:pt>
                <c:pt idx="3064">
                  <c:v>30640</c:v>
                </c:pt>
                <c:pt idx="3065">
                  <c:v>30650</c:v>
                </c:pt>
                <c:pt idx="3066">
                  <c:v>30660</c:v>
                </c:pt>
                <c:pt idx="3067">
                  <c:v>30670</c:v>
                </c:pt>
                <c:pt idx="3068">
                  <c:v>30680</c:v>
                </c:pt>
                <c:pt idx="3069">
                  <c:v>30690</c:v>
                </c:pt>
                <c:pt idx="3070">
                  <c:v>30700</c:v>
                </c:pt>
                <c:pt idx="3071">
                  <c:v>30710</c:v>
                </c:pt>
                <c:pt idx="3072">
                  <c:v>30720</c:v>
                </c:pt>
                <c:pt idx="3073">
                  <c:v>30730</c:v>
                </c:pt>
                <c:pt idx="3074">
                  <c:v>30740</c:v>
                </c:pt>
                <c:pt idx="3075">
                  <c:v>30750</c:v>
                </c:pt>
                <c:pt idx="3076">
                  <c:v>30760</c:v>
                </c:pt>
                <c:pt idx="3077">
                  <c:v>30770</c:v>
                </c:pt>
                <c:pt idx="3078">
                  <c:v>30780</c:v>
                </c:pt>
                <c:pt idx="3079">
                  <c:v>30790</c:v>
                </c:pt>
                <c:pt idx="3080">
                  <c:v>30800</c:v>
                </c:pt>
                <c:pt idx="3081">
                  <c:v>30810</c:v>
                </c:pt>
                <c:pt idx="3082">
                  <c:v>30820</c:v>
                </c:pt>
                <c:pt idx="3083">
                  <c:v>30830</c:v>
                </c:pt>
                <c:pt idx="3084">
                  <c:v>30840</c:v>
                </c:pt>
                <c:pt idx="3085">
                  <c:v>30850</c:v>
                </c:pt>
                <c:pt idx="3086">
                  <c:v>30860</c:v>
                </c:pt>
                <c:pt idx="3087">
                  <c:v>30870</c:v>
                </c:pt>
                <c:pt idx="3088">
                  <c:v>30880</c:v>
                </c:pt>
                <c:pt idx="3089">
                  <c:v>30890</c:v>
                </c:pt>
                <c:pt idx="3090">
                  <c:v>30900</c:v>
                </c:pt>
                <c:pt idx="3091">
                  <c:v>30910</c:v>
                </c:pt>
                <c:pt idx="3092">
                  <c:v>30920</c:v>
                </c:pt>
                <c:pt idx="3093">
                  <c:v>30930</c:v>
                </c:pt>
                <c:pt idx="3094">
                  <c:v>30940</c:v>
                </c:pt>
                <c:pt idx="3095">
                  <c:v>30950</c:v>
                </c:pt>
                <c:pt idx="3096">
                  <c:v>30960</c:v>
                </c:pt>
                <c:pt idx="3097">
                  <c:v>30970</c:v>
                </c:pt>
                <c:pt idx="3098">
                  <c:v>30980</c:v>
                </c:pt>
                <c:pt idx="3099">
                  <c:v>30990</c:v>
                </c:pt>
                <c:pt idx="3100">
                  <c:v>31000</c:v>
                </c:pt>
                <c:pt idx="3101">
                  <c:v>31010</c:v>
                </c:pt>
                <c:pt idx="3102">
                  <c:v>31020</c:v>
                </c:pt>
                <c:pt idx="3103">
                  <c:v>31030</c:v>
                </c:pt>
                <c:pt idx="3104">
                  <c:v>31040</c:v>
                </c:pt>
                <c:pt idx="3105">
                  <c:v>31050</c:v>
                </c:pt>
                <c:pt idx="3106">
                  <c:v>31060</c:v>
                </c:pt>
                <c:pt idx="3107">
                  <c:v>31070</c:v>
                </c:pt>
                <c:pt idx="3108">
                  <c:v>31080</c:v>
                </c:pt>
                <c:pt idx="3109">
                  <c:v>31090</c:v>
                </c:pt>
                <c:pt idx="3110">
                  <c:v>31100</c:v>
                </c:pt>
                <c:pt idx="3111">
                  <c:v>31110</c:v>
                </c:pt>
                <c:pt idx="3112">
                  <c:v>31120</c:v>
                </c:pt>
                <c:pt idx="3113">
                  <c:v>31130</c:v>
                </c:pt>
                <c:pt idx="3114">
                  <c:v>31140</c:v>
                </c:pt>
                <c:pt idx="3115">
                  <c:v>31150</c:v>
                </c:pt>
                <c:pt idx="3116">
                  <c:v>31160</c:v>
                </c:pt>
                <c:pt idx="3117">
                  <c:v>31170</c:v>
                </c:pt>
                <c:pt idx="3118">
                  <c:v>31180</c:v>
                </c:pt>
                <c:pt idx="3119">
                  <c:v>31190</c:v>
                </c:pt>
                <c:pt idx="3120">
                  <c:v>31200</c:v>
                </c:pt>
                <c:pt idx="3121">
                  <c:v>31210</c:v>
                </c:pt>
                <c:pt idx="3122">
                  <c:v>31220</c:v>
                </c:pt>
                <c:pt idx="3123">
                  <c:v>31230</c:v>
                </c:pt>
                <c:pt idx="3124">
                  <c:v>31240</c:v>
                </c:pt>
                <c:pt idx="3125">
                  <c:v>31250</c:v>
                </c:pt>
                <c:pt idx="3126">
                  <c:v>31260</c:v>
                </c:pt>
                <c:pt idx="3127">
                  <c:v>31270</c:v>
                </c:pt>
                <c:pt idx="3128">
                  <c:v>31280</c:v>
                </c:pt>
                <c:pt idx="3129">
                  <c:v>31290</c:v>
                </c:pt>
                <c:pt idx="3130">
                  <c:v>31300</c:v>
                </c:pt>
                <c:pt idx="3131">
                  <c:v>31310</c:v>
                </c:pt>
                <c:pt idx="3132">
                  <c:v>31320</c:v>
                </c:pt>
                <c:pt idx="3133">
                  <c:v>31330</c:v>
                </c:pt>
                <c:pt idx="3134">
                  <c:v>31340</c:v>
                </c:pt>
                <c:pt idx="3135">
                  <c:v>31350</c:v>
                </c:pt>
                <c:pt idx="3136">
                  <c:v>31360</c:v>
                </c:pt>
                <c:pt idx="3137">
                  <c:v>31370</c:v>
                </c:pt>
                <c:pt idx="3138">
                  <c:v>31380</c:v>
                </c:pt>
                <c:pt idx="3139">
                  <c:v>31390</c:v>
                </c:pt>
                <c:pt idx="3140">
                  <c:v>31400</c:v>
                </c:pt>
                <c:pt idx="3141">
                  <c:v>31410</c:v>
                </c:pt>
                <c:pt idx="3142">
                  <c:v>31420</c:v>
                </c:pt>
                <c:pt idx="3143">
                  <c:v>31430</c:v>
                </c:pt>
                <c:pt idx="3144">
                  <c:v>31440</c:v>
                </c:pt>
                <c:pt idx="3145">
                  <c:v>31450</c:v>
                </c:pt>
                <c:pt idx="3146">
                  <c:v>31460</c:v>
                </c:pt>
                <c:pt idx="3147">
                  <c:v>31470</c:v>
                </c:pt>
                <c:pt idx="3148">
                  <c:v>31480</c:v>
                </c:pt>
                <c:pt idx="3149">
                  <c:v>31490</c:v>
                </c:pt>
                <c:pt idx="3150">
                  <c:v>31500</c:v>
                </c:pt>
                <c:pt idx="3151">
                  <c:v>31510</c:v>
                </c:pt>
                <c:pt idx="3152">
                  <c:v>31520</c:v>
                </c:pt>
                <c:pt idx="3153">
                  <c:v>31530</c:v>
                </c:pt>
                <c:pt idx="3154">
                  <c:v>31540</c:v>
                </c:pt>
                <c:pt idx="3155">
                  <c:v>31550</c:v>
                </c:pt>
                <c:pt idx="3156">
                  <c:v>31560</c:v>
                </c:pt>
                <c:pt idx="3157">
                  <c:v>31570</c:v>
                </c:pt>
                <c:pt idx="3158">
                  <c:v>31580</c:v>
                </c:pt>
                <c:pt idx="3159">
                  <c:v>31590</c:v>
                </c:pt>
                <c:pt idx="3160">
                  <c:v>31600</c:v>
                </c:pt>
                <c:pt idx="3161">
                  <c:v>31610</c:v>
                </c:pt>
                <c:pt idx="3162">
                  <c:v>31620</c:v>
                </c:pt>
                <c:pt idx="3163">
                  <c:v>31630</c:v>
                </c:pt>
                <c:pt idx="3164">
                  <c:v>31640</c:v>
                </c:pt>
                <c:pt idx="3165">
                  <c:v>31650</c:v>
                </c:pt>
                <c:pt idx="3166">
                  <c:v>31660</c:v>
                </c:pt>
                <c:pt idx="3167">
                  <c:v>31670</c:v>
                </c:pt>
                <c:pt idx="3168">
                  <c:v>31680</c:v>
                </c:pt>
                <c:pt idx="3169">
                  <c:v>31690</c:v>
                </c:pt>
                <c:pt idx="3170">
                  <c:v>31700</c:v>
                </c:pt>
                <c:pt idx="3171">
                  <c:v>31710</c:v>
                </c:pt>
                <c:pt idx="3172">
                  <c:v>31720</c:v>
                </c:pt>
                <c:pt idx="3173">
                  <c:v>31730</c:v>
                </c:pt>
                <c:pt idx="3174">
                  <c:v>31740</c:v>
                </c:pt>
                <c:pt idx="3175">
                  <c:v>31750</c:v>
                </c:pt>
                <c:pt idx="3176">
                  <c:v>31760</c:v>
                </c:pt>
                <c:pt idx="3177">
                  <c:v>31770</c:v>
                </c:pt>
                <c:pt idx="3178">
                  <c:v>31780</c:v>
                </c:pt>
                <c:pt idx="3179">
                  <c:v>31790</c:v>
                </c:pt>
                <c:pt idx="3180">
                  <c:v>31800</c:v>
                </c:pt>
                <c:pt idx="3181">
                  <c:v>31810</c:v>
                </c:pt>
                <c:pt idx="3182">
                  <c:v>31820</c:v>
                </c:pt>
                <c:pt idx="3183">
                  <c:v>31830</c:v>
                </c:pt>
                <c:pt idx="3184">
                  <c:v>31840</c:v>
                </c:pt>
                <c:pt idx="3185">
                  <c:v>31850</c:v>
                </c:pt>
                <c:pt idx="3186">
                  <c:v>31860</c:v>
                </c:pt>
                <c:pt idx="3187">
                  <c:v>31870</c:v>
                </c:pt>
                <c:pt idx="3188">
                  <c:v>31880</c:v>
                </c:pt>
                <c:pt idx="3189">
                  <c:v>31890</c:v>
                </c:pt>
                <c:pt idx="3190">
                  <c:v>31900</c:v>
                </c:pt>
                <c:pt idx="3191">
                  <c:v>31910</c:v>
                </c:pt>
                <c:pt idx="3192">
                  <c:v>31920</c:v>
                </c:pt>
                <c:pt idx="3193">
                  <c:v>31930</c:v>
                </c:pt>
                <c:pt idx="3194">
                  <c:v>31940</c:v>
                </c:pt>
                <c:pt idx="3195">
                  <c:v>31950</c:v>
                </c:pt>
                <c:pt idx="3196">
                  <c:v>31960</c:v>
                </c:pt>
                <c:pt idx="3197">
                  <c:v>31970</c:v>
                </c:pt>
                <c:pt idx="3198">
                  <c:v>31980</c:v>
                </c:pt>
                <c:pt idx="3199">
                  <c:v>31990</c:v>
                </c:pt>
                <c:pt idx="3200">
                  <c:v>32000</c:v>
                </c:pt>
                <c:pt idx="3201">
                  <c:v>32010</c:v>
                </c:pt>
                <c:pt idx="3202">
                  <c:v>32020</c:v>
                </c:pt>
                <c:pt idx="3203">
                  <c:v>32030</c:v>
                </c:pt>
                <c:pt idx="3204">
                  <c:v>32040</c:v>
                </c:pt>
                <c:pt idx="3205">
                  <c:v>32050</c:v>
                </c:pt>
                <c:pt idx="3206">
                  <c:v>32060</c:v>
                </c:pt>
                <c:pt idx="3207">
                  <c:v>32070</c:v>
                </c:pt>
                <c:pt idx="3208">
                  <c:v>32080</c:v>
                </c:pt>
                <c:pt idx="3209">
                  <c:v>32090</c:v>
                </c:pt>
                <c:pt idx="3210">
                  <c:v>32100</c:v>
                </c:pt>
                <c:pt idx="3211">
                  <c:v>32110</c:v>
                </c:pt>
                <c:pt idx="3212">
                  <c:v>32120</c:v>
                </c:pt>
                <c:pt idx="3213">
                  <c:v>32130</c:v>
                </c:pt>
                <c:pt idx="3214">
                  <c:v>32140</c:v>
                </c:pt>
                <c:pt idx="3215">
                  <c:v>32150</c:v>
                </c:pt>
                <c:pt idx="3216">
                  <c:v>32160</c:v>
                </c:pt>
                <c:pt idx="3217">
                  <c:v>32170</c:v>
                </c:pt>
                <c:pt idx="3218">
                  <c:v>32180</c:v>
                </c:pt>
                <c:pt idx="3219">
                  <c:v>32190</c:v>
                </c:pt>
                <c:pt idx="3220">
                  <c:v>32200</c:v>
                </c:pt>
                <c:pt idx="3221">
                  <c:v>32210</c:v>
                </c:pt>
                <c:pt idx="3222">
                  <c:v>32220</c:v>
                </c:pt>
                <c:pt idx="3223">
                  <c:v>32230</c:v>
                </c:pt>
                <c:pt idx="3224">
                  <c:v>32240</c:v>
                </c:pt>
                <c:pt idx="3225">
                  <c:v>32250</c:v>
                </c:pt>
                <c:pt idx="3226">
                  <c:v>32260</c:v>
                </c:pt>
                <c:pt idx="3227">
                  <c:v>32270</c:v>
                </c:pt>
                <c:pt idx="3228">
                  <c:v>32280</c:v>
                </c:pt>
                <c:pt idx="3229">
                  <c:v>32290</c:v>
                </c:pt>
                <c:pt idx="3230">
                  <c:v>32300</c:v>
                </c:pt>
                <c:pt idx="3231">
                  <c:v>32310</c:v>
                </c:pt>
                <c:pt idx="3232">
                  <c:v>32320</c:v>
                </c:pt>
                <c:pt idx="3233">
                  <c:v>32330</c:v>
                </c:pt>
                <c:pt idx="3234">
                  <c:v>32340</c:v>
                </c:pt>
                <c:pt idx="3235">
                  <c:v>32350</c:v>
                </c:pt>
                <c:pt idx="3236">
                  <c:v>32360</c:v>
                </c:pt>
                <c:pt idx="3237">
                  <c:v>32370</c:v>
                </c:pt>
                <c:pt idx="3238">
                  <c:v>32380</c:v>
                </c:pt>
                <c:pt idx="3239">
                  <c:v>32390</c:v>
                </c:pt>
                <c:pt idx="3240">
                  <c:v>32400</c:v>
                </c:pt>
                <c:pt idx="3241">
                  <c:v>32410</c:v>
                </c:pt>
                <c:pt idx="3242">
                  <c:v>32420</c:v>
                </c:pt>
                <c:pt idx="3243">
                  <c:v>32430</c:v>
                </c:pt>
                <c:pt idx="3244">
                  <c:v>32440</c:v>
                </c:pt>
                <c:pt idx="3245">
                  <c:v>32450</c:v>
                </c:pt>
                <c:pt idx="3246">
                  <c:v>32460</c:v>
                </c:pt>
                <c:pt idx="3247">
                  <c:v>32470</c:v>
                </c:pt>
                <c:pt idx="3248">
                  <c:v>32480</c:v>
                </c:pt>
                <c:pt idx="3249">
                  <c:v>32490</c:v>
                </c:pt>
                <c:pt idx="3250">
                  <c:v>32500</c:v>
                </c:pt>
                <c:pt idx="3251">
                  <c:v>32510</c:v>
                </c:pt>
                <c:pt idx="3252">
                  <c:v>32520</c:v>
                </c:pt>
                <c:pt idx="3253">
                  <c:v>32530</c:v>
                </c:pt>
                <c:pt idx="3254">
                  <c:v>32540</c:v>
                </c:pt>
                <c:pt idx="3255">
                  <c:v>32550</c:v>
                </c:pt>
                <c:pt idx="3256">
                  <c:v>32560</c:v>
                </c:pt>
                <c:pt idx="3257">
                  <c:v>32570</c:v>
                </c:pt>
                <c:pt idx="3258">
                  <c:v>32580</c:v>
                </c:pt>
                <c:pt idx="3259">
                  <c:v>32590</c:v>
                </c:pt>
                <c:pt idx="3260">
                  <c:v>32600</c:v>
                </c:pt>
                <c:pt idx="3261">
                  <c:v>32610</c:v>
                </c:pt>
                <c:pt idx="3262">
                  <c:v>32620</c:v>
                </c:pt>
                <c:pt idx="3263">
                  <c:v>32630</c:v>
                </c:pt>
                <c:pt idx="3264">
                  <c:v>32640</c:v>
                </c:pt>
                <c:pt idx="3265">
                  <c:v>32650</c:v>
                </c:pt>
                <c:pt idx="3266">
                  <c:v>32660</c:v>
                </c:pt>
                <c:pt idx="3267">
                  <c:v>32670</c:v>
                </c:pt>
                <c:pt idx="3268">
                  <c:v>32680</c:v>
                </c:pt>
                <c:pt idx="3269">
                  <c:v>32690</c:v>
                </c:pt>
                <c:pt idx="3270">
                  <c:v>32700</c:v>
                </c:pt>
                <c:pt idx="3271">
                  <c:v>32710</c:v>
                </c:pt>
                <c:pt idx="3272">
                  <c:v>32720</c:v>
                </c:pt>
                <c:pt idx="3273">
                  <c:v>32730</c:v>
                </c:pt>
                <c:pt idx="3274">
                  <c:v>32740</c:v>
                </c:pt>
                <c:pt idx="3275">
                  <c:v>32750</c:v>
                </c:pt>
                <c:pt idx="3276">
                  <c:v>32760</c:v>
                </c:pt>
                <c:pt idx="3277">
                  <c:v>32770</c:v>
                </c:pt>
                <c:pt idx="3278">
                  <c:v>32780</c:v>
                </c:pt>
                <c:pt idx="3279">
                  <c:v>32790</c:v>
                </c:pt>
                <c:pt idx="3280">
                  <c:v>32800</c:v>
                </c:pt>
                <c:pt idx="3281">
                  <c:v>32810</c:v>
                </c:pt>
                <c:pt idx="3282">
                  <c:v>32820</c:v>
                </c:pt>
                <c:pt idx="3283">
                  <c:v>32830</c:v>
                </c:pt>
                <c:pt idx="3284">
                  <c:v>32840</c:v>
                </c:pt>
                <c:pt idx="3285">
                  <c:v>32850</c:v>
                </c:pt>
                <c:pt idx="3286">
                  <c:v>32860</c:v>
                </c:pt>
                <c:pt idx="3287">
                  <c:v>32870</c:v>
                </c:pt>
                <c:pt idx="3288">
                  <c:v>32880</c:v>
                </c:pt>
                <c:pt idx="3289">
                  <c:v>32890</c:v>
                </c:pt>
                <c:pt idx="3290">
                  <c:v>32900</c:v>
                </c:pt>
                <c:pt idx="3291">
                  <c:v>32910</c:v>
                </c:pt>
                <c:pt idx="3292">
                  <c:v>32920</c:v>
                </c:pt>
                <c:pt idx="3293">
                  <c:v>32930</c:v>
                </c:pt>
                <c:pt idx="3294">
                  <c:v>32940</c:v>
                </c:pt>
                <c:pt idx="3295">
                  <c:v>32950</c:v>
                </c:pt>
                <c:pt idx="3296">
                  <c:v>32960</c:v>
                </c:pt>
                <c:pt idx="3297">
                  <c:v>32970</c:v>
                </c:pt>
                <c:pt idx="3298">
                  <c:v>32980</c:v>
                </c:pt>
                <c:pt idx="3299">
                  <c:v>32990</c:v>
                </c:pt>
                <c:pt idx="3300">
                  <c:v>33000</c:v>
                </c:pt>
                <c:pt idx="3301">
                  <c:v>33010</c:v>
                </c:pt>
                <c:pt idx="3302">
                  <c:v>33020</c:v>
                </c:pt>
                <c:pt idx="3303">
                  <c:v>33030</c:v>
                </c:pt>
                <c:pt idx="3304">
                  <c:v>33040</c:v>
                </c:pt>
                <c:pt idx="3305">
                  <c:v>33050</c:v>
                </c:pt>
                <c:pt idx="3306">
                  <c:v>33060</c:v>
                </c:pt>
                <c:pt idx="3307">
                  <c:v>33070</c:v>
                </c:pt>
                <c:pt idx="3308">
                  <c:v>33080</c:v>
                </c:pt>
                <c:pt idx="3309">
                  <c:v>33090</c:v>
                </c:pt>
                <c:pt idx="3310">
                  <c:v>33100</c:v>
                </c:pt>
                <c:pt idx="3311">
                  <c:v>33110</c:v>
                </c:pt>
                <c:pt idx="3312">
                  <c:v>33120</c:v>
                </c:pt>
                <c:pt idx="3313">
                  <c:v>33130</c:v>
                </c:pt>
                <c:pt idx="3314">
                  <c:v>33140</c:v>
                </c:pt>
                <c:pt idx="3315">
                  <c:v>33150</c:v>
                </c:pt>
                <c:pt idx="3316">
                  <c:v>33160</c:v>
                </c:pt>
                <c:pt idx="3317">
                  <c:v>33170</c:v>
                </c:pt>
                <c:pt idx="3318">
                  <c:v>33180</c:v>
                </c:pt>
                <c:pt idx="3319">
                  <c:v>33190</c:v>
                </c:pt>
                <c:pt idx="3320">
                  <c:v>33200</c:v>
                </c:pt>
                <c:pt idx="3321">
                  <c:v>33210</c:v>
                </c:pt>
                <c:pt idx="3322">
                  <c:v>33220</c:v>
                </c:pt>
                <c:pt idx="3323">
                  <c:v>33230</c:v>
                </c:pt>
                <c:pt idx="3324">
                  <c:v>33240</c:v>
                </c:pt>
                <c:pt idx="3325">
                  <c:v>33250</c:v>
                </c:pt>
                <c:pt idx="3326">
                  <c:v>33260</c:v>
                </c:pt>
                <c:pt idx="3327">
                  <c:v>33270</c:v>
                </c:pt>
                <c:pt idx="3328">
                  <c:v>33280</c:v>
                </c:pt>
                <c:pt idx="3329">
                  <c:v>33290</c:v>
                </c:pt>
                <c:pt idx="3330">
                  <c:v>33300</c:v>
                </c:pt>
                <c:pt idx="3331">
                  <c:v>33310</c:v>
                </c:pt>
                <c:pt idx="3332">
                  <c:v>33320</c:v>
                </c:pt>
                <c:pt idx="3333">
                  <c:v>33330</c:v>
                </c:pt>
                <c:pt idx="3334">
                  <c:v>33340</c:v>
                </c:pt>
                <c:pt idx="3335">
                  <c:v>33350</c:v>
                </c:pt>
                <c:pt idx="3336">
                  <c:v>33360</c:v>
                </c:pt>
                <c:pt idx="3337">
                  <c:v>33370</c:v>
                </c:pt>
                <c:pt idx="3338">
                  <c:v>33380</c:v>
                </c:pt>
                <c:pt idx="3339">
                  <c:v>33390</c:v>
                </c:pt>
                <c:pt idx="3340">
                  <c:v>33400</c:v>
                </c:pt>
                <c:pt idx="3341">
                  <c:v>33410</c:v>
                </c:pt>
                <c:pt idx="3342">
                  <c:v>33420</c:v>
                </c:pt>
                <c:pt idx="3343">
                  <c:v>33430</c:v>
                </c:pt>
                <c:pt idx="3344">
                  <c:v>33440</c:v>
                </c:pt>
                <c:pt idx="3345">
                  <c:v>33450</c:v>
                </c:pt>
                <c:pt idx="3346">
                  <c:v>33460</c:v>
                </c:pt>
                <c:pt idx="3347">
                  <c:v>33470</c:v>
                </c:pt>
                <c:pt idx="3348">
                  <c:v>33480</c:v>
                </c:pt>
                <c:pt idx="3349">
                  <c:v>33490</c:v>
                </c:pt>
                <c:pt idx="3350">
                  <c:v>33500</c:v>
                </c:pt>
                <c:pt idx="3351">
                  <c:v>33510</c:v>
                </c:pt>
                <c:pt idx="3352">
                  <c:v>33520</c:v>
                </c:pt>
                <c:pt idx="3353">
                  <c:v>33530</c:v>
                </c:pt>
                <c:pt idx="3354">
                  <c:v>33540</c:v>
                </c:pt>
                <c:pt idx="3355">
                  <c:v>33550</c:v>
                </c:pt>
                <c:pt idx="3356">
                  <c:v>33560</c:v>
                </c:pt>
                <c:pt idx="3357">
                  <c:v>33570</c:v>
                </c:pt>
                <c:pt idx="3358">
                  <c:v>33580</c:v>
                </c:pt>
                <c:pt idx="3359">
                  <c:v>33590</c:v>
                </c:pt>
                <c:pt idx="3360">
                  <c:v>33600</c:v>
                </c:pt>
                <c:pt idx="3361">
                  <c:v>33610</c:v>
                </c:pt>
                <c:pt idx="3362">
                  <c:v>33620</c:v>
                </c:pt>
                <c:pt idx="3363">
                  <c:v>33630</c:v>
                </c:pt>
                <c:pt idx="3364">
                  <c:v>33640</c:v>
                </c:pt>
                <c:pt idx="3365">
                  <c:v>33650</c:v>
                </c:pt>
                <c:pt idx="3366">
                  <c:v>33660</c:v>
                </c:pt>
                <c:pt idx="3367">
                  <c:v>33670</c:v>
                </c:pt>
                <c:pt idx="3368">
                  <c:v>33680</c:v>
                </c:pt>
                <c:pt idx="3369">
                  <c:v>33690</c:v>
                </c:pt>
                <c:pt idx="3370">
                  <c:v>33700</c:v>
                </c:pt>
                <c:pt idx="3371">
                  <c:v>33710</c:v>
                </c:pt>
                <c:pt idx="3372">
                  <c:v>33720</c:v>
                </c:pt>
                <c:pt idx="3373">
                  <c:v>33730</c:v>
                </c:pt>
                <c:pt idx="3374">
                  <c:v>33740</c:v>
                </c:pt>
                <c:pt idx="3375">
                  <c:v>33750</c:v>
                </c:pt>
                <c:pt idx="3376">
                  <c:v>33760</c:v>
                </c:pt>
                <c:pt idx="3377">
                  <c:v>33770</c:v>
                </c:pt>
                <c:pt idx="3378">
                  <c:v>33780</c:v>
                </c:pt>
                <c:pt idx="3379">
                  <c:v>33790</c:v>
                </c:pt>
                <c:pt idx="3380">
                  <c:v>33800</c:v>
                </c:pt>
                <c:pt idx="3381">
                  <c:v>33810</c:v>
                </c:pt>
                <c:pt idx="3382">
                  <c:v>33820</c:v>
                </c:pt>
                <c:pt idx="3383">
                  <c:v>33830</c:v>
                </c:pt>
                <c:pt idx="3384">
                  <c:v>33840</c:v>
                </c:pt>
                <c:pt idx="3385">
                  <c:v>33850</c:v>
                </c:pt>
                <c:pt idx="3386">
                  <c:v>33860</c:v>
                </c:pt>
                <c:pt idx="3387">
                  <c:v>33870</c:v>
                </c:pt>
                <c:pt idx="3388">
                  <c:v>33880</c:v>
                </c:pt>
                <c:pt idx="3389">
                  <c:v>33890</c:v>
                </c:pt>
                <c:pt idx="3390">
                  <c:v>33900</c:v>
                </c:pt>
                <c:pt idx="3391">
                  <c:v>33910</c:v>
                </c:pt>
                <c:pt idx="3392">
                  <c:v>33920</c:v>
                </c:pt>
                <c:pt idx="3393">
                  <c:v>33930</c:v>
                </c:pt>
                <c:pt idx="3394">
                  <c:v>33940</c:v>
                </c:pt>
                <c:pt idx="3395">
                  <c:v>33950</c:v>
                </c:pt>
                <c:pt idx="3396">
                  <c:v>33960</c:v>
                </c:pt>
                <c:pt idx="3397">
                  <c:v>33970</c:v>
                </c:pt>
                <c:pt idx="3398">
                  <c:v>33980</c:v>
                </c:pt>
                <c:pt idx="3399">
                  <c:v>33990</c:v>
                </c:pt>
                <c:pt idx="3400">
                  <c:v>34000</c:v>
                </c:pt>
                <c:pt idx="3401">
                  <c:v>34010</c:v>
                </c:pt>
                <c:pt idx="3402">
                  <c:v>34020</c:v>
                </c:pt>
                <c:pt idx="3403">
                  <c:v>34030</c:v>
                </c:pt>
                <c:pt idx="3404">
                  <c:v>34040</c:v>
                </c:pt>
                <c:pt idx="3405">
                  <c:v>34050</c:v>
                </c:pt>
                <c:pt idx="3406">
                  <c:v>34060</c:v>
                </c:pt>
                <c:pt idx="3407">
                  <c:v>34070</c:v>
                </c:pt>
                <c:pt idx="3408">
                  <c:v>34080</c:v>
                </c:pt>
                <c:pt idx="3409">
                  <c:v>34090</c:v>
                </c:pt>
                <c:pt idx="3410">
                  <c:v>34100</c:v>
                </c:pt>
                <c:pt idx="3411">
                  <c:v>34110</c:v>
                </c:pt>
                <c:pt idx="3412">
                  <c:v>34120</c:v>
                </c:pt>
                <c:pt idx="3413">
                  <c:v>34130</c:v>
                </c:pt>
                <c:pt idx="3414">
                  <c:v>34140</c:v>
                </c:pt>
                <c:pt idx="3415">
                  <c:v>34150</c:v>
                </c:pt>
                <c:pt idx="3416">
                  <c:v>34160</c:v>
                </c:pt>
                <c:pt idx="3417">
                  <c:v>34170</c:v>
                </c:pt>
                <c:pt idx="3418">
                  <c:v>34180</c:v>
                </c:pt>
                <c:pt idx="3419">
                  <c:v>34190</c:v>
                </c:pt>
                <c:pt idx="3420">
                  <c:v>34200</c:v>
                </c:pt>
                <c:pt idx="3421">
                  <c:v>34210</c:v>
                </c:pt>
                <c:pt idx="3422">
                  <c:v>34220</c:v>
                </c:pt>
                <c:pt idx="3423">
                  <c:v>34230</c:v>
                </c:pt>
                <c:pt idx="3424">
                  <c:v>34240</c:v>
                </c:pt>
                <c:pt idx="3425">
                  <c:v>34250</c:v>
                </c:pt>
                <c:pt idx="3426">
                  <c:v>34260</c:v>
                </c:pt>
                <c:pt idx="3427">
                  <c:v>34270</c:v>
                </c:pt>
                <c:pt idx="3428">
                  <c:v>34280</c:v>
                </c:pt>
                <c:pt idx="3429">
                  <c:v>34290</c:v>
                </c:pt>
                <c:pt idx="3430">
                  <c:v>34300</c:v>
                </c:pt>
                <c:pt idx="3431">
                  <c:v>34310</c:v>
                </c:pt>
                <c:pt idx="3432">
                  <c:v>34320</c:v>
                </c:pt>
                <c:pt idx="3433">
                  <c:v>34330</c:v>
                </c:pt>
                <c:pt idx="3434">
                  <c:v>34340</c:v>
                </c:pt>
                <c:pt idx="3435">
                  <c:v>34350</c:v>
                </c:pt>
                <c:pt idx="3436">
                  <c:v>34360</c:v>
                </c:pt>
                <c:pt idx="3437">
                  <c:v>34370</c:v>
                </c:pt>
                <c:pt idx="3438">
                  <c:v>34380</c:v>
                </c:pt>
                <c:pt idx="3439">
                  <c:v>34390</c:v>
                </c:pt>
                <c:pt idx="3440">
                  <c:v>34400</c:v>
                </c:pt>
                <c:pt idx="3441">
                  <c:v>34410</c:v>
                </c:pt>
                <c:pt idx="3442">
                  <c:v>34420</c:v>
                </c:pt>
                <c:pt idx="3443">
                  <c:v>34430</c:v>
                </c:pt>
                <c:pt idx="3444">
                  <c:v>34440</c:v>
                </c:pt>
                <c:pt idx="3445">
                  <c:v>34450</c:v>
                </c:pt>
                <c:pt idx="3446">
                  <c:v>34460</c:v>
                </c:pt>
                <c:pt idx="3447">
                  <c:v>34470</c:v>
                </c:pt>
                <c:pt idx="3448">
                  <c:v>34480</c:v>
                </c:pt>
                <c:pt idx="3449">
                  <c:v>34490</c:v>
                </c:pt>
                <c:pt idx="3450">
                  <c:v>34500</c:v>
                </c:pt>
                <c:pt idx="3451">
                  <c:v>34510</c:v>
                </c:pt>
                <c:pt idx="3452">
                  <c:v>34520</c:v>
                </c:pt>
                <c:pt idx="3453">
                  <c:v>34530</c:v>
                </c:pt>
                <c:pt idx="3454">
                  <c:v>34540</c:v>
                </c:pt>
                <c:pt idx="3455">
                  <c:v>34550</c:v>
                </c:pt>
                <c:pt idx="3456">
                  <c:v>34560</c:v>
                </c:pt>
                <c:pt idx="3457">
                  <c:v>34570</c:v>
                </c:pt>
                <c:pt idx="3458">
                  <c:v>34580</c:v>
                </c:pt>
                <c:pt idx="3459">
                  <c:v>34590</c:v>
                </c:pt>
                <c:pt idx="3460">
                  <c:v>34600</c:v>
                </c:pt>
                <c:pt idx="3461">
                  <c:v>34610</c:v>
                </c:pt>
                <c:pt idx="3462">
                  <c:v>34620</c:v>
                </c:pt>
                <c:pt idx="3463">
                  <c:v>34630</c:v>
                </c:pt>
                <c:pt idx="3464">
                  <c:v>34640</c:v>
                </c:pt>
                <c:pt idx="3465">
                  <c:v>34650</c:v>
                </c:pt>
                <c:pt idx="3466">
                  <c:v>34660</c:v>
                </c:pt>
                <c:pt idx="3467">
                  <c:v>34670</c:v>
                </c:pt>
                <c:pt idx="3468">
                  <c:v>34680</c:v>
                </c:pt>
                <c:pt idx="3469">
                  <c:v>34690</c:v>
                </c:pt>
                <c:pt idx="3470">
                  <c:v>34700</c:v>
                </c:pt>
                <c:pt idx="3471">
                  <c:v>34710</c:v>
                </c:pt>
                <c:pt idx="3472">
                  <c:v>34720</c:v>
                </c:pt>
                <c:pt idx="3473">
                  <c:v>34730</c:v>
                </c:pt>
                <c:pt idx="3474">
                  <c:v>34740</c:v>
                </c:pt>
                <c:pt idx="3475">
                  <c:v>34750</c:v>
                </c:pt>
                <c:pt idx="3476">
                  <c:v>34760</c:v>
                </c:pt>
                <c:pt idx="3477">
                  <c:v>34770</c:v>
                </c:pt>
                <c:pt idx="3478">
                  <c:v>34780</c:v>
                </c:pt>
                <c:pt idx="3479">
                  <c:v>34790</c:v>
                </c:pt>
                <c:pt idx="3480">
                  <c:v>34800</c:v>
                </c:pt>
                <c:pt idx="3481">
                  <c:v>34810</c:v>
                </c:pt>
                <c:pt idx="3482">
                  <c:v>34820</c:v>
                </c:pt>
                <c:pt idx="3483">
                  <c:v>34830</c:v>
                </c:pt>
                <c:pt idx="3484">
                  <c:v>34840</c:v>
                </c:pt>
                <c:pt idx="3485">
                  <c:v>34850</c:v>
                </c:pt>
                <c:pt idx="3486">
                  <c:v>34860</c:v>
                </c:pt>
                <c:pt idx="3487">
                  <c:v>34870</c:v>
                </c:pt>
                <c:pt idx="3488">
                  <c:v>34880</c:v>
                </c:pt>
                <c:pt idx="3489">
                  <c:v>34890</c:v>
                </c:pt>
                <c:pt idx="3490">
                  <c:v>34900</c:v>
                </c:pt>
                <c:pt idx="3491">
                  <c:v>34910</c:v>
                </c:pt>
                <c:pt idx="3492">
                  <c:v>34920</c:v>
                </c:pt>
                <c:pt idx="3493">
                  <c:v>34930</c:v>
                </c:pt>
                <c:pt idx="3494">
                  <c:v>34940</c:v>
                </c:pt>
                <c:pt idx="3495">
                  <c:v>34950</c:v>
                </c:pt>
                <c:pt idx="3496">
                  <c:v>34960</c:v>
                </c:pt>
              </c:numCache>
            </c:numRef>
          </c:xVal>
          <c:yVal>
            <c:numRef>
              <c:f>geomorph!$F$2:$F$3499</c:f>
              <c:numCache>
                <c:formatCode>General</c:formatCode>
                <c:ptCount val="3498"/>
                <c:pt idx="0">
                  <c:v>105.59</c:v>
                </c:pt>
                <c:pt idx="1">
                  <c:v>105.599</c:v>
                </c:pt>
                <c:pt idx="2">
                  <c:v>105.608</c:v>
                </c:pt>
                <c:pt idx="3">
                  <c:v>105.61799999999999</c:v>
                </c:pt>
                <c:pt idx="4">
                  <c:v>105.626</c:v>
                </c:pt>
                <c:pt idx="5">
                  <c:v>105.63500000000001</c:v>
                </c:pt>
                <c:pt idx="6">
                  <c:v>105.645</c:v>
                </c:pt>
                <c:pt idx="7">
                  <c:v>105.654</c:v>
                </c:pt>
                <c:pt idx="8">
                  <c:v>105.66200000000001</c:v>
                </c:pt>
                <c:pt idx="9">
                  <c:v>105.672</c:v>
                </c:pt>
                <c:pt idx="10">
                  <c:v>105.681</c:v>
                </c:pt>
                <c:pt idx="11">
                  <c:v>105.691</c:v>
                </c:pt>
                <c:pt idx="12">
                  <c:v>105.699</c:v>
                </c:pt>
                <c:pt idx="13">
                  <c:v>105.708</c:v>
                </c:pt>
                <c:pt idx="14">
                  <c:v>105.718</c:v>
                </c:pt>
                <c:pt idx="15">
                  <c:v>105.727</c:v>
                </c:pt>
                <c:pt idx="16">
                  <c:v>105.735</c:v>
                </c:pt>
                <c:pt idx="17">
                  <c:v>105.745</c:v>
                </c:pt>
                <c:pt idx="18">
                  <c:v>105.754</c:v>
                </c:pt>
                <c:pt idx="19">
                  <c:v>105.76300000000001</c:v>
                </c:pt>
                <c:pt idx="20">
                  <c:v>105.77200000000001</c:v>
                </c:pt>
                <c:pt idx="21">
                  <c:v>105.78100000000001</c:v>
                </c:pt>
                <c:pt idx="22">
                  <c:v>105.79</c:v>
                </c:pt>
                <c:pt idx="23">
                  <c:v>105.8</c:v>
                </c:pt>
                <c:pt idx="24">
                  <c:v>105.809</c:v>
                </c:pt>
                <c:pt idx="25">
                  <c:v>105.81699999999999</c:v>
                </c:pt>
                <c:pt idx="26">
                  <c:v>105.827</c:v>
                </c:pt>
                <c:pt idx="27">
                  <c:v>105.836</c:v>
                </c:pt>
                <c:pt idx="28">
                  <c:v>105.845</c:v>
                </c:pt>
                <c:pt idx="29">
                  <c:v>105.854</c:v>
                </c:pt>
                <c:pt idx="30">
                  <c:v>105.863</c:v>
                </c:pt>
                <c:pt idx="31">
                  <c:v>105.872</c:v>
                </c:pt>
                <c:pt idx="32">
                  <c:v>105.881</c:v>
                </c:pt>
                <c:pt idx="33">
                  <c:v>105.89100000000001</c:v>
                </c:pt>
                <c:pt idx="34">
                  <c:v>105.9</c:v>
                </c:pt>
                <c:pt idx="35">
                  <c:v>105.90900000000001</c:v>
                </c:pt>
                <c:pt idx="36">
                  <c:v>105.917</c:v>
                </c:pt>
                <c:pt idx="37">
                  <c:v>105.92700000000001</c:v>
                </c:pt>
                <c:pt idx="38">
                  <c:v>105.93600000000001</c:v>
                </c:pt>
                <c:pt idx="39">
                  <c:v>105.94499999999999</c:v>
                </c:pt>
                <c:pt idx="40">
                  <c:v>105.95399999999999</c:v>
                </c:pt>
                <c:pt idx="41">
                  <c:v>105.964</c:v>
                </c:pt>
                <c:pt idx="42">
                  <c:v>105.973</c:v>
                </c:pt>
                <c:pt idx="43">
                  <c:v>105.98099999999999</c:v>
                </c:pt>
                <c:pt idx="44">
                  <c:v>105.99</c:v>
                </c:pt>
                <c:pt idx="45">
                  <c:v>106</c:v>
                </c:pt>
                <c:pt idx="46">
                  <c:v>106.009</c:v>
                </c:pt>
                <c:pt idx="47">
                  <c:v>106.018</c:v>
                </c:pt>
                <c:pt idx="48">
                  <c:v>106.027</c:v>
                </c:pt>
                <c:pt idx="49">
                  <c:v>106.036</c:v>
                </c:pt>
                <c:pt idx="50">
                  <c:v>106.04600000000001</c:v>
                </c:pt>
                <c:pt idx="51">
                  <c:v>106.05500000000001</c:v>
                </c:pt>
                <c:pt idx="52">
                  <c:v>106.063</c:v>
                </c:pt>
                <c:pt idx="53">
                  <c:v>106.072</c:v>
                </c:pt>
                <c:pt idx="54">
                  <c:v>106.081</c:v>
                </c:pt>
                <c:pt idx="55">
                  <c:v>106.09099999999999</c:v>
                </c:pt>
                <c:pt idx="56">
                  <c:v>106.1</c:v>
                </c:pt>
                <c:pt idx="57">
                  <c:v>106.10899999999999</c:v>
                </c:pt>
                <c:pt idx="58">
                  <c:v>106.11799999999999</c:v>
                </c:pt>
                <c:pt idx="59">
                  <c:v>106.127</c:v>
                </c:pt>
                <c:pt idx="60">
                  <c:v>106.136</c:v>
                </c:pt>
                <c:pt idx="61">
                  <c:v>106.146</c:v>
                </c:pt>
                <c:pt idx="62">
                  <c:v>106.155</c:v>
                </c:pt>
                <c:pt idx="63">
                  <c:v>106.164</c:v>
                </c:pt>
                <c:pt idx="64">
                  <c:v>106.173</c:v>
                </c:pt>
                <c:pt idx="65">
                  <c:v>106.182</c:v>
                </c:pt>
                <c:pt idx="66">
                  <c:v>106.191</c:v>
                </c:pt>
                <c:pt idx="67">
                  <c:v>106.2</c:v>
                </c:pt>
                <c:pt idx="68">
                  <c:v>106.209</c:v>
                </c:pt>
                <c:pt idx="69">
                  <c:v>106.21899999999999</c:v>
                </c:pt>
                <c:pt idx="70">
                  <c:v>106.22799999999999</c:v>
                </c:pt>
                <c:pt idx="71">
                  <c:v>106.23699999999999</c:v>
                </c:pt>
                <c:pt idx="72">
                  <c:v>106.246</c:v>
                </c:pt>
                <c:pt idx="73">
                  <c:v>106.255</c:v>
                </c:pt>
                <c:pt idx="74">
                  <c:v>106.264</c:v>
                </c:pt>
                <c:pt idx="75">
                  <c:v>106.273</c:v>
                </c:pt>
                <c:pt idx="76">
                  <c:v>106.282</c:v>
                </c:pt>
                <c:pt idx="77">
                  <c:v>106.291</c:v>
                </c:pt>
                <c:pt idx="78">
                  <c:v>106.3</c:v>
                </c:pt>
                <c:pt idx="79">
                  <c:v>106.309</c:v>
                </c:pt>
                <c:pt idx="80">
                  <c:v>106.318</c:v>
                </c:pt>
                <c:pt idx="81">
                  <c:v>106.327</c:v>
                </c:pt>
                <c:pt idx="82">
                  <c:v>106.337</c:v>
                </c:pt>
                <c:pt idx="83">
                  <c:v>106.346</c:v>
                </c:pt>
                <c:pt idx="84">
                  <c:v>106.355</c:v>
                </c:pt>
                <c:pt idx="85">
                  <c:v>106.364</c:v>
                </c:pt>
                <c:pt idx="86">
                  <c:v>106.373</c:v>
                </c:pt>
                <c:pt idx="87">
                  <c:v>106.383</c:v>
                </c:pt>
                <c:pt idx="88">
                  <c:v>106.392</c:v>
                </c:pt>
                <c:pt idx="89">
                  <c:v>106.401</c:v>
                </c:pt>
                <c:pt idx="90">
                  <c:v>106.41</c:v>
                </c:pt>
                <c:pt idx="91">
                  <c:v>106.419</c:v>
                </c:pt>
                <c:pt idx="92">
                  <c:v>106.428</c:v>
                </c:pt>
                <c:pt idx="93">
                  <c:v>106.43600000000001</c:v>
                </c:pt>
                <c:pt idx="94">
                  <c:v>106.44499999999999</c:v>
                </c:pt>
                <c:pt idx="95">
                  <c:v>106.455</c:v>
                </c:pt>
                <c:pt idx="96">
                  <c:v>106.464</c:v>
                </c:pt>
                <c:pt idx="97">
                  <c:v>106.473</c:v>
                </c:pt>
                <c:pt idx="98">
                  <c:v>106.482</c:v>
                </c:pt>
                <c:pt idx="99">
                  <c:v>106.491</c:v>
                </c:pt>
                <c:pt idx="100">
                  <c:v>106.5</c:v>
                </c:pt>
                <c:pt idx="101">
                  <c:v>106.51</c:v>
                </c:pt>
                <c:pt idx="102">
                  <c:v>106.51900000000001</c:v>
                </c:pt>
                <c:pt idx="103">
                  <c:v>106.52800000000001</c:v>
                </c:pt>
                <c:pt idx="104">
                  <c:v>106.53700000000001</c:v>
                </c:pt>
                <c:pt idx="105">
                  <c:v>106.54600000000001</c:v>
                </c:pt>
                <c:pt idx="106">
                  <c:v>106.55500000000001</c:v>
                </c:pt>
                <c:pt idx="107">
                  <c:v>106.56399999999999</c:v>
                </c:pt>
                <c:pt idx="108">
                  <c:v>106.57299999999999</c:v>
                </c:pt>
                <c:pt idx="109">
                  <c:v>106.583</c:v>
                </c:pt>
                <c:pt idx="110">
                  <c:v>106.592</c:v>
                </c:pt>
                <c:pt idx="111">
                  <c:v>106.6</c:v>
                </c:pt>
                <c:pt idx="112">
                  <c:v>106.60899999999999</c:v>
                </c:pt>
                <c:pt idx="113">
                  <c:v>106.619</c:v>
                </c:pt>
                <c:pt idx="114">
                  <c:v>106.628</c:v>
                </c:pt>
                <c:pt idx="115">
                  <c:v>106.637</c:v>
                </c:pt>
                <c:pt idx="116">
                  <c:v>106.646</c:v>
                </c:pt>
                <c:pt idx="117">
                  <c:v>106.655</c:v>
                </c:pt>
                <c:pt idx="118">
                  <c:v>106.664</c:v>
                </c:pt>
                <c:pt idx="119">
                  <c:v>106.67400000000001</c:v>
                </c:pt>
                <c:pt idx="120">
                  <c:v>106.682</c:v>
                </c:pt>
                <c:pt idx="121">
                  <c:v>106.69199999999999</c:v>
                </c:pt>
                <c:pt idx="122">
                  <c:v>106.70099999999999</c:v>
                </c:pt>
                <c:pt idx="123">
                  <c:v>106.71</c:v>
                </c:pt>
                <c:pt idx="124">
                  <c:v>106.71899999999999</c:v>
                </c:pt>
                <c:pt idx="125">
                  <c:v>106.72799999999999</c:v>
                </c:pt>
                <c:pt idx="126">
                  <c:v>106.738</c:v>
                </c:pt>
                <c:pt idx="127">
                  <c:v>106.746</c:v>
                </c:pt>
                <c:pt idx="128">
                  <c:v>106.756</c:v>
                </c:pt>
                <c:pt idx="129">
                  <c:v>106.764</c:v>
                </c:pt>
                <c:pt idx="130">
                  <c:v>106.774</c:v>
                </c:pt>
                <c:pt idx="131">
                  <c:v>106.783</c:v>
                </c:pt>
                <c:pt idx="132">
                  <c:v>106.792</c:v>
                </c:pt>
                <c:pt idx="133">
                  <c:v>106.801</c:v>
                </c:pt>
                <c:pt idx="134">
                  <c:v>106.81</c:v>
                </c:pt>
                <c:pt idx="135">
                  <c:v>106.819</c:v>
                </c:pt>
                <c:pt idx="136">
                  <c:v>106.82899999999999</c:v>
                </c:pt>
                <c:pt idx="137">
                  <c:v>106.837</c:v>
                </c:pt>
                <c:pt idx="138">
                  <c:v>106.84699999999999</c:v>
                </c:pt>
                <c:pt idx="139">
                  <c:v>106.85599999999999</c:v>
                </c:pt>
                <c:pt idx="140">
                  <c:v>106.86499999999999</c:v>
                </c:pt>
                <c:pt idx="141">
                  <c:v>106.874</c:v>
                </c:pt>
                <c:pt idx="142">
                  <c:v>106.88200000000001</c:v>
                </c:pt>
                <c:pt idx="143">
                  <c:v>106.892</c:v>
                </c:pt>
                <c:pt idx="144">
                  <c:v>106.901</c:v>
                </c:pt>
                <c:pt idx="145">
                  <c:v>106.91</c:v>
                </c:pt>
                <c:pt idx="146">
                  <c:v>106.919</c:v>
                </c:pt>
                <c:pt idx="147">
                  <c:v>106.929</c:v>
                </c:pt>
                <c:pt idx="148">
                  <c:v>106.938</c:v>
                </c:pt>
                <c:pt idx="149">
                  <c:v>106.946</c:v>
                </c:pt>
                <c:pt idx="150">
                  <c:v>106.956</c:v>
                </c:pt>
                <c:pt idx="151">
                  <c:v>106.965</c:v>
                </c:pt>
                <c:pt idx="152">
                  <c:v>106.974</c:v>
                </c:pt>
                <c:pt idx="153">
                  <c:v>106.98399999999999</c:v>
                </c:pt>
                <c:pt idx="154">
                  <c:v>106.992</c:v>
                </c:pt>
                <c:pt idx="155">
                  <c:v>107.001</c:v>
                </c:pt>
                <c:pt idx="156">
                  <c:v>107.01</c:v>
                </c:pt>
                <c:pt idx="157">
                  <c:v>107.02</c:v>
                </c:pt>
                <c:pt idx="158">
                  <c:v>107.029</c:v>
                </c:pt>
                <c:pt idx="159">
                  <c:v>107.038</c:v>
                </c:pt>
                <c:pt idx="160">
                  <c:v>107.047</c:v>
                </c:pt>
                <c:pt idx="161">
                  <c:v>107.056</c:v>
                </c:pt>
                <c:pt idx="162">
                  <c:v>107.065</c:v>
                </c:pt>
                <c:pt idx="163">
                  <c:v>107.074</c:v>
                </c:pt>
                <c:pt idx="164">
                  <c:v>107.083</c:v>
                </c:pt>
                <c:pt idx="165">
                  <c:v>107.093</c:v>
                </c:pt>
                <c:pt idx="166">
                  <c:v>107.102</c:v>
                </c:pt>
                <c:pt idx="167">
                  <c:v>107.111</c:v>
                </c:pt>
                <c:pt idx="168">
                  <c:v>107.12</c:v>
                </c:pt>
                <c:pt idx="169">
                  <c:v>107.127</c:v>
                </c:pt>
                <c:pt idx="170">
                  <c:v>107.126</c:v>
                </c:pt>
                <c:pt idx="171">
                  <c:v>107.126</c:v>
                </c:pt>
                <c:pt idx="172">
                  <c:v>107.126</c:v>
                </c:pt>
                <c:pt idx="173">
                  <c:v>107.126</c:v>
                </c:pt>
                <c:pt idx="174">
                  <c:v>107.126</c:v>
                </c:pt>
                <c:pt idx="175">
                  <c:v>107.126</c:v>
                </c:pt>
                <c:pt idx="176">
                  <c:v>107.126</c:v>
                </c:pt>
                <c:pt idx="177">
                  <c:v>107.127</c:v>
                </c:pt>
                <c:pt idx="178">
                  <c:v>107.127</c:v>
                </c:pt>
                <c:pt idx="179">
                  <c:v>107.127</c:v>
                </c:pt>
                <c:pt idx="180">
                  <c:v>107.127</c:v>
                </c:pt>
                <c:pt idx="181">
                  <c:v>107.127</c:v>
                </c:pt>
                <c:pt idx="182">
                  <c:v>107.127</c:v>
                </c:pt>
                <c:pt idx="183">
                  <c:v>107.127</c:v>
                </c:pt>
                <c:pt idx="184">
                  <c:v>107.127</c:v>
                </c:pt>
                <c:pt idx="185">
                  <c:v>107.127</c:v>
                </c:pt>
                <c:pt idx="186">
                  <c:v>107.128</c:v>
                </c:pt>
                <c:pt idx="187">
                  <c:v>107.128</c:v>
                </c:pt>
                <c:pt idx="188">
                  <c:v>107.129</c:v>
                </c:pt>
                <c:pt idx="189">
                  <c:v>107.129</c:v>
                </c:pt>
                <c:pt idx="190">
                  <c:v>107.129</c:v>
                </c:pt>
                <c:pt idx="191">
                  <c:v>107.129</c:v>
                </c:pt>
                <c:pt idx="192">
                  <c:v>107.129</c:v>
                </c:pt>
                <c:pt idx="193">
                  <c:v>107.129</c:v>
                </c:pt>
                <c:pt idx="194">
                  <c:v>107.129</c:v>
                </c:pt>
                <c:pt idx="195">
                  <c:v>107.129</c:v>
                </c:pt>
                <c:pt idx="196">
                  <c:v>107.129</c:v>
                </c:pt>
                <c:pt idx="197">
                  <c:v>107.129</c:v>
                </c:pt>
                <c:pt idx="198">
                  <c:v>107.129</c:v>
                </c:pt>
                <c:pt idx="199">
                  <c:v>107.129</c:v>
                </c:pt>
                <c:pt idx="200">
                  <c:v>107.129</c:v>
                </c:pt>
                <c:pt idx="201">
                  <c:v>107.13</c:v>
                </c:pt>
                <c:pt idx="202">
                  <c:v>107.13</c:v>
                </c:pt>
                <c:pt idx="203">
                  <c:v>107.13</c:v>
                </c:pt>
                <c:pt idx="204">
                  <c:v>107.13</c:v>
                </c:pt>
                <c:pt idx="205">
                  <c:v>107.13</c:v>
                </c:pt>
                <c:pt idx="206">
                  <c:v>107.13</c:v>
                </c:pt>
                <c:pt idx="207">
                  <c:v>107.13</c:v>
                </c:pt>
                <c:pt idx="208">
                  <c:v>107.13</c:v>
                </c:pt>
                <c:pt idx="209">
                  <c:v>107.13</c:v>
                </c:pt>
                <c:pt idx="210">
                  <c:v>107.131</c:v>
                </c:pt>
                <c:pt idx="211">
                  <c:v>107.131</c:v>
                </c:pt>
                <c:pt idx="212">
                  <c:v>107.131</c:v>
                </c:pt>
                <c:pt idx="213">
                  <c:v>107.131</c:v>
                </c:pt>
                <c:pt idx="214">
                  <c:v>107.131</c:v>
                </c:pt>
                <c:pt idx="215">
                  <c:v>107.131</c:v>
                </c:pt>
                <c:pt idx="216">
                  <c:v>107.13200000000001</c:v>
                </c:pt>
                <c:pt idx="217">
                  <c:v>107.13200000000001</c:v>
                </c:pt>
                <c:pt idx="218">
                  <c:v>107.13200000000001</c:v>
                </c:pt>
                <c:pt idx="219">
                  <c:v>107.13200000000001</c:v>
                </c:pt>
                <c:pt idx="220">
                  <c:v>107.131</c:v>
                </c:pt>
                <c:pt idx="221">
                  <c:v>107.131</c:v>
                </c:pt>
                <c:pt idx="222">
                  <c:v>107.13200000000001</c:v>
                </c:pt>
                <c:pt idx="223">
                  <c:v>107.13200000000001</c:v>
                </c:pt>
                <c:pt idx="224">
                  <c:v>107.13200000000001</c:v>
                </c:pt>
                <c:pt idx="225">
                  <c:v>107.13200000000001</c:v>
                </c:pt>
                <c:pt idx="226">
                  <c:v>107.13200000000001</c:v>
                </c:pt>
                <c:pt idx="227">
                  <c:v>107.13200000000001</c:v>
                </c:pt>
                <c:pt idx="228">
                  <c:v>107.133</c:v>
                </c:pt>
                <c:pt idx="229">
                  <c:v>107.133</c:v>
                </c:pt>
                <c:pt idx="230">
                  <c:v>107.133</c:v>
                </c:pt>
                <c:pt idx="231">
                  <c:v>107.133</c:v>
                </c:pt>
                <c:pt idx="232">
                  <c:v>107.133</c:v>
                </c:pt>
                <c:pt idx="233">
                  <c:v>107.134</c:v>
                </c:pt>
                <c:pt idx="234">
                  <c:v>107.133</c:v>
                </c:pt>
                <c:pt idx="235">
                  <c:v>107.133</c:v>
                </c:pt>
                <c:pt idx="236">
                  <c:v>107.133</c:v>
                </c:pt>
                <c:pt idx="237">
                  <c:v>107.133</c:v>
                </c:pt>
                <c:pt idx="238">
                  <c:v>107.134</c:v>
                </c:pt>
                <c:pt idx="239">
                  <c:v>107.134</c:v>
                </c:pt>
                <c:pt idx="240">
                  <c:v>107.134</c:v>
                </c:pt>
                <c:pt idx="241">
                  <c:v>107.134</c:v>
                </c:pt>
                <c:pt idx="242">
                  <c:v>107.13500000000001</c:v>
                </c:pt>
                <c:pt idx="243">
                  <c:v>107.134</c:v>
                </c:pt>
                <c:pt idx="244">
                  <c:v>107.134</c:v>
                </c:pt>
                <c:pt idx="245">
                  <c:v>107.134</c:v>
                </c:pt>
                <c:pt idx="246">
                  <c:v>107.13500000000001</c:v>
                </c:pt>
                <c:pt idx="247">
                  <c:v>107.13500000000001</c:v>
                </c:pt>
                <c:pt idx="248">
                  <c:v>107.13500000000001</c:v>
                </c:pt>
                <c:pt idx="249">
                  <c:v>107.134</c:v>
                </c:pt>
                <c:pt idx="250">
                  <c:v>107.13500000000001</c:v>
                </c:pt>
                <c:pt idx="251">
                  <c:v>107.13500000000001</c:v>
                </c:pt>
                <c:pt idx="252">
                  <c:v>107.13500000000001</c:v>
                </c:pt>
                <c:pt idx="253">
                  <c:v>107.136</c:v>
                </c:pt>
                <c:pt idx="254">
                  <c:v>107.136</c:v>
                </c:pt>
                <c:pt idx="255">
                  <c:v>107.13500000000001</c:v>
                </c:pt>
                <c:pt idx="256">
                  <c:v>107.13500000000001</c:v>
                </c:pt>
                <c:pt idx="257">
                  <c:v>107.136</c:v>
                </c:pt>
                <c:pt idx="258">
                  <c:v>107.136</c:v>
                </c:pt>
                <c:pt idx="259">
                  <c:v>107.13500000000001</c:v>
                </c:pt>
                <c:pt idx="260">
                  <c:v>107.136</c:v>
                </c:pt>
                <c:pt idx="261">
                  <c:v>107.136</c:v>
                </c:pt>
                <c:pt idx="262">
                  <c:v>107.136</c:v>
                </c:pt>
                <c:pt idx="263">
                  <c:v>107.137</c:v>
                </c:pt>
                <c:pt idx="264">
                  <c:v>107.136</c:v>
                </c:pt>
                <c:pt idx="265">
                  <c:v>107.137</c:v>
                </c:pt>
                <c:pt idx="266">
                  <c:v>107.137</c:v>
                </c:pt>
                <c:pt idx="267">
                  <c:v>107.136</c:v>
                </c:pt>
                <c:pt idx="268">
                  <c:v>107.137</c:v>
                </c:pt>
                <c:pt idx="269">
                  <c:v>107.137</c:v>
                </c:pt>
                <c:pt idx="270">
                  <c:v>107.137</c:v>
                </c:pt>
                <c:pt idx="271">
                  <c:v>107.137</c:v>
                </c:pt>
                <c:pt idx="272">
                  <c:v>107.137</c:v>
                </c:pt>
                <c:pt idx="273">
                  <c:v>107.13800000000001</c:v>
                </c:pt>
                <c:pt idx="274">
                  <c:v>107.137</c:v>
                </c:pt>
                <c:pt idx="275">
                  <c:v>107.13800000000001</c:v>
                </c:pt>
                <c:pt idx="276">
                  <c:v>107.13800000000001</c:v>
                </c:pt>
                <c:pt idx="277">
                  <c:v>107.137</c:v>
                </c:pt>
                <c:pt idx="278">
                  <c:v>107.13800000000001</c:v>
                </c:pt>
                <c:pt idx="279">
                  <c:v>107.13800000000001</c:v>
                </c:pt>
                <c:pt idx="280">
                  <c:v>107.13800000000001</c:v>
                </c:pt>
                <c:pt idx="281">
                  <c:v>107.13800000000001</c:v>
                </c:pt>
                <c:pt idx="282">
                  <c:v>107.139</c:v>
                </c:pt>
                <c:pt idx="283">
                  <c:v>107.13800000000001</c:v>
                </c:pt>
                <c:pt idx="284">
                  <c:v>107.139</c:v>
                </c:pt>
                <c:pt idx="285">
                  <c:v>107.13800000000001</c:v>
                </c:pt>
                <c:pt idx="286">
                  <c:v>107.139</c:v>
                </c:pt>
                <c:pt idx="287">
                  <c:v>107.139</c:v>
                </c:pt>
                <c:pt idx="288">
                  <c:v>107.139</c:v>
                </c:pt>
                <c:pt idx="289">
                  <c:v>107.139</c:v>
                </c:pt>
                <c:pt idx="290">
                  <c:v>107.139</c:v>
                </c:pt>
                <c:pt idx="291">
                  <c:v>107.139</c:v>
                </c:pt>
                <c:pt idx="292">
                  <c:v>107.14</c:v>
                </c:pt>
                <c:pt idx="293">
                  <c:v>107.14</c:v>
                </c:pt>
                <c:pt idx="294">
                  <c:v>107.14</c:v>
                </c:pt>
                <c:pt idx="295">
                  <c:v>107.14</c:v>
                </c:pt>
                <c:pt idx="296">
                  <c:v>107.14</c:v>
                </c:pt>
                <c:pt idx="297">
                  <c:v>107.14</c:v>
                </c:pt>
                <c:pt idx="298">
                  <c:v>107.14</c:v>
                </c:pt>
                <c:pt idx="299">
                  <c:v>107.14</c:v>
                </c:pt>
                <c:pt idx="300">
                  <c:v>107.14100000000001</c:v>
                </c:pt>
                <c:pt idx="301">
                  <c:v>107.14</c:v>
                </c:pt>
                <c:pt idx="302">
                  <c:v>107.14100000000001</c:v>
                </c:pt>
                <c:pt idx="303">
                  <c:v>107.14</c:v>
                </c:pt>
                <c:pt idx="304">
                  <c:v>107.14100000000001</c:v>
                </c:pt>
                <c:pt idx="305">
                  <c:v>107.14100000000001</c:v>
                </c:pt>
                <c:pt idx="306">
                  <c:v>107.14100000000001</c:v>
                </c:pt>
                <c:pt idx="307">
                  <c:v>107.14100000000001</c:v>
                </c:pt>
                <c:pt idx="308">
                  <c:v>107.142</c:v>
                </c:pt>
                <c:pt idx="309">
                  <c:v>107.14100000000001</c:v>
                </c:pt>
                <c:pt idx="310">
                  <c:v>107.142</c:v>
                </c:pt>
                <c:pt idx="311">
                  <c:v>107.142</c:v>
                </c:pt>
                <c:pt idx="312">
                  <c:v>107.14100000000001</c:v>
                </c:pt>
                <c:pt idx="313">
                  <c:v>107.142</c:v>
                </c:pt>
                <c:pt idx="314">
                  <c:v>107.142</c:v>
                </c:pt>
                <c:pt idx="315">
                  <c:v>107.142</c:v>
                </c:pt>
                <c:pt idx="316">
                  <c:v>107.142</c:v>
                </c:pt>
                <c:pt idx="317">
                  <c:v>107.142</c:v>
                </c:pt>
                <c:pt idx="318">
                  <c:v>107.143</c:v>
                </c:pt>
                <c:pt idx="319">
                  <c:v>107.142</c:v>
                </c:pt>
                <c:pt idx="320">
                  <c:v>107.143</c:v>
                </c:pt>
                <c:pt idx="321">
                  <c:v>107.143</c:v>
                </c:pt>
                <c:pt idx="322">
                  <c:v>107.143</c:v>
                </c:pt>
                <c:pt idx="323">
                  <c:v>107.143</c:v>
                </c:pt>
                <c:pt idx="324">
                  <c:v>107.143</c:v>
                </c:pt>
                <c:pt idx="325">
                  <c:v>107.143</c:v>
                </c:pt>
                <c:pt idx="326">
                  <c:v>107.14400000000001</c:v>
                </c:pt>
                <c:pt idx="327">
                  <c:v>107.143</c:v>
                </c:pt>
                <c:pt idx="328">
                  <c:v>107.143</c:v>
                </c:pt>
                <c:pt idx="329">
                  <c:v>107.14400000000001</c:v>
                </c:pt>
                <c:pt idx="330">
                  <c:v>107.14400000000001</c:v>
                </c:pt>
                <c:pt idx="331">
                  <c:v>107.14400000000001</c:v>
                </c:pt>
                <c:pt idx="332">
                  <c:v>107.143</c:v>
                </c:pt>
                <c:pt idx="333">
                  <c:v>107.14400000000001</c:v>
                </c:pt>
                <c:pt idx="334">
                  <c:v>107.14400000000001</c:v>
                </c:pt>
                <c:pt idx="335">
                  <c:v>107.14400000000001</c:v>
                </c:pt>
                <c:pt idx="336">
                  <c:v>107.145</c:v>
                </c:pt>
                <c:pt idx="337">
                  <c:v>107.145</c:v>
                </c:pt>
                <c:pt idx="338">
                  <c:v>107.145</c:v>
                </c:pt>
                <c:pt idx="339">
                  <c:v>107.14400000000001</c:v>
                </c:pt>
                <c:pt idx="340">
                  <c:v>107.145</c:v>
                </c:pt>
                <c:pt idx="341">
                  <c:v>107.145</c:v>
                </c:pt>
                <c:pt idx="342">
                  <c:v>107.145</c:v>
                </c:pt>
                <c:pt idx="343">
                  <c:v>107.145</c:v>
                </c:pt>
                <c:pt idx="344">
                  <c:v>107.145</c:v>
                </c:pt>
                <c:pt idx="345">
                  <c:v>107.146</c:v>
                </c:pt>
                <c:pt idx="346">
                  <c:v>107.146</c:v>
                </c:pt>
                <c:pt idx="347">
                  <c:v>107.146</c:v>
                </c:pt>
                <c:pt idx="348">
                  <c:v>107.146</c:v>
                </c:pt>
                <c:pt idx="349">
                  <c:v>107.145</c:v>
                </c:pt>
                <c:pt idx="350">
                  <c:v>107.145</c:v>
                </c:pt>
                <c:pt idx="351">
                  <c:v>107.146</c:v>
                </c:pt>
                <c:pt idx="352">
                  <c:v>107.13800000000001</c:v>
                </c:pt>
                <c:pt idx="353">
                  <c:v>107.13</c:v>
                </c:pt>
                <c:pt idx="354">
                  <c:v>107.121</c:v>
                </c:pt>
                <c:pt idx="355">
                  <c:v>107.113</c:v>
                </c:pt>
                <c:pt idx="356">
                  <c:v>107.105</c:v>
                </c:pt>
                <c:pt idx="357">
                  <c:v>107.09699999999999</c:v>
                </c:pt>
                <c:pt idx="358">
                  <c:v>107.089</c:v>
                </c:pt>
                <c:pt idx="359">
                  <c:v>107.081</c:v>
                </c:pt>
                <c:pt idx="360">
                  <c:v>107.07299999999999</c:v>
                </c:pt>
                <c:pt idx="361">
                  <c:v>107.065</c:v>
                </c:pt>
                <c:pt idx="362">
                  <c:v>107.057</c:v>
                </c:pt>
                <c:pt idx="363">
                  <c:v>107.04900000000001</c:v>
                </c:pt>
                <c:pt idx="364">
                  <c:v>107.041</c:v>
                </c:pt>
                <c:pt idx="365">
                  <c:v>107.033</c:v>
                </c:pt>
                <c:pt idx="366">
                  <c:v>107.02500000000001</c:v>
                </c:pt>
                <c:pt idx="367">
                  <c:v>107.017</c:v>
                </c:pt>
                <c:pt idx="368">
                  <c:v>107.009</c:v>
                </c:pt>
                <c:pt idx="369">
                  <c:v>107</c:v>
                </c:pt>
                <c:pt idx="370">
                  <c:v>106.992</c:v>
                </c:pt>
                <c:pt idx="371">
                  <c:v>106.98399999999999</c:v>
                </c:pt>
                <c:pt idx="372">
                  <c:v>106.976</c:v>
                </c:pt>
                <c:pt idx="373">
                  <c:v>106.968</c:v>
                </c:pt>
                <c:pt idx="374">
                  <c:v>106.96</c:v>
                </c:pt>
                <c:pt idx="375">
                  <c:v>106.952</c:v>
                </c:pt>
                <c:pt idx="376">
                  <c:v>106.944</c:v>
                </c:pt>
                <c:pt idx="377">
                  <c:v>106.93600000000001</c:v>
                </c:pt>
                <c:pt idx="378">
                  <c:v>106.928</c:v>
                </c:pt>
                <c:pt idx="379">
                  <c:v>106.92</c:v>
                </c:pt>
                <c:pt idx="380">
                  <c:v>106.91200000000001</c:v>
                </c:pt>
                <c:pt idx="381">
                  <c:v>106.904</c:v>
                </c:pt>
                <c:pt idx="382">
                  <c:v>106.896</c:v>
                </c:pt>
                <c:pt idx="383">
                  <c:v>106.887</c:v>
                </c:pt>
                <c:pt idx="384">
                  <c:v>106.879</c:v>
                </c:pt>
                <c:pt idx="385">
                  <c:v>106.871</c:v>
                </c:pt>
                <c:pt idx="386">
                  <c:v>106.863</c:v>
                </c:pt>
                <c:pt idx="387">
                  <c:v>106.855</c:v>
                </c:pt>
                <c:pt idx="388">
                  <c:v>106.84699999999999</c:v>
                </c:pt>
                <c:pt idx="389">
                  <c:v>106.839</c:v>
                </c:pt>
                <c:pt idx="390">
                  <c:v>106.83</c:v>
                </c:pt>
                <c:pt idx="391">
                  <c:v>106.822</c:v>
                </c:pt>
                <c:pt idx="392">
                  <c:v>106.81399999999999</c:v>
                </c:pt>
                <c:pt idx="393">
                  <c:v>106.806</c:v>
                </c:pt>
                <c:pt idx="394">
                  <c:v>106.797</c:v>
                </c:pt>
                <c:pt idx="395">
                  <c:v>106.789</c:v>
                </c:pt>
                <c:pt idx="396">
                  <c:v>106.78100000000001</c:v>
                </c:pt>
                <c:pt idx="397">
                  <c:v>106.774</c:v>
                </c:pt>
                <c:pt idx="398">
                  <c:v>106.76600000000001</c:v>
                </c:pt>
                <c:pt idx="399">
                  <c:v>106.758</c:v>
                </c:pt>
                <c:pt idx="400">
                  <c:v>106.75</c:v>
                </c:pt>
                <c:pt idx="401">
                  <c:v>106.742</c:v>
                </c:pt>
                <c:pt idx="402">
                  <c:v>106.73399999999999</c:v>
                </c:pt>
                <c:pt idx="403">
                  <c:v>106.726</c:v>
                </c:pt>
                <c:pt idx="404">
                  <c:v>106.717</c:v>
                </c:pt>
                <c:pt idx="405">
                  <c:v>106.709</c:v>
                </c:pt>
                <c:pt idx="406">
                  <c:v>106.70099999999999</c:v>
                </c:pt>
                <c:pt idx="407">
                  <c:v>106.693</c:v>
                </c:pt>
                <c:pt idx="408">
                  <c:v>106.685</c:v>
                </c:pt>
                <c:pt idx="409">
                  <c:v>106.67700000000001</c:v>
                </c:pt>
                <c:pt idx="410">
                  <c:v>106.669</c:v>
                </c:pt>
                <c:pt idx="411">
                  <c:v>106.661</c:v>
                </c:pt>
                <c:pt idx="412">
                  <c:v>106.65300000000001</c:v>
                </c:pt>
                <c:pt idx="413">
                  <c:v>106.64400000000001</c:v>
                </c:pt>
                <c:pt idx="414">
                  <c:v>106.636</c:v>
                </c:pt>
                <c:pt idx="415">
                  <c:v>106.628</c:v>
                </c:pt>
                <c:pt idx="416">
                  <c:v>106.62</c:v>
                </c:pt>
                <c:pt idx="417">
                  <c:v>106.61199999999999</c:v>
                </c:pt>
                <c:pt idx="418">
                  <c:v>106.604</c:v>
                </c:pt>
                <c:pt idx="419">
                  <c:v>106.596</c:v>
                </c:pt>
                <c:pt idx="420">
                  <c:v>106.58799999999999</c:v>
                </c:pt>
                <c:pt idx="421">
                  <c:v>106.57899999999999</c:v>
                </c:pt>
                <c:pt idx="422">
                  <c:v>106.571</c:v>
                </c:pt>
                <c:pt idx="423">
                  <c:v>106.563</c:v>
                </c:pt>
                <c:pt idx="424">
                  <c:v>106.55500000000001</c:v>
                </c:pt>
                <c:pt idx="425">
                  <c:v>106.547</c:v>
                </c:pt>
                <c:pt idx="426">
                  <c:v>106.539</c:v>
                </c:pt>
                <c:pt idx="427">
                  <c:v>106.53100000000001</c:v>
                </c:pt>
                <c:pt idx="428">
                  <c:v>106.523</c:v>
                </c:pt>
                <c:pt idx="429">
                  <c:v>106.514</c:v>
                </c:pt>
                <c:pt idx="430">
                  <c:v>106.506</c:v>
                </c:pt>
                <c:pt idx="431">
                  <c:v>106.498</c:v>
                </c:pt>
                <c:pt idx="432">
                  <c:v>106.49</c:v>
                </c:pt>
                <c:pt idx="433">
                  <c:v>106.482</c:v>
                </c:pt>
                <c:pt idx="434">
                  <c:v>106.474</c:v>
                </c:pt>
                <c:pt idx="435">
                  <c:v>106.46599999999999</c:v>
                </c:pt>
                <c:pt idx="436">
                  <c:v>106.458</c:v>
                </c:pt>
                <c:pt idx="437">
                  <c:v>106.45</c:v>
                </c:pt>
                <c:pt idx="438">
                  <c:v>106.44199999999999</c:v>
                </c:pt>
                <c:pt idx="439">
                  <c:v>106.434</c:v>
                </c:pt>
                <c:pt idx="440">
                  <c:v>106.426</c:v>
                </c:pt>
                <c:pt idx="441">
                  <c:v>106.41800000000001</c:v>
                </c:pt>
                <c:pt idx="442">
                  <c:v>106.41</c:v>
                </c:pt>
                <c:pt idx="443">
                  <c:v>106.401</c:v>
                </c:pt>
                <c:pt idx="444">
                  <c:v>106.393</c:v>
                </c:pt>
                <c:pt idx="445">
                  <c:v>106.38500000000001</c:v>
                </c:pt>
                <c:pt idx="446">
                  <c:v>106.377</c:v>
                </c:pt>
                <c:pt idx="447">
                  <c:v>106.369</c:v>
                </c:pt>
                <c:pt idx="448">
                  <c:v>106.361</c:v>
                </c:pt>
                <c:pt idx="449">
                  <c:v>106.352</c:v>
                </c:pt>
                <c:pt idx="450">
                  <c:v>106.34399999999999</c:v>
                </c:pt>
                <c:pt idx="451">
                  <c:v>106.336</c:v>
                </c:pt>
                <c:pt idx="452">
                  <c:v>106.328</c:v>
                </c:pt>
                <c:pt idx="453">
                  <c:v>106.321</c:v>
                </c:pt>
                <c:pt idx="454">
                  <c:v>106.313</c:v>
                </c:pt>
                <c:pt idx="455">
                  <c:v>106.304</c:v>
                </c:pt>
                <c:pt idx="456">
                  <c:v>106.29600000000001</c:v>
                </c:pt>
                <c:pt idx="457">
                  <c:v>106.288</c:v>
                </c:pt>
                <c:pt idx="458">
                  <c:v>106.28</c:v>
                </c:pt>
                <c:pt idx="459">
                  <c:v>106.27200000000001</c:v>
                </c:pt>
                <c:pt idx="460">
                  <c:v>106.264</c:v>
                </c:pt>
                <c:pt idx="461">
                  <c:v>106.255</c:v>
                </c:pt>
                <c:pt idx="462">
                  <c:v>106.247</c:v>
                </c:pt>
                <c:pt idx="463">
                  <c:v>106.239</c:v>
                </c:pt>
                <c:pt idx="464">
                  <c:v>106.23099999999999</c:v>
                </c:pt>
                <c:pt idx="465">
                  <c:v>106.223</c:v>
                </c:pt>
                <c:pt idx="466">
                  <c:v>106.21599999999999</c:v>
                </c:pt>
                <c:pt idx="467">
                  <c:v>106.20699999999999</c:v>
                </c:pt>
                <c:pt idx="468">
                  <c:v>106.199</c:v>
                </c:pt>
                <c:pt idx="469">
                  <c:v>106.191</c:v>
                </c:pt>
                <c:pt idx="470">
                  <c:v>106.18300000000001</c:v>
                </c:pt>
                <c:pt idx="471">
                  <c:v>106.175</c:v>
                </c:pt>
                <c:pt idx="472">
                  <c:v>106.166</c:v>
                </c:pt>
                <c:pt idx="473">
                  <c:v>106.158</c:v>
                </c:pt>
                <c:pt idx="474">
                  <c:v>106.15</c:v>
                </c:pt>
                <c:pt idx="475">
                  <c:v>106.142</c:v>
                </c:pt>
                <c:pt idx="476">
                  <c:v>106.134</c:v>
                </c:pt>
                <c:pt idx="477">
                  <c:v>106.127</c:v>
                </c:pt>
                <c:pt idx="478">
                  <c:v>106.11799999999999</c:v>
                </c:pt>
                <c:pt idx="479">
                  <c:v>106.11</c:v>
                </c:pt>
                <c:pt idx="480">
                  <c:v>106.102</c:v>
                </c:pt>
                <c:pt idx="481">
                  <c:v>106.09399999999999</c:v>
                </c:pt>
                <c:pt idx="482">
                  <c:v>106.086</c:v>
                </c:pt>
                <c:pt idx="483">
                  <c:v>106.077</c:v>
                </c:pt>
                <c:pt idx="484">
                  <c:v>106.069</c:v>
                </c:pt>
                <c:pt idx="485">
                  <c:v>106.06100000000001</c:v>
                </c:pt>
                <c:pt idx="486">
                  <c:v>106.053</c:v>
                </c:pt>
                <c:pt idx="487">
                  <c:v>106.04600000000001</c:v>
                </c:pt>
                <c:pt idx="488">
                  <c:v>106.03700000000001</c:v>
                </c:pt>
                <c:pt idx="489">
                  <c:v>106.029</c:v>
                </c:pt>
                <c:pt idx="490">
                  <c:v>106.021</c:v>
                </c:pt>
                <c:pt idx="491">
                  <c:v>106.01300000000001</c:v>
                </c:pt>
                <c:pt idx="492">
                  <c:v>106.004</c:v>
                </c:pt>
                <c:pt idx="493">
                  <c:v>105.996</c:v>
                </c:pt>
                <c:pt idx="494">
                  <c:v>105.988</c:v>
                </c:pt>
                <c:pt idx="495">
                  <c:v>105.98099999999999</c:v>
                </c:pt>
                <c:pt idx="496">
                  <c:v>105.973</c:v>
                </c:pt>
                <c:pt idx="497">
                  <c:v>105.964</c:v>
                </c:pt>
                <c:pt idx="498">
                  <c:v>105.956</c:v>
                </c:pt>
                <c:pt idx="499">
                  <c:v>105.94799999999999</c:v>
                </c:pt>
                <c:pt idx="500">
                  <c:v>105.94</c:v>
                </c:pt>
                <c:pt idx="501">
                  <c:v>105.931</c:v>
                </c:pt>
                <c:pt idx="502">
                  <c:v>105.923</c:v>
                </c:pt>
                <c:pt idx="503">
                  <c:v>105.916</c:v>
                </c:pt>
                <c:pt idx="504">
                  <c:v>105.908</c:v>
                </c:pt>
                <c:pt idx="505">
                  <c:v>105.9</c:v>
                </c:pt>
                <c:pt idx="506">
                  <c:v>105.89100000000001</c:v>
                </c:pt>
                <c:pt idx="507">
                  <c:v>105.883</c:v>
                </c:pt>
                <c:pt idx="508">
                  <c:v>105.875</c:v>
                </c:pt>
                <c:pt idx="509">
                  <c:v>105.867</c:v>
                </c:pt>
                <c:pt idx="510">
                  <c:v>105.858</c:v>
                </c:pt>
                <c:pt idx="511">
                  <c:v>105.851</c:v>
                </c:pt>
                <c:pt idx="512">
                  <c:v>105.843</c:v>
                </c:pt>
                <c:pt idx="513">
                  <c:v>105.83499999999999</c:v>
                </c:pt>
                <c:pt idx="514">
                  <c:v>105.82599999999999</c:v>
                </c:pt>
                <c:pt idx="515">
                  <c:v>105.818</c:v>
                </c:pt>
                <c:pt idx="516">
                  <c:v>105.812</c:v>
                </c:pt>
                <c:pt idx="517">
                  <c:v>105.80800000000001</c:v>
                </c:pt>
                <c:pt idx="518">
                  <c:v>105.803</c:v>
                </c:pt>
                <c:pt idx="519">
                  <c:v>105.798</c:v>
                </c:pt>
                <c:pt idx="520">
                  <c:v>105.794</c:v>
                </c:pt>
                <c:pt idx="521">
                  <c:v>105.789</c:v>
                </c:pt>
                <c:pt idx="522">
                  <c:v>105.78400000000001</c:v>
                </c:pt>
                <c:pt idx="523">
                  <c:v>105.78</c:v>
                </c:pt>
                <c:pt idx="524">
                  <c:v>105.77500000000001</c:v>
                </c:pt>
                <c:pt idx="525">
                  <c:v>105.77</c:v>
                </c:pt>
                <c:pt idx="526">
                  <c:v>105.765</c:v>
                </c:pt>
                <c:pt idx="527">
                  <c:v>105.76</c:v>
                </c:pt>
                <c:pt idx="528">
                  <c:v>105.755</c:v>
                </c:pt>
                <c:pt idx="529">
                  <c:v>105.752</c:v>
                </c:pt>
                <c:pt idx="530">
                  <c:v>105.747</c:v>
                </c:pt>
                <c:pt idx="531">
                  <c:v>105.742</c:v>
                </c:pt>
                <c:pt idx="532">
                  <c:v>105.73699999999999</c:v>
                </c:pt>
                <c:pt idx="533">
                  <c:v>105.732</c:v>
                </c:pt>
                <c:pt idx="534">
                  <c:v>105.727</c:v>
                </c:pt>
                <c:pt idx="535">
                  <c:v>105.72199999999999</c:v>
                </c:pt>
                <c:pt idx="536">
                  <c:v>105.718</c:v>
                </c:pt>
                <c:pt idx="537">
                  <c:v>105.714</c:v>
                </c:pt>
                <c:pt idx="538">
                  <c:v>105.709</c:v>
                </c:pt>
                <c:pt idx="539">
                  <c:v>105.70399999999999</c:v>
                </c:pt>
                <c:pt idx="540">
                  <c:v>105.699</c:v>
                </c:pt>
                <c:pt idx="541">
                  <c:v>105.694</c:v>
                </c:pt>
                <c:pt idx="542">
                  <c:v>105.69</c:v>
                </c:pt>
                <c:pt idx="543">
                  <c:v>105.685</c:v>
                </c:pt>
                <c:pt idx="544">
                  <c:v>105.68</c:v>
                </c:pt>
                <c:pt idx="545">
                  <c:v>105.675</c:v>
                </c:pt>
                <c:pt idx="546">
                  <c:v>105.67100000000001</c:v>
                </c:pt>
                <c:pt idx="547">
                  <c:v>105.666</c:v>
                </c:pt>
                <c:pt idx="548">
                  <c:v>105.661</c:v>
                </c:pt>
                <c:pt idx="549">
                  <c:v>105.65600000000001</c:v>
                </c:pt>
                <c:pt idx="550">
                  <c:v>105.651</c:v>
                </c:pt>
                <c:pt idx="551">
                  <c:v>105.64700000000001</c:v>
                </c:pt>
                <c:pt idx="552">
                  <c:v>105.642</c:v>
                </c:pt>
                <c:pt idx="553">
                  <c:v>105.637</c:v>
                </c:pt>
                <c:pt idx="554">
                  <c:v>105.63200000000001</c:v>
                </c:pt>
                <c:pt idx="555">
                  <c:v>105.628</c:v>
                </c:pt>
                <c:pt idx="556">
                  <c:v>105.623</c:v>
                </c:pt>
                <c:pt idx="557">
                  <c:v>105.61799999999999</c:v>
                </c:pt>
                <c:pt idx="558">
                  <c:v>105.614</c:v>
                </c:pt>
                <c:pt idx="559">
                  <c:v>105.60899999999999</c:v>
                </c:pt>
                <c:pt idx="560">
                  <c:v>105.604</c:v>
                </c:pt>
                <c:pt idx="561">
                  <c:v>105.6</c:v>
                </c:pt>
                <c:pt idx="562">
                  <c:v>105.595</c:v>
                </c:pt>
                <c:pt idx="563">
                  <c:v>105.59</c:v>
                </c:pt>
                <c:pt idx="564">
                  <c:v>105.586</c:v>
                </c:pt>
                <c:pt idx="565">
                  <c:v>105.581</c:v>
                </c:pt>
                <c:pt idx="566">
                  <c:v>105.57599999999999</c:v>
                </c:pt>
                <c:pt idx="567">
                  <c:v>105.572</c:v>
                </c:pt>
                <c:pt idx="568">
                  <c:v>105.56699999999999</c:v>
                </c:pt>
                <c:pt idx="569">
                  <c:v>105.56100000000001</c:v>
                </c:pt>
                <c:pt idx="570">
                  <c:v>105.557</c:v>
                </c:pt>
                <c:pt idx="571">
                  <c:v>105.55200000000001</c:v>
                </c:pt>
                <c:pt idx="572">
                  <c:v>105.548</c:v>
                </c:pt>
                <c:pt idx="573">
                  <c:v>105.54300000000001</c:v>
                </c:pt>
                <c:pt idx="574">
                  <c:v>105.538</c:v>
                </c:pt>
                <c:pt idx="575">
                  <c:v>105.53400000000001</c:v>
                </c:pt>
                <c:pt idx="576">
                  <c:v>105.52800000000001</c:v>
                </c:pt>
                <c:pt idx="577">
                  <c:v>105.524</c:v>
                </c:pt>
                <c:pt idx="578">
                  <c:v>105.51900000000001</c:v>
                </c:pt>
                <c:pt idx="579">
                  <c:v>105.515</c:v>
                </c:pt>
                <c:pt idx="580">
                  <c:v>105.51</c:v>
                </c:pt>
                <c:pt idx="581">
                  <c:v>105.505</c:v>
                </c:pt>
                <c:pt idx="582">
                  <c:v>105.5</c:v>
                </c:pt>
                <c:pt idx="583">
                  <c:v>105.495</c:v>
                </c:pt>
                <c:pt idx="584">
                  <c:v>105.491</c:v>
                </c:pt>
                <c:pt idx="585">
                  <c:v>105.486</c:v>
                </c:pt>
                <c:pt idx="586">
                  <c:v>105.482</c:v>
                </c:pt>
                <c:pt idx="587">
                  <c:v>105.476</c:v>
                </c:pt>
                <c:pt idx="588">
                  <c:v>105.47199999999999</c:v>
                </c:pt>
                <c:pt idx="589">
                  <c:v>105.467</c:v>
                </c:pt>
                <c:pt idx="590">
                  <c:v>105.46299999999999</c:v>
                </c:pt>
                <c:pt idx="591">
                  <c:v>105.458</c:v>
                </c:pt>
                <c:pt idx="592">
                  <c:v>105.453</c:v>
                </c:pt>
                <c:pt idx="593">
                  <c:v>105.44799999999999</c:v>
                </c:pt>
                <c:pt idx="594">
                  <c:v>105.444</c:v>
                </c:pt>
                <c:pt idx="595">
                  <c:v>105.43899999999999</c:v>
                </c:pt>
                <c:pt idx="596">
                  <c:v>105.434</c:v>
                </c:pt>
                <c:pt idx="597">
                  <c:v>105.429</c:v>
                </c:pt>
                <c:pt idx="598">
                  <c:v>105.425</c:v>
                </c:pt>
                <c:pt idx="599">
                  <c:v>105.42</c:v>
                </c:pt>
                <c:pt idx="600">
                  <c:v>105.416</c:v>
                </c:pt>
                <c:pt idx="601">
                  <c:v>105.41</c:v>
                </c:pt>
                <c:pt idx="602">
                  <c:v>105.40600000000001</c:v>
                </c:pt>
                <c:pt idx="603">
                  <c:v>105.401</c:v>
                </c:pt>
                <c:pt idx="604">
                  <c:v>105.39700000000001</c:v>
                </c:pt>
                <c:pt idx="605">
                  <c:v>105.39100000000001</c:v>
                </c:pt>
                <c:pt idx="606">
                  <c:v>105.387</c:v>
                </c:pt>
                <c:pt idx="607">
                  <c:v>105.38200000000001</c:v>
                </c:pt>
                <c:pt idx="608">
                  <c:v>105.378</c:v>
                </c:pt>
                <c:pt idx="609">
                  <c:v>105.372</c:v>
                </c:pt>
                <c:pt idx="610">
                  <c:v>105.36799999999999</c:v>
                </c:pt>
                <c:pt idx="611">
                  <c:v>105.363</c:v>
                </c:pt>
                <c:pt idx="612">
                  <c:v>105.358</c:v>
                </c:pt>
                <c:pt idx="613">
                  <c:v>105.35299999999999</c:v>
                </c:pt>
                <c:pt idx="614">
                  <c:v>105.349</c:v>
                </c:pt>
                <c:pt idx="615">
                  <c:v>105.34399999999999</c:v>
                </c:pt>
                <c:pt idx="616">
                  <c:v>105.339</c:v>
                </c:pt>
                <c:pt idx="617">
                  <c:v>105.33499999999999</c:v>
                </c:pt>
                <c:pt idx="618">
                  <c:v>105.33</c:v>
                </c:pt>
                <c:pt idx="619">
                  <c:v>105.32599999999999</c:v>
                </c:pt>
                <c:pt idx="620">
                  <c:v>105.32</c:v>
                </c:pt>
                <c:pt idx="621">
                  <c:v>105.316</c:v>
                </c:pt>
                <c:pt idx="622">
                  <c:v>105.31100000000001</c:v>
                </c:pt>
                <c:pt idx="623">
                  <c:v>105.307</c:v>
                </c:pt>
                <c:pt idx="624">
                  <c:v>105.301</c:v>
                </c:pt>
                <c:pt idx="625">
                  <c:v>105.297</c:v>
                </c:pt>
                <c:pt idx="626">
                  <c:v>105.292</c:v>
                </c:pt>
                <c:pt idx="627">
                  <c:v>105.288</c:v>
                </c:pt>
                <c:pt idx="628">
                  <c:v>105.282</c:v>
                </c:pt>
                <c:pt idx="629">
                  <c:v>105.27800000000001</c:v>
                </c:pt>
                <c:pt idx="630">
                  <c:v>105.273</c:v>
                </c:pt>
                <c:pt idx="631">
                  <c:v>105.26900000000001</c:v>
                </c:pt>
                <c:pt idx="632">
                  <c:v>105.26300000000001</c:v>
                </c:pt>
                <c:pt idx="633">
                  <c:v>105.259</c:v>
                </c:pt>
                <c:pt idx="634">
                  <c:v>105.254</c:v>
                </c:pt>
                <c:pt idx="635">
                  <c:v>105.25</c:v>
                </c:pt>
                <c:pt idx="636">
                  <c:v>105.245</c:v>
                </c:pt>
                <c:pt idx="637">
                  <c:v>105.24</c:v>
                </c:pt>
                <c:pt idx="638">
                  <c:v>105.236</c:v>
                </c:pt>
                <c:pt idx="639">
                  <c:v>105.23</c:v>
                </c:pt>
                <c:pt idx="640">
                  <c:v>105.226</c:v>
                </c:pt>
                <c:pt idx="641">
                  <c:v>105.221</c:v>
                </c:pt>
                <c:pt idx="642">
                  <c:v>105.217</c:v>
                </c:pt>
                <c:pt idx="643">
                  <c:v>105.211</c:v>
                </c:pt>
                <c:pt idx="644">
                  <c:v>105.20699999999999</c:v>
                </c:pt>
                <c:pt idx="645">
                  <c:v>105.203</c:v>
                </c:pt>
                <c:pt idx="646">
                  <c:v>105.197</c:v>
                </c:pt>
                <c:pt idx="647">
                  <c:v>105.193</c:v>
                </c:pt>
                <c:pt idx="648">
                  <c:v>105.188</c:v>
                </c:pt>
                <c:pt idx="649">
                  <c:v>105.18300000000001</c:v>
                </c:pt>
                <c:pt idx="650">
                  <c:v>105.179</c:v>
                </c:pt>
                <c:pt idx="651">
                  <c:v>105.17400000000001</c:v>
                </c:pt>
                <c:pt idx="652">
                  <c:v>105.169</c:v>
                </c:pt>
                <c:pt idx="653">
                  <c:v>105.164</c:v>
                </c:pt>
                <c:pt idx="654">
                  <c:v>105.16</c:v>
                </c:pt>
                <c:pt idx="655">
                  <c:v>105.155</c:v>
                </c:pt>
                <c:pt idx="656">
                  <c:v>105.15</c:v>
                </c:pt>
                <c:pt idx="657">
                  <c:v>105.146</c:v>
                </c:pt>
                <c:pt idx="658">
                  <c:v>105.14</c:v>
                </c:pt>
                <c:pt idx="659">
                  <c:v>105.136</c:v>
                </c:pt>
                <c:pt idx="660">
                  <c:v>105.13200000000001</c:v>
                </c:pt>
                <c:pt idx="661">
                  <c:v>105.126</c:v>
                </c:pt>
                <c:pt idx="662">
                  <c:v>105.122</c:v>
                </c:pt>
                <c:pt idx="663">
                  <c:v>105.117</c:v>
                </c:pt>
                <c:pt idx="664">
                  <c:v>105.11199999999999</c:v>
                </c:pt>
                <c:pt idx="665">
                  <c:v>105.108</c:v>
                </c:pt>
                <c:pt idx="666">
                  <c:v>105.10299999999999</c:v>
                </c:pt>
                <c:pt idx="667">
                  <c:v>105.098</c:v>
                </c:pt>
                <c:pt idx="668">
                  <c:v>105.093</c:v>
                </c:pt>
                <c:pt idx="669">
                  <c:v>105.089</c:v>
                </c:pt>
                <c:pt idx="670">
                  <c:v>105.083</c:v>
                </c:pt>
                <c:pt idx="671">
                  <c:v>105.07899999999999</c:v>
                </c:pt>
                <c:pt idx="672">
                  <c:v>105.075</c:v>
                </c:pt>
                <c:pt idx="673">
                  <c:v>105.07</c:v>
                </c:pt>
                <c:pt idx="674">
                  <c:v>105.065</c:v>
                </c:pt>
                <c:pt idx="675">
                  <c:v>105.06</c:v>
                </c:pt>
                <c:pt idx="676">
                  <c:v>105.053</c:v>
                </c:pt>
                <c:pt idx="677">
                  <c:v>105.024</c:v>
                </c:pt>
                <c:pt idx="678">
                  <c:v>104.995</c:v>
                </c:pt>
                <c:pt idx="679">
                  <c:v>104.965</c:v>
                </c:pt>
                <c:pt idx="680">
                  <c:v>104.937</c:v>
                </c:pt>
                <c:pt idx="681">
                  <c:v>104.907</c:v>
                </c:pt>
                <c:pt idx="682">
                  <c:v>104.878</c:v>
                </c:pt>
                <c:pt idx="683">
                  <c:v>104.848</c:v>
                </c:pt>
                <c:pt idx="684">
                  <c:v>104.82</c:v>
                </c:pt>
                <c:pt idx="685">
                  <c:v>104.791</c:v>
                </c:pt>
                <c:pt idx="686">
                  <c:v>104.761</c:v>
                </c:pt>
                <c:pt idx="687">
                  <c:v>104.732</c:v>
                </c:pt>
                <c:pt idx="688">
                  <c:v>104.703</c:v>
                </c:pt>
                <c:pt idx="689">
                  <c:v>104.67400000000001</c:v>
                </c:pt>
                <c:pt idx="690">
                  <c:v>104.64400000000001</c:v>
                </c:pt>
                <c:pt idx="691">
                  <c:v>104.61499999999999</c:v>
                </c:pt>
                <c:pt idx="692">
                  <c:v>104.587</c:v>
                </c:pt>
                <c:pt idx="693">
                  <c:v>104.557</c:v>
                </c:pt>
                <c:pt idx="694">
                  <c:v>104.52800000000001</c:v>
                </c:pt>
                <c:pt idx="695">
                  <c:v>104.498</c:v>
                </c:pt>
                <c:pt idx="696">
                  <c:v>104.46899999999999</c:v>
                </c:pt>
                <c:pt idx="697">
                  <c:v>104.441</c:v>
                </c:pt>
                <c:pt idx="698">
                  <c:v>104.411</c:v>
                </c:pt>
                <c:pt idx="699">
                  <c:v>104.38200000000001</c:v>
                </c:pt>
                <c:pt idx="700">
                  <c:v>104.352</c:v>
                </c:pt>
                <c:pt idx="701">
                  <c:v>104.32299999999999</c:v>
                </c:pt>
                <c:pt idx="702">
                  <c:v>104.294</c:v>
                </c:pt>
                <c:pt idx="703">
                  <c:v>104.265</c:v>
                </c:pt>
                <c:pt idx="704">
                  <c:v>104.236</c:v>
                </c:pt>
                <c:pt idx="705">
                  <c:v>104.20699999999999</c:v>
                </c:pt>
                <c:pt idx="706">
                  <c:v>104.17700000000001</c:v>
                </c:pt>
                <c:pt idx="707">
                  <c:v>104.148</c:v>
                </c:pt>
                <c:pt idx="708">
                  <c:v>104.119</c:v>
                </c:pt>
                <c:pt idx="709">
                  <c:v>104.09</c:v>
                </c:pt>
                <c:pt idx="710">
                  <c:v>104.06100000000001</c:v>
                </c:pt>
                <c:pt idx="711">
                  <c:v>104.032</c:v>
                </c:pt>
                <c:pt idx="712">
                  <c:v>104.002</c:v>
                </c:pt>
                <c:pt idx="713">
                  <c:v>103.973</c:v>
                </c:pt>
                <c:pt idx="714">
                  <c:v>103.944</c:v>
                </c:pt>
                <c:pt idx="715">
                  <c:v>103.91500000000001</c:v>
                </c:pt>
                <c:pt idx="716">
                  <c:v>103.886</c:v>
                </c:pt>
                <c:pt idx="717">
                  <c:v>103.85599999999999</c:v>
                </c:pt>
                <c:pt idx="718">
                  <c:v>103.827</c:v>
                </c:pt>
                <c:pt idx="719">
                  <c:v>103.798</c:v>
                </c:pt>
                <c:pt idx="720">
                  <c:v>103.76900000000001</c:v>
                </c:pt>
                <c:pt idx="721">
                  <c:v>103.739</c:v>
                </c:pt>
                <c:pt idx="722">
                  <c:v>103.711</c:v>
                </c:pt>
                <c:pt idx="723">
                  <c:v>103.681</c:v>
                </c:pt>
                <c:pt idx="724">
                  <c:v>103.65300000000001</c:v>
                </c:pt>
                <c:pt idx="725">
                  <c:v>103.623</c:v>
                </c:pt>
                <c:pt idx="726">
                  <c:v>103.593</c:v>
                </c:pt>
                <c:pt idx="727">
                  <c:v>103.565</c:v>
                </c:pt>
                <c:pt idx="728">
                  <c:v>103.535</c:v>
                </c:pt>
                <c:pt idx="729">
                  <c:v>103.506</c:v>
                </c:pt>
                <c:pt idx="730">
                  <c:v>103.477</c:v>
                </c:pt>
                <c:pt idx="731">
                  <c:v>103.44799999999999</c:v>
                </c:pt>
                <c:pt idx="732">
                  <c:v>103.419</c:v>
                </c:pt>
                <c:pt idx="733">
                  <c:v>103.39</c:v>
                </c:pt>
                <c:pt idx="734">
                  <c:v>103.36</c:v>
                </c:pt>
                <c:pt idx="735">
                  <c:v>103.331</c:v>
                </c:pt>
                <c:pt idx="736">
                  <c:v>103.30200000000001</c:v>
                </c:pt>
                <c:pt idx="737">
                  <c:v>103.273</c:v>
                </c:pt>
                <c:pt idx="738">
                  <c:v>103.24299999999999</c:v>
                </c:pt>
                <c:pt idx="739">
                  <c:v>103.214</c:v>
                </c:pt>
                <c:pt idx="740">
                  <c:v>103.18600000000001</c:v>
                </c:pt>
                <c:pt idx="741">
                  <c:v>103.15600000000001</c:v>
                </c:pt>
                <c:pt idx="742">
                  <c:v>103.127</c:v>
                </c:pt>
                <c:pt idx="743">
                  <c:v>103.098</c:v>
                </c:pt>
                <c:pt idx="744">
                  <c:v>103.068</c:v>
                </c:pt>
                <c:pt idx="745">
                  <c:v>103.039</c:v>
                </c:pt>
                <c:pt idx="746">
                  <c:v>103.01</c:v>
                </c:pt>
                <c:pt idx="747">
                  <c:v>102.98099999999999</c:v>
                </c:pt>
                <c:pt idx="748">
                  <c:v>102.95099999999999</c:v>
                </c:pt>
                <c:pt idx="749">
                  <c:v>102.922</c:v>
                </c:pt>
                <c:pt idx="750">
                  <c:v>102.893</c:v>
                </c:pt>
                <c:pt idx="751">
                  <c:v>102.864</c:v>
                </c:pt>
                <c:pt idx="752">
                  <c:v>102.83499999999999</c:v>
                </c:pt>
                <c:pt idx="753">
                  <c:v>102.806</c:v>
                </c:pt>
                <c:pt idx="754">
                  <c:v>102.776</c:v>
                </c:pt>
                <c:pt idx="755">
                  <c:v>102.747</c:v>
                </c:pt>
                <c:pt idx="756">
                  <c:v>102.718</c:v>
                </c:pt>
                <c:pt idx="757">
                  <c:v>102.68899999999999</c:v>
                </c:pt>
                <c:pt idx="758">
                  <c:v>102.66</c:v>
                </c:pt>
                <c:pt idx="759">
                  <c:v>102.631</c:v>
                </c:pt>
                <c:pt idx="760">
                  <c:v>102.602</c:v>
                </c:pt>
                <c:pt idx="761">
                  <c:v>102.572</c:v>
                </c:pt>
                <c:pt idx="762">
                  <c:v>102.54300000000001</c:v>
                </c:pt>
                <c:pt idx="763">
                  <c:v>102.514</c:v>
                </c:pt>
                <c:pt idx="764">
                  <c:v>102.485</c:v>
                </c:pt>
                <c:pt idx="765">
                  <c:v>102.456</c:v>
                </c:pt>
                <c:pt idx="766">
                  <c:v>102.426</c:v>
                </c:pt>
                <c:pt idx="767">
                  <c:v>102.39700000000001</c:v>
                </c:pt>
                <c:pt idx="768">
                  <c:v>102.36799999999999</c:v>
                </c:pt>
                <c:pt idx="769">
                  <c:v>102.339</c:v>
                </c:pt>
                <c:pt idx="770">
                  <c:v>102.309</c:v>
                </c:pt>
                <c:pt idx="771">
                  <c:v>102.28</c:v>
                </c:pt>
                <c:pt idx="772">
                  <c:v>102.251</c:v>
                </c:pt>
                <c:pt idx="773">
                  <c:v>102.22199999999999</c:v>
                </c:pt>
                <c:pt idx="774">
                  <c:v>102.193</c:v>
                </c:pt>
                <c:pt idx="775">
                  <c:v>102.164</c:v>
                </c:pt>
                <c:pt idx="776">
                  <c:v>102.13500000000001</c:v>
                </c:pt>
                <c:pt idx="777">
                  <c:v>102.105</c:v>
                </c:pt>
                <c:pt idx="778">
                  <c:v>102.07599999999999</c:v>
                </c:pt>
                <c:pt idx="779">
                  <c:v>102.047</c:v>
                </c:pt>
                <c:pt idx="780">
                  <c:v>102.018</c:v>
                </c:pt>
                <c:pt idx="781">
                  <c:v>101.989</c:v>
                </c:pt>
                <c:pt idx="782">
                  <c:v>101.959</c:v>
                </c:pt>
                <c:pt idx="783">
                  <c:v>101.93</c:v>
                </c:pt>
                <c:pt idx="784">
                  <c:v>101.901</c:v>
                </c:pt>
                <c:pt idx="785">
                  <c:v>101.872</c:v>
                </c:pt>
                <c:pt idx="786">
                  <c:v>101.842</c:v>
                </c:pt>
                <c:pt idx="787">
                  <c:v>101.81399999999999</c:v>
                </c:pt>
                <c:pt idx="788">
                  <c:v>101.78400000000001</c:v>
                </c:pt>
                <c:pt idx="789">
                  <c:v>101.755</c:v>
                </c:pt>
                <c:pt idx="790">
                  <c:v>101.72499999999999</c:v>
                </c:pt>
                <c:pt idx="791">
                  <c:v>101.697</c:v>
                </c:pt>
                <c:pt idx="792">
                  <c:v>101.667</c:v>
                </c:pt>
                <c:pt idx="793">
                  <c:v>101.63800000000001</c:v>
                </c:pt>
                <c:pt idx="794">
                  <c:v>101.60899999999999</c:v>
                </c:pt>
                <c:pt idx="795">
                  <c:v>101.58</c:v>
                </c:pt>
                <c:pt idx="796">
                  <c:v>101.551</c:v>
                </c:pt>
                <c:pt idx="797">
                  <c:v>101.52200000000001</c:v>
                </c:pt>
                <c:pt idx="798">
                  <c:v>101.492</c:v>
                </c:pt>
                <c:pt idx="799">
                  <c:v>101.46299999999999</c:v>
                </c:pt>
                <c:pt idx="800">
                  <c:v>101.434</c:v>
                </c:pt>
                <c:pt idx="801">
                  <c:v>101.405</c:v>
                </c:pt>
                <c:pt idx="802">
                  <c:v>101.376</c:v>
                </c:pt>
                <c:pt idx="803">
                  <c:v>101.346</c:v>
                </c:pt>
                <c:pt idx="804">
                  <c:v>101.334</c:v>
                </c:pt>
                <c:pt idx="805">
                  <c:v>101.35899999999999</c:v>
                </c:pt>
                <c:pt idx="806">
                  <c:v>101.386</c:v>
                </c:pt>
                <c:pt idx="807">
                  <c:v>101.41200000000001</c:v>
                </c:pt>
                <c:pt idx="808">
                  <c:v>101.438</c:v>
                </c:pt>
                <c:pt idx="809">
                  <c:v>101.464</c:v>
                </c:pt>
                <c:pt idx="810">
                  <c:v>101.49</c:v>
                </c:pt>
                <c:pt idx="811">
                  <c:v>101.51600000000001</c:v>
                </c:pt>
                <c:pt idx="812">
                  <c:v>101.542</c:v>
                </c:pt>
                <c:pt idx="813">
                  <c:v>101.568</c:v>
                </c:pt>
                <c:pt idx="814">
                  <c:v>101.59399999999999</c:v>
                </c:pt>
                <c:pt idx="815">
                  <c:v>101.62</c:v>
                </c:pt>
                <c:pt idx="816">
                  <c:v>101.646</c:v>
                </c:pt>
                <c:pt idx="817">
                  <c:v>101.672</c:v>
                </c:pt>
                <c:pt idx="818">
                  <c:v>101.69799999999999</c:v>
                </c:pt>
                <c:pt idx="819">
                  <c:v>101.724</c:v>
                </c:pt>
                <c:pt idx="820">
                  <c:v>101.75</c:v>
                </c:pt>
                <c:pt idx="821">
                  <c:v>101.776</c:v>
                </c:pt>
                <c:pt idx="822">
                  <c:v>101.80200000000001</c:v>
                </c:pt>
                <c:pt idx="823">
                  <c:v>101.82899999999999</c:v>
                </c:pt>
                <c:pt idx="824">
                  <c:v>101.854</c:v>
                </c:pt>
                <c:pt idx="825">
                  <c:v>101.88</c:v>
                </c:pt>
                <c:pt idx="826">
                  <c:v>101.90600000000001</c:v>
                </c:pt>
                <c:pt idx="827">
                  <c:v>101.932</c:v>
                </c:pt>
                <c:pt idx="828">
                  <c:v>101.958</c:v>
                </c:pt>
                <c:pt idx="829">
                  <c:v>101.98399999999999</c:v>
                </c:pt>
                <c:pt idx="830">
                  <c:v>102.01</c:v>
                </c:pt>
                <c:pt idx="831">
                  <c:v>102.036</c:v>
                </c:pt>
                <c:pt idx="832">
                  <c:v>102.063</c:v>
                </c:pt>
                <c:pt idx="833">
                  <c:v>102.08799999999999</c:v>
                </c:pt>
                <c:pt idx="834">
                  <c:v>102.11499999999999</c:v>
                </c:pt>
                <c:pt idx="835">
                  <c:v>102.14</c:v>
                </c:pt>
                <c:pt idx="836">
                  <c:v>102.166</c:v>
                </c:pt>
                <c:pt idx="837">
                  <c:v>102.19199999999999</c:v>
                </c:pt>
                <c:pt idx="838">
                  <c:v>102.218</c:v>
                </c:pt>
                <c:pt idx="839">
                  <c:v>102.245</c:v>
                </c:pt>
                <c:pt idx="840">
                  <c:v>102.27</c:v>
                </c:pt>
                <c:pt idx="841">
                  <c:v>102.29600000000001</c:v>
                </c:pt>
                <c:pt idx="842">
                  <c:v>102.322</c:v>
                </c:pt>
                <c:pt idx="843">
                  <c:v>102.348</c:v>
                </c:pt>
                <c:pt idx="844">
                  <c:v>102.375</c:v>
                </c:pt>
                <c:pt idx="845">
                  <c:v>102.4</c:v>
                </c:pt>
                <c:pt idx="846">
                  <c:v>102.42700000000001</c:v>
                </c:pt>
                <c:pt idx="847">
                  <c:v>102.452</c:v>
                </c:pt>
                <c:pt idx="848">
                  <c:v>102.47799999999999</c:v>
                </c:pt>
                <c:pt idx="849">
                  <c:v>102.505</c:v>
                </c:pt>
                <c:pt idx="850">
                  <c:v>102.53</c:v>
                </c:pt>
                <c:pt idx="851">
                  <c:v>102.557</c:v>
                </c:pt>
                <c:pt idx="852">
                  <c:v>102.583</c:v>
                </c:pt>
                <c:pt idx="853">
                  <c:v>102.608</c:v>
                </c:pt>
                <c:pt idx="854">
                  <c:v>102.63500000000001</c:v>
                </c:pt>
                <c:pt idx="855">
                  <c:v>102.66</c:v>
                </c:pt>
                <c:pt idx="856">
                  <c:v>102.68600000000001</c:v>
                </c:pt>
                <c:pt idx="857">
                  <c:v>102.71299999999999</c:v>
                </c:pt>
                <c:pt idx="858">
                  <c:v>102.738</c:v>
                </c:pt>
                <c:pt idx="859">
                  <c:v>102.765</c:v>
                </c:pt>
                <c:pt idx="860">
                  <c:v>102.791</c:v>
                </c:pt>
                <c:pt idx="861">
                  <c:v>102.816</c:v>
                </c:pt>
                <c:pt idx="862">
                  <c:v>102.843</c:v>
                </c:pt>
                <c:pt idx="863">
                  <c:v>102.869</c:v>
                </c:pt>
                <c:pt idx="864">
                  <c:v>102.89400000000001</c:v>
                </c:pt>
                <c:pt idx="865">
                  <c:v>102.92100000000001</c:v>
                </c:pt>
                <c:pt idx="866">
                  <c:v>102.946</c:v>
                </c:pt>
                <c:pt idx="867">
                  <c:v>102.973</c:v>
                </c:pt>
                <c:pt idx="868">
                  <c:v>102.999</c:v>
                </c:pt>
                <c:pt idx="869">
                  <c:v>103.024</c:v>
                </c:pt>
                <c:pt idx="870">
                  <c:v>103.051</c:v>
                </c:pt>
                <c:pt idx="871">
                  <c:v>103.077</c:v>
                </c:pt>
                <c:pt idx="872">
                  <c:v>103.102</c:v>
                </c:pt>
                <c:pt idx="873">
                  <c:v>103.129</c:v>
                </c:pt>
                <c:pt idx="874">
                  <c:v>103.155</c:v>
                </c:pt>
                <c:pt idx="875">
                  <c:v>103.18</c:v>
                </c:pt>
                <c:pt idx="876">
                  <c:v>103.20699999999999</c:v>
                </c:pt>
                <c:pt idx="877">
                  <c:v>103.233</c:v>
                </c:pt>
                <c:pt idx="878">
                  <c:v>103.259</c:v>
                </c:pt>
                <c:pt idx="879">
                  <c:v>103.285</c:v>
                </c:pt>
                <c:pt idx="880">
                  <c:v>103.31100000000001</c:v>
                </c:pt>
                <c:pt idx="881">
                  <c:v>103.337</c:v>
                </c:pt>
                <c:pt idx="882">
                  <c:v>103.363</c:v>
                </c:pt>
                <c:pt idx="883">
                  <c:v>103.389</c:v>
                </c:pt>
                <c:pt idx="884">
                  <c:v>103.41500000000001</c:v>
                </c:pt>
                <c:pt idx="885">
                  <c:v>103.441</c:v>
                </c:pt>
                <c:pt idx="886">
                  <c:v>103.467</c:v>
                </c:pt>
                <c:pt idx="887">
                  <c:v>103.49299999999999</c:v>
                </c:pt>
                <c:pt idx="888">
                  <c:v>103.51900000000001</c:v>
                </c:pt>
                <c:pt idx="889">
                  <c:v>103.545</c:v>
                </c:pt>
                <c:pt idx="890">
                  <c:v>103.571</c:v>
                </c:pt>
                <c:pt idx="891">
                  <c:v>103.59699999999999</c:v>
                </c:pt>
                <c:pt idx="892">
                  <c:v>103.623</c:v>
                </c:pt>
                <c:pt idx="893">
                  <c:v>103.649</c:v>
                </c:pt>
                <c:pt idx="894">
                  <c:v>103.676</c:v>
                </c:pt>
                <c:pt idx="895">
                  <c:v>103.70099999999999</c:v>
                </c:pt>
                <c:pt idx="896">
                  <c:v>103.727</c:v>
                </c:pt>
                <c:pt idx="897">
                  <c:v>103.753</c:v>
                </c:pt>
                <c:pt idx="898">
                  <c:v>103.779</c:v>
                </c:pt>
                <c:pt idx="899">
                  <c:v>103.80500000000001</c:v>
                </c:pt>
                <c:pt idx="900">
                  <c:v>103.831</c:v>
                </c:pt>
                <c:pt idx="901">
                  <c:v>103.857</c:v>
                </c:pt>
                <c:pt idx="902">
                  <c:v>103.884</c:v>
                </c:pt>
                <c:pt idx="903">
                  <c:v>103.90900000000001</c:v>
                </c:pt>
                <c:pt idx="904">
                  <c:v>103.935</c:v>
                </c:pt>
                <c:pt idx="905">
                  <c:v>103.961</c:v>
                </c:pt>
                <c:pt idx="906">
                  <c:v>103.98699999999999</c:v>
                </c:pt>
                <c:pt idx="907">
                  <c:v>104.014</c:v>
                </c:pt>
                <c:pt idx="908">
                  <c:v>104.039</c:v>
                </c:pt>
                <c:pt idx="909">
                  <c:v>104.065</c:v>
                </c:pt>
                <c:pt idx="910">
                  <c:v>104.09099999999999</c:v>
                </c:pt>
                <c:pt idx="911">
                  <c:v>104.117</c:v>
                </c:pt>
                <c:pt idx="912">
                  <c:v>104.14400000000001</c:v>
                </c:pt>
                <c:pt idx="913">
                  <c:v>104.169</c:v>
                </c:pt>
                <c:pt idx="914">
                  <c:v>104.19499999999999</c:v>
                </c:pt>
                <c:pt idx="915">
                  <c:v>104.22199999999999</c:v>
                </c:pt>
                <c:pt idx="916">
                  <c:v>104.247</c:v>
                </c:pt>
                <c:pt idx="917">
                  <c:v>104.274</c:v>
                </c:pt>
                <c:pt idx="918">
                  <c:v>104.29900000000001</c:v>
                </c:pt>
                <c:pt idx="919">
                  <c:v>104.32599999999999</c:v>
                </c:pt>
                <c:pt idx="920">
                  <c:v>104.351</c:v>
                </c:pt>
                <c:pt idx="921">
                  <c:v>104.377</c:v>
                </c:pt>
                <c:pt idx="922">
                  <c:v>104.404</c:v>
                </c:pt>
                <c:pt idx="923">
                  <c:v>104.429</c:v>
                </c:pt>
                <c:pt idx="924">
                  <c:v>104.456</c:v>
                </c:pt>
                <c:pt idx="925">
                  <c:v>104.48099999999999</c:v>
                </c:pt>
                <c:pt idx="926">
                  <c:v>104.508</c:v>
                </c:pt>
                <c:pt idx="927">
                  <c:v>104.533</c:v>
                </c:pt>
                <c:pt idx="928">
                  <c:v>104.56</c:v>
                </c:pt>
                <c:pt idx="929">
                  <c:v>104.586</c:v>
                </c:pt>
                <c:pt idx="930">
                  <c:v>104.61199999999999</c:v>
                </c:pt>
                <c:pt idx="931">
                  <c:v>104.63800000000001</c:v>
                </c:pt>
                <c:pt idx="932">
                  <c:v>104.663</c:v>
                </c:pt>
                <c:pt idx="933">
                  <c:v>104.69</c:v>
                </c:pt>
                <c:pt idx="934">
                  <c:v>104.715</c:v>
                </c:pt>
                <c:pt idx="935">
                  <c:v>104.742</c:v>
                </c:pt>
                <c:pt idx="936">
                  <c:v>104.767</c:v>
                </c:pt>
                <c:pt idx="937">
                  <c:v>104.794</c:v>
                </c:pt>
                <c:pt idx="938">
                  <c:v>104.819</c:v>
                </c:pt>
                <c:pt idx="939">
                  <c:v>104.846</c:v>
                </c:pt>
                <c:pt idx="940">
                  <c:v>104.872</c:v>
                </c:pt>
                <c:pt idx="941">
                  <c:v>104.898</c:v>
                </c:pt>
                <c:pt idx="942">
                  <c:v>104.92400000000001</c:v>
                </c:pt>
                <c:pt idx="943">
                  <c:v>104.95</c:v>
                </c:pt>
                <c:pt idx="944">
                  <c:v>104.976</c:v>
                </c:pt>
                <c:pt idx="945">
                  <c:v>105.002</c:v>
                </c:pt>
                <c:pt idx="946">
                  <c:v>105.02800000000001</c:v>
                </c:pt>
                <c:pt idx="947">
                  <c:v>105.054</c:v>
                </c:pt>
                <c:pt idx="948">
                  <c:v>105.08</c:v>
                </c:pt>
                <c:pt idx="949">
                  <c:v>105.10599999999999</c:v>
                </c:pt>
                <c:pt idx="950">
                  <c:v>105.13200000000001</c:v>
                </c:pt>
                <c:pt idx="951">
                  <c:v>105.158</c:v>
                </c:pt>
                <c:pt idx="952">
                  <c:v>105.184</c:v>
                </c:pt>
                <c:pt idx="953">
                  <c:v>105.21</c:v>
                </c:pt>
                <c:pt idx="954">
                  <c:v>105.236</c:v>
                </c:pt>
                <c:pt idx="955">
                  <c:v>105.262</c:v>
                </c:pt>
                <c:pt idx="956">
                  <c:v>105.288</c:v>
                </c:pt>
                <c:pt idx="957">
                  <c:v>105.31399999999999</c:v>
                </c:pt>
                <c:pt idx="958">
                  <c:v>105.34</c:v>
                </c:pt>
                <c:pt idx="959">
                  <c:v>105.367</c:v>
                </c:pt>
                <c:pt idx="960">
                  <c:v>105.392</c:v>
                </c:pt>
                <c:pt idx="961">
                  <c:v>105.41800000000001</c:v>
                </c:pt>
                <c:pt idx="962">
                  <c:v>105.444</c:v>
                </c:pt>
                <c:pt idx="963">
                  <c:v>105.47</c:v>
                </c:pt>
                <c:pt idx="964">
                  <c:v>105.496</c:v>
                </c:pt>
                <c:pt idx="965">
                  <c:v>105.52200000000001</c:v>
                </c:pt>
                <c:pt idx="966">
                  <c:v>105.548</c:v>
                </c:pt>
                <c:pt idx="967">
                  <c:v>105.575</c:v>
                </c:pt>
                <c:pt idx="968">
                  <c:v>105.6</c:v>
                </c:pt>
                <c:pt idx="969">
                  <c:v>105.626</c:v>
                </c:pt>
                <c:pt idx="970">
                  <c:v>105.652</c:v>
                </c:pt>
                <c:pt idx="971">
                  <c:v>105.678</c:v>
                </c:pt>
                <c:pt idx="972">
                  <c:v>105.70399999999999</c:v>
                </c:pt>
                <c:pt idx="973">
                  <c:v>105.73099999999999</c:v>
                </c:pt>
                <c:pt idx="974">
                  <c:v>105.75700000000001</c:v>
                </c:pt>
                <c:pt idx="975">
                  <c:v>105.782</c:v>
                </c:pt>
                <c:pt idx="976">
                  <c:v>105.80800000000001</c:v>
                </c:pt>
                <c:pt idx="977">
                  <c:v>105.834</c:v>
                </c:pt>
                <c:pt idx="978">
                  <c:v>105.86</c:v>
                </c:pt>
                <c:pt idx="979">
                  <c:v>105.886</c:v>
                </c:pt>
                <c:pt idx="980">
                  <c:v>105.91200000000001</c:v>
                </c:pt>
                <c:pt idx="981">
                  <c:v>105.938</c:v>
                </c:pt>
                <c:pt idx="982">
                  <c:v>105.964</c:v>
                </c:pt>
                <c:pt idx="983">
                  <c:v>105.99</c:v>
                </c:pt>
                <c:pt idx="984">
                  <c:v>106.01600000000001</c:v>
                </c:pt>
                <c:pt idx="985">
                  <c:v>106.03400000000001</c:v>
                </c:pt>
                <c:pt idx="986">
                  <c:v>106.05</c:v>
                </c:pt>
                <c:pt idx="987">
                  <c:v>106.06699999999999</c:v>
                </c:pt>
                <c:pt idx="988">
                  <c:v>106.084</c:v>
                </c:pt>
                <c:pt idx="989">
                  <c:v>106.101</c:v>
                </c:pt>
                <c:pt idx="990">
                  <c:v>106.117</c:v>
                </c:pt>
                <c:pt idx="991">
                  <c:v>106.134</c:v>
                </c:pt>
                <c:pt idx="992">
                  <c:v>106.151</c:v>
                </c:pt>
                <c:pt idx="993">
                  <c:v>106.16800000000001</c:v>
                </c:pt>
                <c:pt idx="994">
                  <c:v>106.184</c:v>
                </c:pt>
                <c:pt idx="995">
                  <c:v>106.2</c:v>
                </c:pt>
                <c:pt idx="996">
                  <c:v>106.217</c:v>
                </c:pt>
                <c:pt idx="997">
                  <c:v>106.23399999999999</c:v>
                </c:pt>
                <c:pt idx="998">
                  <c:v>106.251</c:v>
                </c:pt>
                <c:pt idx="999">
                  <c:v>106.267</c:v>
                </c:pt>
                <c:pt idx="1000">
                  <c:v>106.28400000000001</c:v>
                </c:pt>
                <c:pt idx="1001">
                  <c:v>106.301</c:v>
                </c:pt>
                <c:pt idx="1002">
                  <c:v>106.318</c:v>
                </c:pt>
                <c:pt idx="1003">
                  <c:v>106.334</c:v>
                </c:pt>
                <c:pt idx="1004">
                  <c:v>106.351</c:v>
                </c:pt>
                <c:pt idx="1005">
                  <c:v>106.36799999999999</c:v>
                </c:pt>
                <c:pt idx="1006">
                  <c:v>106.384</c:v>
                </c:pt>
                <c:pt idx="1007">
                  <c:v>106.4</c:v>
                </c:pt>
                <c:pt idx="1008">
                  <c:v>106.417</c:v>
                </c:pt>
                <c:pt idx="1009">
                  <c:v>106.434</c:v>
                </c:pt>
                <c:pt idx="1010">
                  <c:v>106.45</c:v>
                </c:pt>
                <c:pt idx="1011">
                  <c:v>106.467</c:v>
                </c:pt>
                <c:pt idx="1012">
                  <c:v>106.48399999999999</c:v>
                </c:pt>
                <c:pt idx="1013">
                  <c:v>106.501</c:v>
                </c:pt>
                <c:pt idx="1014">
                  <c:v>106.517</c:v>
                </c:pt>
                <c:pt idx="1015">
                  <c:v>106.53400000000001</c:v>
                </c:pt>
                <c:pt idx="1016">
                  <c:v>106.551</c:v>
                </c:pt>
                <c:pt idx="1017">
                  <c:v>106.568</c:v>
                </c:pt>
                <c:pt idx="1018">
                  <c:v>106.584</c:v>
                </c:pt>
                <c:pt idx="1019">
                  <c:v>106.601</c:v>
                </c:pt>
                <c:pt idx="1020">
                  <c:v>106.61799999999999</c:v>
                </c:pt>
                <c:pt idx="1021">
                  <c:v>106.634</c:v>
                </c:pt>
                <c:pt idx="1022">
                  <c:v>106.651</c:v>
                </c:pt>
                <c:pt idx="1023">
                  <c:v>106.667</c:v>
                </c:pt>
                <c:pt idx="1024">
                  <c:v>106.684</c:v>
                </c:pt>
                <c:pt idx="1025">
                  <c:v>106.70099999999999</c:v>
                </c:pt>
                <c:pt idx="1026">
                  <c:v>106.718</c:v>
                </c:pt>
                <c:pt idx="1027">
                  <c:v>106.735</c:v>
                </c:pt>
                <c:pt idx="1028">
                  <c:v>106.75</c:v>
                </c:pt>
                <c:pt idx="1029">
                  <c:v>106.767</c:v>
                </c:pt>
                <c:pt idx="1030">
                  <c:v>106.78400000000001</c:v>
                </c:pt>
                <c:pt idx="1031">
                  <c:v>106.801</c:v>
                </c:pt>
                <c:pt idx="1032">
                  <c:v>106.818</c:v>
                </c:pt>
                <c:pt idx="1033">
                  <c:v>106.83499999999999</c:v>
                </c:pt>
                <c:pt idx="1034">
                  <c:v>106.851</c:v>
                </c:pt>
                <c:pt idx="1035">
                  <c:v>106.867</c:v>
                </c:pt>
                <c:pt idx="1036">
                  <c:v>106.884</c:v>
                </c:pt>
                <c:pt idx="1037">
                  <c:v>106.901</c:v>
                </c:pt>
                <c:pt idx="1038">
                  <c:v>106.91800000000001</c:v>
                </c:pt>
                <c:pt idx="1039">
                  <c:v>106.934</c:v>
                </c:pt>
                <c:pt idx="1040">
                  <c:v>106.95099999999999</c:v>
                </c:pt>
                <c:pt idx="1041">
                  <c:v>106.967</c:v>
                </c:pt>
                <c:pt idx="1042">
                  <c:v>106.98399999999999</c:v>
                </c:pt>
                <c:pt idx="1043">
                  <c:v>107.001</c:v>
                </c:pt>
                <c:pt idx="1044">
                  <c:v>107.018</c:v>
                </c:pt>
                <c:pt idx="1045">
                  <c:v>107.03400000000001</c:v>
                </c:pt>
                <c:pt idx="1046">
                  <c:v>107.051</c:v>
                </c:pt>
                <c:pt idx="1047">
                  <c:v>107.06699999999999</c:v>
                </c:pt>
                <c:pt idx="1048">
                  <c:v>107.084</c:v>
                </c:pt>
                <c:pt idx="1049">
                  <c:v>107.101</c:v>
                </c:pt>
                <c:pt idx="1050">
                  <c:v>107.11799999999999</c:v>
                </c:pt>
                <c:pt idx="1051">
                  <c:v>107.13500000000001</c:v>
                </c:pt>
                <c:pt idx="1052">
                  <c:v>107.151</c:v>
                </c:pt>
                <c:pt idx="1053">
                  <c:v>107.16800000000001</c:v>
                </c:pt>
                <c:pt idx="1054">
                  <c:v>107.184</c:v>
                </c:pt>
                <c:pt idx="1055">
                  <c:v>107.20099999999999</c:v>
                </c:pt>
                <c:pt idx="1056">
                  <c:v>107.217</c:v>
                </c:pt>
                <c:pt idx="1057">
                  <c:v>107.23399999999999</c:v>
                </c:pt>
                <c:pt idx="1058">
                  <c:v>107.251</c:v>
                </c:pt>
                <c:pt idx="1059">
                  <c:v>107.267</c:v>
                </c:pt>
                <c:pt idx="1060">
                  <c:v>107.28400000000001</c:v>
                </c:pt>
                <c:pt idx="1061">
                  <c:v>107.3</c:v>
                </c:pt>
                <c:pt idx="1062">
                  <c:v>107.318</c:v>
                </c:pt>
                <c:pt idx="1063">
                  <c:v>107.33499999999999</c:v>
                </c:pt>
                <c:pt idx="1064">
                  <c:v>107.351</c:v>
                </c:pt>
                <c:pt idx="1065">
                  <c:v>107.36799999999999</c:v>
                </c:pt>
                <c:pt idx="1066">
                  <c:v>107.384</c:v>
                </c:pt>
                <c:pt idx="1067">
                  <c:v>107.401</c:v>
                </c:pt>
                <c:pt idx="1068">
                  <c:v>107.41800000000001</c:v>
                </c:pt>
                <c:pt idx="1069">
                  <c:v>107.434</c:v>
                </c:pt>
                <c:pt idx="1070">
                  <c:v>107.45099999999999</c:v>
                </c:pt>
                <c:pt idx="1071">
                  <c:v>107.464</c:v>
                </c:pt>
                <c:pt idx="1072">
                  <c:v>107.449</c:v>
                </c:pt>
                <c:pt idx="1073">
                  <c:v>107.43300000000001</c:v>
                </c:pt>
                <c:pt idx="1074">
                  <c:v>107.417</c:v>
                </c:pt>
                <c:pt idx="1075">
                  <c:v>107.402</c:v>
                </c:pt>
                <c:pt idx="1076">
                  <c:v>107.386</c:v>
                </c:pt>
                <c:pt idx="1077">
                  <c:v>107.37</c:v>
                </c:pt>
                <c:pt idx="1078">
                  <c:v>107.354</c:v>
                </c:pt>
                <c:pt idx="1079">
                  <c:v>107.33799999999999</c:v>
                </c:pt>
                <c:pt idx="1080">
                  <c:v>107.322</c:v>
                </c:pt>
                <c:pt idx="1081">
                  <c:v>107.307</c:v>
                </c:pt>
                <c:pt idx="1082">
                  <c:v>107.292</c:v>
                </c:pt>
                <c:pt idx="1083">
                  <c:v>107.276</c:v>
                </c:pt>
                <c:pt idx="1084">
                  <c:v>107.26</c:v>
                </c:pt>
                <c:pt idx="1085">
                  <c:v>107.245</c:v>
                </c:pt>
                <c:pt idx="1086">
                  <c:v>107.229</c:v>
                </c:pt>
                <c:pt idx="1087">
                  <c:v>107.21299999999999</c:v>
                </c:pt>
                <c:pt idx="1088">
                  <c:v>107.197</c:v>
                </c:pt>
                <c:pt idx="1089">
                  <c:v>107.181</c:v>
                </c:pt>
                <c:pt idx="1090">
                  <c:v>107.16500000000001</c:v>
                </c:pt>
                <c:pt idx="1091">
                  <c:v>107.149</c:v>
                </c:pt>
                <c:pt idx="1092">
                  <c:v>107.134</c:v>
                </c:pt>
                <c:pt idx="1093">
                  <c:v>107.11799999999999</c:v>
                </c:pt>
                <c:pt idx="1094">
                  <c:v>107.10299999999999</c:v>
                </c:pt>
                <c:pt idx="1095">
                  <c:v>107.087</c:v>
                </c:pt>
                <c:pt idx="1096">
                  <c:v>107.071</c:v>
                </c:pt>
                <c:pt idx="1097">
                  <c:v>107.056</c:v>
                </c:pt>
                <c:pt idx="1098">
                  <c:v>107.04</c:v>
                </c:pt>
                <c:pt idx="1099">
                  <c:v>107.024</c:v>
                </c:pt>
                <c:pt idx="1100">
                  <c:v>107.008</c:v>
                </c:pt>
                <c:pt idx="1101">
                  <c:v>106.992</c:v>
                </c:pt>
                <c:pt idx="1102">
                  <c:v>106.977</c:v>
                </c:pt>
                <c:pt idx="1103">
                  <c:v>106.961</c:v>
                </c:pt>
                <c:pt idx="1104">
                  <c:v>106.946</c:v>
                </c:pt>
                <c:pt idx="1105">
                  <c:v>106.929</c:v>
                </c:pt>
                <c:pt idx="1106">
                  <c:v>106.914</c:v>
                </c:pt>
                <c:pt idx="1107">
                  <c:v>106.898</c:v>
                </c:pt>
                <c:pt idx="1108">
                  <c:v>106.883</c:v>
                </c:pt>
                <c:pt idx="1109">
                  <c:v>106.867</c:v>
                </c:pt>
                <c:pt idx="1110">
                  <c:v>106.851</c:v>
                </c:pt>
                <c:pt idx="1111">
                  <c:v>106.83499999999999</c:v>
                </c:pt>
                <c:pt idx="1112">
                  <c:v>106.82</c:v>
                </c:pt>
                <c:pt idx="1113">
                  <c:v>106.804</c:v>
                </c:pt>
                <c:pt idx="1114">
                  <c:v>106.788</c:v>
                </c:pt>
                <c:pt idx="1115">
                  <c:v>106.77200000000001</c:v>
                </c:pt>
                <c:pt idx="1116">
                  <c:v>106.756</c:v>
                </c:pt>
                <c:pt idx="1117">
                  <c:v>106.741</c:v>
                </c:pt>
                <c:pt idx="1118">
                  <c:v>106.72499999999999</c:v>
                </c:pt>
                <c:pt idx="1119">
                  <c:v>106.709</c:v>
                </c:pt>
                <c:pt idx="1120">
                  <c:v>106.693</c:v>
                </c:pt>
                <c:pt idx="1121">
                  <c:v>106.678</c:v>
                </c:pt>
                <c:pt idx="1122">
                  <c:v>106.66200000000001</c:v>
                </c:pt>
                <c:pt idx="1123">
                  <c:v>106.646</c:v>
                </c:pt>
                <c:pt idx="1124">
                  <c:v>106.63</c:v>
                </c:pt>
                <c:pt idx="1125">
                  <c:v>106.61499999999999</c:v>
                </c:pt>
                <c:pt idx="1126">
                  <c:v>106.599</c:v>
                </c:pt>
                <c:pt idx="1127">
                  <c:v>106.584</c:v>
                </c:pt>
                <c:pt idx="1128">
                  <c:v>106.56699999999999</c:v>
                </c:pt>
                <c:pt idx="1129">
                  <c:v>106.55200000000001</c:v>
                </c:pt>
                <c:pt idx="1130">
                  <c:v>106.536</c:v>
                </c:pt>
                <c:pt idx="1131">
                  <c:v>106.521</c:v>
                </c:pt>
                <c:pt idx="1132">
                  <c:v>106.505</c:v>
                </c:pt>
                <c:pt idx="1133">
                  <c:v>106.489</c:v>
                </c:pt>
                <c:pt idx="1134">
                  <c:v>106.473</c:v>
                </c:pt>
                <c:pt idx="1135">
                  <c:v>106.45699999999999</c:v>
                </c:pt>
                <c:pt idx="1136">
                  <c:v>106.44199999999999</c:v>
                </c:pt>
                <c:pt idx="1137">
                  <c:v>106.426</c:v>
                </c:pt>
                <c:pt idx="1138">
                  <c:v>106.411</c:v>
                </c:pt>
                <c:pt idx="1139">
                  <c:v>106.39400000000001</c:v>
                </c:pt>
                <c:pt idx="1140">
                  <c:v>106.379</c:v>
                </c:pt>
                <c:pt idx="1141">
                  <c:v>106.363</c:v>
                </c:pt>
                <c:pt idx="1142">
                  <c:v>106.34699999999999</c:v>
                </c:pt>
                <c:pt idx="1143">
                  <c:v>106.33199999999999</c:v>
                </c:pt>
                <c:pt idx="1144">
                  <c:v>106.316</c:v>
                </c:pt>
                <c:pt idx="1145">
                  <c:v>106.334</c:v>
                </c:pt>
                <c:pt idx="1146">
                  <c:v>106.351</c:v>
                </c:pt>
                <c:pt idx="1147">
                  <c:v>106.36799999999999</c:v>
                </c:pt>
                <c:pt idx="1148">
                  <c:v>106.386</c:v>
                </c:pt>
                <c:pt idx="1149">
                  <c:v>106.404</c:v>
                </c:pt>
                <c:pt idx="1150">
                  <c:v>106.42100000000001</c:v>
                </c:pt>
                <c:pt idx="1151">
                  <c:v>106.43899999999999</c:v>
                </c:pt>
                <c:pt idx="1152">
                  <c:v>106.45699999999999</c:v>
                </c:pt>
                <c:pt idx="1153">
                  <c:v>106.474</c:v>
                </c:pt>
                <c:pt idx="1154">
                  <c:v>106.492</c:v>
                </c:pt>
                <c:pt idx="1155">
                  <c:v>106.509</c:v>
                </c:pt>
                <c:pt idx="1156">
                  <c:v>106.527</c:v>
                </c:pt>
                <c:pt idx="1157">
                  <c:v>106.545</c:v>
                </c:pt>
                <c:pt idx="1158">
                  <c:v>106.562</c:v>
                </c:pt>
                <c:pt idx="1159">
                  <c:v>106.58</c:v>
                </c:pt>
                <c:pt idx="1160">
                  <c:v>106.59699999999999</c:v>
                </c:pt>
                <c:pt idx="1161">
                  <c:v>106.61499999999999</c:v>
                </c:pt>
                <c:pt idx="1162">
                  <c:v>106.63200000000001</c:v>
                </c:pt>
                <c:pt idx="1163">
                  <c:v>106.65</c:v>
                </c:pt>
                <c:pt idx="1164">
                  <c:v>106.667</c:v>
                </c:pt>
                <c:pt idx="1165">
                  <c:v>106.685</c:v>
                </c:pt>
                <c:pt idx="1166">
                  <c:v>106.702</c:v>
                </c:pt>
                <c:pt idx="1167">
                  <c:v>106.72</c:v>
                </c:pt>
                <c:pt idx="1168">
                  <c:v>106.73699999999999</c:v>
                </c:pt>
                <c:pt idx="1169">
                  <c:v>106.755</c:v>
                </c:pt>
                <c:pt idx="1170">
                  <c:v>106.77200000000001</c:v>
                </c:pt>
                <c:pt idx="1171">
                  <c:v>106.79</c:v>
                </c:pt>
                <c:pt idx="1172">
                  <c:v>106.80800000000001</c:v>
                </c:pt>
                <c:pt idx="1173">
                  <c:v>106.825</c:v>
                </c:pt>
                <c:pt idx="1174">
                  <c:v>106.843</c:v>
                </c:pt>
                <c:pt idx="1175">
                  <c:v>106.86</c:v>
                </c:pt>
                <c:pt idx="1176">
                  <c:v>106.878</c:v>
                </c:pt>
                <c:pt idx="1177">
                  <c:v>106.895</c:v>
                </c:pt>
                <c:pt idx="1178">
                  <c:v>106.91200000000001</c:v>
                </c:pt>
                <c:pt idx="1179">
                  <c:v>106.931</c:v>
                </c:pt>
                <c:pt idx="1180">
                  <c:v>106.94799999999999</c:v>
                </c:pt>
                <c:pt idx="1181">
                  <c:v>106.96599999999999</c:v>
                </c:pt>
                <c:pt idx="1182">
                  <c:v>106.983</c:v>
                </c:pt>
                <c:pt idx="1183">
                  <c:v>107</c:v>
                </c:pt>
                <c:pt idx="1184">
                  <c:v>107.01900000000001</c:v>
                </c:pt>
                <c:pt idx="1185">
                  <c:v>107.036</c:v>
                </c:pt>
                <c:pt idx="1186">
                  <c:v>107.053</c:v>
                </c:pt>
                <c:pt idx="1187">
                  <c:v>107.071</c:v>
                </c:pt>
                <c:pt idx="1188">
                  <c:v>107.08799999999999</c:v>
                </c:pt>
                <c:pt idx="1189">
                  <c:v>107.10599999999999</c:v>
                </c:pt>
                <c:pt idx="1190">
                  <c:v>107.124</c:v>
                </c:pt>
                <c:pt idx="1191">
                  <c:v>107.14100000000001</c:v>
                </c:pt>
                <c:pt idx="1192">
                  <c:v>107.158</c:v>
                </c:pt>
                <c:pt idx="1193">
                  <c:v>107.176</c:v>
                </c:pt>
                <c:pt idx="1194">
                  <c:v>107.194</c:v>
                </c:pt>
                <c:pt idx="1195">
                  <c:v>107.211</c:v>
                </c:pt>
                <c:pt idx="1196">
                  <c:v>107.229</c:v>
                </c:pt>
                <c:pt idx="1197">
                  <c:v>107.246</c:v>
                </c:pt>
                <c:pt idx="1198">
                  <c:v>107.264</c:v>
                </c:pt>
                <c:pt idx="1199">
                  <c:v>107.282</c:v>
                </c:pt>
                <c:pt idx="1200">
                  <c:v>107.29900000000001</c:v>
                </c:pt>
                <c:pt idx="1201">
                  <c:v>107.316</c:v>
                </c:pt>
                <c:pt idx="1202">
                  <c:v>107.33499999999999</c:v>
                </c:pt>
                <c:pt idx="1203">
                  <c:v>107.352</c:v>
                </c:pt>
                <c:pt idx="1204">
                  <c:v>107.369</c:v>
                </c:pt>
                <c:pt idx="1205">
                  <c:v>107.386</c:v>
                </c:pt>
                <c:pt idx="1206">
                  <c:v>107.405</c:v>
                </c:pt>
                <c:pt idx="1207">
                  <c:v>107.422</c:v>
                </c:pt>
                <c:pt idx="1208">
                  <c:v>107.43899999999999</c:v>
                </c:pt>
                <c:pt idx="1209">
                  <c:v>107.458</c:v>
                </c:pt>
                <c:pt idx="1210">
                  <c:v>107.47499999999999</c:v>
                </c:pt>
                <c:pt idx="1211">
                  <c:v>107.492</c:v>
                </c:pt>
                <c:pt idx="1212">
                  <c:v>107.509</c:v>
                </c:pt>
                <c:pt idx="1213">
                  <c:v>107.52800000000001</c:v>
                </c:pt>
                <c:pt idx="1214">
                  <c:v>107.545</c:v>
                </c:pt>
                <c:pt idx="1215">
                  <c:v>107.562</c:v>
                </c:pt>
                <c:pt idx="1216">
                  <c:v>107.56399999999999</c:v>
                </c:pt>
                <c:pt idx="1217">
                  <c:v>107.56100000000001</c:v>
                </c:pt>
                <c:pt idx="1218">
                  <c:v>107.559</c:v>
                </c:pt>
                <c:pt idx="1219">
                  <c:v>107.556</c:v>
                </c:pt>
                <c:pt idx="1220">
                  <c:v>107.554</c:v>
                </c:pt>
                <c:pt idx="1221">
                  <c:v>107.551</c:v>
                </c:pt>
                <c:pt idx="1222">
                  <c:v>107.548</c:v>
                </c:pt>
                <c:pt idx="1223">
                  <c:v>107.54600000000001</c:v>
                </c:pt>
                <c:pt idx="1224">
                  <c:v>107.54300000000001</c:v>
                </c:pt>
                <c:pt idx="1225">
                  <c:v>107.54</c:v>
                </c:pt>
                <c:pt idx="1226">
                  <c:v>107.53700000000001</c:v>
                </c:pt>
                <c:pt idx="1227">
                  <c:v>107.535</c:v>
                </c:pt>
                <c:pt idx="1228">
                  <c:v>107.532</c:v>
                </c:pt>
                <c:pt idx="1229">
                  <c:v>107.529</c:v>
                </c:pt>
                <c:pt idx="1230">
                  <c:v>107.527</c:v>
                </c:pt>
                <c:pt idx="1231">
                  <c:v>107.524</c:v>
                </c:pt>
                <c:pt idx="1232">
                  <c:v>107.521</c:v>
                </c:pt>
                <c:pt idx="1233">
                  <c:v>107.51900000000001</c:v>
                </c:pt>
                <c:pt idx="1234">
                  <c:v>107.51600000000001</c:v>
                </c:pt>
                <c:pt idx="1235">
                  <c:v>107.51300000000001</c:v>
                </c:pt>
                <c:pt idx="1236">
                  <c:v>107.511</c:v>
                </c:pt>
                <c:pt idx="1237">
                  <c:v>107.508</c:v>
                </c:pt>
                <c:pt idx="1238">
                  <c:v>107.505</c:v>
                </c:pt>
                <c:pt idx="1239">
                  <c:v>107.503</c:v>
                </c:pt>
                <c:pt idx="1240">
                  <c:v>107.5</c:v>
                </c:pt>
                <c:pt idx="1241">
                  <c:v>107.497</c:v>
                </c:pt>
                <c:pt idx="1242">
                  <c:v>107.495</c:v>
                </c:pt>
                <c:pt idx="1243">
                  <c:v>107.492</c:v>
                </c:pt>
                <c:pt idx="1244">
                  <c:v>107.489</c:v>
                </c:pt>
                <c:pt idx="1245">
                  <c:v>107.48699999999999</c:v>
                </c:pt>
                <c:pt idx="1246">
                  <c:v>107.48399999999999</c:v>
                </c:pt>
                <c:pt idx="1247">
                  <c:v>107.482</c:v>
                </c:pt>
                <c:pt idx="1248">
                  <c:v>107.479</c:v>
                </c:pt>
                <c:pt idx="1249">
                  <c:v>107.476</c:v>
                </c:pt>
                <c:pt idx="1250">
                  <c:v>107.474</c:v>
                </c:pt>
                <c:pt idx="1251">
                  <c:v>107.471</c:v>
                </c:pt>
                <c:pt idx="1252">
                  <c:v>107.46899999999999</c:v>
                </c:pt>
                <c:pt idx="1253">
                  <c:v>107.46599999999999</c:v>
                </c:pt>
                <c:pt idx="1254">
                  <c:v>107.46299999999999</c:v>
                </c:pt>
                <c:pt idx="1255">
                  <c:v>107.461</c:v>
                </c:pt>
                <c:pt idx="1256">
                  <c:v>107.458</c:v>
                </c:pt>
                <c:pt idx="1257">
                  <c:v>107.456</c:v>
                </c:pt>
                <c:pt idx="1258">
                  <c:v>107.453</c:v>
                </c:pt>
                <c:pt idx="1259">
                  <c:v>107.45</c:v>
                </c:pt>
                <c:pt idx="1260">
                  <c:v>107.44799999999999</c:v>
                </c:pt>
                <c:pt idx="1261">
                  <c:v>107.44499999999999</c:v>
                </c:pt>
                <c:pt idx="1262">
                  <c:v>107.443</c:v>
                </c:pt>
                <c:pt idx="1263">
                  <c:v>107.44</c:v>
                </c:pt>
                <c:pt idx="1264">
                  <c:v>107.437</c:v>
                </c:pt>
                <c:pt idx="1265">
                  <c:v>107.434</c:v>
                </c:pt>
                <c:pt idx="1266">
                  <c:v>107.432</c:v>
                </c:pt>
                <c:pt idx="1267">
                  <c:v>107.429</c:v>
                </c:pt>
                <c:pt idx="1268">
                  <c:v>107.426</c:v>
                </c:pt>
                <c:pt idx="1269">
                  <c:v>107.42400000000001</c:v>
                </c:pt>
                <c:pt idx="1270">
                  <c:v>107.42100000000001</c:v>
                </c:pt>
                <c:pt idx="1271">
                  <c:v>107.419</c:v>
                </c:pt>
                <c:pt idx="1272">
                  <c:v>107.416</c:v>
                </c:pt>
                <c:pt idx="1273">
                  <c:v>107.413</c:v>
                </c:pt>
                <c:pt idx="1274">
                  <c:v>107.41</c:v>
                </c:pt>
                <c:pt idx="1275">
                  <c:v>107.408</c:v>
                </c:pt>
                <c:pt idx="1276">
                  <c:v>107.405</c:v>
                </c:pt>
                <c:pt idx="1277">
                  <c:v>107.40300000000001</c:v>
                </c:pt>
                <c:pt idx="1278">
                  <c:v>107.4</c:v>
                </c:pt>
                <c:pt idx="1279">
                  <c:v>107.398</c:v>
                </c:pt>
                <c:pt idx="1280">
                  <c:v>107.39400000000001</c:v>
                </c:pt>
                <c:pt idx="1281">
                  <c:v>107.389</c:v>
                </c:pt>
                <c:pt idx="1282">
                  <c:v>107.374</c:v>
                </c:pt>
                <c:pt idx="1283">
                  <c:v>107.35899999999999</c:v>
                </c:pt>
                <c:pt idx="1284">
                  <c:v>107.345</c:v>
                </c:pt>
                <c:pt idx="1285">
                  <c:v>107.32899999999999</c:v>
                </c:pt>
                <c:pt idx="1286">
                  <c:v>107.315</c:v>
                </c:pt>
                <c:pt idx="1287">
                  <c:v>107.3</c:v>
                </c:pt>
                <c:pt idx="1288">
                  <c:v>107.285</c:v>
                </c:pt>
                <c:pt idx="1289">
                  <c:v>107.27</c:v>
                </c:pt>
                <c:pt idx="1290">
                  <c:v>107.255</c:v>
                </c:pt>
                <c:pt idx="1291">
                  <c:v>107.24</c:v>
                </c:pt>
                <c:pt idx="1292">
                  <c:v>107.226</c:v>
                </c:pt>
                <c:pt idx="1293">
                  <c:v>107.21</c:v>
                </c:pt>
                <c:pt idx="1294">
                  <c:v>107.196</c:v>
                </c:pt>
                <c:pt idx="1295">
                  <c:v>107.181</c:v>
                </c:pt>
                <c:pt idx="1296">
                  <c:v>107.166</c:v>
                </c:pt>
                <c:pt idx="1297">
                  <c:v>107.151</c:v>
                </c:pt>
                <c:pt idx="1298">
                  <c:v>107.137</c:v>
                </c:pt>
                <c:pt idx="1299">
                  <c:v>107.121</c:v>
                </c:pt>
                <c:pt idx="1300">
                  <c:v>107.107</c:v>
                </c:pt>
                <c:pt idx="1301">
                  <c:v>107.092</c:v>
                </c:pt>
                <c:pt idx="1302">
                  <c:v>107.077</c:v>
                </c:pt>
                <c:pt idx="1303">
                  <c:v>107.063</c:v>
                </c:pt>
                <c:pt idx="1304">
                  <c:v>107.048</c:v>
                </c:pt>
                <c:pt idx="1305">
                  <c:v>107.033</c:v>
                </c:pt>
                <c:pt idx="1306">
                  <c:v>107.018</c:v>
                </c:pt>
                <c:pt idx="1307">
                  <c:v>107.004</c:v>
                </c:pt>
                <c:pt idx="1308">
                  <c:v>106.988</c:v>
                </c:pt>
                <c:pt idx="1309">
                  <c:v>106.974</c:v>
                </c:pt>
                <c:pt idx="1310">
                  <c:v>106.958</c:v>
                </c:pt>
                <c:pt idx="1311">
                  <c:v>106.944</c:v>
                </c:pt>
                <c:pt idx="1312">
                  <c:v>106.929</c:v>
                </c:pt>
                <c:pt idx="1313">
                  <c:v>106.914</c:v>
                </c:pt>
                <c:pt idx="1314">
                  <c:v>106.899</c:v>
                </c:pt>
                <c:pt idx="1315">
                  <c:v>106.88500000000001</c:v>
                </c:pt>
                <c:pt idx="1316">
                  <c:v>106.869</c:v>
                </c:pt>
                <c:pt idx="1317">
                  <c:v>106.855</c:v>
                </c:pt>
                <c:pt idx="1318">
                  <c:v>106.84</c:v>
                </c:pt>
                <c:pt idx="1319">
                  <c:v>106.825</c:v>
                </c:pt>
                <c:pt idx="1320">
                  <c:v>106.81100000000001</c:v>
                </c:pt>
                <c:pt idx="1321">
                  <c:v>106.79600000000001</c:v>
                </c:pt>
                <c:pt idx="1322">
                  <c:v>106.78100000000001</c:v>
                </c:pt>
                <c:pt idx="1323">
                  <c:v>106.76600000000001</c:v>
                </c:pt>
                <c:pt idx="1324">
                  <c:v>106.752</c:v>
                </c:pt>
                <c:pt idx="1325">
                  <c:v>106.736</c:v>
                </c:pt>
                <c:pt idx="1326">
                  <c:v>106.72199999999999</c:v>
                </c:pt>
                <c:pt idx="1327">
                  <c:v>106.70699999999999</c:v>
                </c:pt>
                <c:pt idx="1328">
                  <c:v>106.69199999999999</c:v>
                </c:pt>
                <c:pt idx="1329">
                  <c:v>106.67700000000001</c:v>
                </c:pt>
                <c:pt idx="1330">
                  <c:v>106.663</c:v>
                </c:pt>
                <c:pt idx="1331">
                  <c:v>106.64700000000001</c:v>
                </c:pt>
                <c:pt idx="1332">
                  <c:v>106.633</c:v>
                </c:pt>
                <c:pt idx="1333">
                  <c:v>106.61799999999999</c:v>
                </c:pt>
                <c:pt idx="1334">
                  <c:v>106.60299999999999</c:v>
                </c:pt>
                <c:pt idx="1335">
                  <c:v>106.58799999999999</c:v>
                </c:pt>
                <c:pt idx="1336">
                  <c:v>106.57299999999999</c:v>
                </c:pt>
                <c:pt idx="1337">
                  <c:v>106.55800000000001</c:v>
                </c:pt>
                <c:pt idx="1338">
                  <c:v>106.544</c:v>
                </c:pt>
                <c:pt idx="1339">
                  <c:v>106.529</c:v>
                </c:pt>
                <c:pt idx="1340">
                  <c:v>106.514</c:v>
                </c:pt>
                <c:pt idx="1341">
                  <c:v>106.5</c:v>
                </c:pt>
                <c:pt idx="1342">
                  <c:v>106.48399999999999</c:v>
                </c:pt>
                <c:pt idx="1343">
                  <c:v>106.47</c:v>
                </c:pt>
                <c:pt idx="1344">
                  <c:v>106.455</c:v>
                </c:pt>
                <c:pt idx="1345">
                  <c:v>106.44</c:v>
                </c:pt>
                <c:pt idx="1346">
                  <c:v>106.425</c:v>
                </c:pt>
                <c:pt idx="1347">
                  <c:v>106.411</c:v>
                </c:pt>
                <c:pt idx="1348">
                  <c:v>106.398</c:v>
                </c:pt>
                <c:pt idx="1349">
                  <c:v>106.38800000000001</c:v>
                </c:pt>
                <c:pt idx="1350">
                  <c:v>106.377</c:v>
                </c:pt>
                <c:pt idx="1351">
                  <c:v>106.367</c:v>
                </c:pt>
                <c:pt idx="1352">
                  <c:v>106.357</c:v>
                </c:pt>
                <c:pt idx="1353">
                  <c:v>106.34699999999999</c:v>
                </c:pt>
                <c:pt idx="1354">
                  <c:v>106.336</c:v>
                </c:pt>
                <c:pt idx="1355">
                  <c:v>106.32599999999999</c:v>
                </c:pt>
                <c:pt idx="1356">
                  <c:v>106.315</c:v>
                </c:pt>
                <c:pt idx="1357">
                  <c:v>106.306</c:v>
                </c:pt>
                <c:pt idx="1358">
                  <c:v>106.295</c:v>
                </c:pt>
                <c:pt idx="1359">
                  <c:v>106.285</c:v>
                </c:pt>
                <c:pt idx="1360">
                  <c:v>106.274</c:v>
                </c:pt>
                <c:pt idx="1361">
                  <c:v>106.265</c:v>
                </c:pt>
                <c:pt idx="1362">
                  <c:v>106.254</c:v>
                </c:pt>
                <c:pt idx="1363">
                  <c:v>106.244</c:v>
                </c:pt>
                <c:pt idx="1364">
                  <c:v>106.233</c:v>
                </c:pt>
                <c:pt idx="1365">
                  <c:v>106.224</c:v>
                </c:pt>
                <c:pt idx="1366">
                  <c:v>106.21299999999999</c:v>
                </c:pt>
                <c:pt idx="1367">
                  <c:v>106.203</c:v>
                </c:pt>
                <c:pt idx="1368">
                  <c:v>106.19199999999999</c:v>
                </c:pt>
                <c:pt idx="1369">
                  <c:v>106.18300000000001</c:v>
                </c:pt>
                <c:pt idx="1370">
                  <c:v>106.172</c:v>
                </c:pt>
                <c:pt idx="1371">
                  <c:v>106.16200000000001</c:v>
                </c:pt>
                <c:pt idx="1372">
                  <c:v>106.151</c:v>
                </c:pt>
                <c:pt idx="1373">
                  <c:v>106.142</c:v>
                </c:pt>
                <c:pt idx="1374">
                  <c:v>106.131</c:v>
                </c:pt>
                <c:pt idx="1375">
                  <c:v>106.121</c:v>
                </c:pt>
                <c:pt idx="1376">
                  <c:v>106.111</c:v>
                </c:pt>
                <c:pt idx="1377">
                  <c:v>106.101</c:v>
                </c:pt>
                <c:pt idx="1378">
                  <c:v>106.09</c:v>
                </c:pt>
                <c:pt idx="1379">
                  <c:v>106.08</c:v>
                </c:pt>
                <c:pt idx="1380">
                  <c:v>106.07</c:v>
                </c:pt>
                <c:pt idx="1381">
                  <c:v>106.059</c:v>
                </c:pt>
                <c:pt idx="1382">
                  <c:v>106.04900000000001</c:v>
                </c:pt>
                <c:pt idx="1383">
                  <c:v>106.039</c:v>
                </c:pt>
                <c:pt idx="1384">
                  <c:v>106.029</c:v>
                </c:pt>
                <c:pt idx="1385">
                  <c:v>106.018</c:v>
                </c:pt>
                <c:pt idx="1386">
                  <c:v>106.008</c:v>
                </c:pt>
                <c:pt idx="1387">
                  <c:v>105.998</c:v>
                </c:pt>
                <c:pt idx="1388">
                  <c:v>105.988</c:v>
                </c:pt>
                <c:pt idx="1389">
                  <c:v>105.977</c:v>
                </c:pt>
                <c:pt idx="1390">
                  <c:v>105.968</c:v>
                </c:pt>
                <c:pt idx="1391">
                  <c:v>105.95699999999999</c:v>
                </c:pt>
                <c:pt idx="1392">
                  <c:v>105.947</c:v>
                </c:pt>
                <c:pt idx="1393">
                  <c:v>105.937</c:v>
                </c:pt>
                <c:pt idx="1394">
                  <c:v>105.926</c:v>
                </c:pt>
                <c:pt idx="1395">
                  <c:v>105.916</c:v>
                </c:pt>
                <c:pt idx="1396">
                  <c:v>105.905</c:v>
                </c:pt>
                <c:pt idx="1397">
                  <c:v>105.896</c:v>
                </c:pt>
                <c:pt idx="1398">
                  <c:v>105.88500000000001</c:v>
                </c:pt>
                <c:pt idx="1399">
                  <c:v>105.874</c:v>
                </c:pt>
                <c:pt idx="1400">
                  <c:v>105.86499999999999</c:v>
                </c:pt>
                <c:pt idx="1401">
                  <c:v>105.854</c:v>
                </c:pt>
                <c:pt idx="1402">
                  <c:v>105.84399999999999</c:v>
                </c:pt>
                <c:pt idx="1403">
                  <c:v>105.834</c:v>
                </c:pt>
                <c:pt idx="1404">
                  <c:v>105.824</c:v>
                </c:pt>
                <c:pt idx="1405">
                  <c:v>105.813</c:v>
                </c:pt>
                <c:pt idx="1406">
                  <c:v>105.804</c:v>
                </c:pt>
                <c:pt idx="1407">
                  <c:v>105.79300000000001</c:v>
                </c:pt>
                <c:pt idx="1408">
                  <c:v>105.782</c:v>
                </c:pt>
                <c:pt idx="1409">
                  <c:v>105.773</c:v>
                </c:pt>
                <c:pt idx="1410">
                  <c:v>105.762</c:v>
                </c:pt>
                <c:pt idx="1411">
                  <c:v>105.752</c:v>
                </c:pt>
                <c:pt idx="1412">
                  <c:v>105.742</c:v>
                </c:pt>
                <c:pt idx="1413">
                  <c:v>105.73099999999999</c:v>
                </c:pt>
                <c:pt idx="1414">
                  <c:v>105.721</c:v>
                </c:pt>
                <c:pt idx="1415">
                  <c:v>105.711</c:v>
                </c:pt>
                <c:pt idx="1416">
                  <c:v>105.70399999999999</c:v>
                </c:pt>
                <c:pt idx="1417">
                  <c:v>105.696</c:v>
                </c:pt>
                <c:pt idx="1418">
                  <c:v>105.688</c:v>
                </c:pt>
                <c:pt idx="1419">
                  <c:v>105.681</c:v>
                </c:pt>
                <c:pt idx="1420">
                  <c:v>105.673</c:v>
                </c:pt>
                <c:pt idx="1421">
                  <c:v>105.66500000000001</c:v>
                </c:pt>
                <c:pt idx="1422">
                  <c:v>105.658</c:v>
                </c:pt>
                <c:pt idx="1423">
                  <c:v>105.65</c:v>
                </c:pt>
                <c:pt idx="1424">
                  <c:v>105.643</c:v>
                </c:pt>
                <c:pt idx="1425">
                  <c:v>105.634</c:v>
                </c:pt>
                <c:pt idx="1426">
                  <c:v>105.626</c:v>
                </c:pt>
                <c:pt idx="1427">
                  <c:v>105.619</c:v>
                </c:pt>
                <c:pt idx="1428">
                  <c:v>105.611</c:v>
                </c:pt>
                <c:pt idx="1429">
                  <c:v>105.60299999999999</c:v>
                </c:pt>
                <c:pt idx="1430">
                  <c:v>105.596</c:v>
                </c:pt>
                <c:pt idx="1431">
                  <c:v>105.58799999999999</c:v>
                </c:pt>
                <c:pt idx="1432">
                  <c:v>105.58</c:v>
                </c:pt>
                <c:pt idx="1433">
                  <c:v>105.57299999999999</c:v>
                </c:pt>
                <c:pt idx="1434">
                  <c:v>105.565</c:v>
                </c:pt>
                <c:pt idx="1435">
                  <c:v>105.557</c:v>
                </c:pt>
                <c:pt idx="1436">
                  <c:v>105.55</c:v>
                </c:pt>
                <c:pt idx="1437">
                  <c:v>105.542</c:v>
                </c:pt>
                <c:pt idx="1438">
                  <c:v>105.535</c:v>
                </c:pt>
                <c:pt idx="1439">
                  <c:v>105.527</c:v>
                </c:pt>
                <c:pt idx="1440">
                  <c:v>105.51900000000001</c:v>
                </c:pt>
                <c:pt idx="1441">
                  <c:v>105.511</c:v>
                </c:pt>
                <c:pt idx="1442">
                  <c:v>105.504</c:v>
                </c:pt>
                <c:pt idx="1443">
                  <c:v>105.496</c:v>
                </c:pt>
                <c:pt idx="1444">
                  <c:v>105.488</c:v>
                </c:pt>
                <c:pt idx="1445">
                  <c:v>105.48099999999999</c:v>
                </c:pt>
                <c:pt idx="1446">
                  <c:v>105.473</c:v>
                </c:pt>
                <c:pt idx="1447">
                  <c:v>105.465</c:v>
                </c:pt>
                <c:pt idx="1448">
                  <c:v>105.458</c:v>
                </c:pt>
                <c:pt idx="1449">
                  <c:v>105.45</c:v>
                </c:pt>
                <c:pt idx="1450">
                  <c:v>105.44199999999999</c:v>
                </c:pt>
                <c:pt idx="1451">
                  <c:v>105.434</c:v>
                </c:pt>
                <c:pt idx="1452">
                  <c:v>105.42700000000001</c:v>
                </c:pt>
                <c:pt idx="1453">
                  <c:v>105.419</c:v>
                </c:pt>
                <c:pt idx="1454">
                  <c:v>105.411</c:v>
                </c:pt>
                <c:pt idx="1455">
                  <c:v>105.404</c:v>
                </c:pt>
                <c:pt idx="1456">
                  <c:v>105.396</c:v>
                </c:pt>
                <c:pt idx="1457">
                  <c:v>105.38800000000001</c:v>
                </c:pt>
                <c:pt idx="1458">
                  <c:v>105.38</c:v>
                </c:pt>
                <c:pt idx="1459">
                  <c:v>105.373</c:v>
                </c:pt>
                <c:pt idx="1460">
                  <c:v>105.36499999999999</c:v>
                </c:pt>
                <c:pt idx="1461">
                  <c:v>105.357</c:v>
                </c:pt>
                <c:pt idx="1462">
                  <c:v>105.349</c:v>
                </c:pt>
                <c:pt idx="1463">
                  <c:v>105.342</c:v>
                </c:pt>
                <c:pt idx="1464">
                  <c:v>105.334</c:v>
                </c:pt>
                <c:pt idx="1465">
                  <c:v>105.32599999999999</c:v>
                </c:pt>
                <c:pt idx="1466">
                  <c:v>105.318</c:v>
                </c:pt>
                <c:pt idx="1467">
                  <c:v>105.31</c:v>
                </c:pt>
                <c:pt idx="1468">
                  <c:v>105.304</c:v>
                </c:pt>
                <c:pt idx="1469">
                  <c:v>105.29600000000001</c:v>
                </c:pt>
                <c:pt idx="1470">
                  <c:v>105.288</c:v>
                </c:pt>
                <c:pt idx="1471">
                  <c:v>105.28</c:v>
                </c:pt>
                <c:pt idx="1472">
                  <c:v>105.27200000000001</c:v>
                </c:pt>
                <c:pt idx="1473">
                  <c:v>105.264</c:v>
                </c:pt>
                <c:pt idx="1474">
                  <c:v>105.25700000000001</c:v>
                </c:pt>
                <c:pt idx="1475">
                  <c:v>105.249</c:v>
                </c:pt>
                <c:pt idx="1476">
                  <c:v>105.242</c:v>
                </c:pt>
                <c:pt idx="1477">
                  <c:v>105.23399999999999</c:v>
                </c:pt>
                <c:pt idx="1478">
                  <c:v>105.226</c:v>
                </c:pt>
                <c:pt idx="1479">
                  <c:v>105.218</c:v>
                </c:pt>
                <c:pt idx="1480">
                  <c:v>105.203</c:v>
                </c:pt>
                <c:pt idx="1481">
                  <c:v>105.172</c:v>
                </c:pt>
                <c:pt idx="1482">
                  <c:v>105.142</c:v>
                </c:pt>
                <c:pt idx="1483">
                  <c:v>105.111</c:v>
                </c:pt>
                <c:pt idx="1484">
                  <c:v>105.07899999999999</c:v>
                </c:pt>
                <c:pt idx="1485">
                  <c:v>105.048</c:v>
                </c:pt>
                <c:pt idx="1486">
                  <c:v>105.017</c:v>
                </c:pt>
                <c:pt idx="1487">
                  <c:v>104.986</c:v>
                </c:pt>
                <c:pt idx="1488">
                  <c:v>104.95399999999999</c:v>
                </c:pt>
                <c:pt idx="1489">
                  <c:v>104.923</c:v>
                </c:pt>
                <c:pt idx="1490">
                  <c:v>104.892</c:v>
                </c:pt>
                <c:pt idx="1491">
                  <c:v>104.861</c:v>
                </c:pt>
                <c:pt idx="1492">
                  <c:v>104.82899999999999</c:v>
                </c:pt>
                <c:pt idx="1493">
                  <c:v>104.798</c:v>
                </c:pt>
                <c:pt idx="1494">
                  <c:v>104.768</c:v>
                </c:pt>
                <c:pt idx="1495">
                  <c:v>104.73699999999999</c:v>
                </c:pt>
                <c:pt idx="1496">
                  <c:v>104.705</c:v>
                </c:pt>
                <c:pt idx="1497">
                  <c:v>104.67400000000001</c:v>
                </c:pt>
                <c:pt idx="1498">
                  <c:v>104.643</c:v>
                </c:pt>
                <c:pt idx="1499">
                  <c:v>104.61199999999999</c:v>
                </c:pt>
                <c:pt idx="1500">
                  <c:v>104.581</c:v>
                </c:pt>
                <c:pt idx="1501">
                  <c:v>104.54900000000001</c:v>
                </c:pt>
                <c:pt idx="1502">
                  <c:v>104.518</c:v>
                </c:pt>
                <c:pt idx="1503">
                  <c:v>104.48699999999999</c:v>
                </c:pt>
                <c:pt idx="1504">
                  <c:v>104.456</c:v>
                </c:pt>
                <c:pt idx="1505">
                  <c:v>104.425</c:v>
                </c:pt>
                <c:pt idx="1506">
                  <c:v>104.393</c:v>
                </c:pt>
                <c:pt idx="1507">
                  <c:v>104.36199999999999</c:v>
                </c:pt>
                <c:pt idx="1508">
                  <c:v>104.331</c:v>
                </c:pt>
                <c:pt idx="1509">
                  <c:v>104.3</c:v>
                </c:pt>
                <c:pt idx="1510">
                  <c:v>104.268</c:v>
                </c:pt>
                <c:pt idx="1511">
                  <c:v>104.23699999999999</c:v>
                </c:pt>
                <c:pt idx="1512">
                  <c:v>104.206</c:v>
                </c:pt>
                <c:pt idx="1513">
                  <c:v>104.175</c:v>
                </c:pt>
                <c:pt idx="1514">
                  <c:v>104.14400000000001</c:v>
                </c:pt>
                <c:pt idx="1515">
                  <c:v>104.113</c:v>
                </c:pt>
                <c:pt idx="1516">
                  <c:v>104.08199999999999</c:v>
                </c:pt>
                <c:pt idx="1517">
                  <c:v>104.051</c:v>
                </c:pt>
                <c:pt idx="1518">
                  <c:v>104.01900000000001</c:v>
                </c:pt>
                <c:pt idx="1519">
                  <c:v>103.988</c:v>
                </c:pt>
                <c:pt idx="1520">
                  <c:v>103.958</c:v>
                </c:pt>
                <c:pt idx="1521">
                  <c:v>103.926</c:v>
                </c:pt>
                <c:pt idx="1522">
                  <c:v>103.895</c:v>
                </c:pt>
                <c:pt idx="1523">
                  <c:v>103.864</c:v>
                </c:pt>
                <c:pt idx="1524">
                  <c:v>103.83199999999999</c:v>
                </c:pt>
                <c:pt idx="1525">
                  <c:v>103.801</c:v>
                </c:pt>
                <c:pt idx="1526">
                  <c:v>103.77</c:v>
                </c:pt>
                <c:pt idx="1527">
                  <c:v>103.739</c:v>
                </c:pt>
                <c:pt idx="1528">
                  <c:v>103.708</c:v>
                </c:pt>
                <c:pt idx="1529">
                  <c:v>103.676</c:v>
                </c:pt>
                <c:pt idx="1530">
                  <c:v>103.646</c:v>
                </c:pt>
                <c:pt idx="1531">
                  <c:v>103.614</c:v>
                </c:pt>
                <c:pt idx="1532">
                  <c:v>103.583</c:v>
                </c:pt>
                <c:pt idx="1533">
                  <c:v>103.55200000000001</c:v>
                </c:pt>
                <c:pt idx="1534">
                  <c:v>103.521</c:v>
                </c:pt>
                <c:pt idx="1535">
                  <c:v>103.49</c:v>
                </c:pt>
                <c:pt idx="1536">
                  <c:v>103.458</c:v>
                </c:pt>
                <c:pt idx="1537">
                  <c:v>103.428</c:v>
                </c:pt>
                <c:pt idx="1538">
                  <c:v>103.396</c:v>
                </c:pt>
                <c:pt idx="1539">
                  <c:v>103.36499999999999</c:v>
                </c:pt>
                <c:pt idx="1540">
                  <c:v>103.334</c:v>
                </c:pt>
                <c:pt idx="1541">
                  <c:v>103.303</c:v>
                </c:pt>
                <c:pt idx="1542">
                  <c:v>103.271</c:v>
                </c:pt>
                <c:pt idx="1543">
                  <c:v>103.241</c:v>
                </c:pt>
                <c:pt idx="1544">
                  <c:v>103.209</c:v>
                </c:pt>
                <c:pt idx="1545">
                  <c:v>103.178</c:v>
                </c:pt>
                <c:pt idx="1546">
                  <c:v>103.14700000000001</c:v>
                </c:pt>
                <c:pt idx="1547">
                  <c:v>103.116</c:v>
                </c:pt>
                <c:pt idx="1548">
                  <c:v>103.084</c:v>
                </c:pt>
                <c:pt idx="1549">
                  <c:v>103.054</c:v>
                </c:pt>
                <c:pt idx="1550">
                  <c:v>103.02200000000001</c:v>
                </c:pt>
                <c:pt idx="1551">
                  <c:v>102.991</c:v>
                </c:pt>
                <c:pt idx="1552">
                  <c:v>102.96</c:v>
                </c:pt>
                <c:pt idx="1553">
                  <c:v>102.928</c:v>
                </c:pt>
                <c:pt idx="1554">
                  <c:v>102.898</c:v>
                </c:pt>
                <c:pt idx="1555">
                  <c:v>102.866</c:v>
                </c:pt>
                <c:pt idx="1556">
                  <c:v>102.83499999999999</c:v>
                </c:pt>
                <c:pt idx="1557">
                  <c:v>102.804</c:v>
                </c:pt>
                <c:pt idx="1558">
                  <c:v>102.773</c:v>
                </c:pt>
                <c:pt idx="1559">
                  <c:v>102.742</c:v>
                </c:pt>
                <c:pt idx="1560">
                  <c:v>102.711</c:v>
                </c:pt>
                <c:pt idx="1561">
                  <c:v>102.679</c:v>
                </c:pt>
                <c:pt idx="1562">
                  <c:v>102.648</c:v>
                </c:pt>
                <c:pt idx="1563">
                  <c:v>102.617</c:v>
                </c:pt>
                <c:pt idx="1564">
                  <c:v>102.586</c:v>
                </c:pt>
                <c:pt idx="1565">
                  <c:v>102.55500000000001</c:v>
                </c:pt>
                <c:pt idx="1566">
                  <c:v>102.524</c:v>
                </c:pt>
                <c:pt idx="1567">
                  <c:v>102.49299999999999</c:v>
                </c:pt>
                <c:pt idx="1568">
                  <c:v>102.461</c:v>
                </c:pt>
                <c:pt idx="1569">
                  <c:v>102.43</c:v>
                </c:pt>
                <c:pt idx="1570">
                  <c:v>102.399</c:v>
                </c:pt>
                <c:pt idx="1571">
                  <c:v>102.36799999999999</c:v>
                </c:pt>
                <c:pt idx="1572">
                  <c:v>102.336</c:v>
                </c:pt>
                <c:pt idx="1573">
                  <c:v>102.306</c:v>
                </c:pt>
                <c:pt idx="1574">
                  <c:v>102.312</c:v>
                </c:pt>
                <c:pt idx="1575">
                  <c:v>102.34399999999999</c:v>
                </c:pt>
                <c:pt idx="1576">
                  <c:v>102.377</c:v>
                </c:pt>
                <c:pt idx="1577">
                  <c:v>102.40900000000001</c:v>
                </c:pt>
                <c:pt idx="1578">
                  <c:v>102.441</c:v>
                </c:pt>
                <c:pt idx="1579">
                  <c:v>102.473</c:v>
                </c:pt>
                <c:pt idx="1580">
                  <c:v>102.506</c:v>
                </c:pt>
                <c:pt idx="1581">
                  <c:v>102.538</c:v>
                </c:pt>
                <c:pt idx="1582">
                  <c:v>102.57</c:v>
                </c:pt>
                <c:pt idx="1583">
                  <c:v>102.602</c:v>
                </c:pt>
                <c:pt idx="1584">
                  <c:v>102.634</c:v>
                </c:pt>
                <c:pt idx="1585">
                  <c:v>102.667</c:v>
                </c:pt>
                <c:pt idx="1586">
                  <c:v>102.699</c:v>
                </c:pt>
                <c:pt idx="1587">
                  <c:v>102.73099999999999</c:v>
                </c:pt>
                <c:pt idx="1588">
                  <c:v>102.76300000000001</c:v>
                </c:pt>
                <c:pt idx="1589">
                  <c:v>102.795</c:v>
                </c:pt>
                <c:pt idx="1590">
                  <c:v>102.828</c:v>
                </c:pt>
                <c:pt idx="1591">
                  <c:v>102.86</c:v>
                </c:pt>
                <c:pt idx="1592">
                  <c:v>102.892</c:v>
                </c:pt>
                <c:pt idx="1593">
                  <c:v>102.925</c:v>
                </c:pt>
                <c:pt idx="1594">
                  <c:v>102.956</c:v>
                </c:pt>
                <c:pt idx="1595">
                  <c:v>102.988</c:v>
                </c:pt>
                <c:pt idx="1596">
                  <c:v>103.021</c:v>
                </c:pt>
                <c:pt idx="1597">
                  <c:v>103.053</c:v>
                </c:pt>
                <c:pt idx="1598">
                  <c:v>103.086</c:v>
                </c:pt>
                <c:pt idx="1599">
                  <c:v>103.11799999999999</c:v>
                </c:pt>
                <c:pt idx="1600">
                  <c:v>103.15</c:v>
                </c:pt>
                <c:pt idx="1601">
                  <c:v>103.182</c:v>
                </c:pt>
                <c:pt idx="1602">
                  <c:v>103.214</c:v>
                </c:pt>
                <c:pt idx="1603">
                  <c:v>103.246</c:v>
                </c:pt>
                <c:pt idx="1604">
                  <c:v>103.27800000000001</c:v>
                </c:pt>
                <c:pt idx="1605">
                  <c:v>103.31100000000001</c:v>
                </c:pt>
                <c:pt idx="1606">
                  <c:v>103.343</c:v>
                </c:pt>
                <c:pt idx="1607">
                  <c:v>103.375</c:v>
                </c:pt>
                <c:pt idx="1608">
                  <c:v>103.408</c:v>
                </c:pt>
                <c:pt idx="1609">
                  <c:v>103.44</c:v>
                </c:pt>
                <c:pt idx="1610">
                  <c:v>103.47199999999999</c:v>
                </c:pt>
                <c:pt idx="1611">
                  <c:v>103.504</c:v>
                </c:pt>
                <c:pt idx="1612">
                  <c:v>103.53700000000001</c:v>
                </c:pt>
                <c:pt idx="1613">
                  <c:v>103.569</c:v>
                </c:pt>
                <c:pt idx="1614">
                  <c:v>103.6</c:v>
                </c:pt>
                <c:pt idx="1615">
                  <c:v>103.633</c:v>
                </c:pt>
                <c:pt idx="1616">
                  <c:v>103.66500000000001</c:v>
                </c:pt>
                <c:pt idx="1617">
                  <c:v>103.697</c:v>
                </c:pt>
                <c:pt idx="1618">
                  <c:v>103.729</c:v>
                </c:pt>
                <c:pt idx="1619">
                  <c:v>103.762</c:v>
                </c:pt>
                <c:pt idx="1620">
                  <c:v>103.794</c:v>
                </c:pt>
                <c:pt idx="1621">
                  <c:v>103.82599999999999</c:v>
                </c:pt>
                <c:pt idx="1622">
                  <c:v>103.85899999999999</c:v>
                </c:pt>
                <c:pt idx="1623">
                  <c:v>103.89100000000001</c:v>
                </c:pt>
                <c:pt idx="1624">
                  <c:v>103.922</c:v>
                </c:pt>
                <c:pt idx="1625">
                  <c:v>103.955</c:v>
                </c:pt>
                <c:pt idx="1626">
                  <c:v>103.98699999999999</c:v>
                </c:pt>
                <c:pt idx="1627">
                  <c:v>104.02</c:v>
                </c:pt>
                <c:pt idx="1628">
                  <c:v>104.05200000000001</c:v>
                </c:pt>
                <c:pt idx="1629">
                  <c:v>104.084</c:v>
                </c:pt>
                <c:pt idx="1630">
                  <c:v>104.116</c:v>
                </c:pt>
                <c:pt idx="1631">
                  <c:v>104.148</c:v>
                </c:pt>
                <c:pt idx="1632">
                  <c:v>104.18</c:v>
                </c:pt>
                <c:pt idx="1633">
                  <c:v>104.21299999999999</c:v>
                </c:pt>
                <c:pt idx="1634">
                  <c:v>104.245</c:v>
                </c:pt>
                <c:pt idx="1635">
                  <c:v>104.27800000000001</c:v>
                </c:pt>
                <c:pt idx="1636">
                  <c:v>104.309</c:v>
                </c:pt>
                <c:pt idx="1637">
                  <c:v>104.34099999999999</c:v>
                </c:pt>
                <c:pt idx="1638">
                  <c:v>104.374</c:v>
                </c:pt>
                <c:pt idx="1639">
                  <c:v>104.40600000000001</c:v>
                </c:pt>
                <c:pt idx="1640">
                  <c:v>104.438</c:v>
                </c:pt>
                <c:pt idx="1641">
                  <c:v>104.471</c:v>
                </c:pt>
                <c:pt idx="1642">
                  <c:v>104.502</c:v>
                </c:pt>
                <c:pt idx="1643">
                  <c:v>104.53400000000001</c:v>
                </c:pt>
                <c:pt idx="1644">
                  <c:v>104.56699999999999</c:v>
                </c:pt>
                <c:pt idx="1645">
                  <c:v>104.599</c:v>
                </c:pt>
                <c:pt idx="1646">
                  <c:v>104.63200000000001</c:v>
                </c:pt>
                <c:pt idx="1647">
                  <c:v>104.664</c:v>
                </c:pt>
                <c:pt idx="1648">
                  <c:v>104.696</c:v>
                </c:pt>
                <c:pt idx="1649">
                  <c:v>104.72799999999999</c:v>
                </c:pt>
                <c:pt idx="1650">
                  <c:v>104.76</c:v>
                </c:pt>
                <c:pt idx="1651">
                  <c:v>104.792</c:v>
                </c:pt>
                <c:pt idx="1652">
                  <c:v>104.825</c:v>
                </c:pt>
                <c:pt idx="1653">
                  <c:v>104.857</c:v>
                </c:pt>
                <c:pt idx="1654">
                  <c:v>104.889</c:v>
                </c:pt>
                <c:pt idx="1655">
                  <c:v>104.922</c:v>
                </c:pt>
                <c:pt idx="1656">
                  <c:v>104.953</c:v>
                </c:pt>
                <c:pt idx="1657">
                  <c:v>104.986</c:v>
                </c:pt>
                <c:pt idx="1658">
                  <c:v>105.018</c:v>
                </c:pt>
                <c:pt idx="1659">
                  <c:v>105.05</c:v>
                </c:pt>
                <c:pt idx="1660">
                  <c:v>105.083</c:v>
                </c:pt>
                <c:pt idx="1661">
                  <c:v>105.11499999999999</c:v>
                </c:pt>
                <c:pt idx="1662">
                  <c:v>105.14700000000001</c:v>
                </c:pt>
                <c:pt idx="1663">
                  <c:v>105.179</c:v>
                </c:pt>
                <c:pt idx="1664">
                  <c:v>105.211</c:v>
                </c:pt>
                <c:pt idx="1665">
                  <c:v>105.24299999999999</c:v>
                </c:pt>
                <c:pt idx="1666">
                  <c:v>105.276</c:v>
                </c:pt>
                <c:pt idx="1667">
                  <c:v>105.30800000000001</c:v>
                </c:pt>
                <c:pt idx="1668">
                  <c:v>105.34</c:v>
                </c:pt>
                <c:pt idx="1669">
                  <c:v>105.373</c:v>
                </c:pt>
                <c:pt idx="1670">
                  <c:v>105.405</c:v>
                </c:pt>
                <c:pt idx="1671">
                  <c:v>105.43600000000001</c:v>
                </c:pt>
                <c:pt idx="1672">
                  <c:v>105.46899999999999</c:v>
                </c:pt>
                <c:pt idx="1673">
                  <c:v>105.501</c:v>
                </c:pt>
                <c:pt idx="1674">
                  <c:v>105.533</c:v>
                </c:pt>
                <c:pt idx="1675">
                  <c:v>105.566</c:v>
                </c:pt>
                <c:pt idx="1676">
                  <c:v>105.598</c:v>
                </c:pt>
                <c:pt idx="1677">
                  <c:v>105.63</c:v>
                </c:pt>
                <c:pt idx="1678">
                  <c:v>105.663</c:v>
                </c:pt>
                <c:pt idx="1679">
                  <c:v>105.69499999999999</c:v>
                </c:pt>
                <c:pt idx="1680">
                  <c:v>105.726</c:v>
                </c:pt>
                <c:pt idx="1681">
                  <c:v>105.71899999999999</c:v>
                </c:pt>
                <c:pt idx="1682">
                  <c:v>105.702</c:v>
                </c:pt>
                <c:pt idx="1683">
                  <c:v>105.684</c:v>
                </c:pt>
                <c:pt idx="1684">
                  <c:v>105.666</c:v>
                </c:pt>
                <c:pt idx="1685">
                  <c:v>105.649</c:v>
                </c:pt>
                <c:pt idx="1686">
                  <c:v>105.63200000000001</c:v>
                </c:pt>
                <c:pt idx="1687">
                  <c:v>105.614</c:v>
                </c:pt>
                <c:pt idx="1688">
                  <c:v>105.59699999999999</c:v>
                </c:pt>
                <c:pt idx="1689">
                  <c:v>105.57899999999999</c:v>
                </c:pt>
                <c:pt idx="1690">
                  <c:v>105.56100000000001</c:v>
                </c:pt>
                <c:pt idx="1691">
                  <c:v>105.545</c:v>
                </c:pt>
                <c:pt idx="1692">
                  <c:v>105.527</c:v>
                </c:pt>
                <c:pt idx="1693">
                  <c:v>105.509</c:v>
                </c:pt>
                <c:pt idx="1694">
                  <c:v>105.491</c:v>
                </c:pt>
                <c:pt idx="1695">
                  <c:v>105.474</c:v>
                </c:pt>
                <c:pt idx="1696">
                  <c:v>105.45699999999999</c:v>
                </c:pt>
                <c:pt idx="1697">
                  <c:v>105.43899999999999</c:v>
                </c:pt>
                <c:pt idx="1698">
                  <c:v>105.422</c:v>
                </c:pt>
                <c:pt idx="1699">
                  <c:v>105.404</c:v>
                </c:pt>
                <c:pt idx="1700">
                  <c:v>105.387</c:v>
                </c:pt>
                <c:pt idx="1701">
                  <c:v>105.37</c:v>
                </c:pt>
                <c:pt idx="1702">
                  <c:v>105.352</c:v>
                </c:pt>
                <c:pt idx="1703">
                  <c:v>105.334</c:v>
                </c:pt>
                <c:pt idx="1704">
                  <c:v>105.316</c:v>
                </c:pt>
                <c:pt idx="1705">
                  <c:v>105.3</c:v>
                </c:pt>
                <c:pt idx="1706">
                  <c:v>105.282</c:v>
                </c:pt>
                <c:pt idx="1707">
                  <c:v>105.264</c:v>
                </c:pt>
                <c:pt idx="1708">
                  <c:v>105.247</c:v>
                </c:pt>
                <c:pt idx="1709">
                  <c:v>105.23</c:v>
                </c:pt>
                <c:pt idx="1710">
                  <c:v>105.212</c:v>
                </c:pt>
                <c:pt idx="1711">
                  <c:v>105.194</c:v>
                </c:pt>
                <c:pt idx="1712">
                  <c:v>105.17700000000001</c:v>
                </c:pt>
                <c:pt idx="1713">
                  <c:v>105.15900000000001</c:v>
                </c:pt>
                <c:pt idx="1714">
                  <c:v>105.142</c:v>
                </c:pt>
                <c:pt idx="1715">
                  <c:v>105.125</c:v>
                </c:pt>
                <c:pt idx="1716">
                  <c:v>105.107</c:v>
                </c:pt>
                <c:pt idx="1717">
                  <c:v>105.089</c:v>
                </c:pt>
                <c:pt idx="1718">
                  <c:v>105.072</c:v>
                </c:pt>
                <c:pt idx="1719">
                  <c:v>105.05500000000001</c:v>
                </c:pt>
                <c:pt idx="1720">
                  <c:v>105.03700000000001</c:v>
                </c:pt>
                <c:pt idx="1721">
                  <c:v>105.02</c:v>
                </c:pt>
                <c:pt idx="1722">
                  <c:v>105.002</c:v>
                </c:pt>
                <c:pt idx="1723">
                  <c:v>104.985</c:v>
                </c:pt>
                <c:pt idx="1724">
                  <c:v>104.967</c:v>
                </c:pt>
                <c:pt idx="1725">
                  <c:v>104.95</c:v>
                </c:pt>
                <c:pt idx="1726">
                  <c:v>104.932</c:v>
                </c:pt>
                <c:pt idx="1727">
                  <c:v>104.914</c:v>
                </c:pt>
                <c:pt idx="1728">
                  <c:v>104.898</c:v>
                </c:pt>
                <c:pt idx="1729">
                  <c:v>104.88</c:v>
                </c:pt>
                <c:pt idx="1730">
                  <c:v>104.86199999999999</c:v>
                </c:pt>
                <c:pt idx="1731">
                  <c:v>104.845</c:v>
                </c:pt>
                <c:pt idx="1732">
                  <c:v>104.828</c:v>
                </c:pt>
                <c:pt idx="1733">
                  <c:v>104.81</c:v>
                </c:pt>
                <c:pt idx="1734">
                  <c:v>104.79300000000001</c:v>
                </c:pt>
                <c:pt idx="1735">
                  <c:v>104.77500000000001</c:v>
                </c:pt>
                <c:pt idx="1736">
                  <c:v>104.75700000000001</c:v>
                </c:pt>
                <c:pt idx="1737">
                  <c:v>104.74</c:v>
                </c:pt>
                <c:pt idx="1738">
                  <c:v>104.723</c:v>
                </c:pt>
                <c:pt idx="1739">
                  <c:v>104.705</c:v>
                </c:pt>
                <c:pt idx="1740">
                  <c:v>104.688</c:v>
                </c:pt>
                <c:pt idx="1741">
                  <c:v>104.67</c:v>
                </c:pt>
                <c:pt idx="1742">
                  <c:v>104.652</c:v>
                </c:pt>
                <c:pt idx="1743">
                  <c:v>104.63500000000001</c:v>
                </c:pt>
                <c:pt idx="1744">
                  <c:v>104.617</c:v>
                </c:pt>
                <c:pt idx="1745">
                  <c:v>104.6</c:v>
                </c:pt>
                <c:pt idx="1746">
                  <c:v>104.583</c:v>
                </c:pt>
                <c:pt idx="1747">
                  <c:v>104.565</c:v>
                </c:pt>
                <c:pt idx="1748">
                  <c:v>104.548</c:v>
                </c:pt>
                <c:pt idx="1749">
                  <c:v>104.53</c:v>
                </c:pt>
                <c:pt idx="1750">
                  <c:v>104.51300000000001</c:v>
                </c:pt>
                <c:pt idx="1751">
                  <c:v>104.495</c:v>
                </c:pt>
                <c:pt idx="1752">
                  <c:v>104.47799999999999</c:v>
                </c:pt>
                <c:pt idx="1753">
                  <c:v>104.461</c:v>
                </c:pt>
                <c:pt idx="1754">
                  <c:v>104.443</c:v>
                </c:pt>
                <c:pt idx="1755">
                  <c:v>104.426</c:v>
                </c:pt>
                <c:pt idx="1756">
                  <c:v>104.407</c:v>
                </c:pt>
                <c:pt idx="1757">
                  <c:v>104.39</c:v>
                </c:pt>
                <c:pt idx="1758">
                  <c:v>104.373</c:v>
                </c:pt>
                <c:pt idx="1759">
                  <c:v>104.355</c:v>
                </c:pt>
                <c:pt idx="1760">
                  <c:v>104.33799999999999</c:v>
                </c:pt>
                <c:pt idx="1761">
                  <c:v>104.321</c:v>
                </c:pt>
                <c:pt idx="1762">
                  <c:v>104.30200000000001</c:v>
                </c:pt>
                <c:pt idx="1763">
                  <c:v>104.285</c:v>
                </c:pt>
                <c:pt idx="1764">
                  <c:v>104.268</c:v>
                </c:pt>
                <c:pt idx="1765">
                  <c:v>104.25</c:v>
                </c:pt>
                <c:pt idx="1766">
                  <c:v>104.233</c:v>
                </c:pt>
                <c:pt idx="1767">
                  <c:v>104.21599999999999</c:v>
                </c:pt>
                <c:pt idx="1768">
                  <c:v>104.19799999999999</c:v>
                </c:pt>
                <c:pt idx="1769">
                  <c:v>104.181</c:v>
                </c:pt>
                <c:pt idx="1770">
                  <c:v>104.163</c:v>
                </c:pt>
                <c:pt idx="1771">
                  <c:v>104.145</c:v>
                </c:pt>
                <c:pt idx="1772">
                  <c:v>104.128</c:v>
                </c:pt>
                <c:pt idx="1773">
                  <c:v>104.11</c:v>
                </c:pt>
                <c:pt idx="1774">
                  <c:v>104.093</c:v>
                </c:pt>
                <c:pt idx="1775">
                  <c:v>104.07599999999999</c:v>
                </c:pt>
                <c:pt idx="1776">
                  <c:v>104.05800000000001</c:v>
                </c:pt>
                <c:pt idx="1777">
                  <c:v>104.041</c:v>
                </c:pt>
                <c:pt idx="1778">
                  <c:v>104.023</c:v>
                </c:pt>
                <c:pt idx="1779">
                  <c:v>104.006</c:v>
                </c:pt>
                <c:pt idx="1780">
                  <c:v>103.988</c:v>
                </c:pt>
                <c:pt idx="1781">
                  <c:v>103.971</c:v>
                </c:pt>
                <c:pt idx="1782">
                  <c:v>103.95399999999999</c:v>
                </c:pt>
                <c:pt idx="1783">
                  <c:v>103.93600000000001</c:v>
                </c:pt>
                <c:pt idx="1784">
                  <c:v>103.919</c:v>
                </c:pt>
                <c:pt idx="1785">
                  <c:v>103.901</c:v>
                </c:pt>
                <c:pt idx="1786">
                  <c:v>103.884</c:v>
                </c:pt>
                <c:pt idx="1787">
                  <c:v>103.866</c:v>
                </c:pt>
                <c:pt idx="1788">
                  <c:v>103.848</c:v>
                </c:pt>
                <c:pt idx="1789">
                  <c:v>103.83</c:v>
                </c:pt>
                <c:pt idx="1790">
                  <c:v>103.813</c:v>
                </c:pt>
                <c:pt idx="1791">
                  <c:v>103.795</c:v>
                </c:pt>
                <c:pt idx="1792">
                  <c:v>103.77800000000001</c:v>
                </c:pt>
                <c:pt idx="1793">
                  <c:v>103.76</c:v>
                </c:pt>
                <c:pt idx="1794">
                  <c:v>103.74299999999999</c:v>
                </c:pt>
                <c:pt idx="1795">
                  <c:v>103.72499999999999</c:v>
                </c:pt>
                <c:pt idx="1796">
                  <c:v>103.708</c:v>
                </c:pt>
                <c:pt idx="1797">
                  <c:v>103.691</c:v>
                </c:pt>
                <c:pt idx="1798">
                  <c:v>103.67400000000001</c:v>
                </c:pt>
                <c:pt idx="1799">
                  <c:v>103.658</c:v>
                </c:pt>
                <c:pt idx="1800">
                  <c:v>103.646</c:v>
                </c:pt>
                <c:pt idx="1801">
                  <c:v>103.634</c:v>
                </c:pt>
                <c:pt idx="1802">
                  <c:v>103.621</c:v>
                </c:pt>
                <c:pt idx="1803">
                  <c:v>103.60899999999999</c:v>
                </c:pt>
                <c:pt idx="1804">
                  <c:v>103.596</c:v>
                </c:pt>
                <c:pt idx="1805">
                  <c:v>103.584</c:v>
                </c:pt>
                <c:pt idx="1806">
                  <c:v>103.571</c:v>
                </c:pt>
                <c:pt idx="1807">
                  <c:v>103.559</c:v>
                </c:pt>
                <c:pt idx="1808">
                  <c:v>103.547</c:v>
                </c:pt>
                <c:pt idx="1809">
                  <c:v>103.53400000000001</c:v>
                </c:pt>
                <c:pt idx="1810">
                  <c:v>103.52200000000001</c:v>
                </c:pt>
                <c:pt idx="1811">
                  <c:v>103.509</c:v>
                </c:pt>
                <c:pt idx="1812">
                  <c:v>103.497</c:v>
                </c:pt>
                <c:pt idx="1813">
                  <c:v>103.48399999999999</c:v>
                </c:pt>
                <c:pt idx="1814">
                  <c:v>103.47199999999999</c:v>
                </c:pt>
                <c:pt idx="1815">
                  <c:v>103.459</c:v>
                </c:pt>
                <c:pt idx="1816">
                  <c:v>103.44799999999999</c:v>
                </c:pt>
                <c:pt idx="1817">
                  <c:v>103.435</c:v>
                </c:pt>
                <c:pt idx="1818">
                  <c:v>103.423</c:v>
                </c:pt>
                <c:pt idx="1819">
                  <c:v>103.41</c:v>
                </c:pt>
                <c:pt idx="1820">
                  <c:v>103.398</c:v>
                </c:pt>
                <c:pt idx="1821">
                  <c:v>103.38500000000001</c:v>
                </c:pt>
                <c:pt idx="1822">
                  <c:v>103.373</c:v>
                </c:pt>
                <c:pt idx="1823">
                  <c:v>103.36</c:v>
                </c:pt>
                <c:pt idx="1824">
                  <c:v>103.348</c:v>
                </c:pt>
                <c:pt idx="1825">
                  <c:v>103.33499999999999</c:v>
                </c:pt>
                <c:pt idx="1826">
                  <c:v>103.324</c:v>
                </c:pt>
                <c:pt idx="1827">
                  <c:v>103.31100000000001</c:v>
                </c:pt>
                <c:pt idx="1828">
                  <c:v>103.29900000000001</c:v>
                </c:pt>
                <c:pt idx="1829">
                  <c:v>103.286</c:v>
                </c:pt>
                <c:pt idx="1830">
                  <c:v>103.274</c:v>
                </c:pt>
                <c:pt idx="1831">
                  <c:v>103.261</c:v>
                </c:pt>
                <c:pt idx="1832">
                  <c:v>103.249</c:v>
                </c:pt>
                <c:pt idx="1833">
                  <c:v>103.23699999999999</c:v>
                </c:pt>
                <c:pt idx="1834">
                  <c:v>103.22499999999999</c:v>
                </c:pt>
                <c:pt idx="1835">
                  <c:v>103.212</c:v>
                </c:pt>
                <c:pt idx="1836">
                  <c:v>103.199</c:v>
                </c:pt>
                <c:pt idx="1837">
                  <c:v>103.187</c:v>
                </c:pt>
                <c:pt idx="1838">
                  <c:v>103.17400000000001</c:v>
                </c:pt>
                <c:pt idx="1839">
                  <c:v>103.163</c:v>
                </c:pt>
                <c:pt idx="1840">
                  <c:v>103.15</c:v>
                </c:pt>
                <c:pt idx="1841">
                  <c:v>103.13800000000001</c:v>
                </c:pt>
                <c:pt idx="1842">
                  <c:v>103.125</c:v>
                </c:pt>
                <c:pt idx="1843">
                  <c:v>103.113</c:v>
                </c:pt>
                <c:pt idx="1844">
                  <c:v>103.1</c:v>
                </c:pt>
                <c:pt idx="1845">
                  <c:v>103.08799999999999</c:v>
                </c:pt>
                <c:pt idx="1846">
                  <c:v>103.07599999999999</c:v>
                </c:pt>
                <c:pt idx="1847">
                  <c:v>103.063</c:v>
                </c:pt>
                <c:pt idx="1848">
                  <c:v>103.051</c:v>
                </c:pt>
                <c:pt idx="1849">
                  <c:v>103.038</c:v>
                </c:pt>
                <c:pt idx="1850">
                  <c:v>103.026</c:v>
                </c:pt>
                <c:pt idx="1851">
                  <c:v>103.014</c:v>
                </c:pt>
                <c:pt idx="1852">
                  <c:v>103.001</c:v>
                </c:pt>
                <c:pt idx="1853">
                  <c:v>102.989</c:v>
                </c:pt>
                <c:pt idx="1854">
                  <c:v>102.976</c:v>
                </c:pt>
                <c:pt idx="1855">
                  <c:v>102.964</c:v>
                </c:pt>
                <c:pt idx="1856">
                  <c:v>102.952</c:v>
                </c:pt>
                <c:pt idx="1857">
                  <c:v>102.93899999999999</c:v>
                </c:pt>
                <c:pt idx="1858">
                  <c:v>102.92700000000001</c:v>
                </c:pt>
                <c:pt idx="1859">
                  <c:v>102.914</c:v>
                </c:pt>
                <c:pt idx="1860">
                  <c:v>102.902</c:v>
                </c:pt>
                <c:pt idx="1861">
                  <c:v>102.89</c:v>
                </c:pt>
                <c:pt idx="1862">
                  <c:v>102.877</c:v>
                </c:pt>
                <c:pt idx="1863">
                  <c:v>102.86499999999999</c:v>
                </c:pt>
                <c:pt idx="1864">
                  <c:v>102.85299999999999</c:v>
                </c:pt>
                <c:pt idx="1865">
                  <c:v>102.84</c:v>
                </c:pt>
                <c:pt idx="1866">
                  <c:v>102.828</c:v>
                </c:pt>
                <c:pt idx="1867">
                  <c:v>102.815</c:v>
                </c:pt>
                <c:pt idx="1868">
                  <c:v>102.803</c:v>
                </c:pt>
                <c:pt idx="1869">
                  <c:v>102.791</c:v>
                </c:pt>
                <c:pt idx="1870">
                  <c:v>102.77800000000001</c:v>
                </c:pt>
                <c:pt idx="1871">
                  <c:v>102.765</c:v>
                </c:pt>
                <c:pt idx="1872">
                  <c:v>102.754</c:v>
                </c:pt>
                <c:pt idx="1873">
                  <c:v>102.741</c:v>
                </c:pt>
                <c:pt idx="1874">
                  <c:v>102.729</c:v>
                </c:pt>
                <c:pt idx="1875">
                  <c:v>102.71599999999999</c:v>
                </c:pt>
                <c:pt idx="1876">
                  <c:v>102.70399999999999</c:v>
                </c:pt>
                <c:pt idx="1877">
                  <c:v>102.69199999999999</c:v>
                </c:pt>
                <c:pt idx="1878">
                  <c:v>102.679</c:v>
                </c:pt>
                <c:pt idx="1879">
                  <c:v>102.666</c:v>
                </c:pt>
                <c:pt idx="1880">
                  <c:v>102.655</c:v>
                </c:pt>
                <c:pt idx="1881">
                  <c:v>102.642</c:v>
                </c:pt>
                <c:pt idx="1882">
                  <c:v>102.629</c:v>
                </c:pt>
                <c:pt idx="1883">
                  <c:v>102.617</c:v>
                </c:pt>
                <c:pt idx="1884">
                  <c:v>102.605</c:v>
                </c:pt>
                <c:pt idx="1885">
                  <c:v>102.592</c:v>
                </c:pt>
                <c:pt idx="1886">
                  <c:v>102.58</c:v>
                </c:pt>
                <c:pt idx="1887">
                  <c:v>102.568</c:v>
                </c:pt>
                <c:pt idx="1888">
                  <c:v>102.55500000000001</c:v>
                </c:pt>
                <c:pt idx="1889">
                  <c:v>102.542</c:v>
                </c:pt>
                <c:pt idx="1890">
                  <c:v>102.53</c:v>
                </c:pt>
                <c:pt idx="1891">
                  <c:v>102.518</c:v>
                </c:pt>
                <c:pt idx="1892">
                  <c:v>102.505</c:v>
                </c:pt>
                <c:pt idx="1893">
                  <c:v>102.52200000000001</c:v>
                </c:pt>
                <c:pt idx="1894">
                  <c:v>102.54600000000001</c:v>
                </c:pt>
                <c:pt idx="1895">
                  <c:v>102.57</c:v>
                </c:pt>
                <c:pt idx="1896">
                  <c:v>102.593</c:v>
                </c:pt>
                <c:pt idx="1897">
                  <c:v>102.61799999999999</c:v>
                </c:pt>
                <c:pt idx="1898">
                  <c:v>102.64100000000001</c:v>
                </c:pt>
                <c:pt idx="1899">
                  <c:v>102.66500000000001</c:v>
                </c:pt>
                <c:pt idx="1900">
                  <c:v>102.688</c:v>
                </c:pt>
                <c:pt idx="1901">
                  <c:v>102.71299999999999</c:v>
                </c:pt>
                <c:pt idx="1902">
                  <c:v>102.736</c:v>
                </c:pt>
                <c:pt idx="1903">
                  <c:v>102.76</c:v>
                </c:pt>
                <c:pt idx="1904">
                  <c:v>102.783</c:v>
                </c:pt>
                <c:pt idx="1905">
                  <c:v>102.807</c:v>
                </c:pt>
                <c:pt idx="1906">
                  <c:v>102.831</c:v>
                </c:pt>
                <c:pt idx="1907">
                  <c:v>102.855</c:v>
                </c:pt>
                <c:pt idx="1908">
                  <c:v>102.878</c:v>
                </c:pt>
                <c:pt idx="1909">
                  <c:v>102.902</c:v>
                </c:pt>
                <c:pt idx="1910">
                  <c:v>102.925</c:v>
                </c:pt>
                <c:pt idx="1911">
                  <c:v>102.95</c:v>
                </c:pt>
                <c:pt idx="1912">
                  <c:v>102.974</c:v>
                </c:pt>
                <c:pt idx="1913">
                  <c:v>102.997</c:v>
                </c:pt>
                <c:pt idx="1914">
                  <c:v>103.021</c:v>
                </c:pt>
                <c:pt idx="1915">
                  <c:v>103.044</c:v>
                </c:pt>
                <c:pt idx="1916">
                  <c:v>103.068</c:v>
                </c:pt>
                <c:pt idx="1917">
                  <c:v>103.092</c:v>
                </c:pt>
                <c:pt idx="1918">
                  <c:v>103.116</c:v>
                </c:pt>
                <c:pt idx="1919">
                  <c:v>103.14</c:v>
                </c:pt>
                <c:pt idx="1920">
                  <c:v>103.164</c:v>
                </c:pt>
                <c:pt idx="1921">
                  <c:v>103.187</c:v>
                </c:pt>
                <c:pt idx="1922">
                  <c:v>103.211</c:v>
                </c:pt>
                <c:pt idx="1923">
                  <c:v>103.235</c:v>
                </c:pt>
                <c:pt idx="1924">
                  <c:v>103.259</c:v>
                </c:pt>
                <c:pt idx="1925">
                  <c:v>103.283</c:v>
                </c:pt>
                <c:pt idx="1926">
                  <c:v>103.306</c:v>
                </c:pt>
                <c:pt idx="1927">
                  <c:v>103.32899999999999</c:v>
                </c:pt>
                <c:pt idx="1928">
                  <c:v>103.35299999999999</c:v>
                </c:pt>
                <c:pt idx="1929">
                  <c:v>103.377</c:v>
                </c:pt>
                <c:pt idx="1930">
                  <c:v>103.401</c:v>
                </c:pt>
                <c:pt idx="1931">
                  <c:v>103.425</c:v>
                </c:pt>
                <c:pt idx="1932">
                  <c:v>103.449</c:v>
                </c:pt>
                <c:pt idx="1933">
                  <c:v>103.47199999999999</c:v>
                </c:pt>
                <c:pt idx="1934">
                  <c:v>103.496</c:v>
                </c:pt>
                <c:pt idx="1935">
                  <c:v>103.52</c:v>
                </c:pt>
                <c:pt idx="1936">
                  <c:v>103.544</c:v>
                </c:pt>
                <c:pt idx="1937">
                  <c:v>103.568</c:v>
                </c:pt>
                <c:pt idx="1938">
                  <c:v>103.59099999999999</c:v>
                </c:pt>
                <c:pt idx="1939">
                  <c:v>103.61499999999999</c:v>
                </c:pt>
                <c:pt idx="1940">
                  <c:v>103.63800000000001</c:v>
                </c:pt>
                <c:pt idx="1941">
                  <c:v>103.66200000000001</c:v>
                </c:pt>
                <c:pt idx="1942">
                  <c:v>103.68600000000001</c:v>
                </c:pt>
                <c:pt idx="1943">
                  <c:v>103.71</c:v>
                </c:pt>
                <c:pt idx="1944">
                  <c:v>103.733</c:v>
                </c:pt>
                <c:pt idx="1945">
                  <c:v>103.75700000000001</c:v>
                </c:pt>
                <c:pt idx="1946">
                  <c:v>103.78100000000001</c:v>
                </c:pt>
                <c:pt idx="1947">
                  <c:v>103.80500000000001</c:v>
                </c:pt>
                <c:pt idx="1948">
                  <c:v>103.82899999999999</c:v>
                </c:pt>
                <c:pt idx="1949">
                  <c:v>103.852</c:v>
                </c:pt>
                <c:pt idx="1950">
                  <c:v>103.876</c:v>
                </c:pt>
                <c:pt idx="1951">
                  <c:v>103.9</c:v>
                </c:pt>
                <c:pt idx="1952">
                  <c:v>103.92400000000001</c:v>
                </c:pt>
                <c:pt idx="1953">
                  <c:v>103.94799999999999</c:v>
                </c:pt>
                <c:pt idx="1954">
                  <c:v>103.971</c:v>
                </c:pt>
                <c:pt idx="1955">
                  <c:v>103.995</c:v>
                </c:pt>
                <c:pt idx="1956">
                  <c:v>104.01900000000001</c:v>
                </c:pt>
                <c:pt idx="1957">
                  <c:v>104.04300000000001</c:v>
                </c:pt>
                <c:pt idx="1958">
                  <c:v>104.066</c:v>
                </c:pt>
                <c:pt idx="1959">
                  <c:v>104.09</c:v>
                </c:pt>
                <c:pt idx="1960">
                  <c:v>104.114</c:v>
                </c:pt>
                <c:pt idx="1961">
                  <c:v>104.13800000000001</c:v>
                </c:pt>
                <c:pt idx="1962">
                  <c:v>104.16200000000001</c:v>
                </c:pt>
                <c:pt idx="1963">
                  <c:v>104.185</c:v>
                </c:pt>
                <c:pt idx="1964">
                  <c:v>104.209</c:v>
                </c:pt>
                <c:pt idx="1965">
                  <c:v>104.233</c:v>
                </c:pt>
                <c:pt idx="1966">
                  <c:v>104.25700000000001</c:v>
                </c:pt>
                <c:pt idx="1967">
                  <c:v>104.28</c:v>
                </c:pt>
                <c:pt idx="1968">
                  <c:v>104.304</c:v>
                </c:pt>
                <c:pt idx="1969">
                  <c:v>104.328</c:v>
                </c:pt>
                <c:pt idx="1970">
                  <c:v>104.352</c:v>
                </c:pt>
                <c:pt idx="1971">
                  <c:v>104.375</c:v>
                </c:pt>
                <c:pt idx="1972">
                  <c:v>104.399</c:v>
                </c:pt>
                <c:pt idx="1973">
                  <c:v>104.423</c:v>
                </c:pt>
                <c:pt idx="1974">
                  <c:v>104.446</c:v>
                </c:pt>
                <c:pt idx="1975">
                  <c:v>104.47</c:v>
                </c:pt>
                <c:pt idx="1976">
                  <c:v>104.494</c:v>
                </c:pt>
                <c:pt idx="1977">
                  <c:v>104.518</c:v>
                </c:pt>
                <c:pt idx="1978">
                  <c:v>104.541</c:v>
                </c:pt>
                <c:pt idx="1979">
                  <c:v>104.565</c:v>
                </c:pt>
                <c:pt idx="1980">
                  <c:v>104.589</c:v>
                </c:pt>
                <c:pt idx="1981">
                  <c:v>104.61199999999999</c:v>
                </c:pt>
                <c:pt idx="1982">
                  <c:v>104.636</c:v>
                </c:pt>
                <c:pt idx="1983">
                  <c:v>104.66</c:v>
                </c:pt>
                <c:pt idx="1984">
                  <c:v>104.684</c:v>
                </c:pt>
                <c:pt idx="1985">
                  <c:v>104.70699999999999</c:v>
                </c:pt>
                <c:pt idx="1986">
                  <c:v>104.732</c:v>
                </c:pt>
                <c:pt idx="1987">
                  <c:v>104.756</c:v>
                </c:pt>
                <c:pt idx="1988">
                  <c:v>104.779</c:v>
                </c:pt>
                <c:pt idx="1989">
                  <c:v>104.803</c:v>
                </c:pt>
                <c:pt idx="1990">
                  <c:v>104.827</c:v>
                </c:pt>
                <c:pt idx="1991">
                  <c:v>104.85</c:v>
                </c:pt>
                <c:pt idx="1992">
                  <c:v>104.874</c:v>
                </c:pt>
                <c:pt idx="1993">
                  <c:v>104.893</c:v>
                </c:pt>
                <c:pt idx="1994">
                  <c:v>104.892</c:v>
                </c:pt>
                <c:pt idx="1995">
                  <c:v>104.893</c:v>
                </c:pt>
                <c:pt idx="1996">
                  <c:v>104.892</c:v>
                </c:pt>
                <c:pt idx="1997">
                  <c:v>104.892</c:v>
                </c:pt>
                <c:pt idx="1998">
                  <c:v>104.892</c:v>
                </c:pt>
                <c:pt idx="1999">
                  <c:v>104.89100000000001</c:v>
                </c:pt>
                <c:pt idx="2000">
                  <c:v>104.89100000000001</c:v>
                </c:pt>
                <c:pt idx="2001">
                  <c:v>104.89100000000001</c:v>
                </c:pt>
                <c:pt idx="2002">
                  <c:v>104.89100000000001</c:v>
                </c:pt>
                <c:pt idx="2003">
                  <c:v>104.89100000000001</c:v>
                </c:pt>
                <c:pt idx="2004">
                  <c:v>104.89</c:v>
                </c:pt>
                <c:pt idx="2005">
                  <c:v>104.89</c:v>
                </c:pt>
                <c:pt idx="2006">
                  <c:v>104.89</c:v>
                </c:pt>
                <c:pt idx="2007">
                  <c:v>104.889</c:v>
                </c:pt>
                <c:pt idx="2008">
                  <c:v>104.89</c:v>
                </c:pt>
                <c:pt idx="2009">
                  <c:v>104.889</c:v>
                </c:pt>
                <c:pt idx="2010">
                  <c:v>104.889</c:v>
                </c:pt>
                <c:pt idx="2011">
                  <c:v>104.88800000000001</c:v>
                </c:pt>
                <c:pt idx="2012">
                  <c:v>104.88800000000001</c:v>
                </c:pt>
                <c:pt idx="2013">
                  <c:v>104.88800000000001</c:v>
                </c:pt>
                <c:pt idx="2014">
                  <c:v>104.88800000000001</c:v>
                </c:pt>
                <c:pt idx="2015">
                  <c:v>104.88800000000001</c:v>
                </c:pt>
                <c:pt idx="2016">
                  <c:v>104.887</c:v>
                </c:pt>
                <c:pt idx="2017">
                  <c:v>104.887</c:v>
                </c:pt>
                <c:pt idx="2018">
                  <c:v>104.886</c:v>
                </c:pt>
                <c:pt idx="2019">
                  <c:v>104.887</c:v>
                </c:pt>
                <c:pt idx="2020">
                  <c:v>104.886</c:v>
                </c:pt>
                <c:pt idx="2021">
                  <c:v>104.886</c:v>
                </c:pt>
                <c:pt idx="2022">
                  <c:v>104.88500000000001</c:v>
                </c:pt>
                <c:pt idx="2023">
                  <c:v>104.886</c:v>
                </c:pt>
                <c:pt idx="2024">
                  <c:v>104.886</c:v>
                </c:pt>
                <c:pt idx="2025">
                  <c:v>104.88500000000001</c:v>
                </c:pt>
                <c:pt idx="2026">
                  <c:v>104.88500000000001</c:v>
                </c:pt>
                <c:pt idx="2027">
                  <c:v>104.88500000000001</c:v>
                </c:pt>
                <c:pt idx="2028">
                  <c:v>104.88500000000001</c:v>
                </c:pt>
                <c:pt idx="2029">
                  <c:v>104.884</c:v>
                </c:pt>
                <c:pt idx="2030">
                  <c:v>104.884</c:v>
                </c:pt>
                <c:pt idx="2031">
                  <c:v>104.884</c:v>
                </c:pt>
                <c:pt idx="2032">
                  <c:v>104.884</c:v>
                </c:pt>
                <c:pt idx="2033">
                  <c:v>104.883</c:v>
                </c:pt>
                <c:pt idx="2034">
                  <c:v>104.883</c:v>
                </c:pt>
                <c:pt idx="2035">
                  <c:v>104.883</c:v>
                </c:pt>
                <c:pt idx="2036">
                  <c:v>104.883</c:v>
                </c:pt>
                <c:pt idx="2037">
                  <c:v>104.88200000000001</c:v>
                </c:pt>
                <c:pt idx="2038">
                  <c:v>104.88200000000001</c:v>
                </c:pt>
                <c:pt idx="2039">
                  <c:v>104.88200000000001</c:v>
                </c:pt>
                <c:pt idx="2040">
                  <c:v>104.88200000000001</c:v>
                </c:pt>
                <c:pt idx="2041">
                  <c:v>104.881</c:v>
                </c:pt>
                <c:pt idx="2042">
                  <c:v>104.881</c:v>
                </c:pt>
                <c:pt idx="2043">
                  <c:v>104.881</c:v>
                </c:pt>
                <c:pt idx="2044">
                  <c:v>104.881</c:v>
                </c:pt>
                <c:pt idx="2045">
                  <c:v>104.88</c:v>
                </c:pt>
                <c:pt idx="2046">
                  <c:v>104.88</c:v>
                </c:pt>
                <c:pt idx="2047">
                  <c:v>104.88</c:v>
                </c:pt>
                <c:pt idx="2048">
                  <c:v>104.879</c:v>
                </c:pt>
                <c:pt idx="2049">
                  <c:v>104.879</c:v>
                </c:pt>
                <c:pt idx="2050">
                  <c:v>104.879</c:v>
                </c:pt>
                <c:pt idx="2051">
                  <c:v>104.879</c:v>
                </c:pt>
                <c:pt idx="2052">
                  <c:v>104.878</c:v>
                </c:pt>
                <c:pt idx="2053">
                  <c:v>104.879</c:v>
                </c:pt>
                <c:pt idx="2054">
                  <c:v>104.878</c:v>
                </c:pt>
                <c:pt idx="2055">
                  <c:v>104.878</c:v>
                </c:pt>
                <c:pt idx="2056">
                  <c:v>104.878</c:v>
                </c:pt>
                <c:pt idx="2057">
                  <c:v>104.877</c:v>
                </c:pt>
                <c:pt idx="2058">
                  <c:v>104.877</c:v>
                </c:pt>
                <c:pt idx="2059">
                  <c:v>104.877</c:v>
                </c:pt>
                <c:pt idx="2060">
                  <c:v>104.877</c:v>
                </c:pt>
                <c:pt idx="2061">
                  <c:v>104.876</c:v>
                </c:pt>
                <c:pt idx="2062">
                  <c:v>104.877</c:v>
                </c:pt>
                <c:pt idx="2063">
                  <c:v>104.876</c:v>
                </c:pt>
                <c:pt idx="2064">
                  <c:v>104.875</c:v>
                </c:pt>
                <c:pt idx="2065">
                  <c:v>104.876</c:v>
                </c:pt>
                <c:pt idx="2066">
                  <c:v>104.875</c:v>
                </c:pt>
                <c:pt idx="2067">
                  <c:v>104.875</c:v>
                </c:pt>
                <c:pt idx="2068">
                  <c:v>104.875</c:v>
                </c:pt>
                <c:pt idx="2069">
                  <c:v>104.875</c:v>
                </c:pt>
                <c:pt idx="2070">
                  <c:v>104.874</c:v>
                </c:pt>
                <c:pt idx="2071">
                  <c:v>104.874</c:v>
                </c:pt>
                <c:pt idx="2072">
                  <c:v>104.874</c:v>
                </c:pt>
                <c:pt idx="2073">
                  <c:v>104.873</c:v>
                </c:pt>
                <c:pt idx="2074">
                  <c:v>104.874</c:v>
                </c:pt>
                <c:pt idx="2075">
                  <c:v>104.873</c:v>
                </c:pt>
                <c:pt idx="2076">
                  <c:v>104.872</c:v>
                </c:pt>
                <c:pt idx="2077">
                  <c:v>104.873</c:v>
                </c:pt>
                <c:pt idx="2078">
                  <c:v>104.872</c:v>
                </c:pt>
                <c:pt idx="2079">
                  <c:v>104.873</c:v>
                </c:pt>
                <c:pt idx="2080">
                  <c:v>104.872</c:v>
                </c:pt>
                <c:pt idx="2081">
                  <c:v>104.871</c:v>
                </c:pt>
                <c:pt idx="2082">
                  <c:v>104.872</c:v>
                </c:pt>
                <c:pt idx="2083">
                  <c:v>104.871</c:v>
                </c:pt>
                <c:pt idx="2084">
                  <c:v>104.87</c:v>
                </c:pt>
                <c:pt idx="2085">
                  <c:v>104.871</c:v>
                </c:pt>
                <c:pt idx="2086">
                  <c:v>104.87</c:v>
                </c:pt>
                <c:pt idx="2087">
                  <c:v>104.87</c:v>
                </c:pt>
                <c:pt idx="2088">
                  <c:v>104.87</c:v>
                </c:pt>
                <c:pt idx="2089">
                  <c:v>104.869</c:v>
                </c:pt>
                <c:pt idx="2090">
                  <c:v>104.87</c:v>
                </c:pt>
                <c:pt idx="2091">
                  <c:v>104.869</c:v>
                </c:pt>
                <c:pt idx="2092">
                  <c:v>104.869</c:v>
                </c:pt>
                <c:pt idx="2093">
                  <c:v>104.869</c:v>
                </c:pt>
                <c:pt idx="2094">
                  <c:v>104.86799999999999</c:v>
                </c:pt>
                <c:pt idx="2095">
                  <c:v>104.86799999999999</c:v>
                </c:pt>
                <c:pt idx="2096">
                  <c:v>104.86799999999999</c:v>
                </c:pt>
                <c:pt idx="2097">
                  <c:v>104.86799999999999</c:v>
                </c:pt>
                <c:pt idx="2098">
                  <c:v>104.867</c:v>
                </c:pt>
                <c:pt idx="2099">
                  <c:v>104.86799999999999</c:v>
                </c:pt>
                <c:pt idx="2100">
                  <c:v>104.867</c:v>
                </c:pt>
                <c:pt idx="2101">
                  <c:v>104.866</c:v>
                </c:pt>
                <c:pt idx="2102">
                  <c:v>104.867</c:v>
                </c:pt>
                <c:pt idx="2103">
                  <c:v>104.866</c:v>
                </c:pt>
                <c:pt idx="2104">
                  <c:v>104.866</c:v>
                </c:pt>
                <c:pt idx="2105">
                  <c:v>104.86499999999999</c:v>
                </c:pt>
                <c:pt idx="2106">
                  <c:v>104.866</c:v>
                </c:pt>
                <c:pt idx="2107">
                  <c:v>104.86499999999999</c:v>
                </c:pt>
                <c:pt idx="2108">
                  <c:v>104.86499999999999</c:v>
                </c:pt>
                <c:pt idx="2109">
                  <c:v>104.86499999999999</c:v>
                </c:pt>
                <c:pt idx="2110">
                  <c:v>104.86499999999999</c:v>
                </c:pt>
                <c:pt idx="2111">
                  <c:v>104.864</c:v>
                </c:pt>
                <c:pt idx="2112">
                  <c:v>104.864</c:v>
                </c:pt>
                <c:pt idx="2113">
                  <c:v>104.864</c:v>
                </c:pt>
                <c:pt idx="2114">
                  <c:v>104.864</c:v>
                </c:pt>
                <c:pt idx="2115">
                  <c:v>104.863</c:v>
                </c:pt>
                <c:pt idx="2116">
                  <c:v>104.863</c:v>
                </c:pt>
                <c:pt idx="2117">
                  <c:v>104.858</c:v>
                </c:pt>
                <c:pt idx="2118">
                  <c:v>104.852</c:v>
                </c:pt>
                <c:pt idx="2119">
                  <c:v>104.845</c:v>
                </c:pt>
                <c:pt idx="2120">
                  <c:v>104.839</c:v>
                </c:pt>
                <c:pt idx="2121">
                  <c:v>104.833</c:v>
                </c:pt>
                <c:pt idx="2122">
                  <c:v>104.827</c:v>
                </c:pt>
                <c:pt idx="2123">
                  <c:v>104.821</c:v>
                </c:pt>
                <c:pt idx="2124">
                  <c:v>104.815</c:v>
                </c:pt>
                <c:pt idx="2125">
                  <c:v>104.809</c:v>
                </c:pt>
                <c:pt idx="2126">
                  <c:v>104.803</c:v>
                </c:pt>
                <c:pt idx="2127">
                  <c:v>104.798</c:v>
                </c:pt>
                <c:pt idx="2128">
                  <c:v>104.791</c:v>
                </c:pt>
                <c:pt idx="2129">
                  <c:v>104.785</c:v>
                </c:pt>
                <c:pt idx="2130">
                  <c:v>104.779</c:v>
                </c:pt>
                <c:pt idx="2131">
                  <c:v>104.773</c:v>
                </c:pt>
                <c:pt idx="2132">
                  <c:v>104.76600000000001</c:v>
                </c:pt>
                <c:pt idx="2133">
                  <c:v>104.761</c:v>
                </c:pt>
                <c:pt idx="2134">
                  <c:v>104.755</c:v>
                </c:pt>
                <c:pt idx="2135">
                  <c:v>104.748</c:v>
                </c:pt>
                <c:pt idx="2136">
                  <c:v>104.74299999999999</c:v>
                </c:pt>
                <c:pt idx="2137">
                  <c:v>104.736</c:v>
                </c:pt>
                <c:pt idx="2138">
                  <c:v>104.73099999999999</c:v>
                </c:pt>
                <c:pt idx="2139">
                  <c:v>104.72499999999999</c:v>
                </c:pt>
                <c:pt idx="2140">
                  <c:v>104.718</c:v>
                </c:pt>
                <c:pt idx="2141">
                  <c:v>104.71299999999999</c:v>
                </c:pt>
                <c:pt idx="2142">
                  <c:v>104.706</c:v>
                </c:pt>
                <c:pt idx="2143">
                  <c:v>104.7</c:v>
                </c:pt>
                <c:pt idx="2144">
                  <c:v>104.69499999999999</c:v>
                </c:pt>
                <c:pt idx="2145">
                  <c:v>104.688</c:v>
                </c:pt>
                <c:pt idx="2146">
                  <c:v>104.68300000000001</c:v>
                </c:pt>
                <c:pt idx="2147">
                  <c:v>104.676</c:v>
                </c:pt>
                <c:pt idx="2148">
                  <c:v>104.67</c:v>
                </c:pt>
                <c:pt idx="2149">
                  <c:v>104.664</c:v>
                </c:pt>
                <c:pt idx="2150">
                  <c:v>104.658</c:v>
                </c:pt>
                <c:pt idx="2151">
                  <c:v>104.65300000000001</c:v>
                </c:pt>
                <c:pt idx="2152">
                  <c:v>104.646</c:v>
                </c:pt>
                <c:pt idx="2153">
                  <c:v>104.64</c:v>
                </c:pt>
                <c:pt idx="2154">
                  <c:v>104.634</c:v>
                </c:pt>
                <c:pt idx="2155">
                  <c:v>104.628</c:v>
                </c:pt>
                <c:pt idx="2156">
                  <c:v>104.622</c:v>
                </c:pt>
                <c:pt idx="2157">
                  <c:v>104.616</c:v>
                </c:pt>
                <c:pt idx="2158">
                  <c:v>104.60899999999999</c:v>
                </c:pt>
                <c:pt idx="2159">
                  <c:v>104.604</c:v>
                </c:pt>
                <c:pt idx="2160">
                  <c:v>104.59699999999999</c:v>
                </c:pt>
                <c:pt idx="2161">
                  <c:v>104.592</c:v>
                </c:pt>
                <c:pt idx="2162">
                  <c:v>104.58499999999999</c:v>
                </c:pt>
                <c:pt idx="2163">
                  <c:v>104.58</c:v>
                </c:pt>
                <c:pt idx="2164">
                  <c:v>104.57299999999999</c:v>
                </c:pt>
                <c:pt idx="2165">
                  <c:v>104.56699999999999</c:v>
                </c:pt>
                <c:pt idx="2166">
                  <c:v>104.56100000000001</c:v>
                </c:pt>
                <c:pt idx="2167">
                  <c:v>104.55500000000001</c:v>
                </c:pt>
                <c:pt idx="2168">
                  <c:v>104.54900000000001</c:v>
                </c:pt>
                <c:pt idx="2169">
                  <c:v>104.54300000000001</c:v>
                </c:pt>
                <c:pt idx="2170">
                  <c:v>104.53700000000001</c:v>
                </c:pt>
                <c:pt idx="2171">
                  <c:v>104.53100000000001</c:v>
                </c:pt>
                <c:pt idx="2172">
                  <c:v>104.52500000000001</c:v>
                </c:pt>
                <c:pt idx="2173">
                  <c:v>104.51900000000001</c:v>
                </c:pt>
                <c:pt idx="2174">
                  <c:v>104.51300000000001</c:v>
                </c:pt>
                <c:pt idx="2175">
                  <c:v>104.50700000000001</c:v>
                </c:pt>
                <c:pt idx="2176">
                  <c:v>104.501</c:v>
                </c:pt>
                <c:pt idx="2177">
                  <c:v>104.495</c:v>
                </c:pt>
                <c:pt idx="2178">
                  <c:v>104.489</c:v>
                </c:pt>
                <c:pt idx="2179">
                  <c:v>104.483</c:v>
                </c:pt>
                <c:pt idx="2180">
                  <c:v>104.477</c:v>
                </c:pt>
                <c:pt idx="2181">
                  <c:v>104.47</c:v>
                </c:pt>
                <c:pt idx="2182">
                  <c:v>104.465</c:v>
                </c:pt>
                <c:pt idx="2183">
                  <c:v>104.458</c:v>
                </c:pt>
                <c:pt idx="2184">
                  <c:v>104.453</c:v>
                </c:pt>
                <c:pt idx="2185">
                  <c:v>104.446</c:v>
                </c:pt>
                <c:pt idx="2186">
                  <c:v>104.441</c:v>
                </c:pt>
                <c:pt idx="2187">
                  <c:v>104.434</c:v>
                </c:pt>
                <c:pt idx="2188">
                  <c:v>104.428</c:v>
                </c:pt>
                <c:pt idx="2189">
                  <c:v>104.422</c:v>
                </c:pt>
                <c:pt idx="2190">
                  <c:v>104.416</c:v>
                </c:pt>
                <c:pt idx="2191">
                  <c:v>104.411</c:v>
                </c:pt>
                <c:pt idx="2192">
                  <c:v>104.404</c:v>
                </c:pt>
                <c:pt idx="2193">
                  <c:v>104.399</c:v>
                </c:pt>
                <c:pt idx="2194">
                  <c:v>104.392</c:v>
                </c:pt>
                <c:pt idx="2195">
                  <c:v>104.386</c:v>
                </c:pt>
                <c:pt idx="2196">
                  <c:v>104.38</c:v>
                </c:pt>
                <c:pt idx="2197">
                  <c:v>104.374</c:v>
                </c:pt>
                <c:pt idx="2198">
                  <c:v>104.367</c:v>
                </c:pt>
                <c:pt idx="2199">
                  <c:v>104.36199999999999</c:v>
                </c:pt>
                <c:pt idx="2200">
                  <c:v>104.35599999999999</c:v>
                </c:pt>
                <c:pt idx="2201">
                  <c:v>104.35</c:v>
                </c:pt>
                <c:pt idx="2202">
                  <c:v>104.34399999999999</c:v>
                </c:pt>
                <c:pt idx="2203">
                  <c:v>104.337</c:v>
                </c:pt>
                <c:pt idx="2204">
                  <c:v>104.33199999999999</c:v>
                </c:pt>
                <c:pt idx="2205">
                  <c:v>104.32599999999999</c:v>
                </c:pt>
                <c:pt idx="2206">
                  <c:v>104.319</c:v>
                </c:pt>
                <c:pt idx="2207">
                  <c:v>104.31399999999999</c:v>
                </c:pt>
                <c:pt idx="2208">
                  <c:v>104.307</c:v>
                </c:pt>
                <c:pt idx="2209">
                  <c:v>104.301</c:v>
                </c:pt>
                <c:pt idx="2210">
                  <c:v>104.29600000000001</c:v>
                </c:pt>
                <c:pt idx="2211">
                  <c:v>104.289</c:v>
                </c:pt>
                <c:pt idx="2212">
                  <c:v>104.283</c:v>
                </c:pt>
                <c:pt idx="2213">
                  <c:v>104.27800000000001</c:v>
                </c:pt>
                <c:pt idx="2214">
                  <c:v>104.271</c:v>
                </c:pt>
                <c:pt idx="2215">
                  <c:v>104.265</c:v>
                </c:pt>
                <c:pt idx="2216">
                  <c:v>104.26</c:v>
                </c:pt>
                <c:pt idx="2217">
                  <c:v>104.253</c:v>
                </c:pt>
                <c:pt idx="2218">
                  <c:v>104.247</c:v>
                </c:pt>
                <c:pt idx="2219">
                  <c:v>104.241</c:v>
                </c:pt>
                <c:pt idx="2220">
                  <c:v>104.235</c:v>
                </c:pt>
                <c:pt idx="2221">
                  <c:v>104.229</c:v>
                </c:pt>
                <c:pt idx="2222">
                  <c:v>104.22199999999999</c:v>
                </c:pt>
                <c:pt idx="2223">
                  <c:v>104.217</c:v>
                </c:pt>
                <c:pt idx="2224">
                  <c:v>104.211</c:v>
                </c:pt>
                <c:pt idx="2225">
                  <c:v>104.20399999999999</c:v>
                </c:pt>
                <c:pt idx="2226">
                  <c:v>104.199</c:v>
                </c:pt>
                <c:pt idx="2227">
                  <c:v>104.193</c:v>
                </c:pt>
                <c:pt idx="2228">
                  <c:v>104.18600000000001</c:v>
                </c:pt>
                <c:pt idx="2229">
                  <c:v>104.18</c:v>
                </c:pt>
                <c:pt idx="2230">
                  <c:v>104.175</c:v>
                </c:pt>
                <c:pt idx="2231">
                  <c:v>104.169</c:v>
                </c:pt>
                <c:pt idx="2232">
                  <c:v>104.161</c:v>
                </c:pt>
                <c:pt idx="2233">
                  <c:v>104.14100000000001</c:v>
                </c:pt>
                <c:pt idx="2234">
                  <c:v>104.121</c:v>
                </c:pt>
                <c:pt idx="2235">
                  <c:v>104.099</c:v>
                </c:pt>
                <c:pt idx="2236">
                  <c:v>104.07899999999999</c:v>
                </c:pt>
                <c:pt idx="2237">
                  <c:v>104.059</c:v>
                </c:pt>
                <c:pt idx="2238">
                  <c:v>104.038</c:v>
                </c:pt>
                <c:pt idx="2239">
                  <c:v>104.018</c:v>
                </c:pt>
                <c:pt idx="2240">
                  <c:v>103.998</c:v>
                </c:pt>
                <c:pt idx="2241">
                  <c:v>103.97799999999999</c:v>
                </c:pt>
                <c:pt idx="2242">
                  <c:v>103.95699999999999</c:v>
                </c:pt>
                <c:pt idx="2243">
                  <c:v>103.937</c:v>
                </c:pt>
                <c:pt idx="2244">
                  <c:v>103.917</c:v>
                </c:pt>
                <c:pt idx="2245">
                  <c:v>103.896</c:v>
                </c:pt>
                <c:pt idx="2246">
                  <c:v>103.876</c:v>
                </c:pt>
                <c:pt idx="2247">
                  <c:v>103.85599999999999</c:v>
                </c:pt>
                <c:pt idx="2248">
                  <c:v>103.83499999999999</c:v>
                </c:pt>
                <c:pt idx="2249">
                  <c:v>103.815</c:v>
                </c:pt>
                <c:pt idx="2250">
                  <c:v>103.795</c:v>
                </c:pt>
                <c:pt idx="2251">
                  <c:v>103.773</c:v>
                </c:pt>
                <c:pt idx="2252">
                  <c:v>103.753</c:v>
                </c:pt>
                <c:pt idx="2253">
                  <c:v>103.733</c:v>
                </c:pt>
                <c:pt idx="2254">
                  <c:v>103.712</c:v>
                </c:pt>
                <c:pt idx="2255">
                  <c:v>103.69199999999999</c:v>
                </c:pt>
                <c:pt idx="2256">
                  <c:v>103.672</c:v>
                </c:pt>
                <c:pt idx="2257">
                  <c:v>103.652</c:v>
                </c:pt>
                <c:pt idx="2258">
                  <c:v>103.631</c:v>
                </c:pt>
                <c:pt idx="2259">
                  <c:v>103.611</c:v>
                </c:pt>
                <c:pt idx="2260">
                  <c:v>103.59099999999999</c:v>
                </c:pt>
                <c:pt idx="2261">
                  <c:v>103.57</c:v>
                </c:pt>
                <c:pt idx="2262">
                  <c:v>103.55</c:v>
                </c:pt>
                <c:pt idx="2263">
                  <c:v>103.53</c:v>
                </c:pt>
                <c:pt idx="2264">
                  <c:v>103.509</c:v>
                </c:pt>
                <c:pt idx="2265">
                  <c:v>103.489</c:v>
                </c:pt>
                <c:pt idx="2266">
                  <c:v>103.46899999999999</c:v>
                </c:pt>
                <c:pt idx="2267">
                  <c:v>103.44799999999999</c:v>
                </c:pt>
                <c:pt idx="2268">
                  <c:v>103.428</c:v>
                </c:pt>
                <c:pt idx="2269">
                  <c:v>103.407</c:v>
                </c:pt>
                <c:pt idx="2270">
                  <c:v>103.386</c:v>
                </c:pt>
                <c:pt idx="2271">
                  <c:v>103.366</c:v>
                </c:pt>
                <c:pt idx="2272">
                  <c:v>103.346</c:v>
                </c:pt>
                <c:pt idx="2273">
                  <c:v>103.325</c:v>
                </c:pt>
                <c:pt idx="2274">
                  <c:v>103.30500000000001</c:v>
                </c:pt>
                <c:pt idx="2275">
                  <c:v>103.285</c:v>
                </c:pt>
                <c:pt idx="2276">
                  <c:v>103.265</c:v>
                </c:pt>
                <c:pt idx="2277">
                  <c:v>103.244</c:v>
                </c:pt>
                <c:pt idx="2278">
                  <c:v>103.224</c:v>
                </c:pt>
                <c:pt idx="2279">
                  <c:v>103.20399999999999</c:v>
                </c:pt>
                <c:pt idx="2280">
                  <c:v>103.18300000000001</c:v>
                </c:pt>
                <c:pt idx="2281">
                  <c:v>103.163</c:v>
                </c:pt>
                <c:pt idx="2282">
                  <c:v>103.143</c:v>
                </c:pt>
                <c:pt idx="2283">
                  <c:v>103.122</c:v>
                </c:pt>
                <c:pt idx="2284">
                  <c:v>103.102</c:v>
                </c:pt>
                <c:pt idx="2285">
                  <c:v>103.08199999999999</c:v>
                </c:pt>
                <c:pt idx="2286">
                  <c:v>103.06100000000001</c:v>
                </c:pt>
                <c:pt idx="2287">
                  <c:v>103.041</c:v>
                </c:pt>
                <c:pt idx="2288">
                  <c:v>103.021</c:v>
                </c:pt>
                <c:pt idx="2289">
                  <c:v>102.999</c:v>
                </c:pt>
                <c:pt idx="2290">
                  <c:v>102.979</c:v>
                </c:pt>
                <c:pt idx="2291">
                  <c:v>102.959</c:v>
                </c:pt>
                <c:pt idx="2292">
                  <c:v>102.938</c:v>
                </c:pt>
                <c:pt idx="2293">
                  <c:v>102.91800000000001</c:v>
                </c:pt>
                <c:pt idx="2294">
                  <c:v>102.898</c:v>
                </c:pt>
                <c:pt idx="2295">
                  <c:v>102.877</c:v>
                </c:pt>
                <c:pt idx="2296">
                  <c:v>102.857</c:v>
                </c:pt>
                <c:pt idx="2297">
                  <c:v>102.837</c:v>
                </c:pt>
                <c:pt idx="2298">
                  <c:v>102.816</c:v>
                </c:pt>
                <c:pt idx="2299">
                  <c:v>102.79600000000001</c:v>
                </c:pt>
                <c:pt idx="2300">
                  <c:v>102.776</c:v>
                </c:pt>
                <c:pt idx="2301">
                  <c:v>102.755</c:v>
                </c:pt>
                <c:pt idx="2302">
                  <c:v>102.735</c:v>
                </c:pt>
                <c:pt idx="2303">
                  <c:v>102.715</c:v>
                </c:pt>
                <c:pt idx="2304">
                  <c:v>102.694</c:v>
                </c:pt>
                <c:pt idx="2305">
                  <c:v>102.67400000000001</c:v>
                </c:pt>
                <c:pt idx="2306">
                  <c:v>102.654</c:v>
                </c:pt>
                <c:pt idx="2307">
                  <c:v>102.633</c:v>
                </c:pt>
                <c:pt idx="2308">
                  <c:v>102.613</c:v>
                </c:pt>
                <c:pt idx="2309">
                  <c:v>102.593</c:v>
                </c:pt>
                <c:pt idx="2310">
                  <c:v>102.572</c:v>
                </c:pt>
                <c:pt idx="2311">
                  <c:v>102.551</c:v>
                </c:pt>
                <c:pt idx="2312">
                  <c:v>102.53100000000001</c:v>
                </c:pt>
                <c:pt idx="2313">
                  <c:v>102.51</c:v>
                </c:pt>
                <c:pt idx="2314">
                  <c:v>102.49</c:v>
                </c:pt>
                <c:pt idx="2315">
                  <c:v>102.47</c:v>
                </c:pt>
                <c:pt idx="2316">
                  <c:v>102.449</c:v>
                </c:pt>
                <c:pt idx="2317">
                  <c:v>102.429</c:v>
                </c:pt>
                <c:pt idx="2318">
                  <c:v>102.40900000000001</c:v>
                </c:pt>
                <c:pt idx="2319">
                  <c:v>102.38800000000001</c:v>
                </c:pt>
                <c:pt idx="2320">
                  <c:v>102.36799999999999</c:v>
                </c:pt>
                <c:pt idx="2321">
                  <c:v>102.348</c:v>
                </c:pt>
                <c:pt idx="2322">
                  <c:v>102.327</c:v>
                </c:pt>
                <c:pt idx="2323">
                  <c:v>102.307</c:v>
                </c:pt>
                <c:pt idx="2324">
                  <c:v>102.28700000000001</c:v>
                </c:pt>
                <c:pt idx="2325">
                  <c:v>102.26600000000001</c:v>
                </c:pt>
                <c:pt idx="2326">
                  <c:v>102.246</c:v>
                </c:pt>
                <c:pt idx="2327">
                  <c:v>102.226</c:v>
                </c:pt>
                <c:pt idx="2328">
                  <c:v>102.205</c:v>
                </c:pt>
                <c:pt idx="2329">
                  <c:v>102.185</c:v>
                </c:pt>
                <c:pt idx="2330">
                  <c:v>102.16500000000001</c:v>
                </c:pt>
                <c:pt idx="2331">
                  <c:v>102.14400000000001</c:v>
                </c:pt>
                <c:pt idx="2332">
                  <c:v>102.124</c:v>
                </c:pt>
                <c:pt idx="2333">
                  <c:v>102.104</c:v>
                </c:pt>
                <c:pt idx="2334">
                  <c:v>102.083</c:v>
                </c:pt>
                <c:pt idx="2335">
                  <c:v>102.063</c:v>
                </c:pt>
                <c:pt idx="2336">
                  <c:v>102.04300000000001</c:v>
                </c:pt>
                <c:pt idx="2337">
                  <c:v>102.021</c:v>
                </c:pt>
                <c:pt idx="2338">
                  <c:v>102.001</c:v>
                </c:pt>
                <c:pt idx="2339">
                  <c:v>101.98099999999999</c:v>
                </c:pt>
                <c:pt idx="2340">
                  <c:v>101.96</c:v>
                </c:pt>
                <c:pt idx="2341">
                  <c:v>101.94</c:v>
                </c:pt>
                <c:pt idx="2342">
                  <c:v>101.92</c:v>
                </c:pt>
                <c:pt idx="2343">
                  <c:v>101.899</c:v>
                </c:pt>
                <c:pt idx="2344">
                  <c:v>101.879</c:v>
                </c:pt>
                <c:pt idx="2345">
                  <c:v>101.85899999999999</c:v>
                </c:pt>
                <c:pt idx="2346">
                  <c:v>101.83799999999999</c:v>
                </c:pt>
                <c:pt idx="2347">
                  <c:v>101.818</c:v>
                </c:pt>
                <c:pt idx="2348">
                  <c:v>101.798</c:v>
                </c:pt>
                <c:pt idx="2349">
                  <c:v>101.777</c:v>
                </c:pt>
                <c:pt idx="2350">
                  <c:v>101.75700000000001</c:v>
                </c:pt>
                <c:pt idx="2351">
                  <c:v>101.73699999999999</c:v>
                </c:pt>
                <c:pt idx="2352">
                  <c:v>101.71599999999999</c:v>
                </c:pt>
                <c:pt idx="2353">
                  <c:v>101.696</c:v>
                </c:pt>
                <c:pt idx="2354">
                  <c:v>101.676</c:v>
                </c:pt>
                <c:pt idx="2355">
                  <c:v>101.655</c:v>
                </c:pt>
                <c:pt idx="2356">
                  <c:v>101.63500000000001</c:v>
                </c:pt>
                <c:pt idx="2357">
                  <c:v>101.61499999999999</c:v>
                </c:pt>
                <c:pt idx="2358">
                  <c:v>101.59399999999999</c:v>
                </c:pt>
                <c:pt idx="2359">
                  <c:v>101.574</c:v>
                </c:pt>
                <c:pt idx="2360">
                  <c:v>101.554</c:v>
                </c:pt>
                <c:pt idx="2361">
                  <c:v>101.533</c:v>
                </c:pt>
                <c:pt idx="2362">
                  <c:v>101.51300000000001</c:v>
                </c:pt>
                <c:pt idx="2363">
                  <c:v>101.49299999999999</c:v>
                </c:pt>
                <c:pt idx="2364">
                  <c:v>101.47199999999999</c:v>
                </c:pt>
                <c:pt idx="2365">
                  <c:v>101.45099999999999</c:v>
                </c:pt>
                <c:pt idx="2366">
                  <c:v>101.431</c:v>
                </c:pt>
                <c:pt idx="2367">
                  <c:v>101.431</c:v>
                </c:pt>
                <c:pt idx="2368">
                  <c:v>101.446</c:v>
                </c:pt>
                <c:pt idx="2369">
                  <c:v>101.461</c:v>
                </c:pt>
                <c:pt idx="2370">
                  <c:v>101.47499999999999</c:v>
                </c:pt>
                <c:pt idx="2371">
                  <c:v>101.49</c:v>
                </c:pt>
                <c:pt idx="2372">
                  <c:v>101.505</c:v>
                </c:pt>
                <c:pt idx="2373">
                  <c:v>101.51900000000001</c:v>
                </c:pt>
                <c:pt idx="2374">
                  <c:v>101.53400000000001</c:v>
                </c:pt>
                <c:pt idx="2375">
                  <c:v>101.54900000000001</c:v>
                </c:pt>
                <c:pt idx="2376">
                  <c:v>101.563</c:v>
                </c:pt>
                <c:pt idx="2377">
                  <c:v>101.578</c:v>
                </c:pt>
                <c:pt idx="2378">
                  <c:v>101.593</c:v>
                </c:pt>
                <c:pt idx="2379">
                  <c:v>101.607</c:v>
                </c:pt>
                <c:pt idx="2380">
                  <c:v>101.622</c:v>
                </c:pt>
                <c:pt idx="2381">
                  <c:v>101.636</c:v>
                </c:pt>
                <c:pt idx="2382">
                  <c:v>101.651</c:v>
                </c:pt>
                <c:pt idx="2383">
                  <c:v>101.666</c:v>
                </c:pt>
                <c:pt idx="2384">
                  <c:v>101.68</c:v>
                </c:pt>
                <c:pt idx="2385">
                  <c:v>101.69499999999999</c:v>
                </c:pt>
                <c:pt idx="2386">
                  <c:v>101.71</c:v>
                </c:pt>
                <c:pt idx="2387">
                  <c:v>101.724</c:v>
                </c:pt>
                <c:pt idx="2388">
                  <c:v>101.739</c:v>
                </c:pt>
                <c:pt idx="2389">
                  <c:v>101.753</c:v>
                </c:pt>
                <c:pt idx="2390">
                  <c:v>101.768</c:v>
                </c:pt>
                <c:pt idx="2391">
                  <c:v>101.783</c:v>
                </c:pt>
                <c:pt idx="2392">
                  <c:v>101.797</c:v>
                </c:pt>
                <c:pt idx="2393">
                  <c:v>101.812</c:v>
                </c:pt>
                <c:pt idx="2394">
                  <c:v>101.827</c:v>
                </c:pt>
                <c:pt idx="2395">
                  <c:v>101.84099999999999</c:v>
                </c:pt>
                <c:pt idx="2396">
                  <c:v>101.85599999999999</c:v>
                </c:pt>
                <c:pt idx="2397">
                  <c:v>101.87</c:v>
                </c:pt>
                <c:pt idx="2398">
                  <c:v>101.88500000000001</c:v>
                </c:pt>
                <c:pt idx="2399">
                  <c:v>101.9</c:v>
                </c:pt>
                <c:pt idx="2400">
                  <c:v>101.914</c:v>
                </c:pt>
                <c:pt idx="2401">
                  <c:v>101.929</c:v>
                </c:pt>
                <c:pt idx="2402">
                  <c:v>101.943</c:v>
                </c:pt>
                <c:pt idx="2403">
                  <c:v>101.958</c:v>
                </c:pt>
                <c:pt idx="2404">
                  <c:v>101.973</c:v>
                </c:pt>
                <c:pt idx="2405">
                  <c:v>101.98699999999999</c:v>
                </c:pt>
                <c:pt idx="2406">
                  <c:v>102.002</c:v>
                </c:pt>
                <c:pt idx="2407">
                  <c:v>102.01600000000001</c:v>
                </c:pt>
                <c:pt idx="2408">
                  <c:v>102.03100000000001</c:v>
                </c:pt>
                <c:pt idx="2409">
                  <c:v>102.04600000000001</c:v>
                </c:pt>
                <c:pt idx="2410">
                  <c:v>102.06</c:v>
                </c:pt>
                <c:pt idx="2411">
                  <c:v>102.075</c:v>
                </c:pt>
                <c:pt idx="2412">
                  <c:v>102.089</c:v>
                </c:pt>
                <c:pt idx="2413">
                  <c:v>102.104</c:v>
                </c:pt>
                <c:pt idx="2414">
                  <c:v>102.119</c:v>
                </c:pt>
                <c:pt idx="2415">
                  <c:v>102.134</c:v>
                </c:pt>
                <c:pt idx="2416">
                  <c:v>102.149</c:v>
                </c:pt>
                <c:pt idx="2417">
                  <c:v>102.163</c:v>
                </c:pt>
                <c:pt idx="2418">
                  <c:v>102.178</c:v>
                </c:pt>
                <c:pt idx="2419">
                  <c:v>102.19199999999999</c:v>
                </c:pt>
                <c:pt idx="2420">
                  <c:v>102.20699999999999</c:v>
                </c:pt>
                <c:pt idx="2421">
                  <c:v>102.221</c:v>
                </c:pt>
                <c:pt idx="2422">
                  <c:v>102.236</c:v>
                </c:pt>
                <c:pt idx="2423">
                  <c:v>102.251</c:v>
                </c:pt>
                <c:pt idx="2424">
                  <c:v>102.265</c:v>
                </c:pt>
                <c:pt idx="2425">
                  <c:v>102.28</c:v>
                </c:pt>
                <c:pt idx="2426">
                  <c:v>102.294</c:v>
                </c:pt>
                <c:pt idx="2427">
                  <c:v>102.309</c:v>
                </c:pt>
                <c:pt idx="2428">
                  <c:v>102.32299999999999</c:v>
                </c:pt>
                <c:pt idx="2429">
                  <c:v>102.33799999999999</c:v>
                </c:pt>
                <c:pt idx="2430">
                  <c:v>102.35299999999999</c:v>
                </c:pt>
                <c:pt idx="2431">
                  <c:v>102.367</c:v>
                </c:pt>
                <c:pt idx="2432">
                  <c:v>102.383</c:v>
                </c:pt>
                <c:pt idx="2433">
                  <c:v>102.39700000000001</c:v>
                </c:pt>
                <c:pt idx="2434">
                  <c:v>102.41200000000001</c:v>
                </c:pt>
                <c:pt idx="2435">
                  <c:v>102.426</c:v>
                </c:pt>
                <c:pt idx="2436">
                  <c:v>102.441</c:v>
                </c:pt>
                <c:pt idx="2437">
                  <c:v>102.455</c:v>
                </c:pt>
                <c:pt idx="2438">
                  <c:v>102.47</c:v>
                </c:pt>
                <c:pt idx="2439">
                  <c:v>102.48399999999999</c:v>
                </c:pt>
                <c:pt idx="2440">
                  <c:v>102.499</c:v>
                </c:pt>
                <c:pt idx="2441">
                  <c:v>102.514</c:v>
                </c:pt>
                <c:pt idx="2442">
                  <c:v>102.52800000000001</c:v>
                </c:pt>
                <c:pt idx="2443">
                  <c:v>102.54300000000001</c:v>
                </c:pt>
                <c:pt idx="2444">
                  <c:v>102.55800000000001</c:v>
                </c:pt>
                <c:pt idx="2445">
                  <c:v>102.57299999999999</c:v>
                </c:pt>
                <c:pt idx="2446">
                  <c:v>102.587</c:v>
                </c:pt>
                <c:pt idx="2447">
                  <c:v>102.602</c:v>
                </c:pt>
                <c:pt idx="2448">
                  <c:v>102.616</c:v>
                </c:pt>
                <c:pt idx="2449">
                  <c:v>102.631</c:v>
                </c:pt>
                <c:pt idx="2450">
                  <c:v>102.645</c:v>
                </c:pt>
                <c:pt idx="2451">
                  <c:v>102.66</c:v>
                </c:pt>
                <c:pt idx="2452">
                  <c:v>102.67400000000001</c:v>
                </c:pt>
                <c:pt idx="2453">
                  <c:v>102.68899999999999</c:v>
                </c:pt>
                <c:pt idx="2454">
                  <c:v>102.70399999999999</c:v>
                </c:pt>
                <c:pt idx="2455">
                  <c:v>102.71899999999999</c:v>
                </c:pt>
                <c:pt idx="2456">
                  <c:v>102.733</c:v>
                </c:pt>
                <c:pt idx="2457">
                  <c:v>102.748</c:v>
                </c:pt>
                <c:pt idx="2458">
                  <c:v>102.762</c:v>
                </c:pt>
                <c:pt idx="2459">
                  <c:v>102.777</c:v>
                </c:pt>
                <c:pt idx="2460">
                  <c:v>102.791</c:v>
                </c:pt>
                <c:pt idx="2461">
                  <c:v>102.806</c:v>
                </c:pt>
                <c:pt idx="2462">
                  <c:v>102.82</c:v>
                </c:pt>
                <c:pt idx="2463">
                  <c:v>102.83499999999999</c:v>
                </c:pt>
                <c:pt idx="2464">
                  <c:v>102.85</c:v>
                </c:pt>
                <c:pt idx="2465">
                  <c:v>102.86499999999999</c:v>
                </c:pt>
                <c:pt idx="2466">
                  <c:v>102.879</c:v>
                </c:pt>
                <c:pt idx="2467">
                  <c:v>102.89400000000001</c:v>
                </c:pt>
                <c:pt idx="2468">
                  <c:v>102.90900000000001</c:v>
                </c:pt>
                <c:pt idx="2469">
                  <c:v>102.923</c:v>
                </c:pt>
                <c:pt idx="2470">
                  <c:v>102.938</c:v>
                </c:pt>
                <c:pt idx="2471">
                  <c:v>102.952</c:v>
                </c:pt>
                <c:pt idx="2472">
                  <c:v>102.967</c:v>
                </c:pt>
                <c:pt idx="2473">
                  <c:v>102.98099999999999</c:v>
                </c:pt>
                <c:pt idx="2474">
                  <c:v>102.997</c:v>
                </c:pt>
                <c:pt idx="2475">
                  <c:v>103.011</c:v>
                </c:pt>
                <c:pt idx="2476">
                  <c:v>103.026</c:v>
                </c:pt>
                <c:pt idx="2477">
                  <c:v>103.04</c:v>
                </c:pt>
                <c:pt idx="2478">
                  <c:v>103.05500000000001</c:v>
                </c:pt>
                <c:pt idx="2479">
                  <c:v>103.069</c:v>
                </c:pt>
                <c:pt idx="2480">
                  <c:v>103.084</c:v>
                </c:pt>
                <c:pt idx="2481">
                  <c:v>103.099</c:v>
                </c:pt>
                <c:pt idx="2482">
                  <c:v>103.10899999999999</c:v>
                </c:pt>
                <c:pt idx="2483">
                  <c:v>103.11799999999999</c:v>
                </c:pt>
                <c:pt idx="2484">
                  <c:v>103.126</c:v>
                </c:pt>
                <c:pt idx="2485">
                  <c:v>103.13500000000001</c:v>
                </c:pt>
                <c:pt idx="2486">
                  <c:v>103.143</c:v>
                </c:pt>
                <c:pt idx="2487">
                  <c:v>103.151</c:v>
                </c:pt>
                <c:pt idx="2488">
                  <c:v>103.15900000000001</c:v>
                </c:pt>
                <c:pt idx="2489">
                  <c:v>103.16800000000001</c:v>
                </c:pt>
                <c:pt idx="2490">
                  <c:v>103.176</c:v>
                </c:pt>
                <c:pt idx="2491">
                  <c:v>103.185</c:v>
                </c:pt>
                <c:pt idx="2492">
                  <c:v>103.193</c:v>
                </c:pt>
                <c:pt idx="2493">
                  <c:v>103.202</c:v>
                </c:pt>
                <c:pt idx="2494">
                  <c:v>103.21</c:v>
                </c:pt>
                <c:pt idx="2495">
                  <c:v>103.21899999999999</c:v>
                </c:pt>
                <c:pt idx="2496">
                  <c:v>103.227</c:v>
                </c:pt>
                <c:pt idx="2497">
                  <c:v>103.236</c:v>
                </c:pt>
                <c:pt idx="2498">
                  <c:v>103.244</c:v>
                </c:pt>
                <c:pt idx="2499">
                  <c:v>103.253</c:v>
                </c:pt>
                <c:pt idx="2500">
                  <c:v>103.261</c:v>
                </c:pt>
                <c:pt idx="2501">
                  <c:v>103.27</c:v>
                </c:pt>
                <c:pt idx="2502">
                  <c:v>103.27800000000001</c:v>
                </c:pt>
                <c:pt idx="2503">
                  <c:v>103.28700000000001</c:v>
                </c:pt>
                <c:pt idx="2504">
                  <c:v>103.295</c:v>
                </c:pt>
                <c:pt idx="2505">
                  <c:v>103.304</c:v>
                </c:pt>
                <c:pt idx="2506">
                  <c:v>103.312</c:v>
                </c:pt>
                <c:pt idx="2507">
                  <c:v>103.321</c:v>
                </c:pt>
                <c:pt idx="2508">
                  <c:v>103.32899999999999</c:v>
                </c:pt>
                <c:pt idx="2509">
                  <c:v>103.33799999999999</c:v>
                </c:pt>
                <c:pt idx="2510">
                  <c:v>103.346</c:v>
                </c:pt>
                <c:pt idx="2511">
                  <c:v>103.355</c:v>
                </c:pt>
                <c:pt idx="2512">
                  <c:v>103.363</c:v>
                </c:pt>
                <c:pt idx="2513">
                  <c:v>103.372</c:v>
                </c:pt>
                <c:pt idx="2514">
                  <c:v>103.38</c:v>
                </c:pt>
                <c:pt idx="2515">
                  <c:v>103.389</c:v>
                </c:pt>
                <c:pt idx="2516">
                  <c:v>103.39700000000001</c:v>
                </c:pt>
                <c:pt idx="2517">
                  <c:v>103.40600000000001</c:v>
                </c:pt>
                <c:pt idx="2518">
                  <c:v>103.413</c:v>
                </c:pt>
                <c:pt idx="2519">
                  <c:v>103.422</c:v>
                </c:pt>
                <c:pt idx="2520">
                  <c:v>103.43</c:v>
                </c:pt>
                <c:pt idx="2521">
                  <c:v>103.43899999999999</c:v>
                </c:pt>
                <c:pt idx="2522">
                  <c:v>103.447</c:v>
                </c:pt>
                <c:pt idx="2523">
                  <c:v>103.455</c:v>
                </c:pt>
                <c:pt idx="2524">
                  <c:v>103.464</c:v>
                </c:pt>
                <c:pt idx="2525">
                  <c:v>103.47199999999999</c:v>
                </c:pt>
                <c:pt idx="2526">
                  <c:v>103.48099999999999</c:v>
                </c:pt>
                <c:pt idx="2527">
                  <c:v>103.489</c:v>
                </c:pt>
                <c:pt idx="2528">
                  <c:v>103.498</c:v>
                </c:pt>
                <c:pt idx="2529">
                  <c:v>103.506</c:v>
                </c:pt>
                <c:pt idx="2530">
                  <c:v>103.515</c:v>
                </c:pt>
                <c:pt idx="2531">
                  <c:v>103.523</c:v>
                </c:pt>
                <c:pt idx="2532">
                  <c:v>103.532</c:v>
                </c:pt>
                <c:pt idx="2533">
                  <c:v>103.54</c:v>
                </c:pt>
                <c:pt idx="2534">
                  <c:v>103.54900000000001</c:v>
                </c:pt>
                <c:pt idx="2535">
                  <c:v>103.557</c:v>
                </c:pt>
                <c:pt idx="2536">
                  <c:v>103.566</c:v>
                </c:pt>
                <c:pt idx="2537">
                  <c:v>103.574</c:v>
                </c:pt>
                <c:pt idx="2538">
                  <c:v>103.583</c:v>
                </c:pt>
                <c:pt idx="2539">
                  <c:v>103.59099999999999</c:v>
                </c:pt>
                <c:pt idx="2540">
                  <c:v>103.6</c:v>
                </c:pt>
                <c:pt idx="2541">
                  <c:v>103.608</c:v>
                </c:pt>
                <c:pt idx="2542">
                  <c:v>103.617</c:v>
                </c:pt>
                <c:pt idx="2543">
                  <c:v>103.625</c:v>
                </c:pt>
                <c:pt idx="2544">
                  <c:v>103.634</c:v>
                </c:pt>
                <c:pt idx="2545">
                  <c:v>103.642</c:v>
                </c:pt>
                <c:pt idx="2546">
                  <c:v>103.651</c:v>
                </c:pt>
                <c:pt idx="2547">
                  <c:v>103.65900000000001</c:v>
                </c:pt>
                <c:pt idx="2548">
                  <c:v>103.66800000000001</c:v>
                </c:pt>
                <c:pt idx="2549">
                  <c:v>103.675</c:v>
                </c:pt>
                <c:pt idx="2550">
                  <c:v>103.684</c:v>
                </c:pt>
                <c:pt idx="2551">
                  <c:v>103.69199999999999</c:v>
                </c:pt>
                <c:pt idx="2552">
                  <c:v>103.70099999999999</c:v>
                </c:pt>
                <c:pt idx="2553">
                  <c:v>103.71</c:v>
                </c:pt>
                <c:pt idx="2554">
                  <c:v>103.718</c:v>
                </c:pt>
                <c:pt idx="2555">
                  <c:v>103.727</c:v>
                </c:pt>
                <c:pt idx="2556">
                  <c:v>103.735</c:v>
                </c:pt>
                <c:pt idx="2557">
                  <c:v>103.744</c:v>
                </c:pt>
                <c:pt idx="2558">
                  <c:v>103.752</c:v>
                </c:pt>
                <c:pt idx="2559">
                  <c:v>103.761</c:v>
                </c:pt>
                <c:pt idx="2560">
                  <c:v>103.76900000000001</c:v>
                </c:pt>
                <c:pt idx="2561">
                  <c:v>103.77800000000001</c:v>
                </c:pt>
                <c:pt idx="2562">
                  <c:v>103.786</c:v>
                </c:pt>
                <c:pt idx="2563">
                  <c:v>103.795</c:v>
                </c:pt>
                <c:pt idx="2564">
                  <c:v>103.803</c:v>
                </c:pt>
                <c:pt idx="2565">
                  <c:v>103.81100000000001</c:v>
                </c:pt>
                <c:pt idx="2566">
                  <c:v>103.819</c:v>
                </c:pt>
                <c:pt idx="2567">
                  <c:v>103.828</c:v>
                </c:pt>
                <c:pt idx="2568">
                  <c:v>103.836</c:v>
                </c:pt>
                <c:pt idx="2569">
                  <c:v>103.845</c:v>
                </c:pt>
                <c:pt idx="2570">
                  <c:v>103.854</c:v>
                </c:pt>
                <c:pt idx="2571">
                  <c:v>103.86199999999999</c:v>
                </c:pt>
                <c:pt idx="2572">
                  <c:v>103.871</c:v>
                </c:pt>
                <c:pt idx="2573">
                  <c:v>103.879</c:v>
                </c:pt>
                <c:pt idx="2574">
                  <c:v>103.88800000000001</c:v>
                </c:pt>
                <c:pt idx="2575">
                  <c:v>103.896</c:v>
                </c:pt>
                <c:pt idx="2576">
                  <c:v>103.905</c:v>
                </c:pt>
                <c:pt idx="2577">
                  <c:v>103.91200000000001</c:v>
                </c:pt>
                <c:pt idx="2578">
                  <c:v>103.92100000000001</c:v>
                </c:pt>
                <c:pt idx="2579">
                  <c:v>103.93</c:v>
                </c:pt>
                <c:pt idx="2580">
                  <c:v>103.938</c:v>
                </c:pt>
                <c:pt idx="2581">
                  <c:v>103.947</c:v>
                </c:pt>
                <c:pt idx="2582">
                  <c:v>103.955</c:v>
                </c:pt>
                <c:pt idx="2583">
                  <c:v>103.964</c:v>
                </c:pt>
                <c:pt idx="2584">
                  <c:v>103.97199999999999</c:v>
                </c:pt>
                <c:pt idx="2585">
                  <c:v>103.98099999999999</c:v>
                </c:pt>
                <c:pt idx="2586">
                  <c:v>103.989</c:v>
                </c:pt>
                <c:pt idx="2587">
                  <c:v>103.997</c:v>
                </c:pt>
                <c:pt idx="2588">
                  <c:v>104.006</c:v>
                </c:pt>
                <c:pt idx="2589">
                  <c:v>104.014</c:v>
                </c:pt>
                <c:pt idx="2590">
                  <c:v>104.023</c:v>
                </c:pt>
                <c:pt idx="2591">
                  <c:v>104.03100000000001</c:v>
                </c:pt>
                <c:pt idx="2592">
                  <c:v>104.04</c:v>
                </c:pt>
                <c:pt idx="2593">
                  <c:v>104.04900000000001</c:v>
                </c:pt>
                <c:pt idx="2594">
                  <c:v>104.057</c:v>
                </c:pt>
                <c:pt idx="2595">
                  <c:v>104.065</c:v>
                </c:pt>
                <c:pt idx="2596">
                  <c:v>104.07299999999999</c:v>
                </c:pt>
                <c:pt idx="2597">
                  <c:v>104.08199999999999</c:v>
                </c:pt>
                <c:pt idx="2598">
                  <c:v>104.09099999999999</c:v>
                </c:pt>
                <c:pt idx="2599">
                  <c:v>104.099</c:v>
                </c:pt>
                <c:pt idx="2600">
                  <c:v>104.108</c:v>
                </c:pt>
                <c:pt idx="2601">
                  <c:v>104.116</c:v>
                </c:pt>
                <c:pt idx="2602">
                  <c:v>104.124</c:v>
                </c:pt>
                <c:pt idx="2603">
                  <c:v>104.133</c:v>
                </c:pt>
                <c:pt idx="2604">
                  <c:v>104.14100000000001</c:v>
                </c:pt>
                <c:pt idx="2605">
                  <c:v>104.14700000000001</c:v>
                </c:pt>
                <c:pt idx="2606">
                  <c:v>104.15</c:v>
                </c:pt>
                <c:pt idx="2607">
                  <c:v>104.155</c:v>
                </c:pt>
                <c:pt idx="2608">
                  <c:v>104.16</c:v>
                </c:pt>
                <c:pt idx="2609">
                  <c:v>104.164</c:v>
                </c:pt>
                <c:pt idx="2610">
                  <c:v>104.16800000000001</c:v>
                </c:pt>
                <c:pt idx="2611">
                  <c:v>104.173</c:v>
                </c:pt>
                <c:pt idx="2612">
                  <c:v>104.17700000000001</c:v>
                </c:pt>
                <c:pt idx="2613">
                  <c:v>104.182</c:v>
                </c:pt>
                <c:pt idx="2614">
                  <c:v>104.185</c:v>
                </c:pt>
                <c:pt idx="2615">
                  <c:v>104.19</c:v>
                </c:pt>
                <c:pt idx="2616">
                  <c:v>104.19499999999999</c:v>
                </c:pt>
                <c:pt idx="2617">
                  <c:v>104.19799999999999</c:v>
                </c:pt>
                <c:pt idx="2618">
                  <c:v>104.203</c:v>
                </c:pt>
                <c:pt idx="2619">
                  <c:v>104.20699999999999</c:v>
                </c:pt>
                <c:pt idx="2620">
                  <c:v>104.212</c:v>
                </c:pt>
                <c:pt idx="2621">
                  <c:v>104.21599999999999</c:v>
                </c:pt>
                <c:pt idx="2622">
                  <c:v>104.22</c:v>
                </c:pt>
                <c:pt idx="2623">
                  <c:v>104.22499999999999</c:v>
                </c:pt>
                <c:pt idx="2624">
                  <c:v>104.229</c:v>
                </c:pt>
                <c:pt idx="2625">
                  <c:v>104.233</c:v>
                </c:pt>
                <c:pt idx="2626">
                  <c:v>104.238</c:v>
                </c:pt>
                <c:pt idx="2627">
                  <c:v>104.242</c:v>
                </c:pt>
                <c:pt idx="2628">
                  <c:v>104.247</c:v>
                </c:pt>
                <c:pt idx="2629">
                  <c:v>104.251</c:v>
                </c:pt>
                <c:pt idx="2630">
                  <c:v>104.255</c:v>
                </c:pt>
                <c:pt idx="2631">
                  <c:v>104.26</c:v>
                </c:pt>
                <c:pt idx="2632">
                  <c:v>104.26300000000001</c:v>
                </c:pt>
                <c:pt idx="2633">
                  <c:v>104.268</c:v>
                </c:pt>
                <c:pt idx="2634">
                  <c:v>104.273</c:v>
                </c:pt>
                <c:pt idx="2635">
                  <c:v>104.277</c:v>
                </c:pt>
                <c:pt idx="2636">
                  <c:v>104.28100000000001</c:v>
                </c:pt>
                <c:pt idx="2637">
                  <c:v>104.285</c:v>
                </c:pt>
                <c:pt idx="2638">
                  <c:v>104.29</c:v>
                </c:pt>
                <c:pt idx="2639">
                  <c:v>104.295</c:v>
                </c:pt>
                <c:pt idx="2640">
                  <c:v>104.298</c:v>
                </c:pt>
                <c:pt idx="2641">
                  <c:v>104.303</c:v>
                </c:pt>
                <c:pt idx="2642">
                  <c:v>104.30800000000001</c:v>
                </c:pt>
                <c:pt idx="2643">
                  <c:v>104.312</c:v>
                </c:pt>
                <c:pt idx="2644">
                  <c:v>104.316</c:v>
                </c:pt>
                <c:pt idx="2645">
                  <c:v>104.32</c:v>
                </c:pt>
                <c:pt idx="2646">
                  <c:v>104.325</c:v>
                </c:pt>
                <c:pt idx="2647">
                  <c:v>104.32899999999999</c:v>
                </c:pt>
                <c:pt idx="2648">
                  <c:v>104.333</c:v>
                </c:pt>
                <c:pt idx="2649">
                  <c:v>104.33799999999999</c:v>
                </c:pt>
                <c:pt idx="2650">
                  <c:v>104.343</c:v>
                </c:pt>
                <c:pt idx="2651">
                  <c:v>104.346</c:v>
                </c:pt>
                <c:pt idx="2652">
                  <c:v>104.351</c:v>
                </c:pt>
                <c:pt idx="2653">
                  <c:v>104.355</c:v>
                </c:pt>
                <c:pt idx="2654">
                  <c:v>104.36</c:v>
                </c:pt>
                <c:pt idx="2655">
                  <c:v>104.364</c:v>
                </c:pt>
                <c:pt idx="2656">
                  <c:v>104.36799999999999</c:v>
                </c:pt>
                <c:pt idx="2657">
                  <c:v>104.373</c:v>
                </c:pt>
                <c:pt idx="2658">
                  <c:v>104.376</c:v>
                </c:pt>
                <c:pt idx="2659">
                  <c:v>104.381</c:v>
                </c:pt>
                <c:pt idx="2660">
                  <c:v>104.386</c:v>
                </c:pt>
                <c:pt idx="2661">
                  <c:v>104.39</c:v>
                </c:pt>
                <c:pt idx="2662">
                  <c:v>104.39400000000001</c:v>
                </c:pt>
                <c:pt idx="2663">
                  <c:v>104.399</c:v>
                </c:pt>
                <c:pt idx="2664">
                  <c:v>104.40300000000001</c:v>
                </c:pt>
                <c:pt idx="2665">
                  <c:v>104.408</c:v>
                </c:pt>
                <c:pt idx="2666">
                  <c:v>104.411</c:v>
                </c:pt>
                <c:pt idx="2667">
                  <c:v>104.416</c:v>
                </c:pt>
                <c:pt idx="2668">
                  <c:v>104.42100000000001</c:v>
                </c:pt>
                <c:pt idx="2669">
                  <c:v>104.42400000000001</c:v>
                </c:pt>
                <c:pt idx="2670">
                  <c:v>104.429</c:v>
                </c:pt>
                <c:pt idx="2671">
                  <c:v>104.434</c:v>
                </c:pt>
                <c:pt idx="2672">
                  <c:v>104.438</c:v>
                </c:pt>
                <c:pt idx="2673">
                  <c:v>104.44199999999999</c:v>
                </c:pt>
                <c:pt idx="2674">
                  <c:v>104.446</c:v>
                </c:pt>
                <c:pt idx="2675">
                  <c:v>104.45099999999999</c:v>
                </c:pt>
                <c:pt idx="2676">
                  <c:v>104.455</c:v>
                </c:pt>
                <c:pt idx="2677">
                  <c:v>104.459</c:v>
                </c:pt>
                <c:pt idx="2678">
                  <c:v>104.464</c:v>
                </c:pt>
                <c:pt idx="2679">
                  <c:v>104.46899999999999</c:v>
                </c:pt>
                <c:pt idx="2680">
                  <c:v>104.47199999999999</c:v>
                </c:pt>
                <c:pt idx="2681">
                  <c:v>104.477</c:v>
                </c:pt>
                <c:pt idx="2682">
                  <c:v>104.48099999999999</c:v>
                </c:pt>
                <c:pt idx="2683">
                  <c:v>104.486</c:v>
                </c:pt>
                <c:pt idx="2684">
                  <c:v>104.49</c:v>
                </c:pt>
                <c:pt idx="2685">
                  <c:v>104.494</c:v>
                </c:pt>
                <c:pt idx="2686">
                  <c:v>104.499</c:v>
                </c:pt>
                <c:pt idx="2687">
                  <c:v>104.503</c:v>
                </c:pt>
                <c:pt idx="2688">
                  <c:v>104.50700000000001</c:v>
                </c:pt>
                <c:pt idx="2689">
                  <c:v>104.512</c:v>
                </c:pt>
                <c:pt idx="2690">
                  <c:v>104.51600000000001</c:v>
                </c:pt>
                <c:pt idx="2691">
                  <c:v>104.52</c:v>
                </c:pt>
                <c:pt idx="2692">
                  <c:v>104.52500000000001</c:v>
                </c:pt>
                <c:pt idx="2693">
                  <c:v>104.529</c:v>
                </c:pt>
                <c:pt idx="2694">
                  <c:v>104.533</c:v>
                </c:pt>
                <c:pt idx="2695">
                  <c:v>104.538</c:v>
                </c:pt>
                <c:pt idx="2696">
                  <c:v>104.542</c:v>
                </c:pt>
                <c:pt idx="2697">
                  <c:v>104.547</c:v>
                </c:pt>
                <c:pt idx="2698">
                  <c:v>104.551</c:v>
                </c:pt>
                <c:pt idx="2699">
                  <c:v>104.55500000000001</c:v>
                </c:pt>
                <c:pt idx="2700">
                  <c:v>104.56</c:v>
                </c:pt>
                <c:pt idx="2701">
                  <c:v>104.563</c:v>
                </c:pt>
                <c:pt idx="2702">
                  <c:v>104.568</c:v>
                </c:pt>
                <c:pt idx="2703">
                  <c:v>104.57299999999999</c:v>
                </c:pt>
                <c:pt idx="2704">
                  <c:v>104.577</c:v>
                </c:pt>
                <c:pt idx="2705">
                  <c:v>104.581</c:v>
                </c:pt>
                <c:pt idx="2706">
                  <c:v>104.586</c:v>
                </c:pt>
                <c:pt idx="2707">
                  <c:v>104.59</c:v>
                </c:pt>
                <c:pt idx="2708">
                  <c:v>104.59399999999999</c:v>
                </c:pt>
                <c:pt idx="2709">
                  <c:v>104.599</c:v>
                </c:pt>
                <c:pt idx="2710">
                  <c:v>104.60299999999999</c:v>
                </c:pt>
                <c:pt idx="2711">
                  <c:v>104.608</c:v>
                </c:pt>
                <c:pt idx="2712">
                  <c:v>104.611</c:v>
                </c:pt>
                <c:pt idx="2713">
                  <c:v>104.616</c:v>
                </c:pt>
                <c:pt idx="2714">
                  <c:v>104.621</c:v>
                </c:pt>
                <c:pt idx="2715">
                  <c:v>104.624</c:v>
                </c:pt>
                <c:pt idx="2716">
                  <c:v>104.629</c:v>
                </c:pt>
                <c:pt idx="2717">
                  <c:v>104.634</c:v>
                </c:pt>
                <c:pt idx="2718">
                  <c:v>104.637</c:v>
                </c:pt>
                <c:pt idx="2719">
                  <c:v>104.642</c:v>
                </c:pt>
                <c:pt idx="2720">
                  <c:v>104.652</c:v>
                </c:pt>
                <c:pt idx="2721">
                  <c:v>104.663</c:v>
                </c:pt>
                <c:pt idx="2722">
                  <c:v>104.67400000000001</c:v>
                </c:pt>
                <c:pt idx="2723">
                  <c:v>104.685</c:v>
                </c:pt>
                <c:pt idx="2724">
                  <c:v>104.696</c:v>
                </c:pt>
                <c:pt idx="2725">
                  <c:v>104.70699999999999</c:v>
                </c:pt>
                <c:pt idx="2726">
                  <c:v>104.718</c:v>
                </c:pt>
                <c:pt idx="2727">
                  <c:v>104.729</c:v>
                </c:pt>
                <c:pt idx="2728">
                  <c:v>104.741</c:v>
                </c:pt>
                <c:pt idx="2729">
                  <c:v>104.751</c:v>
                </c:pt>
                <c:pt idx="2730">
                  <c:v>104.762</c:v>
                </c:pt>
                <c:pt idx="2731">
                  <c:v>104.774</c:v>
                </c:pt>
                <c:pt idx="2732">
                  <c:v>104.78400000000001</c:v>
                </c:pt>
                <c:pt idx="2733">
                  <c:v>104.79600000000001</c:v>
                </c:pt>
                <c:pt idx="2734">
                  <c:v>104.807</c:v>
                </c:pt>
                <c:pt idx="2735">
                  <c:v>104.81699999999999</c:v>
                </c:pt>
                <c:pt idx="2736">
                  <c:v>104.82899999999999</c:v>
                </c:pt>
                <c:pt idx="2737">
                  <c:v>104.839</c:v>
                </c:pt>
                <c:pt idx="2738">
                  <c:v>104.851</c:v>
                </c:pt>
                <c:pt idx="2739">
                  <c:v>104.86199999999999</c:v>
                </c:pt>
                <c:pt idx="2740">
                  <c:v>104.873</c:v>
                </c:pt>
                <c:pt idx="2741">
                  <c:v>104.884</c:v>
                </c:pt>
                <c:pt idx="2742">
                  <c:v>104.896</c:v>
                </c:pt>
                <c:pt idx="2743">
                  <c:v>104.90600000000001</c:v>
                </c:pt>
                <c:pt idx="2744">
                  <c:v>104.917</c:v>
                </c:pt>
                <c:pt idx="2745">
                  <c:v>104.928</c:v>
                </c:pt>
                <c:pt idx="2746">
                  <c:v>104.93899999999999</c:v>
                </c:pt>
                <c:pt idx="2747">
                  <c:v>104.95099999999999</c:v>
                </c:pt>
                <c:pt idx="2748">
                  <c:v>104.961</c:v>
                </c:pt>
                <c:pt idx="2749">
                  <c:v>104.973</c:v>
                </c:pt>
                <c:pt idx="2750">
                  <c:v>104.98399999999999</c:v>
                </c:pt>
                <c:pt idx="2751">
                  <c:v>104.994</c:v>
                </c:pt>
                <c:pt idx="2752">
                  <c:v>105.006</c:v>
                </c:pt>
                <c:pt idx="2753">
                  <c:v>105.01600000000001</c:v>
                </c:pt>
                <c:pt idx="2754">
                  <c:v>105.02800000000001</c:v>
                </c:pt>
                <c:pt idx="2755">
                  <c:v>105.039</c:v>
                </c:pt>
                <c:pt idx="2756">
                  <c:v>105.05</c:v>
                </c:pt>
                <c:pt idx="2757">
                  <c:v>105.06100000000001</c:v>
                </c:pt>
                <c:pt idx="2758">
                  <c:v>105.072</c:v>
                </c:pt>
                <c:pt idx="2759">
                  <c:v>105.083</c:v>
                </c:pt>
                <c:pt idx="2760">
                  <c:v>105.09399999999999</c:v>
                </c:pt>
                <c:pt idx="2761">
                  <c:v>105.105</c:v>
                </c:pt>
                <c:pt idx="2762">
                  <c:v>105.116</c:v>
                </c:pt>
                <c:pt idx="2763">
                  <c:v>105.127</c:v>
                </c:pt>
                <c:pt idx="2764">
                  <c:v>105.13800000000001</c:v>
                </c:pt>
                <c:pt idx="2765">
                  <c:v>105.15</c:v>
                </c:pt>
                <c:pt idx="2766">
                  <c:v>105.16</c:v>
                </c:pt>
                <c:pt idx="2767">
                  <c:v>105.172</c:v>
                </c:pt>
                <c:pt idx="2768">
                  <c:v>105.182</c:v>
                </c:pt>
                <c:pt idx="2769">
                  <c:v>105.194</c:v>
                </c:pt>
                <c:pt idx="2770">
                  <c:v>105.205</c:v>
                </c:pt>
                <c:pt idx="2771">
                  <c:v>105.21599999999999</c:v>
                </c:pt>
                <c:pt idx="2772">
                  <c:v>105.227</c:v>
                </c:pt>
                <c:pt idx="2773">
                  <c:v>105.23699999999999</c:v>
                </c:pt>
                <c:pt idx="2774">
                  <c:v>105.249</c:v>
                </c:pt>
                <c:pt idx="2775">
                  <c:v>105.26</c:v>
                </c:pt>
                <c:pt idx="2776">
                  <c:v>105.271</c:v>
                </c:pt>
                <c:pt idx="2777">
                  <c:v>105.282</c:v>
                </c:pt>
                <c:pt idx="2778">
                  <c:v>105.29300000000001</c:v>
                </c:pt>
                <c:pt idx="2779">
                  <c:v>105.304</c:v>
                </c:pt>
                <c:pt idx="2780">
                  <c:v>105.315</c:v>
                </c:pt>
                <c:pt idx="2781">
                  <c:v>105.32599999999999</c:v>
                </c:pt>
                <c:pt idx="2782">
                  <c:v>105.33799999999999</c:v>
                </c:pt>
                <c:pt idx="2783">
                  <c:v>105.348</c:v>
                </c:pt>
                <c:pt idx="2784">
                  <c:v>105.36</c:v>
                </c:pt>
                <c:pt idx="2785">
                  <c:v>105.37</c:v>
                </c:pt>
                <c:pt idx="2786">
                  <c:v>105.38200000000001</c:v>
                </c:pt>
                <c:pt idx="2787">
                  <c:v>105.392</c:v>
                </c:pt>
                <c:pt idx="2788">
                  <c:v>105.404</c:v>
                </c:pt>
                <c:pt idx="2789">
                  <c:v>105.414</c:v>
                </c:pt>
                <c:pt idx="2790">
                  <c:v>105.426</c:v>
                </c:pt>
                <c:pt idx="2791">
                  <c:v>105.437</c:v>
                </c:pt>
                <c:pt idx="2792">
                  <c:v>105.44799999999999</c:v>
                </c:pt>
                <c:pt idx="2793">
                  <c:v>105.459</c:v>
                </c:pt>
                <c:pt idx="2794">
                  <c:v>105.47</c:v>
                </c:pt>
                <c:pt idx="2795">
                  <c:v>105.48099999999999</c:v>
                </c:pt>
                <c:pt idx="2796">
                  <c:v>105.492</c:v>
                </c:pt>
                <c:pt idx="2797">
                  <c:v>105.503</c:v>
                </c:pt>
                <c:pt idx="2798">
                  <c:v>105.514</c:v>
                </c:pt>
                <c:pt idx="2799">
                  <c:v>105.52500000000001</c:v>
                </c:pt>
                <c:pt idx="2800">
                  <c:v>105.536</c:v>
                </c:pt>
                <c:pt idx="2801">
                  <c:v>105.547</c:v>
                </c:pt>
                <c:pt idx="2802">
                  <c:v>105.559</c:v>
                </c:pt>
                <c:pt idx="2803">
                  <c:v>105.57</c:v>
                </c:pt>
                <c:pt idx="2804">
                  <c:v>105.581</c:v>
                </c:pt>
                <c:pt idx="2805">
                  <c:v>105.592</c:v>
                </c:pt>
                <c:pt idx="2806">
                  <c:v>105.60299999999999</c:v>
                </c:pt>
                <c:pt idx="2807">
                  <c:v>105.614</c:v>
                </c:pt>
                <c:pt idx="2808">
                  <c:v>105.625</c:v>
                </c:pt>
                <c:pt idx="2809">
                  <c:v>105.636</c:v>
                </c:pt>
                <c:pt idx="2810">
                  <c:v>105.64700000000001</c:v>
                </c:pt>
                <c:pt idx="2811">
                  <c:v>105.658</c:v>
                </c:pt>
                <c:pt idx="2812">
                  <c:v>105.669</c:v>
                </c:pt>
                <c:pt idx="2813">
                  <c:v>105.68</c:v>
                </c:pt>
                <c:pt idx="2814">
                  <c:v>105.691</c:v>
                </c:pt>
                <c:pt idx="2815">
                  <c:v>105.702</c:v>
                </c:pt>
                <c:pt idx="2816">
                  <c:v>105.714</c:v>
                </c:pt>
                <c:pt idx="2817">
                  <c:v>105.724</c:v>
                </c:pt>
                <c:pt idx="2818">
                  <c:v>105.736</c:v>
                </c:pt>
                <c:pt idx="2819">
                  <c:v>105.746</c:v>
                </c:pt>
                <c:pt idx="2820">
                  <c:v>105.758</c:v>
                </c:pt>
                <c:pt idx="2821">
                  <c:v>105.768</c:v>
                </c:pt>
                <c:pt idx="2822">
                  <c:v>105.78</c:v>
                </c:pt>
                <c:pt idx="2823">
                  <c:v>105.77500000000001</c:v>
                </c:pt>
                <c:pt idx="2824">
                  <c:v>105.76600000000001</c:v>
                </c:pt>
                <c:pt idx="2825">
                  <c:v>105.755</c:v>
                </c:pt>
                <c:pt idx="2826">
                  <c:v>105.745</c:v>
                </c:pt>
                <c:pt idx="2827">
                  <c:v>105.73399999999999</c:v>
                </c:pt>
                <c:pt idx="2828">
                  <c:v>105.724</c:v>
                </c:pt>
                <c:pt idx="2829">
                  <c:v>105.71299999999999</c:v>
                </c:pt>
                <c:pt idx="2830">
                  <c:v>105.703</c:v>
                </c:pt>
                <c:pt idx="2831">
                  <c:v>105.69199999999999</c:v>
                </c:pt>
                <c:pt idx="2832">
                  <c:v>105.682</c:v>
                </c:pt>
                <c:pt idx="2833">
                  <c:v>105.67100000000001</c:v>
                </c:pt>
                <c:pt idx="2834">
                  <c:v>105.661</c:v>
                </c:pt>
                <c:pt idx="2835">
                  <c:v>105.65</c:v>
                </c:pt>
                <c:pt idx="2836">
                  <c:v>105.64</c:v>
                </c:pt>
                <c:pt idx="2837">
                  <c:v>105.629</c:v>
                </c:pt>
                <c:pt idx="2838">
                  <c:v>105.619</c:v>
                </c:pt>
                <c:pt idx="2839">
                  <c:v>105.608</c:v>
                </c:pt>
                <c:pt idx="2840">
                  <c:v>105.598</c:v>
                </c:pt>
                <c:pt idx="2841">
                  <c:v>105.587</c:v>
                </c:pt>
                <c:pt idx="2842">
                  <c:v>105.577</c:v>
                </c:pt>
                <c:pt idx="2843">
                  <c:v>105.566</c:v>
                </c:pt>
                <c:pt idx="2844">
                  <c:v>105.556</c:v>
                </c:pt>
                <c:pt idx="2845">
                  <c:v>105.545</c:v>
                </c:pt>
                <c:pt idx="2846">
                  <c:v>105.535</c:v>
                </c:pt>
                <c:pt idx="2847">
                  <c:v>105.524</c:v>
                </c:pt>
                <c:pt idx="2848">
                  <c:v>105.514</c:v>
                </c:pt>
                <c:pt idx="2849">
                  <c:v>105.503</c:v>
                </c:pt>
                <c:pt idx="2850">
                  <c:v>105.49299999999999</c:v>
                </c:pt>
                <c:pt idx="2851">
                  <c:v>105.482</c:v>
                </c:pt>
                <c:pt idx="2852">
                  <c:v>105.47199999999999</c:v>
                </c:pt>
                <c:pt idx="2853">
                  <c:v>105.461</c:v>
                </c:pt>
                <c:pt idx="2854">
                  <c:v>105.45099999999999</c:v>
                </c:pt>
                <c:pt idx="2855">
                  <c:v>105.44</c:v>
                </c:pt>
                <c:pt idx="2856">
                  <c:v>105.43</c:v>
                </c:pt>
                <c:pt idx="2857">
                  <c:v>105.419</c:v>
                </c:pt>
                <c:pt idx="2858">
                  <c:v>105.40900000000001</c:v>
                </c:pt>
                <c:pt idx="2859">
                  <c:v>105.398</c:v>
                </c:pt>
                <c:pt idx="2860">
                  <c:v>105.38800000000001</c:v>
                </c:pt>
                <c:pt idx="2861">
                  <c:v>105.378</c:v>
                </c:pt>
                <c:pt idx="2862">
                  <c:v>105.367</c:v>
                </c:pt>
                <c:pt idx="2863">
                  <c:v>105.357</c:v>
                </c:pt>
                <c:pt idx="2864">
                  <c:v>105.346</c:v>
                </c:pt>
                <c:pt idx="2865">
                  <c:v>105.336</c:v>
                </c:pt>
                <c:pt idx="2866">
                  <c:v>105.325</c:v>
                </c:pt>
                <c:pt idx="2867">
                  <c:v>105.315</c:v>
                </c:pt>
                <c:pt idx="2868">
                  <c:v>105.304</c:v>
                </c:pt>
                <c:pt idx="2869">
                  <c:v>105.294</c:v>
                </c:pt>
                <c:pt idx="2870">
                  <c:v>105.283</c:v>
                </c:pt>
                <c:pt idx="2871">
                  <c:v>105.273</c:v>
                </c:pt>
                <c:pt idx="2872">
                  <c:v>105.262</c:v>
                </c:pt>
                <c:pt idx="2873">
                  <c:v>105.252</c:v>
                </c:pt>
                <c:pt idx="2874">
                  <c:v>105.241</c:v>
                </c:pt>
                <c:pt idx="2875">
                  <c:v>105.23</c:v>
                </c:pt>
                <c:pt idx="2876">
                  <c:v>105.22</c:v>
                </c:pt>
                <c:pt idx="2877">
                  <c:v>105.209</c:v>
                </c:pt>
                <c:pt idx="2878">
                  <c:v>105.199</c:v>
                </c:pt>
                <c:pt idx="2879">
                  <c:v>105.188</c:v>
                </c:pt>
                <c:pt idx="2880">
                  <c:v>105.178</c:v>
                </c:pt>
                <c:pt idx="2881">
                  <c:v>105.167</c:v>
                </c:pt>
                <c:pt idx="2882">
                  <c:v>105.157</c:v>
                </c:pt>
                <c:pt idx="2883">
                  <c:v>105.146</c:v>
                </c:pt>
                <c:pt idx="2884">
                  <c:v>105.136</c:v>
                </c:pt>
                <c:pt idx="2885">
                  <c:v>105.126</c:v>
                </c:pt>
                <c:pt idx="2886">
                  <c:v>105.11499999999999</c:v>
                </c:pt>
                <c:pt idx="2887">
                  <c:v>105.105</c:v>
                </c:pt>
                <c:pt idx="2888">
                  <c:v>105.09399999999999</c:v>
                </c:pt>
                <c:pt idx="2889">
                  <c:v>105.084</c:v>
                </c:pt>
                <c:pt idx="2890">
                  <c:v>105.07299999999999</c:v>
                </c:pt>
                <c:pt idx="2891">
                  <c:v>105.063</c:v>
                </c:pt>
                <c:pt idx="2892">
                  <c:v>105.05200000000001</c:v>
                </c:pt>
                <c:pt idx="2893">
                  <c:v>105.042</c:v>
                </c:pt>
                <c:pt idx="2894">
                  <c:v>105.032</c:v>
                </c:pt>
                <c:pt idx="2895">
                  <c:v>105.021</c:v>
                </c:pt>
                <c:pt idx="2896">
                  <c:v>105.011</c:v>
                </c:pt>
                <c:pt idx="2897">
                  <c:v>105</c:v>
                </c:pt>
                <c:pt idx="2898">
                  <c:v>104.99</c:v>
                </c:pt>
                <c:pt idx="2899">
                  <c:v>104.979</c:v>
                </c:pt>
                <c:pt idx="2900">
                  <c:v>104.96899999999999</c:v>
                </c:pt>
                <c:pt idx="2901">
                  <c:v>104.95699999999999</c:v>
                </c:pt>
                <c:pt idx="2902">
                  <c:v>104.947</c:v>
                </c:pt>
                <c:pt idx="2903">
                  <c:v>104.937</c:v>
                </c:pt>
                <c:pt idx="2904">
                  <c:v>104.926</c:v>
                </c:pt>
                <c:pt idx="2905">
                  <c:v>104.916</c:v>
                </c:pt>
                <c:pt idx="2906">
                  <c:v>104.905</c:v>
                </c:pt>
                <c:pt idx="2907">
                  <c:v>104.895</c:v>
                </c:pt>
                <c:pt idx="2908">
                  <c:v>104.884</c:v>
                </c:pt>
                <c:pt idx="2909">
                  <c:v>104.874</c:v>
                </c:pt>
                <c:pt idx="2910">
                  <c:v>104.864</c:v>
                </c:pt>
                <c:pt idx="2911">
                  <c:v>104.85299999999999</c:v>
                </c:pt>
                <c:pt idx="2912">
                  <c:v>104.843</c:v>
                </c:pt>
                <c:pt idx="2913">
                  <c:v>104.83199999999999</c:v>
                </c:pt>
                <c:pt idx="2914">
                  <c:v>104.822</c:v>
                </c:pt>
                <c:pt idx="2915">
                  <c:v>104.81100000000001</c:v>
                </c:pt>
                <c:pt idx="2916">
                  <c:v>104.801</c:v>
                </c:pt>
                <c:pt idx="2917">
                  <c:v>104.791</c:v>
                </c:pt>
                <c:pt idx="2918">
                  <c:v>104.78</c:v>
                </c:pt>
                <c:pt idx="2919">
                  <c:v>104.77</c:v>
                </c:pt>
                <c:pt idx="2920">
                  <c:v>104.755</c:v>
                </c:pt>
                <c:pt idx="2921">
                  <c:v>104.73699999999999</c:v>
                </c:pt>
                <c:pt idx="2922">
                  <c:v>104.718</c:v>
                </c:pt>
                <c:pt idx="2923">
                  <c:v>104.7</c:v>
                </c:pt>
                <c:pt idx="2924">
                  <c:v>104.682</c:v>
                </c:pt>
                <c:pt idx="2925">
                  <c:v>104.663</c:v>
                </c:pt>
                <c:pt idx="2926">
                  <c:v>104.645</c:v>
                </c:pt>
                <c:pt idx="2927">
                  <c:v>104.626</c:v>
                </c:pt>
                <c:pt idx="2928">
                  <c:v>104.607</c:v>
                </c:pt>
                <c:pt idx="2929">
                  <c:v>104.58799999999999</c:v>
                </c:pt>
                <c:pt idx="2930">
                  <c:v>104.57</c:v>
                </c:pt>
                <c:pt idx="2931">
                  <c:v>104.55200000000001</c:v>
                </c:pt>
                <c:pt idx="2932">
                  <c:v>104.533</c:v>
                </c:pt>
                <c:pt idx="2933">
                  <c:v>104.515</c:v>
                </c:pt>
                <c:pt idx="2934">
                  <c:v>104.496</c:v>
                </c:pt>
                <c:pt idx="2935">
                  <c:v>104.47799999999999</c:v>
                </c:pt>
                <c:pt idx="2936">
                  <c:v>104.459</c:v>
                </c:pt>
                <c:pt idx="2937">
                  <c:v>104.441</c:v>
                </c:pt>
                <c:pt idx="2938">
                  <c:v>104.422</c:v>
                </c:pt>
                <c:pt idx="2939">
                  <c:v>104.404</c:v>
                </c:pt>
                <c:pt idx="2940">
                  <c:v>104.384</c:v>
                </c:pt>
                <c:pt idx="2941">
                  <c:v>104.366</c:v>
                </c:pt>
                <c:pt idx="2942">
                  <c:v>104.34699999999999</c:v>
                </c:pt>
                <c:pt idx="2943">
                  <c:v>104.32899999999999</c:v>
                </c:pt>
                <c:pt idx="2944">
                  <c:v>104.31100000000001</c:v>
                </c:pt>
                <c:pt idx="2945">
                  <c:v>104.292</c:v>
                </c:pt>
                <c:pt idx="2946">
                  <c:v>104.274</c:v>
                </c:pt>
                <c:pt idx="2947">
                  <c:v>104.255</c:v>
                </c:pt>
                <c:pt idx="2948">
                  <c:v>104.23699999999999</c:v>
                </c:pt>
                <c:pt idx="2949">
                  <c:v>104.218</c:v>
                </c:pt>
                <c:pt idx="2950">
                  <c:v>104.2</c:v>
                </c:pt>
                <c:pt idx="2951">
                  <c:v>104.181</c:v>
                </c:pt>
                <c:pt idx="2952">
                  <c:v>104.163</c:v>
                </c:pt>
                <c:pt idx="2953">
                  <c:v>104.14400000000001</c:v>
                </c:pt>
                <c:pt idx="2954">
                  <c:v>104.126</c:v>
                </c:pt>
                <c:pt idx="2955">
                  <c:v>104.107</c:v>
                </c:pt>
                <c:pt idx="2956">
                  <c:v>104.089</c:v>
                </c:pt>
                <c:pt idx="2957">
                  <c:v>104.07</c:v>
                </c:pt>
                <c:pt idx="2958">
                  <c:v>104.05200000000001</c:v>
                </c:pt>
                <c:pt idx="2959">
                  <c:v>104.033</c:v>
                </c:pt>
                <c:pt idx="2960">
                  <c:v>104.015</c:v>
                </c:pt>
                <c:pt idx="2961">
                  <c:v>103.995</c:v>
                </c:pt>
                <c:pt idx="2962">
                  <c:v>103.977</c:v>
                </c:pt>
                <c:pt idx="2963">
                  <c:v>103.958</c:v>
                </c:pt>
                <c:pt idx="2964">
                  <c:v>103.93899999999999</c:v>
                </c:pt>
                <c:pt idx="2965">
                  <c:v>103.92100000000001</c:v>
                </c:pt>
                <c:pt idx="2966">
                  <c:v>103.902</c:v>
                </c:pt>
                <c:pt idx="2967">
                  <c:v>103.884</c:v>
                </c:pt>
                <c:pt idx="2968">
                  <c:v>103.86499999999999</c:v>
                </c:pt>
                <c:pt idx="2969">
                  <c:v>103.84699999999999</c:v>
                </c:pt>
                <c:pt idx="2970">
                  <c:v>103.828</c:v>
                </c:pt>
                <c:pt idx="2971">
                  <c:v>103.81</c:v>
                </c:pt>
                <c:pt idx="2972">
                  <c:v>103.791</c:v>
                </c:pt>
                <c:pt idx="2973">
                  <c:v>103.773</c:v>
                </c:pt>
                <c:pt idx="2974">
                  <c:v>103.755</c:v>
                </c:pt>
                <c:pt idx="2975">
                  <c:v>103.736</c:v>
                </c:pt>
                <c:pt idx="2976">
                  <c:v>103.718</c:v>
                </c:pt>
                <c:pt idx="2977">
                  <c:v>103.699</c:v>
                </c:pt>
                <c:pt idx="2978">
                  <c:v>103.681</c:v>
                </c:pt>
                <c:pt idx="2979">
                  <c:v>103.66200000000001</c:v>
                </c:pt>
                <c:pt idx="2980">
                  <c:v>103.64400000000001</c:v>
                </c:pt>
                <c:pt idx="2981">
                  <c:v>103.625</c:v>
                </c:pt>
                <c:pt idx="2982">
                  <c:v>103.60599999999999</c:v>
                </c:pt>
                <c:pt idx="2983">
                  <c:v>103.58799999999999</c:v>
                </c:pt>
                <c:pt idx="2984">
                  <c:v>103.569</c:v>
                </c:pt>
                <c:pt idx="2985">
                  <c:v>103.551</c:v>
                </c:pt>
                <c:pt idx="2986">
                  <c:v>103.532</c:v>
                </c:pt>
                <c:pt idx="2987">
                  <c:v>103.51300000000001</c:v>
                </c:pt>
                <c:pt idx="2988">
                  <c:v>103.495</c:v>
                </c:pt>
                <c:pt idx="2989">
                  <c:v>103.476</c:v>
                </c:pt>
                <c:pt idx="2990">
                  <c:v>103.458</c:v>
                </c:pt>
                <c:pt idx="2991">
                  <c:v>103.43899999999999</c:v>
                </c:pt>
                <c:pt idx="2992">
                  <c:v>103.42100000000001</c:v>
                </c:pt>
                <c:pt idx="2993">
                  <c:v>103.40300000000001</c:v>
                </c:pt>
                <c:pt idx="2994">
                  <c:v>103.384</c:v>
                </c:pt>
                <c:pt idx="2995">
                  <c:v>103.36499999999999</c:v>
                </c:pt>
                <c:pt idx="2996">
                  <c:v>103.34699999999999</c:v>
                </c:pt>
                <c:pt idx="2997">
                  <c:v>103.328</c:v>
                </c:pt>
                <c:pt idx="2998">
                  <c:v>103.309</c:v>
                </c:pt>
                <c:pt idx="2999">
                  <c:v>103.291</c:v>
                </c:pt>
                <c:pt idx="3000">
                  <c:v>103.27200000000001</c:v>
                </c:pt>
                <c:pt idx="3001">
                  <c:v>103.254</c:v>
                </c:pt>
                <c:pt idx="3002">
                  <c:v>103.236</c:v>
                </c:pt>
                <c:pt idx="3003">
                  <c:v>103.217</c:v>
                </c:pt>
                <c:pt idx="3004">
                  <c:v>103.19799999999999</c:v>
                </c:pt>
                <c:pt idx="3005">
                  <c:v>103.18</c:v>
                </c:pt>
                <c:pt idx="3006">
                  <c:v>103.161</c:v>
                </c:pt>
                <c:pt idx="3007">
                  <c:v>103.143</c:v>
                </c:pt>
                <c:pt idx="3008">
                  <c:v>103.125</c:v>
                </c:pt>
                <c:pt idx="3009">
                  <c:v>103.10599999999999</c:v>
                </c:pt>
                <c:pt idx="3010">
                  <c:v>103.087</c:v>
                </c:pt>
                <c:pt idx="3011">
                  <c:v>103.068</c:v>
                </c:pt>
                <c:pt idx="3012">
                  <c:v>103.051</c:v>
                </c:pt>
                <c:pt idx="3013">
                  <c:v>103.032</c:v>
                </c:pt>
                <c:pt idx="3014">
                  <c:v>103.01300000000001</c:v>
                </c:pt>
                <c:pt idx="3015">
                  <c:v>102.994</c:v>
                </c:pt>
                <c:pt idx="3016">
                  <c:v>102.976</c:v>
                </c:pt>
                <c:pt idx="3017">
                  <c:v>102.959</c:v>
                </c:pt>
                <c:pt idx="3018">
                  <c:v>102.947</c:v>
                </c:pt>
                <c:pt idx="3019">
                  <c:v>102.934</c:v>
                </c:pt>
                <c:pt idx="3020">
                  <c:v>102.92100000000001</c:v>
                </c:pt>
                <c:pt idx="3021">
                  <c:v>102.90900000000001</c:v>
                </c:pt>
                <c:pt idx="3022">
                  <c:v>102.896</c:v>
                </c:pt>
                <c:pt idx="3023">
                  <c:v>102.883</c:v>
                </c:pt>
                <c:pt idx="3024">
                  <c:v>102.87</c:v>
                </c:pt>
                <c:pt idx="3025">
                  <c:v>102.858</c:v>
                </c:pt>
                <c:pt idx="3026">
                  <c:v>102.845</c:v>
                </c:pt>
                <c:pt idx="3027">
                  <c:v>102.833</c:v>
                </c:pt>
                <c:pt idx="3028">
                  <c:v>102.82</c:v>
                </c:pt>
                <c:pt idx="3029">
                  <c:v>102.80800000000001</c:v>
                </c:pt>
                <c:pt idx="3030">
                  <c:v>102.795</c:v>
                </c:pt>
                <c:pt idx="3031">
                  <c:v>102.782</c:v>
                </c:pt>
                <c:pt idx="3032">
                  <c:v>102.76900000000001</c:v>
                </c:pt>
                <c:pt idx="3033">
                  <c:v>102.75700000000001</c:v>
                </c:pt>
                <c:pt idx="3034">
                  <c:v>102.744</c:v>
                </c:pt>
                <c:pt idx="3035">
                  <c:v>102.73099999999999</c:v>
                </c:pt>
                <c:pt idx="3036">
                  <c:v>102.718</c:v>
                </c:pt>
                <c:pt idx="3037">
                  <c:v>102.706</c:v>
                </c:pt>
                <c:pt idx="3038">
                  <c:v>102.693</c:v>
                </c:pt>
                <c:pt idx="3039">
                  <c:v>102.681</c:v>
                </c:pt>
                <c:pt idx="3040">
                  <c:v>102.66800000000001</c:v>
                </c:pt>
                <c:pt idx="3041">
                  <c:v>102.65600000000001</c:v>
                </c:pt>
                <c:pt idx="3042">
                  <c:v>102.643</c:v>
                </c:pt>
                <c:pt idx="3043">
                  <c:v>102.63</c:v>
                </c:pt>
                <c:pt idx="3044">
                  <c:v>102.61799999999999</c:v>
                </c:pt>
                <c:pt idx="3045">
                  <c:v>102.605</c:v>
                </c:pt>
                <c:pt idx="3046">
                  <c:v>102.592</c:v>
                </c:pt>
                <c:pt idx="3047">
                  <c:v>102.57899999999999</c:v>
                </c:pt>
                <c:pt idx="3048">
                  <c:v>102.56699999999999</c:v>
                </c:pt>
                <c:pt idx="3049">
                  <c:v>102.554</c:v>
                </c:pt>
                <c:pt idx="3050">
                  <c:v>102.541</c:v>
                </c:pt>
                <c:pt idx="3051">
                  <c:v>102.529</c:v>
                </c:pt>
                <c:pt idx="3052">
                  <c:v>102.51600000000001</c:v>
                </c:pt>
                <c:pt idx="3053">
                  <c:v>102.503</c:v>
                </c:pt>
                <c:pt idx="3054">
                  <c:v>102.49</c:v>
                </c:pt>
                <c:pt idx="3055">
                  <c:v>102.47799999999999</c:v>
                </c:pt>
                <c:pt idx="3056">
                  <c:v>102.465</c:v>
                </c:pt>
                <c:pt idx="3057">
                  <c:v>102.452</c:v>
                </c:pt>
                <c:pt idx="3058">
                  <c:v>102.441</c:v>
                </c:pt>
                <c:pt idx="3059">
                  <c:v>102.428</c:v>
                </c:pt>
                <c:pt idx="3060">
                  <c:v>102.41500000000001</c:v>
                </c:pt>
                <c:pt idx="3061">
                  <c:v>102.40300000000001</c:v>
                </c:pt>
                <c:pt idx="3062">
                  <c:v>102.39</c:v>
                </c:pt>
                <c:pt idx="3063">
                  <c:v>102.377</c:v>
                </c:pt>
                <c:pt idx="3064">
                  <c:v>102.36499999999999</c:v>
                </c:pt>
                <c:pt idx="3065">
                  <c:v>102.352</c:v>
                </c:pt>
                <c:pt idx="3066">
                  <c:v>102.339</c:v>
                </c:pt>
                <c:pt idx="3067">
                  <c:v>102.327</c:v>
                </c:pt>
                <c:pt idx="3068">
                  <c:v>102.31399999999999</c:v>
                </c:pt>
                <c:pt idx="3069">
                  <c:v>102.301</c:v>
                </c:pt>
                <c:pt idx="3070">
                  <c:v>102.289</c:v>
                </c:pt>
                <c:pt idx="3071">
                  <c:v>102.276</c:v>
                </c:pt>
                <c:pt idx="3072">
                  <c:v>102.26300000000001</c:v>
                </c:pt>
                <c:pt idx="3073">
                  <c:v>102.251</c:v>
                </c:pt>
                <c:pt idx="3074">
                  <c:v>102.238</c:v>
                </c:pt>
                <c:pt idx="3075">
                  <c:v>102.22499999999999</c:v>
                </c:pt>
                <c:pt idx="3076">
                  <c:v>102.21299999999999</c:v>
                </c:pt>
                <c:pt idx="3077">
                  <c:v>102.2</c:v>
                </c:pt>
                <c:pt idx="3078">
                  <c:v>102.187</c:v>
                </c:pt>
                <c:pt idx="3079">
                  <c:v>102.175</c:v>
                </c:pt>
                <c:pt idx="3080">
                  <c:v>102.16200000000001</c:v>
                </c:pt>
                <c:pt idx="3081">
                  <c:v>102.149</c:v>
                </c:pt>
                <c:pt idx="3082">
                  <c:v>102.137</c:v>
                </c:pt>
                <c:pt idx="3083">
                  <c:v>102.124</c:v>
                </c:pt>
                <c:pt idx="3084">
                  <c:v>102.111</c:v>
                </c:pt>
                <c:pt idx="3085">
                  <c:v>102.098</c:v>
                </c:pt>
                <c:pt idx="3086">
                  <c:v>102.08499999999999</c:v>
                </c:pt>
                <c:pt idx="3087">
                  <c:v>102.07299999999999</c:v>
                </c:pt>
                <c:pt idx="3088">
                  <c:v>102.06</c:v>
                </c:pt>
                <c:pt idx="3089">
                  <c:v>102.047</c:v>
                </c:pt>
                <c:pt idx="3090">
                  <c:v>102.035</c:v>
                </c:pt>
                <c:pt idx="3091">
                  <c:v>102.02200000000001</c:v>
                </c:pt>
                <c:pt idx="3092">
                  <c:v>102.01</c:v>
                </c:pt>
                <c:pt idx="3093">
                  <c:v>101.997</c:v>
                </c:pt>
                <c:pt idx="3094">
                  <c:v>101.98399999999999</c:v>
                </c:pt>
                <c:pt idx="3095">
                  <c:v>101.97199999999999</c:v>
                </c:pt>
                <c:pt idx="3096">
                  <c:v>101.959</c:v>
                </c:pt>
                <c:pt idx="3097">
                  <c:v>101.947</c:v>
                </c:pt>
                <c:pt idx="3098">
                  <c:v>101.934</c:v>
                </c:pt>
                <c:pt idx="3099">
                  <c:v>101.92100000000001</c:v>
                </c:pt>
                <c:pt idx="3100">
                  <c:v>101.90900000000001</c:v>
                </c:pt>
                <c:pt idx="3101">
                  <c:v>101.896</c:v>
                </c:pt>
                <c:pt idx="3102">
                  <c:v>101.884</c:v>
                </c:pt>
                <c:pt idx="3103">
                  <c:v>101.875</c:v>
                </c:pt>
                <c:pt idx="3104">
                  <c:v>101.883</c:v>
                </c:pt>
                <c:pt idx="3105">
                  <c:v>101.893</c:v>
                </c:pt>
                <c:pt idx="3106">
                  <c:v>101.901</c:v>
                </c:pt>
                <c:pt idx="3107">
                  <c:v>101.91</c:v>
                </c:pt>
                <c:pt idx="3108">
                  <c:v>101.919</c:v>
                </c:pt>
                <c:pt idx="3109">
                  <c:v>101.92700000000001</c:v>
                </c:pt>
                <c:pt idx="3110">
                  <c:v>101.93600000000001</c:v>
                </c:pt>
                <c:pt idx="3111">
                  <c:v>101.94499999999999</c:v>
                </c:pt>
                <c:pt idx="3112">
                  <c:v>101.95399999999999</c:v>
                </c:pt>
                <c:pt idx="3113">
                  <c:v>101.96299999999999</c:v>
                </c:pt>
                <c:pt idx="3114">
                  <c:v>101.97199999999999</c:v>
                </c:pt>
                <c:pt idx="3115">
                  <c:v>101.98</c:v>
                </c:pt>
                <c:pt idx="3116">
                  <c:v>101.989</c:v>
                </c:pt>
                <c:pt idx="3117">
                  <c:v>101.998</c:v>
                </c:pt>
                <c:pt idx="3118">
                  <c:v>102.00700000000001</c:v>
                </c:pt>
                <c:pt idx="3119">
                  <c:v>102.01600000000001</c:v>
                </c:pt>
                <c:pt idx="3120">
                  <c:v>102.024</c:v>
                </c:pt>
                <c:pt idx="3121">
                  <c:v>102.03400000000001</c:v>
                </c:pt>
                <c:pt idx="3122">
                  <c:v>102.042</c:v>
                </c:pt>
                <c:pt idx="3123">
                  <c:v>102.05</c:v>
                </c:pt>
                <c:pt idx="3124">
                  <c:v>102.06</c:v>
                </c:pt>
                <c:pt idx="3125">
                  <c:v>102.068</c:v>
                </c:pt>
                <c:pt idx="3126">
                  <c:v>102.078</c:v>
                </c:pt>
                <c:pt idx="3127">
                  <c:v>102.086</c:v>
                </c:pt>
                <c:pt idx="3128">
                  <c:v>102.09399999999999</c:v>
                </c:pt>
                <c:pt idx="3129">
                  <c:v>102.104</c:v>
                </c:pt>
                <c:pt idx="3130">
                  <c:v>102.11199999999999</c:v>
                </c:pt>
                <c:pt idx="3131">
                  <c:v>102.121</c:v>
                </c:pt>
                <c:pt idx="3132">
                  <c:v>102.13</c:v>
                </c:pt>
                <c:pt idx="3133">
                  <c:v>102.139</c:v>
                </c:pt>
                <c:pt idx="3134">
                  <c:v>102.148</c:v>
                </c:pt>
                <c:pt idx="3135">
                  <c:v>102.15600000000001</c:v>
                </c:pt>
                <c:pt idx="3136">
                  <c:v>102.16500000000001</c:v>
                </c:pt>
                <c:pt idx="3137">
                  <c:v>102.17400000000001</c:v>
                </c:pt>
                <c:pt idx="3138">
                  <c:v>102.18300000000001</c:v>
                </c:pt>
                <c:pt idx="3139">
                  <c:v>102.19199999999999</c:v>
                </c:pt>
                <c:pt idx="3140">
                  <c:v>102.2</c:v>
                </c:pt>
                <c:pt idx="3141">
                  <c:v>102.209</c:v>
                </c:pt>
                <c:pt idx="3142">
                  <c:v>102.218</c:v>
                </c:pt>
                <c:pt idx="3143">
                  <c:v>102.227</c:v>
                </c:pt>
                <c:pt idx="3144">
                  <c:v>102.235</c:v>
                </c:pt>
                <c:pt idx="3145">
                  <c:v>102.245</c:v>
                </c:pt>
                <c:pt idx="3146">
                  <c:v>102.253</c:v>
                </c:pt>
                <c:pt idx="3147">
                  <c:v>102.262</c:v>
                </c:pt>
                <c:pt idx="3148">
                  <c:v>102.271</c:v>
                </c:pt>
                <c:pt idx="3149">
                  <c:v>102.279</c:v>
                </c:pt>
                <c:pt idx="3150">
                  <c:v>102.289</c:v>
                </c:pt>
                <c:pt idx="3151">
                  <c:v>102.297</c:v>
                </c:pt>
                <c:pt idx="3152">
                  <c:v>102.306</c:v>
                </c:pt>
                <c:pt idx="3153">
                  <c:v>102.315</c:v>
                </c:pt>
                <c:pt idx="3154">
                  <c:v>102.32299999999999</c:v>
                </c:pt>
                <c:pt idx="3155">
                  <c:v>102.333</c:v>
                </c:pt>
                <c:pt idx="3156">
                  <c:v>102.34099999999999</c:v>
                </c:pt>
                <c:pt idx="3157">
                  <c:v>102.35</c:v>
                </c:pt>
                <c:pt idx="3158">
                  <c:v>102.35899999999999</c:v>
                </c:pt>
                <c:pt idx="3159">
                  <c:v>102.367</c:v>
                </c:pt>
                <c:pt idx="3160">
                  <c:v>102.377</c:v>
                </c:pt>
                <c:pt idx="3161">
                  <c:v>102.38500000000001</c:v>
                </c:pt>
                <c:pt idx="3162">
                  <c:v>102.39400000000001</c:v>
                </c:pt>
                <c:pt idx="3163">
                  <c:v>102.40300000000001</c:v>
                </c:pt>
                <c:pt idx="3164">
                  <c:v>102.411</c:v>
                </c:pt>
                <c:pt idx="3165">
                  <c:v>102.42100000000001</c:v>
                </c:pt>
                <c:pt idx="3166">
                  <c:v>102.429</c:v>
                </c:pt>
                <c:pt idx="3167">
                  <c:v>102.438</c:v>
                </c:pt>
                <c:pt idx="3168">
                  <c:v>102.447</c:v>
                </c:pt>
                <c:pt idx="3169">
                  <c:v>102.456</c:v>
                </c:pt>
                <c:pt idx="3170">
                  <c:v>102.465</c:v>
                </c:pt>
                <c:pt idx="3171">
                  <c:v>102.473</c:v>
                </c:pt>
                <c:pt idx="3172">
                  <c:v>102.482</c:v>
                </c:pt>
                <c:pt idx="3173">
                  <c:v>102.491</c:v>
                </c:pt>
                <c:pt idx="3174">
                  <c:v>102.5</c:v>
                </c:pt>
                <c:pt idx="3175">
                  <c:v>102.508</c:v>
                </c:pt>
                <c:pt idx="3176">
                  <c:v>102.517</c:v>
                </c:pt>
                <c:pt idx="3177">
                  <c:v>102.526</c:v>
                </c:pt>
                <c:pt idx="3178">
                  <c:v>102.535</c:v>
                </c:pt>
                <c:pt idx="3179">
                  <c:v>102.544</c:v>
                </c:pt>
                <c:pt idx="3180">
                  <c:v>102.55200000000001</c:v>
                </c:pt>
                <c:pt idx="3181">
                  <c:v>102.56100000000001</c:v>
                </c:pt>
                <c:pt idx="3182">
                  <c:v>102.57</c:v>
                </c:pt>
                <c:pt idx="3183">
                  <c:v>102.57899999999999</c:v>
                </c:pt>
                <c:pt idx="3184">
                  <c:v>102.58799999999999</c:v>
                </c:pt>
                <c:pt idx="3185">
                  <c:v>102.596</c:v>
                </c:pt>
                <c:pt idx="3186">
                  <c:v>102.60599999999999</c:v>
                </c:pt>
                <c:pt idx="3187">
                  <c:v>102.614</c:v>
                </c:pt>
                <c:pt idx="3188">
                  <c:v>102.623</c:v>
                </c:pt>
                <c:pt idx="3189">
                  <c:v>102.63200000000001</c:v>
                </c:pt>
                <c:pt idx="3190">
                  <c:v>102.64</c:v>
                </c:pt>
                <c:pt idx="3191">
                  <c:v>102.65</c:v>
                </c:pt>
                <c:pt idx="3192">
                  <c:v>102.658</c:v>
                </c:pt>
                <c:pt idx="3193">
                  <c:v>102.667</c:v>
                </c:pt>
                <c:pt idx="3194">
                  <c:v>102.676</c:v>
                </c:pt>
                <c:pt idx="3195">
                  <c:v>102.684</c:v>
                </c:pt>
                <c:pt idx="3196">
                  <c:v>102.694</c:v>
                </c:pt>
                <c:pt idx="3197">
                  <c:v>102.702</c:v>
                </c:pt>
                <c:pt idx="3198">
                  <c:v>102.685</c:v>
                </c:pt>
                <c:pt idx="3199">
                  <c:v>102.667</c:v>
                </c:pt>
                <c:pt idx="3200">
                  <c:v>102.64700000000001</c:v>
                </c:pt>
                <c:pt idx="3201">
                  <c:v>102.628</c:v>
                </c:pt>
                <c:pt idx="3202">
                  <c:v>102.60899999999999</c:v>
                </c:pt>
                <c:pt idx="3203">
                  <c:v>102.589</c:v>
                </c:pt>
                <c:pt idx="3204">
                  <c:v>102.57</c:v>
                </c:pt>
                <c:pt idx="3205">
                  <c:v>102.551</c:v>
                </c:pt>
                <c:pt idx="3206">
                  <c:v>102.532</c:v>
                </c:pt>
                <c:pt idx="3207">
                  <c:v>102.512</c:v>
                </c:pt>
                <c:pt idx="3208">
                  <c:v>102.49299999999999</c:v>
                </c:pt>
                <c:pt idx="3209">
                  <c:v>102.474</c:v>
                </c:pt>
                <c:pt idx="3210">
                  <c:v>102.45399999999999</c:v>
                </c:pt>
                <c:pt idx="3211">
                  <c:v>102.43600000000001</c:v>
                </c:pt>
                <c:pt idx="3212">
                  <c:v>102.416</c:v>
                </c:pt>
                <c:pt idx="3213">
                  <c:v>102.396</c:v>
                </c:pt>
                <c:pt idx="3214">
                  <c:v>102.378</c:v>
                </c:pt>
                <c:pt idx="3215">
                  <c:v>102.358</c:v>
                </c:pt>
                <c:pt idx="3216">
                  <c:v>102.33799999999999</c:v>
                </c:pt>
                <c:pt idx="3217">
                  <c:v>102.32</c:v>
                </c:pt>
                <c:pt idx="3218">
                  <c:v>102.3</c:v>
                </c:pt>
                <c:pt idx="3219">
                  <c:v>102.28100000000001</c:v>
                </c:pt>
                <c:pt idx="3220">
                  <c:v>102.262</c:v>
                </c:pt>
                <c:pt idx="3221">
                  <c:v>102.242</c:v>
                </c:pt>
                <c:pt idx="3222">
                  <c:v>102.223</c:v>
                </c:pt>
                <c:pt idx="3223">
                  <c:v>102.20399999999999</c:v>
                </c:pt>
                <c:pt idx="3224">
                  <c:v>102.185</c:v>
                </c:pt>
                <c:pt idx="3225">
                  <c:v>102.16500000000001</c:v>
                </c:pt>
                <c:pt idx="3226">
                  <c:v>102.146</c:v>
                </c:pt>
                <c:pt idx="3227">
                  <c:v>102.127</c:v>
                </c:pt>
                <c:pt idx="3228">
                  <c:v>102.107</c:v>
                </c:pt>
                <c:pt idx="3229">
                  <c:v>102.08799999999999</c:v>
                </c:pt>
                <c:pt idx="3230">
                  <c:v>102.069</c:v>
                </c:pt>
                <c:pt idx="3231">
                  <c:v>102.04900000000001</c:v>
                </c:pt>
                <c:pt idx="3232">
                  <c:v>102.03100000000001</c:v>
                </c:pt>
                <c:pt idx="3233">
                  <c:v>102.011</c:v>
                </c:pt>
                <c:pt idx="3234">
                  <c:v>101.992</c:v>
                </c:pt>
                <c:pt idx="3235">
                  <c:v>101.973</c:v>
                </c:pt>
                <c:pt idx="3236">
                  <c:v>101.953</c:v>
                </c:pt>
                <c:pt idx="3237">
                  <c:v>101.934</c:v>
                </c:pt>
                <c:pt idx="3238">
                  <c:v>101.91500000000001</c:v>
                </c:pt>
                <c:pt idx="3239">
                  <c:v>101.895</c:v>
                </c:pt>
                <c:pt idx="3240">
                  <c:v>101.877</c:v>
                </c:pt>
                <c:pt idx="3241">
                  <c:v>101.857</c:v>
                </c:pt>
                <c:pt idx="3242">
                  <c:v>101.837</c:v>
                </c:pt>
                <c:pt idx="3243">
                  <c:v>101.819</c:v>
                </c:pt>
                <c:pt idx="3244">
                  <c:v>101.79900000000001</c:v>
                </c:pt>
                <c:pt idx="3245">
                  <c:v>101.78</c:v>
                </c:pt>
                <c:pt idx="3246">
                  <c:v>101.761</c:v>
                </c:pt>
                <c:pt idx="3247">
                  <c:v>101.741</c:v>
                </c:pt>
                <c:pt idx="3248">
                  <c:v>101.72199999999999</c:v>
                </c:pt>
                <c:pt idx="3249">
                  <c:v>101.703</c:v>
                </c:pt>
                <c:pt idx="3250">
                  <c:v>101.684</c:v>
                </c:pt>
                <c:pt idx="3251">
                  <c:v>101.664</c:v>
                </c:pt>
                <c:pt idx="3252">
                  <c:v>101.645</c:v>
                </c:pt>
                <c:pt idx="3253">
                  <c:v>101.626</c:v>
                </c:pt>
                <c:pt idx="3254">
                  <c:v>101.60599999999999</c:v>
                </c:pt>
                <c:pt idx="3255">
                  <c:v>101.58799999999999</c:v>
                </c:pt>
                <c:pt idx="3256">
                  <c:v>101.568</c:v>
                </c:pt>
                <c:pt idx="3257">
                  <c:v>101.548</c:v>
                </c:pt>
                <c:pt idx="3258">
                  <c:v>101.53</c:v>
                </c:pt>
                <c:pt idx="3259">
                  <c:v>101.51</c:v>
                </c:pt>
                <c:pt idx="3260">
                  <c:v>101.491</c:v>
                </c:pt>
                <c:pt idx="3261">
                  <c:v>101.47199999999999</c:v>
                </c:pt>
                <c:pt idx="3262">
                  <c:v>101.452</c:v>
                </c:pt>
                <c:pt idx="3263">
                  <c:v>101.43300000000001</c:v>
                </c:pt>
                <c:pt idx="3264">
                  <c:v>101.413</c:v>
                </c:pt>
                <c:pt idx="3265">
                  <c:v>101.395</c:v>
                </c:pt>
                <c:pt idx="3266">
                  <c:v>101.375</c:v>
                </c:pt>
                <c:pt idx="3267">
                  <c:v>101.35599999999999</c:v>
                </c:pt>
                <c:pt idx="3268">
                  <c:v>101.336</c:v>
                </c:pt>
                <c:pt idx="3269">
                  <c:v>101.31699999999999</c:v>
                </c:pt>
                <c:pt idx="3270">
                  <c:v>101.298</c:v>
                </c:pt>
                <c:pt idx="3271">
                  <c:v>101.279</c:v>
                </c:pt>
                <c:pt idx="3272">
                  <c:v>101.271</c:v>
                </c:pt>
                <c:pt idx="3273">
                  <c:v>101.268</c:v>
                </c:pt>
                <c:pt idx="3274">
                  <c:v>101.26600000000001</c:v>
                </c:pt>
                <c:pt idx="3275">
                  <c:v>101.26300000000001</c:v>
                </c:pt>
                <c:pt idx="3276">
                  <c:v>101.261</c:v>
                </c:pt>
                <c:pt idx="3277">
                  <c:v>101.25700000000001</c:v>
                </c:pt>
                <c:pt idx="3278">
                  <c:v>101.255</c:v>
                </c:pt>
                <c:pt idx="3279">
                  <c:v>101.252</c:v>
                </c:pt>
                <c:pt idx="3280">
                  <c:v>101.249</c:v>
                </c:pt>
                <c:pt idx="3281">
                  <c:v>101.247</c:v>
                </c:pt>
                <c:pt idx="3282">
                  <c:v>101.244</c:v>
                </c:pt>
                <c:pt idx="3283">
                  <c:v>101.241</c:v>
                </c:pt>
                <c:pt idx="3284">
                  <c:v>101.238</c:v>
                </c:pt>
                <c:pt idx="3285">
                  <c:v>101.236</c:v>
                </c:pt>
                <c:pt idx="3286">
                  <c:v>101.233</c:v>
                </c:pt>
                <c:pt idx="3287">
                  <c:v>101.23</c:v>
                </c:pt>
                <c:pt idx="3288">
                  <c:v>101.22799999999999</c:v>
                </c:pt>
                <c:pt idx="3289">
                  <c:v>101.22499999999999</c:v>
                </c:pt>
                <c:pt idx="3290">
                  <c:v>101.22199999999999</c:v>
                </c:pt>
                <c:pt idx="3291">
                  <c:v>101.22</c:v>
                </c:pt>
                <c:pt idx="3292">
                  <c:v>101.217</c:v>
                </c:pt>
                <c:pt idx="3293">
                  <c:v>101.214</c:v>
                </c:pt>
                <c:pt idx="3294">
                  <c:v>101.211</c:v>
                </c:pt>
                <c:pt idx="3295">
                  <c:v>101.209</c:v>
                </c:pt>
                <c:pt idx="3296">
                  <c:v>101.206</c:v>
                </c:pt>
                <c:pt idx="3297">
                  <c:v>101.203</c:v>
                </c:pt>
                <c:pt idx="3298">
                  <c:v>101.2</c:v>
                </c:pt>
                <c:pt idx="3299">
                  <c:v>101.19799999999999</c:v>
                </c:pt>
                <c:pt idx="3300">
                  <c:v>101.19499999999999</c:v>
                </c:pt>
                <c:pt idx="3301">
                  <c:v>101.19199999999999</c:v>
                </c:pt>
                <c:pt idx="3302">
                  <c:v>101.18899999999999</c:v>
                </c:pt>
                <c:pt idx="3303">
                  <c:v>101.187</c:v>
                </c:pt>
                <c:pt idx="3304">
                  <c:v>101.184</c:v>
                </c:pt>
                <c:pt idx="3305">
                  <c:v>101.181</c:v>
                </c:pt>
                <c:pt idx="3306">
                  <c:v>101.178</c:v>
                </c:pt>
                <c:pt idx="3307">
                  <c:v>101.176</c:v>
                </c:pt>
                <c:pt idx="3308">
                  <c:v>101.173</c:v>
                </c:pt>
                <c:pt idx="3309">
                  <c:v>101.17</c:v>
                </c:pt>
                <c:pt idx="3310">
                  <c:v>101.16800000000001</c:v>
                </c:pt>
                <c:pt idx="3311">
                  <c:v>101.16500000000001</c:v>
                </c:pt>
                <c:pt idx="3312">
                  <c:v>101.16200000000001</c:v>
                </c:pt>
                <c:pt idx="3313">
                  <c:v>101.16</c:v>
                </c:pt>
                <c:pt idx="3314">
                  <c:v>101.157</c:v>
                </c:pt>
                <c:pt idx="3315">
                  <c:v>101.154</c:v>
                </c:pt>
                <c:pt idx="3316">
                  <c:v>101.151</c:v>
                </c:pt>
                <c:pt idx="3317">
                  <c:v>101.149</c:v>
                </c:pt>
                <c:pt idx="3318">
                  <c:v>101.146</c:v>
                </c:pt>
                <c:pt idx="3319">
                  <c:v>101.143</c:v>
                </c:pt>
                <c:pt idx="3320">
                  <c:v>101.14100000000001</c:v>
                </c:pt>
                <c:pt idx="3321">
                  <c:v>101.137</c:v>
                </c:pt>
                <c:pt idx="3322">
                  <c:v>101.13500000000001</c:v>
                </c:pt>
                <c:pt idx="3323">
                  <c:v>101.13200000000001</c:v>
                </c:pt>
                <c:pt idx="3324">
                  <c:v>101.13</c:v>
                </c:pt>
                <c:pt idx="3325">
                  <c:v>101.127</c:v>
                </c:pt>
                <c:pt idx="3326">
                  <c:v>101.124</c:v>
                </c:pt>
                <c:pt idx="3327">
                  <c:v>101.122</c:v>
                </c:pt>
                <c:pt idx="3328">
                  <c:v>101.11799999999999</c:v>
                </c:pt>
                <c:pt idx="3329">
                  <c:v>101.116</c:v>
                </c:pt>
                <c:pt idx="3330">
                  <c:v>101.113</c:v>
                </c:pt>
                <c:pt idx="3331">
                  <c:v>101.111</c:v>
                </c:pt>
                <c:pt idx="3332">
                  <c:v>101.107</c:v>
                </c:pt>
                <c:pt idx="3333">
                  <c:v>101.105</c:v>
                </c:pt>
                <c:pt idx="3334">
                  <c:v>101.102</c:v>
                </c:pt>
                <c:pt idx="3335">
                  <c:v>101.1</c:v>
                </c:pt>
                <c:pt idx="3336">
                  <c:v>101.09699999999999</c:v>
                </c:pt>
                <c:pt idx="3337">
                  <c:v>101.09399999999999</c:v>
                </c:pt>
                <c:pt idx="3338">
                  <c:v>101.092</c:v>
                </c:pt>
                <c:pt idx="3339">
                  <c:v>101.089</c:v>
                </c:pt>
                <c:pt idx="3340">
                  <c:v>101.086</c:v>
                </c:pt>
                <c:pt idx="3341">
                  <c:v>101.083</c:v>
                </c:pt>
                <c:pt idx="3342">
                  <c:v>101.081</c:v>
                </c:pt>
                <c:pt idx="3343">
                  <c:v>101.078</c:v>
                </c:pt>
                <c:pt idx="3344">
                  <c:v>101.07599999999999</c:v>
                </c:pt>
                <c:pt idx="3345">
                  <c:v>101.08</c:v>
                </c:pt>
                <c:pt idx="3346">
                  <c:v>101.11799999999999</c:v>
                </c:pt>
                <c:pt idx="3347">
                  <c:v>101.15600000000001</c:v>
                </c:pt>
                <c:pt idx="3348">
                  <c:v>101.193</c:v>
                </c:pt>
                <c:pt idx="3349">
                  <c:v>101.23</c:v>
                </c:pt>
                <c:pt idx="3350">
                  <c:v>101.268</c:v>
                </c:pt>
                <c:pt idx="3351">
                  <c:v>101.306</c:v>
                </c:pt>
                <c:pt idx="3352">
                  <c:v>101.343</c:v>
                </c:pt>
                <c:pt idx="3353">
                  <c:v>101.381</c:v>
                </c:pt>
                <c:pt idx="3354">
                  <c:v>101.41800000000001</c:v>
                </c:pt>
                <c:pt idx="3355">
                  <c:v>101.456</c:v>
                </c:pt>
                <c:pt idx="3356">
                  <c:v>101.49299999999999</c:v>
                </c:pt>
                <c:pt idx="3357">
                  <c:v>101.53100000000001</c:v>
                </c:pt>
                <c:pt idx="3358">
                  <c:v>101.568</c:v>
                </c:pt>
                <c:pt idx="3359">
                  <c:v>101.60599999999999</c:v>
                </c:pt>
                <c:pt idx="3360">
                  <c:v>101.643</c:v>
                </c:pt>
                <c:pt idx="3361">
                  <c:v>101.681</c:v>
                </c:pt>
                <c:pt idx="3362">
                  <c:v>101.71899999999999</c:v>
                </c:pt>
                <c:pt idx="3363">
                  <c:v>101.755</c:v>
                </c:pt>
                <c:pt idx="3364">
                  <c:v>101.79300000000001</c:v>
                </c:pt>
                <c:pt idx="3365">
                  <c:v>101.831</c:v>
                </c:pt>
                <c:pt idx="3366">
                  <c:v>101.869</c:v>
                </c:pt>
                <c:pt idx="3367">
                  <c:v>101.905</c:v>
                </c:pt>
                <c:pt idx="3368">
                  <c:v>101.943</c:v>
                </c:pt>
                <c:pt idx="3369">
                  <c:v>101.98099999999999</c:v>
                </c:pt>
                <c:pt idx="3370">
                  <c:v>102.01900000000001</c:v>
                </c:pt>
                <c:pt idx="3371">
                  <c:v>102.056</c:v>
                </c:pt>
                <c:pt idx="3372">
                  <c:v>102.093</c:v>
                </c:pt>
                <c:pt idx="3373">
                  <c:v>102.131</c:v>
                </c:pt>
                <c:pt idx="3374">
                  <c:v>102.16800000000001</c:v>
                </c:pt>
                <c:pt idx="3375">
                  <c:v>102.206</c:v>
                </c:pt>
                <c:pt idx="3376">
                  <c:v>102.244</c:v>
                </c:pt>
                <c:pt idx="3377">
                  <c:v>102.28100000000001</c:v>
                </c:pt>
                <c:pt idx="3378">
                  <c:v>102.318</c:v>
                </c:pt>
                <c:pt idx="3379">
                  <c:v>102.35599999999999</c:v>
                </c:pt>
                <c:pt idx="3380">
                  <c:v>102.39400000000001</c:v>
                </c:pt>
                <c:pt idx="3381">
                  <c:v>102.432</c:v>
                </c:pt>
                <c:pt idx="3382">
                  <c:v>102.468</c:v>
                </c:pt>
                <c:pt idx="3383">
                  <c:v>102.506</c:v>
                </c:pt>
                <c:pt idx="3384">
                  <c:v>102.544</c:v>
                </c:pt>
                <c:pt idx="3385">
                  <c:v>102.581</c:v>
                </c:pt>
                <c:pt idx="3386">
                  <c:v>102.619</c:v>
                </c:pt>
                <c:pt idx="3387">
                  <c:v>102.65600000000001</c:v>
                </c:pt>
                <c:pt idx="3388">
                  <c:v>102.694</c:v>
                </c:pt>
                <c:pt idx="3389">
                  <c:v>102.73099999999999</c:v>
                </c:pt>
                <c:pt idx="3390">
                  <c:v>102.76900000000001</c:v>
                </c:pt>
                <c:pt idx="3391">
                  <c:v>102.807</c:v>
                </c:pt>
                <c:pt idx="3392">
                  <c:v>102.843</c:v>
                </c:pt>
                <c:pt idx="3393">
                  <c:v>102.881</c:v>
                </c:pt>
                <c:pt idx="3394">
                  <c:v>102.919</c:v>
                </c:pt>
                <c:pt idx="3395">
                  <c:v>102.95699999999999</c:v>
                </c:pt>
                <c:pt idx="3396">
                  <c:v>102.994</c:v>
                </c:pt>
                <c:pt idx="3397">
                  <c:v>103.03100000000001</c:v>
                </c:pt>
                <c:pt idx="3398">
                  <c:v>103.069</c:v>
                </c:pt>
                <c:pt idx="3399">
                  <c:v>103.10599999999999</c:v>
                </c:pt>
                <c:pt idx="3400">
                  <c:v>103.14400000000001</c:v>
                </c:pt>
                <c:pt idx="3401">
                  <c:v>103.182</c:v>
                </c:pt>
                <c:pt idx="3402">
                  <c:v>103.21899999999999</c:v>
                </c:pt>
                <c:pt idx="3403">
                  <c:v>103.256</c:v>
                </c:pt>
                <c:pt idx="3404">
                  <c:v>103.294</c:v>
                </c:pt>
                <c:pt idx="3405">
                  <c:v>103.33199999999999</c:v>
                </c:pt>
                <c:pt idx="3406">
                  <c:v>103.369</c:v>
                </c:pt>
                <c:pt idx="3407">
                  <c:v>103.40600000000001</c:v>
                </c:pt>
                <c:pt idx="3408">
                  <c:v>103.444</c:v>
                </c:pt>
                <c:pt idx="3409">
                  <c:v>103.482</c:v>
                </c:pt>
                <c:pt idx="3410">
                  <c:v>103.51900000000001</c:v>
                </c:pt>
                <c:pt idx="3411">
                  <c:v>103.557</c:v>
                </c:pt>
                <c:pt idx="3412">
                  <c:v>103.595</c:v>
                </c:pt>
                <c:pt idx="3413">
                  <c:v>103.631</c:v>
                </c:pt>
                <c:pt idx="3414">
                  <c:v>103.669</c:v>
                </c:pt>
                <c:pt idx="3415">
                  <c:v>103.702</c:v>
                </c:pt>
                <c:pt idx="3416">
                  <c:v>103.688</c:v>
                </c:pt>
                <c:pt idx="3417">
                  <c:v>103.67400000000001</c:v>
                </c:pt>
                <c:pt idx="3418">
                  <c:v>103.65900000000001</c:v>
                </c:pt>
                <c:pt idx="3419">
                  <c:v>103.645</c:v>
                </c:pt>
                <c:pt idx="3420">
                  <c:v>103.631</c:v>
                </c:pt>
                <c:pt idx="3421">
                  <c:v>103.617</c:v>
                </c:pt>
                <c:pt idx="3422">
                  <c:v>103.60299999999999</c:v>
                </c:pt>
                <c:pt idx="3423">
                  <c:v>103.58799999999999</c:v>
                </c:pt>
                <c:pt idx="3424">
                  <c:v>103.574</c:v>
                </c:pt>
                <c:pt idx="3425">
                  <c:v>103.56</c:v>
                </c:pt>
                <c:pt idx="3426">
                  <c:v>103.54600000000001</c:v>
                </c:pt>
                <c:pt idx="3427">
                  <c:v>103.532</c:v>
                </c:pt>
                <c:pt idx="3428">
                  <c:v>103.517</c:v>
                </c:pt>
                <c:pt idx="3429">
                  <c:v>103.503</c:v>
                </c:pt>
                <c:pt idx="3430">
                  <c:v>103.489</c:v>
                </c:pt>
                <c:pt idx="3431">
                  <c:v>103.47499999999999</c:v>
                </c:pt>
                <c:pt idx="3432">
                  <c:v>103.461</c:v>
                </c:pt>
                <c:pt idx="3433">
                  <c:v>103.446</c:v>
                </c:pt>
                <c:pt idx="3434">
                  <c:v>103.432</c:v>
                </c:pt>
                <c:pt idx="3435">
                  <c:v>103.41800000000001</c:v>
                </c:pt>
                <c:pt idx="3436">
                  <c:v>103.404</c:v>
                </c:pt>
                <c:pt idx="3437">
                  <c:v>103.39</c:v>
                </c:pt>
                <c:pt idx="3438">
                  <c:v>103.375</c:v>
                </c:pt>
                <c:pt idx="3439">
                  <c:v>103.361</c:v>
                </c:pt>
                <c:pt idx="3440">
                  <c:v>103.34699999999999</c:v>
                </c:pt>
                <c:pt idx="3441">
                  <c:v>103.333</c:v>
                </c:pt>
                <c:pt idx="3442">
                  <c:v>103.319</c:v>
                </c:pt>
                <c:pt idx="3443">
                  <c:v>103.304</c:v>
                </c:pt>
                <c:pt idx="3444">
                  <c:v>103.29</c:v>
                </c:pt>
                <c:pt idx="3445">
                  <c:v>103.276</c:v>
                </c:pt>
                <c:pt idx="3446">
                  <c:v>103.262</c:v>
                </c:pt>
                <c:pt idx="3447">
                  <c:v>103.247</c:v>
                </c:pt>
                <c:pt idx="3448">
                  <c:v>103.233</c:v>
                </c:pt>
                <c:pt idx="3449">
                  <c:v>103.21899999999999</c:v>
                </c:pt>
                <c:pt idx="3450">
                  <c:v>103.205</c:v>
                </c:pt>
                <c:pt idx="3451">
                  <c:v>103.191</c:v>
                </c:pt>
                <c:pt idx="3452">
                  <c:v>103.17700000000001</c:v>
                </c:pt>
                <c:pt idx="3453">
                  <c:v>103.163</c:v>
                </c:pt>
                <c:pt idx="3454">
                  <c:v>103.149</c:v>
                </c:pt>
                <c:pt idx="3455">
                  <c:v>103.13500000000001</c:v>
                </c:pt>
                <c:pt idx="3456">
                  <c:v>103.121</c:v>
                </c:pt>
                <c:pt idx="3457">
                  <c:v>103.10599999999999</c:v>
                </c:pt>
                <c:pt idx="3458">
                  <c:v>103.092</c:v>
                </c:pt>
                <c:pt idx="3459">
                  <c:v>103.078</c:v>
                </c:pt>
                <c:pt idx="3460">
                  <c:v>103.06399999999999</c:v>
                </c:pt>
                <c:pt idx="3461">
                  <c:v>103.05</c:v>
                </c:pt>
                <c:pt idx="3462">
                  <c:v>103.035</c:v>
                </c:pt>
                <c:pt idx="3463">
                  <c:v>103.021</c:v>
                </c:pt>
                <c:pt idx="3464">
                  <c:v>103.00700000000001</c:v>
                </c:pt>
                <c:pt idx="3465">
                  <c:v>102.99299999999999</c:v>
                </c:pt>
                <c:pt idx="3466">
                  <c:v>102.979</c:v>
                </c:pt>
                <c:pt idx="3467">
                  <c:v>102.964</c:v>
                </c:pt>
                <c:pt idx="3468">
                  <c:v>102.95</c:v>
                </c:pt>
                <c:pt idx="3469">
                  <c:v>102.93600000000001</c:v>
                </c:pt>
                <c:pt idx="3470">
                  <c:v>102.922</c:v>
                </c:pt>
                <c:pt idx="3471">
                  <c:v>102.908</c:v>
                </c:pt>
                <c:pt idx="3472">
                  <c:v>102.893</c:v>
                </c:pt>
                <c:pt idx="3473">
                  <c:v>102.879</c:v>
                </c:pt>
                <c:pt idx="3474">
                  <c:v>102.86499999999999</c:v>
                </c:pt>
                <c:pt idx="3475">
                  <c:v>102.851</c:v>
                </c:pt>
                <c:pt idx="3476">
                  <c:v>102.837</c:v>
                </c:pt>
                <c:pt idx="3477">
                  <c:v>102.822</c:v>
                </c:pt>
                <c:pt idx="3478">
                  <c:v>102.80800000000001</c:v>
                </c:pt>
                <c:pt idx="3479">
                  <c:v>102.794</c:v>
                </c:pt>
                <c:pt idx="3480">
                  <c:v>102.78</c:v>
                </c:pt>
                <c:pt idx="3481">
                  <c:v>102.76600000000001</c:v>
                </c:pt>
                <c:pt idx="3482">
                  <c:v>102.751</c:v>
                </c:pt>
                <c:pt idx="3483">
                  <c:v>102.73699999999999</c:v>
                </c:pt>
                <c:pt idx="3484">
                  <c:v>102.723</c:v>
                </c:pt>
                <c:pt idx="3485">
                  <c:v>102.709</c:v>
                </c:pt>
                <c:pt idx="3486">
                  <c:v>102.69499999999999</c:v>
                </c:pt>
                <c:pt idx="3487">
                  <c:v>102.681</c:v>
                </c:pt>
                <c:pt idx="3488">
                  <c:v>102.666</c:v>
                </c:pt>
                <c:pt idx="3489">
                  <c:v>102.652</c:v>
                </c:pt>
                <c:pt idx="3490">
                  <c:v>102.63800000000001</c:v>
                </c:pt>
                <c:pt idx="3491">
                  <c:v>102.624</c:v>
                </c:pt>
                <c:pt idx="3492">
                  <c:v>102.61</c:v>
                </c:pt>
                <c:pt idx="3493">
                  <c:v>102.596</c:v>
                </c:pt>
                <c:pt idx="3494">
                  <c:v>102.581</c:v>
                </c:pt>
                <c:pt idx="3495">
                  <c:v>102.56699999999999</c:v>
                </c:pt>
                <c:pt idx="3496">
                  <c:v>102.553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17-4C96-8D5F-E79A62565D27}"/>
            </c:ext>
          </c:extLst>
        </c:ser>
        <c:ser>
          <c:idx val="2"/>
          <c:order val="2"/>
          <c:tx>
            <c:strRef>
              <c:f>geomorph!$G$1</c:f>
              <c:strCache>
                <c:ptCount val="1"/>
                <c:pt idx="0">
                  <c:v>thalweg (trend)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geomorph!$A$2:$A$3498</c:f>
              <c:numCache>
                <c:formatCode>General</c:formatCode>
                <c:ptCount val="349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  <c:pt idx="714">
                  <c:v>7140</c:v>
                </c:pt>
                <c:pt idx="715">
                  <c:v>7150</c:v>
                </c:pt>
                <c:pt idx="716">
                  <c:v>7160</c:v>
                </c:pt>
                <c:pt idx="717">
                  <c:v>7170</c:v>
                </c:pt>
                <c:pt idx="718">
                  <c:v>7180</c:v>
                </c:pt>
                <c:pt idx="719">
                  <c:v>7190</c:v>
                </c:pt>
                <c:pt idx="720">
                  <c:v>7200</c:v>
                </c:pt>
                <c:pt idx="721">
                  <c:v>7210</c:v>
                </c:pt>
                <c:pt idx="722">
                  <c:v>7220</c:v>
                </c:pt>
                <c:pt idx="723">
                  <c:v>7230</c:v>
                </c:pt>
                <c:pt idx="724">
                  <c:v>7240</c:v>
                </c:pt>
                <c:pt idx="725">
                  <c:v>7250</c:v>
                </c:pt>
                <c:pt idx="726">
                  <c:v>7260</c:v>
                </c:pt>
                <c:pt idx="727">
                  <c:v>7270</c:v>
                </c:pt>
                <c:pt idx="728">
                  <c:v>7280</c:v>
                </c:pt>
                <c:pt idx="729">
                  <c:v>7290</c:v>
                </c:pt>
                <c:pt idx="730">
                  <c:v>7300</c:v>
                </c:pt>
                <c:pt idx="731">
                  <c:v>7310</c:v>
                </c:pt>
                <c:pt idx="732">
                  <c:v>7320</c:v>
                </c:pt>
                <c:pt idx="733">
                  <c:v>7330</c:v>
                </c:pt>
                <c:pt idx="734">
                  <c:v>7340</c:v>
                </c:pt>
                <c:pt idx="735">
                  <c:v>7350</c:v>
                </c:pt>
                <c:pt idx="736">
                  <c:v>7360</c:v>
                </c:pt>
                <c:pt idx="737">
                  <c:v>7370</c:v>
                </c:pt>
                <c:pt idx="738">
                  <c:v>7380</c:v>
                </c:pt>
                <c:pt idx="739">
                  <c:v>7390</c:v>
                </c:pt>
                <c:pt idx="740">
                  <c:v>7400</c:v>
                </c:pt>
                <c:pt idx="741">
                  <c:v>7410</c:v>
                </c:pt>
                <c:pt idx="742">
                  <c:v>7420</c:v>
                </c:pt>
                <c:pt idx="743">
                  <c:v>7430</c:v>
                </c:pt>
                <c:pt idx="744">
                  <c:v>7440</c:v>
                </c:pt>
                <c:pt idx="745">
                  <c:v>7450</c:v>
                </c:pt>
                <c:pt idx="746">
                  <c:v>7460</c:v>
                </c:pt>
                <c:pt idx="747">
                  <c:v>7470</c:v>
                </c:pt>
                <c:pt idx="748">
                  <c:v>7480</c:v>
                </c:pt>
                <c:pt idx="749">
                  <c:v>7490</c:v>
                </c:pt>
                <c:pt idx="750">
                  <c:v>7500</c:v>
                </c:pt>
                <c:pt idx="751">
                  <c:v>7510</c:v>
                </c:pt>
                <c:pt idx="752">
                  <c:v>7520</c:v>
                </c:pt>
                <c:pt idx="753">
                  <c:v>7530</c:v>
                </c:pt>
                <c:pt idx="754">
                  <c:v>7540</c:v>
                </c:pt>
                <c:pt idx="755">
                  <c:v>7550</c:v>
                </c:pt>
                <c:pt idx="756">
                  <c:v>7560</c:v>
                </c:pt>
                <c:pt idx="757">
                  <c:v>7570</c:v>
                </c:pt>
                <c:pt idx="758">
                  <c:v>7580</c:v>
                </c:pt>
                <c:pt idx="759">
                  <c:v>7590</c:v>
                </c:pt>
                <c:pt idx="760">
                  <c:v>7600</c:v>
                </c:pt>
                <c:pt idx="761">
                  <c:v>7610</c:v>
                </c:pt>
                <c:pt idx="762">
                  <c:v>7620</c:v>
                </c:pt>
                <c:pt idx="763">
                  <c:v>7630</c:v>
                </c:pt>
                <c:pt idx="764">
                  <c:v>7640</c:v>
                </c:pt>
                <c:pt idx="765">
                  <c:v>7650</c:v>
                </c:pt>
                <c:pt idx="766">
                  <c:v>7660</c:v>
                </c:pt>
                <c:pt idx="767">
                  <c:v>7670</c:v>
                </c:pt>
                <c:pt idx="768">
                  <c:v>7680</c:v>
                </c:pt>
                <c:pt idx="769">
                  <c:v>7690</c:v>
                </c:pt>
                <c:pt idx="770">
                  <c:v>7700</c:v>
                </c:pt>
                <c:pt idx="771">
                  <c:v>7710</c:v>
                </c:pt>
                <c:pt idx="772">
                  <c:v>7720</c:v>
                </c:pt>
                <c:pt idx="773">
                  <c:v>7730</c:v>
                </c:pt>
                <c:pt idx="774">
                  <c:v>7740</c:v>
                </c:pt>
                <c:pt idx="775">
                  <c:v>7750</c:v>
                </c:pt>
                <c:pt idx="776">
                  <c:v>7760</c:v>
                </c:pt>
                <c:pt idx="777">
                  <c:v>7770</c:v>
                </c:pt>
                <c:pt idx="778">
                  <c:v>7780</c:v>
                </c:pt>
                <c:pt idx="779">
                  <c:v>7790</c:v>
                </c:pt>
                <c:pt idx="780">
                  <c:v>7800</c:v>
                </c:pt>
                <c:pt idx="781">
                  <c:v>7810</c:v>
                </c:pt>
                <c:pt idx="782">
                  <c:v>7820</c:v>
                </c:pt>
                <c:pt idx="783">
                  <c:v>7830</c:v>
                </c:pt>
                <c:pt idx="784">
                  <c:v>7840</c:v>
                </c:pt>
                <c:pt idx="785">
                  <c:v>7850</c:v>
                </c:pt>
                <c:pt idx="786">
                  <c:v>7860</c:v>
                </c:pt>
                <c:pt idx="787">
                  <c:v>7870</c:v>
                </c:pt>
                <c:pt idx="788">
                  <c:v>7880</c:v>
                </c:pt>
                <c:pt idx="789">
                  <c:v>7890</c:v>
                </c:pt>
                <c:pt idx="790">
                  <c:v>7900</c:v>
                </c:pt>
                <c:pt idx="791">
                  <c:v>7910</c:v>
                </c:pt>
                <c:pt idx="792">
                  <c:v>7920</c:v>
                </c:pt>
                <c:pt idx="793">
                  <c:v>7930</c:v>
                </c:pt>
                <c:pt idx="794">
                  <c:v>7940</c:v>
                </c:pt>
                <c:pt idx="795">
                  <c:v>7950</c:v>
                </c:pt>
                <c:pt idx="796">
                  <c:v>7960</c:v>
                </c:pt>
                <c:pt idx="797">
                  <c:v>7970</c:v>
                </c:pt>
                <c:pt idx="798">
                  <c:v>7980</c:v>
                </c:pt>
                <c:pt idx="799">
                  <c:v>7990</c:v>
                </c:pt>
                <c:pt idx="800">
                  <c:v>8000</c:v>
                </c:pt>
                <c:pt idx="801">
                  <c:v>8010</c:v>
                </c:pt>
                <c:pt idx="802">
                  <c:v>8020</c:v>
                </c:pt>
                <c:pt idx="803">
                  <c:v>8030</c:v>
                </c:pt>
                <c:pt idx="804">
                  <c:v>8040</c:v>
                </c:pt>
                <c:pt idx="805">
                  <c:v>8050</c:v>
                </c:pt>
                <c:pt idx="806">
                  <c:v>8060</c:v>
                </c:pt>
                <c:pt idx="807">
                  <c:v>8070</c:v>
                </c:pt>
                <c:pt idx="808">
                  <c:v>8080</c:v>
                </c:pt>
                <c:pt idx="809">
                  <c:v>8090</c:v>
                </c:pt>
                <c:pt idx="810">
                  <c:v>8100</c:v>
                </c:pt>
                <c:pt idx="811">
                  <c:v>8110</c:v>
                </c:pt>
                <c:pt idx="812">
                  <c:v>8120</c:v>
                </c:pt>
                <c:pt idx="813">
                  <c:v>8130</c:v>
                </c:pt>
                <c:pt idx="814">
                  <c:v>8140</c:v>
                </c:pt>
                <c:pt idx="815">
                  <c:v>8150</c:v>
                </c:pt>
                <c:pt idx="816">
                  <c:v>8160</c:v>
                </c:pt>
                <c:pt idx="817">
                  <c:v>8170</c:v>
                </c:pt>
                <c:pt idx="818">
                  <c:v>8180</c:v>
                </c:pt>
                <c:pt idx="819">
                  <c:v>8190</c:v>
                </c:pt>
                <c:pt idx="820">
                  <c:v>8200</c:v>
                </c:pt>
                <c:pt idx="821">
                  <c:v>8210</c:v>
                </c:pt>
                <c:pt idx="822">
                  <c:v>8220</c:v>
                </c:pt>
                <c:pt idx="823">
                  <c:v>8230</c:v>
                </c:pt>
                <c:pt idx="824">
                  <c:v>8240</c:v>
                </c:pt>
                <c:pt idx="825">
                  <c:v>8250</c:v>
                </c:pt>
                <c:pt idx="826">
                  <c:v>8260</c:v>
                </c:pt>
                <c:pt idx="827">
                  <c:v>8270</c:v>
                </c:pt>
                <c:pt idx="828">
                  <c:v>8280</c:v>
                </c:pt>
                <c:pt idx="829">
                  <c:v>8290</c:v>
                </c:pt>
                <c:pt idx="830">
                  <c:v>8300</c:v>
                </c:pt>
                <c:pt idx="831">
                  <c:v>8310</c:v>
                </c:pt>
                <c:pt idx="832">
                  <c:v>8320</c:v>
                </c:pt>
                <c:pt idx="833">
                  <c:v>8330</c:v>
                </c:pt>
                <c:pt idx="834">
                  <c:v>8340</c:v>
                </c:pt>
                <c:pt idx="835">
                  <c:v>8350</c:v>
                </c:pt>
                <c:pt idx="836">
                  <c:v>8360</c:v>
                </c:pt>
                <c:pt idx="837">
                  <c:v>8370</c:v>
                </c:pt>
                <c:pt idx="838">
                  <c:v>8380</c:v>
                </c:pt>
                <c:pt idx="839">
                  <c:v>8390</c:v>
                </c:pt>
                <c:pt idx="840">
                  <c:v>8400</c:v>
                </c:pt>
                <c:pt idx="841">
                  <c:v>8410</c:v>
                </c:pt>
                <c:pt idx="842">
                  <c:v>8420</c:v>
                </c:pt>
                <c:pt idx="843">
                  <c:v>8430</c:v>
                </c:pt>
                <c:pt idx="844">
                  <c:v>8440</c:v>
                </c:pt>
                <c:pt idx="845">
                  <c:v>8450</c:v>
                </c:pt>
                <c:pt idx="846">
                  <c:v>8460</c:v>
                </c:pt>
                <c:pt idx="847">
                  <c:v>8470</c:v>
                </c:pt>
                <c:pt idx="848">
                  <c:v>8480</c:v>
                </c:pt>
                <c:pt idx="849">
                  <c:v>8490</c:v>
                </c:pt>
                <c:pt idx="850">
                  <c:v>8500</c:v>
                </c:pt>
                <c:pt idx="851">
                  <c:v>8510</c:v>
                </c:pt>
                <c:pt idx="852">
                  <c:v>8520</c:v>
                </c:pt>
                <c:pt idx="853">
                  <c:v>8530</c:v>
                </c:pt>
                <c:pt idx="854">
                  <c:v>8540</c:v>
                </c:pt>
                <c:pt idx="855">
                  <c:v>8550</c:v>
                </c:pt>
                <c:pt idx="856">
                  <c:v>8560</c:v>
                </c:pt>
                <c:pt idx="857">
                  <c:v>8570</c:v>
                </c:pt>
                <c:pt idx="858">
                  <c:v>8580</c:v>
                </c:pt>
                <c:pt idx="859">
                  <c:v>8590</c:v>
                </c:pt>
                <c:pt idx="860">
                  <c:v>8600</c:v>
                </c:pt>
                <c:pt idx="861">
                  <c:v>8610</c:v>
                </c:pt>
                <c:pt idx="862">
                  <c:v>8620</c:v>
                </c:pt>
                <c:pt idx="863">
                  <c:v>8630</c:v>
                </c:pt>
                <c:pt idx="864">
                  <c:v>8640</c:v>
                </c:pt>
                <c:pt idx="865">
                  <c:v>8650</c:v>
                </c:pt>
                <c:pt idx="866">
                  <c:v>8660</c:v>
                </c:pt>
                <c:pt idx="867">
                  <c:v>8670</c:v>
                </c:pt>
                <c:pt idx="868">
                  <c:v>8680</c:v>
                </c:pt>
                <c:pt idx="869">
                  <c:v>8690</c:v>
                </c:pt>
                <c:pt idx="870">
                  <c:v>8700</c:v>
                </c:pt>
                <c:pt idx="871">
                  <c:v>8710</c:v>
                </c:pt>
                <c:pt idx="872">
                  <c:v>8720</c:v>
                </c:pt>
                <c:pt idx="873">
                  <c:v>8730</c:v>
                </c:pt>
                <c:pt idx="874">
                  <c:v>8740</c:v>
                </c:pt>
                <c:pt idx="875">
                  <c:v>8750</c:v>
                </c:pt>
                <c:pt idx="876">
                  <c:v>8760</c:v>
                </c:pt>
                <c:pt idx="877">
                  <c:v>8770</c:v>
                </c:pt>
                <c:pt idx="878">
                  <c:v>8780</c:v>
                </c:pt>
                <c:pt idx="879">
                  <c:v>8790</c:v>
                </c:pt>
                <c:pt idx="880">
                  <c:v>8800</c:v>
                </c:pt>
                <c:pt idx="881">
                  <c:v>8810</c:v>
                </c:pt>
                <c:pt idx="882">
                  <c:v>8820</c:v>
                </c:pt>
                <c:pt idx="883">
                  <c:v>8830</c:v>
                </c:pt>
                <c:pt idx="884">
                  <c:v>8840</c:v>
                </c:pt>
                <c:pt idx="885">
                  <c:v>8850</c:v>
                </c:pt>
                <c:pt idx="886">
                  <c:v>8860</c:v>
                </c:pt>
                <c:pt idx="887">
                  <c:v>8870</c:v>
                </c:pt>
                <c:pt idx="888">
                  <c:v>8880</c:v>
                </c:pt>
                <c:pt idx="889">
                  <c:v>8890</c:v>
                </c:pt>
                <c:pt idx="890">
                  <c:v>8900</c:v>
                </c:pt>
                <c:pt idx="891">
                  <c:v>8910</c:v>
                </c:pt>
                <c:pt idx="892">
                  <c:v>8920</c:v>
                </c:pt>
                <c:pt idx="893">
                  <c:v>8930</c:v>
                </c:pt>
                <c:pt idx="894">
                  <c:v>8940</c:v>
                </c:pt>
                <c:pt idx="895">
                  <c:v>8950</c:v>
                </c:pt>
                <c:pt idx="896">
                  <c:v>8960</c:v>
                </c:pt>
                <c:pt idx="897">
                  <c:v>8970</c:v>
                </c:pt>
                <c:pt idx="898">
                  <c:v>8980</c:v>
                </c:pt>
                <c:pt idx="899">
                  <c:v>8990</c:v>
                </c:pt>
                <c:pt idx="900">
                  <c:v>9000</c:v>
                </c:pt>
                <c:pt idx="901">
                  <c:v>9010</c:v>
                </c:pt>
                <c:pt idx="902">
                  <c:v>9020</c:v>
                </c:pt>
                <c:pt idx="903">
                  <c:v>9030</c:v>
                </c:pt>
                <c:pt idx="904">
                  <c:v>9040</c:v>
                </c:pt>
                <c:pt idx="905">
                  <c:v>9050</c:v>
                </c:pt>
                <c:pt idx="906">
                  <c:v>9060</c:v>
                </c:pt>
                <c:pt idx="907">
                  <c:v>9070</c:v>
                </c:pt>
                <c:pt idx="908">
                  <c:v>9080</c:v>
                </c:pt>
                <c:pt idx="909">
                  <c:v>9090</c:v>
                </c:pt>
                <c:pt idx="910">
                  <c:v>9100</c:v>
                </c:pt>
                <c:pt idx="911">
                  <c:v>9110</c:v>
                </c:pt>
                <c:pt idx="912">
                  <c:v>9120</c:v>
                </c:pt>
                <c:pt idx="913">
                  <c:v>9130</c:v>
                </c:pt>
                <c:pt idx="914">
                  <c:v>9140</c:v>
                </c:pt>
                <c:pt idx="915">
                  <c:v>9150</c:v>
                </c:pt>
                <c:pt idx="916">
                  <c:v>9160</c:v>
                </c:pt>
                <c:pt idx="917">
                  <c:v>9170</c:v>
                </c:pt>
                <c:pt idx="918">
                  <c:v>9180</c:v>
                </c:pt>
                <c:pt idx="919">
                  <c:v>9190</c:v>
                </c:pt>
                <c:pt idx="920">
                  <c:v>9200</c:v>
                </c:pt>
                <c:pt idx="921">
                  <c:v>9210</c:v>
                </c:pt>
                <c:pt idx="922">
                  <c:v>9220</c:v>
                </c:pt>
                <c:pt idx="923">
                  <c:v>9230</c:v>
                </c:pt>
                <c:pt idx="924">
                  <c:v>9240</c:v>
                </c:pt>
                <c:pt idx="925">
                  <c:v>9250</c:v>
                </c:pt>
                <c:pt idx="926">
                  <c:v>9260</c:v>
                </c:pt>
                <c:pt idx="927">
                  <c:v>9270</c:v>
                </c:pt>
                <c:pt idx="928">
                  <c:v>9280</c:v>
                </c:pt>
                <c:pt idx="929">
                  <c:v>9290</c:v>
                </c:pt>
                <c:pt idx="930">
                  <c:v>9300</c:v>
                </c:pt>
                <c:pt idx="931">
                  <c:v>9310</c:v>
                </c:pt>
                <c:pt idx="932">
                  <c:v>9320</c:v>
                </c:pt>
                <c:pt idx="933">
                  <c:v>9330</c:v>
                </c:pt>
                <c:pt idx="934">
                  <c:v>9340</c:v>
                </c:pt>
                <c:pt idx="935">
                  <c:v>9350</c:v>
                </c:pt>
                <c:pt idx="936">
                  <c:v>9360</c:v>
                </c:pt>
                <c:pt idx="937">
                  <c:v>9370</c:v>
                </c:pt>
                <c:pt idx="938">
                  <c:v>9380</c:v>
                </c:pt>
                <c:pt idx="939">
                  <c:v>9390</c:v>
                </c:pt>
                <c:pt idx="940">
                  <c:v>9400</c:v>
                </c:pt>
                <c:pt idx="941">
                  <c:v>9410</c:v>
                </c:pt>
                <c:pt idx="942">
                  <c:v>9420</c:v>
                </c:pt>
                <c:pt idx="943">
                  <c:v>9430</c:v>
                </c:pt>
                <c:pt idx="944">
                  <c:v>9440</c:v>
                </c:pt>
                <c:pt idx="945">
                  <c:v>9450</c:v>
                </c:pt>
                <c:pt idx="946">
                  <c:v>9460</c:v>
                </c:pt>
                <c:pt idx="947">
                  <c:v>9470</c:v>
                </c:pt>
                <c:pt idx="948">
                  <c:v>9480</c:v>
                </c:pt>
                <c:pt idx="949">
                  <c:v>9490</c:v>
                </c:pt>
                <c:pt idx="950">
                  <c:v>9500</c:v>
                </c:pt>
                <c:pt idx="951">
                  <c:v>9510</c:v>
                </c:pt>
                <c:pt idx="952">
                  <c:v>9520</c:v>
                </c:pt>
                <c:pt idx="953">
                  <c:v>9530</c:v>
                </c:pt>
                <c:pt idx="954">
                  <c:v>9540</c:v>
                </c:pt>
                <c:pt idx="955">
                  <c:v>9550</c:v>
                </c:pt>
                <c:pt idx="956">
                  <c:v>9560</c:v>
                </c:pt>
                <c:pt idx="957">
                  <c:v>9570</c:v>
                </c:pt>
                <c:pt idx="958">
                  <c:v>9580</c:v>
                </c:pt>
                <c:pt idx="959">
                  <c:v>9590</c:v>
                </c:pt>
                <c:pt idx="960">
                  <c:v>9600</c:v>
                </c:pt>
                <c:pt idx="961">
                  <c:v>9610</c:v>
                </c:pt>
                <c:pt idx="962">
                  <c:v>9620</c:v>
                </c:pt>
                <c:pt idx="963">
                  <c:v>9630</c:v>
                </c:pt>
                <c:pt idx="964">
                  <c:v>9640</c:v>
                </c:pt>
                <c:pt idx="965">
                  <c:v>9650</c:v>
                </c:pt>
                <c:pt idx="966">
                  <c:v>9660</c:v>
                </c:pt>
                <c:pt idx="967">
                  <c:v>9670</c:v>
                </c:pt>
                <c:pt idx="968">
                  <c:v>9680</c:v>
                </c:pt>
                <c:pt idx="969">
                  <c:v>9690</c:v>
                </c:pt>
                <c:pt idx="970">
                  <c:v>9700</c:v>
                </c:pt>
                <c:pt idx="971">
                  <c:v>9710</c:v>
                </c:pt>
                <c:pt idx="972">
                  <c:v>9720</c:v>
                </c:pt>
                <c:pt idx="973">
                  <c:v>9730</c:v>
                </c:pt>
                <c:pt idx="974">
                  <c:v>9740</c:v>
                </c:pt>
                <c:pt idx="975">
                  <c:v>9750</c:v>
                </c:pt>
                <c:pt idx="976">
                  <c:v>9760</c:v>
                </c:pt>
                <c:pt idx="977">
                  <c:v>9770</c:v>
                </c:pt>
                <c:pt idx="978">
                  <c:v>9780</c:v>
                </c:pt>
                <c:pt idx="979">
                  <c:v>9790</c:v>
                </c:pt>
                <c:pt idx="980">
                  <c:v>9800</c:v>
                </c:pt>
                <c:pt idx="981">
                  <c:v>9810</c:v>
                </c:pt>
                <c:pt idx="982">
                  <c:v>9820</c:v>
                </c:pt>
                <c:pt idx="983">
                  <c:v>9830</c:v>
                </c:pt>
                <c:pt idx="984">
                  <c:v>9840</c:v>
                </c:pt>
                <c:pt idx="985">
                  <c:v>9850</c:v>
                </c:pt>
                <c:pt idx="986">
                  <c:v>9860</c:v>
                </c:pt>
                <c:pt idx="987">
                  <c:v>9870</c:v>
                </c:pt>
                <c:pt idx="988">
                  <c:v>9880</c:v>
                </c:pt>
                <c:pt idx="989">
                  <c:v>9890</c:v>
                </c:pt>
                <c:pt idx="990">
                  <c:v>9900</c:v>
                </c:pt>
                <c:pt idx="991">
                  <c:v>9910</c:v>
                </c:pt>
                <c:pt idx="992">
                  <c:v>9920</c:v>
                </c:pt>
                <c:pt idx="993">
                  <c:v>9930</c:v>
                </c:pt>
                <c:pt idx="994">
                  <c:v>9940</c:v>
                </c:pt>
                <c:pt idx="995">
                  <c:v>9950</c:v>
                </c:pt>
                <c:pt idx="996">
                  <c:v>9960</c:v>
                </c:pt>
                <c:pt idx="997">
                  <c:v>9970</c:v>
                </c:pt>
                <c:pt idx="998">
                  <c:v>9980</c:v>
                </c:pt>
                <c:pt idx="999">
                  <c:v>9990</c:v>
                </c:pt>
                <c:pt idx="1000">
                  <c:v>10000</c:v>
                </c:pt>
                <c:pt idx="1001">
                  <c:v>10010</c:v>
                </c:pt>
                <c:pt idx="1002">
                  <c:v>10020</c:v>
                </c:pt>
                <c:pt idx="1003">
                  <c:v>10030</c:v>
                </c:pt>
                <c:pt idx="1004">
                  <c:v>10040</c:v>
                </c:pt>
                <c:pt idx="1005">
                  <c:v>10050</c:v>
                </c:pt>
                <c:pt idx="1006">
                  <c:v>10060</c:v>
                </c:pt>
                <c:pt idx="1007">
                  <c:v>10070</c:v>
                </c:pt>
                <c:pt idx="1008">
                  <c:v>10080</c:v>
                </c:pt>
                <c:pt idx="1009">
                  <c:v>10090</c:v>
                </c:pt>
                <c:pt idx="1010">
                  <c:v>10100</c:v>
                </c:pt>
                <c:pt idx="1011">
                  <c:v>10110</c:v>
                </c:pt>
                <c:pt idx="1012">
                  <c:v>10120</c:v>
                </c:pt>
                <c:pt idx="1013">
                  <c:v>10130</c:v>
                </c:pt>
                <c:pt idx="1014">
                  <c:v>10140</c:v>
                </c:pt>
                <c:pt idx="1015">
                  <c:v>10150</c:v>
                </c:pt>
                <c:pt idx="1016">
                  <c:v>10160</c:v>
                </c:pt>
                <c:pt idx="1017">
                  <c:v>10170</c:v>
                </c:pt>
                <c:pt idx="1018">
                  <c:v>10180</c:v>
                </c:pt>
                <c:pt idx="1019">
                  <c:v>10190</c:v>
                </c:pt>
                <c:pt idx="1020">
                  <c:v>10200</c:v>
                </c:pt>
                <c:pt idx="1021">
                  <c:v>10210</c:v>
                </c:pt>
                <c:pt idx="1022">
                  <c:v>10220</c:v>
                </c:pt>
                <c:pt idx="1023">
                  <c:v>10230</c:v>
                </c:pt>
                <c:pt idx="1024">
                  <c:v>10240</c:v>
                </c:pt>
                <c:pt idx="1025">
                  <c:v>10250</c:v>
                </c:pt>
                <c:pt idx="1026">
                  <c:v>10260</c:v>
                </c:pt>
                <c:pt idx="1027">
                  <c:v>10270</c:v>
                </c:pt>
                <c:pt idx="1028">
                  <c:v>10280</c:v>
                </c:pt>
                <c:pt idx="1029">
                  <c:v>10290</c:v>
                </c:pt>
                <c:pt idx="1030">
                  <c:v>10300</c:v>
                </c:pt>
                <c:pt idx="1031">
                  <c:v>10310</c:v>
                </c:pt>
                <c:pt idx="1032">
                  <c:v>10320</c:v>
                </c:pt>
                <c:pt idx="1033">
                  <c:v>10330</c:v>
                </c:pt>
                <c:pt idx="1034">
                  <c:v>10340</c:v>
                </c:pt>
                <c:pt idx="1035">
                  <c:v>10350</c:v>
                </c:pt>
                <c:pt idx="1036">
                  <c:v>10360</c:v>
                </c:pt>
                <c:pt idx="1037">
                  <c:v>10370</c:v>
                </c:pt>
                <c:pt idx="1038">
                  <c:v>10380</c:v>
                </c:pt>
                <c:pt idx="1039">
                  <c:v>10390</c:v>
                </c:pt>
                <c:pt idx="1040">
                  <c:v>10400</c:v>
                </c:pt>
                <c:pt idx="1041">
                  <c:v>10410</c:v>
                </c:pt>
                <c:pt idx="1042">
                  <c:v>10420</c:v>
                </c:pt>
                <c:pt idx="1043">
                  <c:v>10430</c:v>
                </c:pt>
                <c:pt idx="1044">
                  <c:v>10440</c:v>
                </c:pt>
                <c:pt idx="1045">
                  <c:v>10450</c:v>
                </c:pt>
                <c:pt idx="1046">
                  <c:v>10460</c:v>
                </c:pt>
                <c:pt idx="1047">
                  <c:v>10470</c:v>
                </c:pt>
                <c:pt idx="1048">
                  <c:v>10480</c:v>
                </c:pt>
                <c:pt idx="1049">
                  <c:v>10490</c:v>
                </c:pt>
                <c:pt idx="1050">
                  <c:v>10500</c:v>
                </c:pt>
                <c:pt idx="1051">
                  <c:v>10510</c:v>
                </c:pt>
                <c:pt idx="1052">
                  <c:v>10520</c:v>
                </c:pt>
                <c:pt idx="1053">
                  <c:v>10530</c:v>
                </c:pt>
                <c:pt idx="1054">
                  <c:v>10540</c:v>
                </c:pt>
                <c:pt idx="1055">
                  <c:v>10550</c:v>
                </c:pt>
                <c:pt idx="1056">
                  <c:v>10560</c:v>
                </c:pt>
                <c:pt idx="1057">
                  <c:v>10570</c:v>
                </c:pt>
                <c:pt idx="1058">
                  <c:v>10580</c:v>
                </c:pt>
                <c:pt idx="1059">
                  <c:v>10590</c:v>
                </c:pt>
                <c:pt idx="1060">
                  <c:v>10600</c:v>
                </c:pt>
                <c:pt idx="1061">
                  <c:v>10610</c:v>
                </c:pt>
                <c:pt idx="1062">
                  <c:v>10620</c:v>
                </c:pt>
                <c:pt idx="1063">
                  <c:v>10630</c:v>
                </c:pt>
                <c:pt idx="1064">
                  <c:v>10640</c:v>
                </c:pt>
                <c:pt idx="1065">
                  <c:v>10650</c:v>
                </c:pt>
                <c:pt idx="1066">
                  <c:v>10660</c:v>
                </c:pt>
                <c:pt idx="1067">
                  <c:v>10670</c:v>
                </c:pt>
                <c:pt idx="1068">
                  <c:v>10680</c:v>
                </c:pt>
                <c:pt idx="1069">
                  <c:v>10690</c:v>
                </c:pt>
                <c:pt idx="1070">
                  <c:v>10700</c:v>
                </c:pt>
                <c:pt idx="1071">
                  <c:v>10710</c:v>
                </c:pt>
                <c:pt idx="1072">
                  <c:v>10720</c:v>
                </c:pt>
                <c:pt idx="1073">
                  <c:v>10730</c:v>
                </c:pt>
                <c:pt idx="1074">
                  <c:v>10740</c:v>
                </c:pt>
                <c:pt idx="1075">
                  <c:v>10750</c:v>
                </c:pt>
                <c:pt idx="1076">
                  <c:v>10760</c:v>
                </c:pt>
                <c:pt idx="1077">
                  <c:v>10770</c:v>
                </c:pt>
                <c:pt idx="1078">
                  <c:v>10780</c:v>
                </c:pt>
                <c:pt idx="1079">
                  <c:v>10790</c:v>
                </c:pt>
                <c:pt idx="1080">
                  <c:v>10800</c:v>
                </c:pt>
                <c:pt idx="1081">
                  <c:v>10810</c:v>
                </c:pt>
                <c:pt idx="1082">
                  <c:v>10820</c:v>
                </c:pt>
                <c:pt idx="1083">
                  <c:v>10830</c:v>
                </c:pt>
                <c:pt idx="1084">
                  <c:v>10840</c:v>
                </c:pt>
                <c:pt idx="1085">
                  <c:v>10850</c:v>
                </c:pt>
                <c:pt idx="1086">
                  <c:v>10860</c:v>
                </c:pt>
                <c:pt idx="1087">
                  <c:v>10870</c:v>
                </c:pt>
                <c:pt idx="1088">
                  <c:v>10880</c:v>
                </c:pt>
                <c:pt idx="1089">
                  <c:v>10890</c:v>
                </c:pt>
                <c:pt idx="1090">
                  <c:v>10900</c:v>
                </c:pt>
                <c:pt idx="1091">
                  <c:v>10910</c:v>
                </c:pt>
                <c:pt idx="1092">
                  <c:v>10920</c:v>
                </c:pt>
                <c:pt idx="1093">
                  <c:v>10930</c:v>
                </c:pt>
                <c:pt idx="1094">
                  <c:v>10940</c:v>
                </c:pt>
                <c:pt idx="1095">
                  <c:v>10950</c:v>
                </c:pt>
                <c:pt idx="1096">
                  <c:v>10960</c:v>
                </c:pt>
                <c:pt idx="1097">
                  <c:v>10970</c:v>
                </c:pt>
                <c:pt idx="1098">
                  <c:v>10980</c:v>
                </c:pt>
                <c:pt idx="1099">
                  <c:v>10990</c:v>
                </c:pt>
                <c:pt idx="1100">
                  <c:v>11000</c:v>
                </c:pt>
                <c:pt idx="1101">
                  <c:v>11010</c:v>
                </c:pt>
                <c:pt idx="1102">
                  <c:v>11020</c:v>
                </c:pt>
                <c:pt idx="1103">
                  <c:v>11030</c:v>
                </c:pt>
                <c:pt idx="1104">
                  <c:v>11040</c:v>
                </c:pt>
                <c:pt idx="1105">
                  <c:v>11050</c:v>
                </c:pt>
                <c:pt idx="1106">
                  <c:v>11060</c:v>
                </c:pt>
                <c:pt idx="1107">
                  <c:v>11070</c:v>
                </c:pt>
                <c:pt idx="1108">
                  <c:v>11080</c:v>
                </c:pt>
                <c:pt idx="1109">
                  <c:v>11090</c:v>
                </c:pt>
                <c:pt idx="1110">
                  <c:v>11100</c:v>
                </c:pt>
                <c:pt idx="1111">
                  <c:v>11110</c:v>
                </c:pt>
                <c:pt idx="1112">
                  <c:v>11120</c:v>
                </c:pt>
                <c:pt idx="1113">
                  <c:v>11130</c:v>
                </c:pt>
                <c:pt idx="1114">
                  <c:v>11140</c:v>
                </c:pt>
                <c:pt idx="1115">
                  <c:v>11150</c:v>
                </c:pt>
                <c:pt idx="1116">
                  <c:v>11160</c:v>
                </c:pt>
                <c:pt idx="1117">
                  <c:v>11170</c:v>
                </c:pt>
                <c:pt idx="1118">
                  <c:v>11180</c:v>
                </c:pt>
                <c:pt idx="1119">
                  <c:v>11190</c:v>
                </c:pt>
                <c:pt idx="1120">
                  <c:v>11200</c:v>
                </c:pt>
                <c:pt idx="1121">
                  <c:v>11210</c:v>
                </c:pt>
                <c:pt idx="1122">
                  <c:v>11220</c:v>
                </c:pt>
                <c:pt idx="1123">
                  <c:v>11230</c:v>
                </c:pt>
                <c:pt idx="1124">
                  <c:v>11240</c:v>
                </c:pt>
                <c:pt idx="1125">
                  <c:v>11250</c:v>
                </c:pt>
                <c:pt idx="1126">
                  <c:v>11260</c:v>
                </c:pt>
                <c:pt idx="1127">
                  <c:v>11270</c:v>
                </c:pt>
                <c:pt idx="1128">
                  <c:v>11280</c:v>
                </c:pt>
                <c:pt idx="1129">
                  <c:v>11290</c:v>
                </c:pt>
                <c:pt idx="1130">
                  <c:v>11300</c:v>
                </c:pt>
                <c:pt idx="1131">
                  <c:v>11310</c:v>
                </c:pt>
                <c:pt idx="1132">
                  <c:v>11320</c:v>
                </c:pt>
                <c:pt idx="1133">
                  <c:v>11330</c:v>
                </c:pt>
                <c:pt idx="1134">
                  <c:v>11340</c:v>
                </c:pt>
                <c:pt idx="1135">
                  <c:v>11350</c:v>
                </c:pt>
                <c:pt idx="1136">
                  <c:v>11360</c:v>
                </c:pt>
                <c:pt idx="1137">
                  <c:v>11370</c:v>
                </c:pt>
                <c:pt idx="1138">
                  <c:v>11380</c:v>
                </c:pt>
                <c:pt idx="1139">
                  <c:v>11390</c:v>
                </c:pt>
                <c:pt idx="1140">
                  <c:v>11400</c:v>
                </c:pt>
                <c:pt idx="1141">
                  <c:v>11410</c:v>
                </c:pt>
                <c:pt idx="1142">
                  <c:v>11420</c:v>
                </c:pt>
                <c:pt idx="1143">
                  <c:v>11430</c:v>
                </c:pt>
                <c:pt idx="1144">
                  <c:v>11440</c:v>
                </c:pt>
                <c:pt idx="1145">
                  <c:v>11450</c:v>
                </c:pt>
                <c:pt idx="1146">
                  <c:v>11460</c:v>
                </c:pt>
                <c:pt idx="1147">
                  <c:v>11470</c:v>
                </c:pt>
                <c:pt idx="1148">
                  <c:v>11480</c:v>
                </c:pt>
                <c:pt idx="1149">
                  <c:v>11490</c:v>
                </c:pt>
                <c:pt idx="1150">
                  <c:v>11500</c:v>
                </c:pt>
                <c:pt idx="1151">
                  <c:v>11510</c:v>
                </c:pt>
                <c:pt idx="1152">
                  <c:v>11520</c:v>
                </c:pt>
                <c:pt idx="1153">
                  <c:v>11530</c:v>
                </c:pt>
                <c:pt idx="1154">
                  <c:v>11540</c:v>
                </c:pt>
                <c:pt idx="1155">
                  <c:v>11550</c:v>
                </c:pt>
                <c:pt idx="1156">
                  <c:v>11560</c:v>
                </c:pt>
                <c:pt idx="1157">
                  <c:v>11570</c:v>
                </c:pt>
                <c:pt idx="1158">
                  <c:v>11580</c:v>
                </c:pt>
                <c:pt idx="1159">
                  <c:v>11590</c:v>
                </c:pt>
                <c:pt idx="1160">
                  <c:v>11600</c:v>
                </c:pt>
                <c:pt idx="1161">
                  <c:v>11610</c:v>
                </c:pt>
                <c:pt idx="1162">
                  <c:v>11620</c:v>
                </c:pt>
                <c:pt idx="1163">
                  <c:v>11630</c:v>
                </c:pt>
                <c:pt idx="1164">
                  <c:v>11640</c:v>
                </c:pt>
                <c:pt idx="1165">
                  <c:v>11650</c:v>
                </c:pt>
                <c:pt idx="1166">
                  <c:v>11660</c:v>
                </c:pt>
                <c:pt idx="1167">
                  <c:v>11670</c:v>
                </c:pt>
                <c:pt idx="1168">
                  <c:v>11680</c:v>
                </c:pt>
                <c:pt idx="1169">
                  <c:v>11690</c:v>
                </c:pt>
                <c:pt idx="1170">
                  <c:v>11700</c:v>
                </c:pt>
                <c:pt idx="1171">
                  <c:v>11710</c:v>
                </c:pt>
                <c:pt idx="1172">
                  <c:v>11720</c:v>
                </c:pt>
                <c:pt idx="1173">
                  <c:v>11730</c:v>
                </c:pt>
                <c:pt idx="1174">
                  <c:v>11740</c:v>
                </c:pt>
                <c:pt idx="1175">
                  <c:v>11750</c:v>
                </c:pt>
                <c:pt idx="1176">
                  <c:v>11760</c:v>
                </c:pt>
                <c:pt idx="1177">
                  <c:v>11770</c:v>
                </c:pt>
                <c:pt idx="1178">
                  <c:v>11780</c:v>
                </c:pt>
                <c:pt idx="1179">
                  <c:v>11790</c:v>
                </c:pt>
                <c:pt idx="1180">
                  <c:v>11800</c:v>
                </c:pt>
                <c:pt idx="1181">
                  <c:v>11810</c:v>
                </c:pt>
                <c:pt idx="1182">
                  <c:v>11820</c:v>
                </c:pt>
                <c:pt idx="1183">
                  <c:v>11830</c:v>
                </c:pt>
                <c:pt idx="1184">
                  <c:v>11840</c:v>
                </c:pt>
                <c:pt idx="1185">
                  <c:v>11850</c:v>
                </c:pt>
                <c:pt idx="1186">
                  <c:v>11860</c:v>
                </c:pt>
                <c:pt idx="1187">
                  <c:v>11870</c:v>
                </c:pt>
                <c:pt idx="1188">
                  <c:v>11880</c:v>
                </c:pt>
                <c:pt idx="1189">
                  <c:v>11890</c:v>
                </c:pt>
                <c:pt idx="1190">
                  <c:v>11900</c:v>
                </c:pt>
                <c:pt idx="1191">
                  <c:v>11910</c:v>
                </c:pt>
                <c:pt idx="1192">
                  <c:v>11920</c:v>
                </c:pt>
                <c:pt idx="1193">
                  <c:v>11930</c:v>
                </c:pt>
                <c:pt idx="1194">
                  <c:v>11940</c:v>
                </c:pt>
                <c:pt idx="1195">
                  <c:v>11950</c:v>
                </c:pt>
                <c:pt idx="1196">
                  <c:v>11960</c:v>
                </c:pt>
                <c:pt idx="1197">
                  <c:v>11970</c:v>
                </c:pt>
                <c:pt idx="1198">
                  <c:v>11980</c:v>
                </c:pt>
                <c:pt idx="1199">
                  <c:v>11990</c:v>
                </c:pt>
                <c:pt idx="1200">
                  <c:v>12000</c:v>
                </c:pt>
                <c:pt idx="1201">
                  <c:v>12010</c:v>
                </c:pt>
                <c:pt idx="1202">
                  <c:v>12020</c:v>
                </c:pt>
                <c:pt idx="1203">
                  <c:v>12030</c:v>
                </c:pt>
                <c:pt idx="1204">
                  <c:v>12040</c:v>
                </c:pt>
                <c:pt idx="1205">
                  <c:v>12050</c:v>
                </c:pt>
                <c:pt idx="1206">
                  <c:v>12060</c:v>
                </c:pt>
                <c:pt idx="1207">
                  <c:v>12070</c:v>
                </c:pt>
                <c:pt idx="1208">
                  <c:v>12080</c:v>
                </c:pt>
                <c:pt idx="1209">
                  <c:v>12090</c:v>
                </c:pt>
                <c:pt idx="1210">
                  <c:v>12100</c:v>
                </c:pt>
                <c:pt idx="1211">
                  <c:v>12110</c:v>
                </c:pt>
                <c:pt idx="1212">
                  <c:v>12120</c:v>
                </c:pt>
                <c:pt idx="1213">
                  <c:v>12130</c:v>
                </c:pt>
                <c:pt idx="1214">
                  <c:v>12140</c:v>
                </c:pt>
                <c:pt idx="1215">
                  <c:v>12150</c:v>
                </c:pt>
                <c:pt idx="1216">
                  <c:v>12160</c:v>
                </c:pt>
                <c:pt idx="1217">
                  <c:v>12170</c:v>
                </c:pt>
                <c:pt idx="1218">
                  <c:v>12180</c:v>
                </c:pt>
                <c:pt idx="1219">
                  <c:v>12190</c:v>
                </c:pt>
                <c:pt idx="1220">
                  <c:v>12200</c:v>
                </c:pt>
                <c:pt idx="1221">
                  <c:v>12210</c:v>
                </c:pt>
                <c:pt idx="1222">
                  <c:v>12220</c:v>
                </c:pt>
                <c:pt idx="1223">
                  <c:v>12230</c:v>
                </c:pt>
                <c:pt idx="1224">
                  <c:v>12240</c:v>
                </c:pt>
                <c:pt idx="1225">
                  <c:v>12250</c:v>
                </c:pt>
                <c:pt idx="1226">
                  <c:v>12260</c:v>
                </c:pt>
                <c:pt idx="1227">
                  <c:v>12270</c:v>
                </c:pt>
                <c:pt idx="1228">
                  <c:v>12280</c:v>
                </c:pt>
                <c:pt idx="1229">
                  <c:v>12290</c:v>
                </c:pt>
                <c:pt idx="1230">
                  <c:v>12300</c:v>
                </c:pt>
                <c:pt idx="1231">
                  <c:v>12310</c:v>
                </c:pt>
                <c:pt idx="1232">
                  <c:v>12320</c:v>
                </c:pt>
                <c:pt idx="1233">
                  <c:v>12330</c:v>
                </c:pt>
                <c:pt idx="1234">
                  <c:v>12340</c:v>
                </c:pt>
                <c:pt idx="1235">
                  <c:v>12350</c:v>
                </c:pt>
                <c:pt idx="1236">
                  <c:v>12360</c:v>
                </c:pt>
                <c:pt idx="1237">
                  <c:v>12370</c:v>
                </c:pt>
                <c:pt idx="1238">
                  <c:v>12380</c:v>
                </c:pt>
                <c:pt idx="1239">
                  <c:v>12390</c:v>
                </c:pt>
                <c:pt idx="1240">
                  <c:v>12400</c:v>
                </c:pt>
                <c:pt idx="1241">
                  <c:v>12410</c:v>
                </c:pt>
                <c:pt idx="1242">
                  <c:v>12420</c:v>
                </c:pt>
                <c:pt idx="1243">
                  <c:v>12430</c:v>
                </c:pt>
                <c:pt idx="1244">
                  <c:v>12440</c:v>
                </c:pt>
                <c:pt idx="1245">
                  <c:v>12450</c:v>
                </c:pt>
                <c:pt idx="1246">
                  <c:v>12460</c:v>
                </c:pt>
                <c:pt idx="1247">
                  <c:v>12470</c:v>
                </c:pt>
                <c:pt idx="1248">
                  <c:v>12480</c:v>
                </c:pt>
                <c:pt idx="1249">
                  <c:v>12490</c:v>
                </c:pt>
                <c:pt idx="1250">
                  <c:v>12500</c:v>
                </c:pt>
                <c:pt idx="1251">
                  <c:v>12510</c:v>
                </c:pt>
                <c:pt idx="1252">
                  <c:v>12520</c:v>
                </c:pt>
                <c:pt idx="1253">
                  <c:v>12530</c:v>
                </c:pt>
                <c:pt idx="1254">
                  <c:v>12540</c:v>
                </c:pt>
                <c:pt idx="1255">
                  <c:v>12550</c:v>
                </c:pt>
                <c:pt idx="1256">
                  <c:v>12560</c:v>
                </c:pt>
                <c:pt idx="1257">
                  <c:v>12570</c:v>
                </c:pt>
                <c:pt idx="1258">
                  <c:v>12580</c:v>
                </c:pt>
                <c:pt idx="1259">
                  <c:v>12590</c:v>
                </c:pt>
                <c:pt idx="1260">
                  <c:v>12600</c:v>
                </c:pt>
                <c:pt idx="1261">
                  <c:v>12610</c:v>
                </c:pt>
                <c:pt idx="1262">
                  <c:v>12620</c:v>
                </c:pt>
                <c:pt idx="1263">
                  <c:v>12630</c:v>
                </c:pt>
                <c:pt idx="1264">
                  <c:v>12640</c:v>
                </c:pt>
                <c:pt idx="1265">
                  <c:v>12650</c:v>
                </c:pt>
                <c:pt idx="1266">
                  <c:v>12660</c:v>
                </c:pt>
                <c:pt idx="1267">
                  <c:v>12670</c:v>
                </c:pt>
                <c:pt idx="1268">
                  <c:v>12680</c:v>
                </c:pt>
                <c:pt idx="1269">
                  <c:v>12690</c:v>
                </c:pt>
                <c:pt idx="1270">
                  <c:v>12700</c:v>
                </c:pt>
                <c:pt idx="1271">
                  <c:v>12710</c:v>
                </c:pt>
                <c:pt idx="1272">
                  <c:v>12720</c:v>
                </c:pt>
                <c:pt idx="1273">
                  <c:v>12730</c:v>
                </c:pt>
                <c:pt idx="1274">
                  <c:v>12740</c:v>
                </c:pt>
                <c:pt idx="1275">
                  <c:v>12750</c:v>
                </c:pt>
                <c:pt idx="1276">
                  <c:v>12760</c:v>
                </c:pt>
                <c:pt idx="1277">
                  <c:v>12770</c:v>
                </c:pt>
                <c:pt idx="1278">
                  <c:v>12780</c:v>
                </c:pt>
                <c:pt idx="1279">
                  <c:v>12790</c:v>
                </c:pt>
                <c:pt idx="1280">
                  <c:v>12800</c:v>
                </c:pt>
                <c:pt idx="1281">
                  <c:v>12810</c:v>
                </c:pt>
                <c:pt idx="1282">
                  <c:v>12820</c:v>
                </c:pt>
                <c:pt idx="1283">
                  <c:v>12830</c:v>
                </c:pt>
                <c:pt idx="1284">
                  <c:v>12840</c:v>
                </c:pt>
                <c:pt idx="1285">
                  <c:v>12850</c:v>
                </c:pt>
                <c:pt idx="1286">
                  <c:v>12860</c:v>
                </c:pt>
                <c:pt idx="1287">
                  <c:v>12870</c:v>
                </c:pt>
                <c:pt idx="1288">
                  <c:v>12880</c:v>
                </c:pt>
                <c:pt idx="1289">
                  <c:v>12890</c:v>
                </c:pt>
                <c:pt idx="1290">
                  <c:v>12900</c:v>
                </c:pt>
                <c:pt idx="1291">
                  <c:v>12910</c:v>
                </c:pt>
                <c:pt idx="1292">
                  <c:v>12920</c:v>
                </c:pt>
                <c:pt idx="1293">
                  <c:v>12930</c:v>
                </c:pt>
                <c:pt idx="1294">
                  <c:v>12940</c:v>
                </c:pt>
                <c:pt idx="1295">
                  <c:v>12950</c:v>
                </c:pt>
                <c:pt idx="1296">
                  <c:v>12960</c:v>
                </c:pt>
                <c:pt idx="1297">
                  <c:v>12970</c:v>
                </c:pt>
                <c:pt idx="1298">
                  <c:v>12980</c:v>
                </c:pt>
                <c:pt idx="1299">
                  <c:v>12990</c:v>
                </c:pt>
                <c:pt idx="1300">
                  <c:v>13000</c:v>
                </c:pt>
                <c:pt idx="1301">
                  <c:v>13010</c:v>
                </c:pt>
                <c:pt idx="1302">
                  <c:v>13020</c:v>
                </c:pt>
                <c:pt idx="1303">
                  <c:v>13030</c:v>
                </c:pt>
                <c:pt idx="1304">
                  <c:v>13040</c:v>
                </c:pt>
                <c:pt idx="1305">
                  <c:v>13050</c:v>
                </c:pt>
                <c:pt idx="1306">
                  <c:v>13060</c:v>
                </c:pt>
                <c:pt idx="1307">
                  <c:v>13070</c:v>
                </c:pt>
                <c:pt idx="1308">
                  <c:v>13080</c:v>
                </c:pt>
                <c:pt idx="1309">
                  <c:v>13090</c:v>
                </c:pt>
                <c:pt idx="1310">
                  <c:v>13100</c:v>
                </c:pt>
                <c:pt idx="1311">
                  <c:v>13110</c:v>
                </c:pt>
                <c:pt idx="1312">
                  <c:v>13120</c:v>
                </c:pt>
                <c:pt idx="1313">
                  <c:v>13130</c:v>
                </c:pt>
                <c:pt idx="1314">
                  <c:v>13140</c:v>
                </c:pt>
                <c:pt idx="1315">
                  <c:v>13150</c:v>
                </c:pt>
                <c:pt idx="1316">
                  <c:v>13160</c:v>
                </c:pt>
                <c:pt idx="1317">
                  <c:v>13170</c:v>
                </c:pt>
                <c:pt idx="1318">
                  <c:v>13180</c:v>
                </c:pt>
                <c:pt idx="1319">
                  <c:v>13190</c:v>
                </c:pt>
                <c:pt idx="1320">
                  <c:v>13200</c:v>
                </c:pt>
                <c:pt idx="1321">
                  <c:v>13210</c:v>
                </c:pt>
                <c:pt idx="1322">
                  <c:v>13220</c:v>
                </c:pt>
                <c:pt idx="1323">
                  <c:v>13230</c:v>
                </c:pt>
                <c:pt idx="1324">
                  <c:v>13240</c:v>
                </c:pt>
                <c:pt idx="1325">
                  <c:v>13250</c:v>
                </c:pt>
                <c:pt idx="1326">
                  <c:v>13260</c:v>
                </c:pt>
                <c:pt idx="1327">
                  <c:v>13270</c:v>
                </c:pt>
                <c:pt idx="1328">
                  <c:v>13280</c:v>
                </c:pt>
                <c:pt idx="1329">
                  <c:v>13290</c:v>
                </c:pt>
                <c:pt idx="1330">
                  <c:v>13300</c:v>
                </c:pt>
                <c:pt idx="1331">
                  <c:v>13310</c:v>
                </c:pt>
                <c:pt idx="1332">
                  <c:v>13320</c:v>
                </c:pt>
                <c:pt idx="1333">
                  <c:v>13330</c:v>
                </c:pt>
                <c:pt idx="1334">
                  <c:v>13340</c:v>
                </c:pt>
                <c:pt idx="1335">
                  <c:v>13350</c:v>
                </c:pt>
                <c:pt idx="1336">
                  <c:v>13360</c:v>
                </c:pt>
                <c:pt idx="1337">
                  <c:v>13370</c:v>
                </c:pt>
                <c:pt idx="1338">
                  <c:v>13380</c:v>
                </c:pt>
                <c:pt idx="1339">
                  <c:v>13390</c:v>
                </c:pt>
                <c:pt idx="1340">
                  <c:v>13400</c:v>
                </c:pt>
                <c:pt idx="1341">
                  <c:v>13410</c:v>
                </c:pt>
                <c:pt idx="1342">
                  <c:v>13420</c:v>
                </c:pt>
                <c:pt idx="1343">
                  <c:v>13430</c:v>
                </c:pt>
                <c:pt idx="1344">
                  <c:v>13440</c:v>
                </c:pt>
                <c:pt idx="1345">
                  <c:v>13450</c:v>
                </c:pt>
                <c:pt idx="1346">
                  <c:v>13460</c:v>
                </c:pt>
                <c:pt idx="1347">
                  <c:v>13470</c:v>
                </c:pt>
                <c:pt idx="1348">
                  <c:v>13480</c:v>
                </c:pt>
                <c:pt idx="1349">
                  <c:v>13490</c:v>
                </c:pt>
                <c:pt idx="1350">
                  <c:v>13500</c:v>
                </c:pt>
                <c:pt idx="1351">
                  <c:v>13510</c:v>
                </c:pt>
                <c:pt idx="1352">
                  <c:v>13520</c:v>
                </c:pt>
                <c:pt idx="1353">
                  <c:v>13530</c:v>
                </c:pt>
                <c:pt idx="1354">
                  <c:v>13540</c:v>
                </c:pt>
                <c:pt idx="1355">
                  <c:v>13550</c:v>
                </c:pt>
                <c:pt idx="1356">
                  <c:v>13560</c:v>
                </c:pt>
                <c:pt idx="1357">
                  <c:v>13570</c:v>
                </c:pt>
                <c:pt idx="1358">
                  <c:v>13580</c:v>
                </c:pt>
                <c:pt idx="1359">
                  <c:v>13590</c:v>
                </c:pt>
                <c:pt idx="1360">
                  <c:v>13600</c:v>
                </c:pt>
                <c:pt idx="1361">
                  <c:v>13610</c:v>
                </c:pt>
                <c:pt idx="1362">
                  <c:v>13620</c:v>
                </c:pt>
                <c:pt idx="1363">
                  <c:v>13630</c:v>
                </c:pt>
                <c:pt idx="1364">
                  <c:v>13640</c:v>
                </c:pt>
                <c:pt idx="1365">
                  <c:v>13650</c:v>
                </c:pt>
                <c:pt idx="1366">
                  <c:v>13660</c:v>
                </c:pt>
                <c:pt idx="1367">
                  <c:v>13670</c:v>
                </c:pt>
                <c:pt idx="1368">
                  <c:v>13680</c:v>
                </c:pt>
                <c:pt idx="1369">
                  <c:v>13690</c:v>
                </c:pt>
                <c:pt idx="1370">
                  <c:v>13700</c:v>
                </c:pt>
                <c:pt idx="1371">
                  <c:v>13710</c:v>
                </c:pt>
                <c:pt idx="1372">
                  <c:v>13720</c:v>
                </c:pt>
                <c:pt idx="1373">
                  <c:v>13730</c:v>
                </c:pt>
                <c:pt idx="1374">
                  <c:v>13740</c:v>
                </c:pt>
                <c:pt idx="1375">
                  <c:v>13750</c:v>
                </c:pt>
                <c:pt idx="1376">
                  <c:v>13760</c:v>
                </c:pt>
                <c:pt idx="1377">
                  <c:v>13770</c:v>
                </c:pt>
                <c:pt idx="1378">
                  <c:v>13780</c:v>
                </c:pt>
                <c:pt idx="1379">
                  <c:v>13790</c:v>
                </c:pt>
                <c:pt idx="1380">
                  <c:v>13800</c:v>
                </c:pt>
                <c:pt idx="1381">
                  <c:v>13810</c:v>
                </c:pt>
                <c:pt idx="1382">
                  <c:v>13820</c:v>
                </c:pt>
                <c:pt idx="1383">
                  <c:v>13830</c:v>
                </c:pt>
                <c:pt idx="1384">
                  <c:v>13840</c:v>
                </c:pt>
                <c:pt idx="1385">
                  <c:v>13850</c:v>
                </c:pt>
                <c:pt idx="1386">
                  <c:v>13860</c:v>
                </c:pt>
                <c:pt idx="1387">
                  <c:v>13870</c:v>
                </c:pt>
                <c:pt idx="1388">
                  <c:v>13880</c:v>
                </c:pt>
                <c:pt idx="1389">
                  <c:v>13890</c:v>
                </c:pt>
                <c:pt idx="1390">
                  <c:v>13900</c:v>
                </c:pt>
                <c:pt idx="1391">
                  <c:v>13910</c:v>
                </c:pt>
                <c:pt idx="1392">
                  <c:v>13920</c:v>
                </c:pt>
                <c:pt idx="1393">
                  <c:v>13930</c:v>
                </c:pt>
                <c:pt idx="1394">
                  <c:v>13940</c:v>
                </c:pt>
                <c:pt idx="1395">
                  <c:v>13950</c:v>
                </c:pt>
                <c:pt idx="1396">
                  <c:v>13960</c:v>
                </c:pt>
                <c:pt idx="1397">
                  <c:v>13970</c:v>
                </c:pt>
                <c:pt idx="1398">
                  <c:v>13980</c:v>
                </c:pt>
                <c:pt idx="1399">
                  <c:v>13990</c:v>
                </c:pt>
                <c:pt idx="1400">
                  <c:v>14000</c:v>
                </c:pt>
                <c:pt idx="1401">
                  <c:v>14010</c:v>
                </c:pt>
                <c:pt idx="1402">
                  <c:v>14020</c:v>
                </c:pt>
                <c:pt idx="1403">
                  <c:v>14030</c:v>
                </c:pt>
                <c:pt idx="1404">
                  <c:v>14040</c:v>
                </c:pt>
                <c:pt idx="1405">
                  <c:v>14050</c:v>
                </c:pt>
                <c:pt idx="1406">
                  <c:v>14060</c:v>
                </c:pt>
                <c:pt idx="1407">
                  <c:v>14070</c:v>
                </c:pt>
                <c:pt idx="1408">
                  <c:v>14080</c:v>
                </c:pt>
                <c:pt idx="1409">
                  <c:v>14090</c:v>
                </c:pt>
                <c:pt idx="1410">
                  <c:v>14100</c:v>
                </c:pt>
                <c:pt idx="1411">
                  <c:v>14110</c:v>
                </c:pt>
                <c:pt idx="1412">
                  <c:v>14120</c:v>
                </c:pt>
                <c:pt idx="1413">
                  <c:v>14130</c:v>
                </c:pt>
                <c:pt idx="1414">
                  <c:v>14140</c:v>
                </c:pt>
                <c:pt idx="1415">
                  <c:v>14150</c:v>
                </c:pt>
                <c:pt idx="1416">
                  <c:v>14160</c:v>
                </c:pt>
                <c:pt idx="1417">
                  <c:v>14170</c:v>
                </c:pt>
                <c:pt idx="1418">
                  <c:v>14180</c:v>
                </c:pt>
                <c:pt idx="1419">
                  <c:v>14190</c:v>
                </c:pt>
                <c:pt idx="1420">
                  <c:v>14200</c:v>
                </c:pt>
                <c:pt idx="1421">
                  <c:v>14210</c:v>
                </c:pt>
                <c:pt idx="1422">
                  <c:v>14220</c:v>
                </c:pt>
                <c:pt idx="1423">
                  <c:v>14230</c:v>
                </c:pt>
                <c:pt idx="1424">
                  <c:v>14240</c:v>
                </c:pt>
                <c:pt idx="1425">
                  <c:v>14250</c:v>
                </c:pt>
                <c:pt idx="1426">
                  <c:v>14260</c:v>
                </c:pt>
                <c:pt idx="1427">
                  <c:v>14270</c:v>
                </c:pt>
                <c:pt idx="1428">
                  <c:v>14280</c:v>
                </c:pt>
                <c:pt idx="1429">
                  <c:v>14290</c:v>
                </c:pt>
                <c:pt idx="1430">
                  <c:v>14300</c:v>
                </c:pt>
                <c:pt idx="1431">
                  <c:v>14310</c:v>
                </c:pt>
                <c:pt idx="1432">
                  <c:v>14320</c:v>
                </c:pt>
                <c:pt idx="1433">
                  <c:v>14330</c:v>
                </c:pt>
                <c:pt idx="1434">
                  <c:v>14340</c:v>
                </c:pt>
                <c:pt idx="1435">
                  <c:v>14350</c:v>
                </c:pt>
                <c:pt idx="1436">
                  <c:v>14360</c:v>
                </c:pt>
                <c:pt idx="1437">
                  <c:v>14370</c:v>
                </c:pt>
                <c:pt idx="1438">
                  <c:v>14380</c:v>
                </c:pt>
                <c:pt idx="1439">
                  <c:v>14390</c:v>
                </c:pt>
                <c:pt idx="1440">
                  <c:v>14400</c:v>
                </c:pt>
                <c:pt idx="1441">
                  <c:v>14410</c:v>
                </c:pt>
                <c:pt idx="1442">
                  <c:v>14420</c:v>
                </c:pt>
                <c:pt idx="1443">
                  <c:v>14430</c:v>
                </c:pt>
                <c:pt idx="1444">
                  <c:v>14440</c:v>
                </c:pt>
                <c:pt idx="1445">
                  <c:v>14450</c:v>
                </c:pt>
                <c:pt idx="1446">
                  <c:v>14460</c:v>
                </c:pt>
                <c:pt idx="1447">
                  <c:v>14470</c:v>
                </c:pt>
                <c:pt idx="1448">
                  <c:v>14480</c:v>
                </c:pt>
                <c:pt idx="1449">
                  <c:v>14490</c:v>
                </c:pt>
                <c:pt idx="1450">
                  <c:v>14500</c:v>
                </c:pt>
                <c:pt idx="1451">
                  <c:v>14510</c:v>
                </c:pt>
                <c:pt idx="1452">
                  <c:v>14520</c:v>
                </c:pt>
                <c:pt idx="1453">
                  <c:v>14530</c:v>
                </c:pt>
                <c:pt idx="1454">
                  <c:v>14540</c:v>
                </c:pt>
                <c:pt idx="1455">
                  <c:v>14550</c:v>
                </c:pt>
                <c:pt idx="1456">
                  <c:v>14560</c:v>
                </c:pt>
                <c:pt idx="1457">
                  <c:v>14570</c:v>
                </c:pt>
                <c:pt idx="1458">
                  <c:v>14580</c:v>
                </c:pt>
                <c:pt idx="1459">
                  <c:v>14590</c:v>
                </c:pt>
                <c:pt idx="1460">
                  <c:v>14600</c:v>
                </c:pt>
                <c:pt idx="1461">
                  <c:v>14610</c:v>
                </c:pt>
                <c:pt idx="1462">
                  <c:v>14620</c:v>
                </c:pt>
                <c:pt idx="1463">
                  <c:v>14630</c:v>
                </c:pt>
                <c:pt idx="1464">
                  <c:v>14640</c:v>
                </c:pt>
                <c:pt idx="1465">
                  <c:v>14650</c:v>
                </c:pt>
                <c:pt idx="1466">
                  <c:v>14660</c:v>
                </c:pt>
                <c:pt idx="1467">
                  <c:v>14670</c:v>
                </c:pt>
                <c:pt idx="1468">
                  <c:v>14680</c:v>
                </c:pt>
                <c:pt idx="1469">
                  <c:v>14690</c:v>
                </c:pt>
                <c:pt idx="1470">
                  <c:v>14700</c:v>
                </c:pt>
                <c:pt idx="1471">
                  <c:v>14710</c:v>
                </c:pt>
                <c:pt idx="1472">
                  <c:v>14720</c:v>
                </c:pt>
                <c:pt idx="1473">
                  <c:v>14730</c:v>
                </c:pt>
                <c:pt idx="1474">
                  <c:v>14740</c:v>
                </c:pt>
                <c:pt idx="1475">
                  <c:v>14750</c:v>
                </c:pt>
                <c:pt idx="1476">
                  <c:v>14760</c:v>
                </c:pt>
                <c:pt idx="1477">
                  <c:v>14770</c:v>
                </c:pt>
                <c:pt idx="1478">
                  <c:v>14780</c:v>
                </c:pt>
                <c:pt idx="1479">
                  <c:v>14790</c:v>
                </c:pt>
                <c:pt idx="1480">
                  <c:v>14800</c:v>
                </c:pt>
                <c:pt idx="1481">
                  <c:v>14810</c:v>
                </c:pt>
                <c:pt idx="1482">
                  <c:v>14820</c:v>
                </c:pt>
                <c:pt idx="1483">
                  <c:v>14830</c:v>
                </c:pt>
                <c:pt idx="1484">
                  <c:v>14840</c:v>
                </c:pt>
                <c:pt idx="1485">
                  <c:v>14850</c:v>
                </c:pt>
                <c:pt idx="1486">
                  <c:v>14860</c:v>
                </c:pt>
                <c:pt idx="1487">
                  <c:v>14870</c:v>
                </c:pt>
                <c:pt idx="1488">
                  <c:v>14880</c:v>
                </c:pt>
                <c:pt idx="1489">
                  <c:v>14890</c:v>
                </c:pt>
                <c:pt idx="1490">
                  <c:v>14900</c:v>
                </c:pt>
                <c:pt idx="1491">
                  <c:v>14910</c:v>
                </c:pt>
                <c:pt idx="1492">
                  <c:v>14920</c:v>
                </c:pt>
                <c:pt idx="1493">
                  <c:v>14930</c:v>
                </c:pt>
                <c:pt idx="1494">
                  <c:v>14940</c:v>
                </c:pt>
                <c:pt idx="1495">
                  <c:v>14950</c:v>
                </c:pt>
                <c:pt idx="1496">
                  <c:v>14960</c:v>
                </c:pt>
                <c:pt idx="1497">
                  <c:v>14970</c:v>
                </c:pt>
                <c:pt idx="1498">
                  <c:v>14980</c:v>
                </c:pt>
                <c:pt idx="1499">
                  <c:v>14990</c:v>
                </c:pt>
                <c:pt idx="1500">
                  <c:v>15000</c:v>
                </c:pt>
                <c:pt idx="1501">
                  <c:v>15010</c:v>
                </c:pt>
                <c:pt idx="1502">
                  <c:v>15020</c:v>
                </c:pt>
                <c:pt idx="1503">
                  <c:v>15030</c:v>
                </c:pt>
                <c:pt idx="1504">
                  <c:v>15040</c:v>
                </c:pt>
                <c:pt idx="1505">
                  <c:v>15050</c:v>
                </c:pt>
                <c:pt idx="1506">
                  <c:v>15060</c:v>
                </c:pt>
                <c:pt idx="1507">
                  <c:v>15070</c:v>
                </c:pt>
                <c:pt idx="1508">
                  <c:v>15080</c:v>
                </c:pt>
                <c:pt idx="1509">
                  <c:v>15090</c:v>
                </c:pt>
                <c:pt idx="1510">
                  <c:v>15100</c:v>
                </c:pt>
                <c:pt idx="1511">
                  <c:v>15110</c:v>
                </c:pt>
                <c:pt idx="1512">
                  <c:v>15120</c:v>
                </c:pt>
                <c:pt idx="1513">
                  <c:v>15130</c:v>
                </c:pt>
                <c:pt idx="1514">
                  <c:v>15140</c:v>
                </c:pt>
                <c:pt idx="1515">
                  <c:v>15150</c:v>
                </c:pt>
                <c:pt idx="1516">
                  <c:v>15160</c:v>
                </c:pt>
                <c:pt idx="1517">
                  <c:v>15170</c:v>
                </c:pt>
                <c:pt idx="1518">
                  <c:v>15180</c:v>
                </c:pt>
                <c:pt idx="1519">
                  <c:v>15190</c:v>
                </c:pt>
                <c:pt idx="1520">
                  <c:v>15200</c:v>
                </c:pt>
                <c:pt idx="1521">
                  <c:v>15210</c:v>
                </c:pt>
                <c:pt idx="1522">
                  <c:v>15220</c:v>
                </c:pt>
                <c:pt idx="1523">
                  <c:v>15230</c:v>
                </c:pt>
                <c:pt idx="1524">
                  <c:v>15240</c:v>
                </c:pt>
                <c:pt idx="1525">
                  <c:v>15250</c:v>
                </c:pt>
                <c:pt idx="1526">
                  <c:v>15260</c:v>
                </c:pt>
                <c:pt idx="1527">
                  <c:v>15270</c:v>
                </c:pt>
                <c:pt idx="1528">
                  <c:v>15280</c:v>
                </c:pt>
                <c:pt idx="1529">
                  <c:v>15290</c:v>
                </c:pt>
                <c:pt idx="1530">
                  <c:v>15300</c:v>
                </c:pt>
                <c:pt idx="1531">
                  <c:v>15310</c:v>
                </c:pt>
                <c:pt idx="1532">
                  <c:v>15320</c:v>
                </c:pt>
                <c:pt idx="1533">
                  <c:v>15330</c:v>
                </c:pt>
                <c:pt idx="1534">
                  <c:v>15340</c:v>
                </c:pt>
                <c:pt idx="1535">
                  <c:v>15350</c:v>
                </c:pt>
                <c:pt idx="1536">
                  <c:v>15360</c:v>
                </c:pt>
                <c:pt idx="1537">
                  <c:v>15370</c:v>
                </c:pt>
                <c:pt idx="1538">
                  <c:v>15380</c:v>
                </c:pt>
                <c:pt idx="1539">
                  <c:v>15390</c:v>
                </c:pt>
                <c:pt idx="1540">
                  <c:v>15400</c:v>
                </c:pt>
                <c:pt idx="1541">
                  <c:v>15410</c:v>
                </c:pt>
                <c:pt idx="1542">
                  <c:v>15420</c:v>
                </c:pt>
                <c:pt idx="1543">
                  <c:v>15430</c:v>
                </c:pt>
                <c:pt idx="1544">
                  <c:v>15440</c:v>
                </c:pt>
                <c:pt idx="1545">
                  <c:v>15450</c:v>
                </c:pt>
                <c:pt idx="1546">
                  <c:v>15460</c:v>
                </c:pt>
                <c:pt idx="1547">
                  <c:v>15470</c:v>
                </c:pt>
                <c:pt idx="1548">
                  <c:v>15480</c:v>
                </c:pt>
                <c:pt idx="1549">
                  <c:v>15490</c:v>
                </c:pt>
                <c:pt idx="1550">
                  <c:v>15500</c:v>
                </c:pt>
                <c:pt idx="1551">
                  <c:v>15510</c:v>
                </c:pt>
                <c:pt idx="1552">
                  <c:v>15520</c:v>
                </c:pt>
                <c:pt idx="1553">
                  <c:v>15530</c:v>
                </c:pt>
                <c:pt idx="1554">
                  <c:v>15540</c:v>
                </c:pt>
                <c:pt idx="1555">
                  <c:v>15550</c:v>
                </c:pt>
                <c:pt idx="1556">
                  <c:v>15560</c:v>
                </c:pt>
                <c:pt idx="1557">
                  <c:v>15570</c:v>
                </c:pt>
                <c:pt idx="1558">
                  <c:v>15580</c:v>
                </c:pt>
                <c:pt idx="1559">
                  <c:v>15590</c:v>
                </c:pt>
                <c:pt idx="1560">
                  <c:v>15600</c:v>
                </c:pt>
                <c:pt idx="1561">
                  <c:v>15610</c:v>
                </c:pt>
                <c:pt idx="1562">
                  <c:v>15620</c:v>
                </c:pt>
                <c:pt idx="1563">
                  <c:v>15630</c:v>
                </c:pt>
                <c:pt idx="1564">
                  <c:v>15640</c:v>
                </c:pt>
                <c:pt idx="1565">
                  <c:v>15650</c:v>
                </c:pt>
                <c:pt idx="1566">
                  <c:v>15660</c:v>
                </c:pt>
                <c:pt idx="1567">
                  <c:v>15670</c:v>
                </c:pt>
                <c:pt idx="1568">
                  <c:v>15680</c:v>
                </c:pt>
                <c:pt idx="1569">
                  <c:v>15690</c:v>
                </c:pt>
                <c:pt idx="1570">
                  <c:v>15700</c:v>
                </c:pt>
                <c:pt idx="1571">
                  <c:v>15710</c:v>
                </c:pt>
                <c:pt idx="1572">
                  <c:v>15720</c:v>
                </c:pt>
                <c:pt idx="1573">
                  <c:v>15730</c:v>
                </c:pt>
                <c:pt idx="1574">
                  <c:v>15740</c:v>
                </c:pt>
                <c:pt idx="1575">
                  <c:v>15750</c:v>
                </c:pt>
                <c:pt idx="1576">
                  <c:v>15760</c:v>
                </c:pt>
                <c:pt idx="1577">
                  <c:v>15770</c:v>
                </c:pt>
                <c:pt idx="1578">
                  <c:v>15780</c:v>
                </c:pt>
                <c:pt idx="1579">
                  <c:v>15790</c:v>
                </c:pt>
                <c:pt idx="1580">
                  <c:v>15800</c:v>
                </c:pt>
                <c:pt idx="1581">
                  <c:v>15810</c:v>
                </c:pt>
                <c:pt idx="1582">
                  <c:v>15820</c:v>
                </c:pt>
                <c:pt idx="1583">
                  <c:v>15830</c:v>
                </c:pt>
                <c:pt idx="1584">
                  <c:v>15840</c:v>
                </c:pt>
                <c:pt idx="1585">
                  <c:v>15850</c:v>
                </c:pt>
                <c:pt idx="1586">
                  <c:v>15860</c:v>
                </c:pt>
                <c:pt idx="1587">
                  <c:v>15870</c:v>
                </c:pt>
                <c:pt idx="1588">
                  <c:v>15880</c:v>
                </c:pt>
                <c:pt idx="1589">
                  <c:v>15890</c:v>
                </c:pt>
                <c:pt idx="1590">
                  <c:v>15900</c:v>
                </c:pt>
                <c:pt idx="1591">
                  <c:v>15910</c:v>
                </c:pt>
                <c:pt idx="1592">
                  <c:v>15920</c:v>
                </c:pt>
                <c:pt idx="1593">
                  <c:v>15930</c:v>
                </c:pt>
                <c:pt idx="1594">
                  <c:v>15940</c:v>
                </c:pt>
                <c:pt idx="1595">
                  <c:v>15950</c:v>
                </c:pt>
                <c:pt idx="1596">
                  <c:v>15960</c:v>
                </c:pt>
                <c:pt idx="1597">
                  <c:v>15970</c:v>
                </c:pt>
                <c:pt idx="1598">
                  <c:v>15980</c:v>
                </c:pt>
                <c:pt idx="1599">
                  <c:v>15990</c:v>
                </c:pt>
                <c:pt idx="1600">
                  <c:v>16000</c:v>
                </c:pt>
                <c:pt idx="1601">
                  <c:v>16010</c:v>
                </c:pt>
                <c:pt idx="1602">
                  <c:v>16020</c:v>
                </c:pt>
                <c:pt idx="1603">
                  <c:v>16030</c:v>
                </c:pt>
                <c:pt idx="1604">
                  <c:v>16040</c:v>
                </c:pt>
                <c:pt idx="1605">
                  <c:v>16050</c:v>
                </c:pt>
                <c:pt idx="1606">
                  <c:v>16060</c:v>
                </c:pt>
                <c:pt idx="1607">
                  <c:v>16070</c:v>
                </c:pt>
                <c:pt idx="1608">
                  <c:v>16080</c:v>
                </c:pt>
                <c:pt idx="1609">
                  <c:v>16090</c:v>
                </c:pt>
                <c:pt idx="1610">
                  <c:v>16100</c:v>
                </c:pt>
                <c:pt idx="1611">
                  <c:v>16110</c:v>
                </c:pt>
                <c:pt idx="1612">
                  <c:v>16120</c:v>
                </c:pt>
                <c:pt idx="1613">
                  <c:v>16130</c:v>
                </c:pt>
                <c:pt idx="1614">
                  <c:v>16140</c:v>
                </c:pt>
                <c:pt idx="1615">
                  <c:v>16150</c:v>
                </c:pt>
                <c:pt idx="1616">
                  <c:v>16160</c:v>
                </c:pt>
                <c:pt idx="1617">
                  <c:v>16170</c:v>
                </c:pt>
                <c:pt idx="1618">
                  <c:v>16180</c:v>
                </c:pt>
                <c:pt idx="1619">
                  <c:v>16190</c:v>
                </c:pt>
                <c:pt idx="1620">
                  <c:v>16200</c:v>
                </c:pt>
                <c:pt idx="1621">
                  <c:v>16210</c:v>
                </c:pt>
                <c:pt idx="1622">
                  <c:v>16220</c:v>
                </c:pt>
                <c:pt idx="1623">
                  <c:v>16230</c:v>
                </c:pt>
                <c:pt idx="1624">
                  <c:v>16240</c:v>
                </c:pt>
                <c:pt idx="1625">
                  <c:v>16250</c:v>
                </c:pt>
                <c:pt idx="1626">
                  <c:v>16260</c:v>
                </c:pt>
                <c:pt idx="1627">
                  <c:v>16270</c:v>
                </c:pt>
                <c:pt idx="1628">
                  <c:v>16280</c:v>
                </c:pt>
                <c:pt idx="1629">
                  <c:v>16290</c:v>
                </c:pt>
                <c:pt idx="1630">
                  <c:v>16300</c:v>
                </c:pt>
                <c:pt idx="1631">
                  <c:v>16310</c:v>
                </c:pt>
                <c:pt idx="1632">
                  <c:v>16320</c:v>
                </c:pt>
                <c:pt idx="1633">
                  <c:v>16330</c:v>
                </c:pt>
                <c:pt idx="1634">
                  <c:v>16340</c:v>
                </c:pt>
                <c:pt idx="1635">
                  <c:v>16350</c:v>
                </c:pt>
                <c:pt idx="1636">
                  <c:v>16360</c:v>
                </c:pt>
                <c:pt idx="1637">
                  <c:v>16370</c:v>
                </c:pt>
                <c:pt idx="1638">
                  <c:v>16380</c:v>
                </c:pt>
                <c:pt idx="1639">
                  <c:v>16390</c:v>
                </c:pt>
                <c:pt idx="1640">
                  <c:v>16400</c:v>
                </c:pt>
                <c:pt idx="1641">
                  <c:v>16410</c:v>
                </c:pt>
                <c:pt idx="1642">
                  <c:v>16420</c:v>
                </c:pt>
                <c:pt idx="1643">
                  <c:v>16430</c:v>
                </c:pt>
                <c:pt idx="1644">
                  <c:v>16440</c:v>
                </c:pt>
                <c:pt idx="1645">
                  <c:v>16450</c:v>
                </c:pt>
                <c:pt idx="1646">
                  <c:v>16460</c:v>
                </c:pt>
                <c:pt idx="1647">
                  <c:v>16470</c:v>
                </c:pt>
                <c:pt idx="1648">
                  <c:v>16480</c:v>
                </c:pt>
                <c:pt idx="1649">
                  <c:v>16490</c:v>
                </c:pt>
                <c:pt idx="1650">
                  <c:v>16500</c:v>
                </c:pt>
                <c:pt idx="1651">
                  <c:v>16510</c:v>
                </c:pt>
                <c:pt idx="1652">
                  <c:v>16520</c:v>
                </c:pt>
                <c:pt idx="1653">
                  <c:v>16530</c:v>
                </c:pt>
                <c:pt idx="1654">
                  <c:v>16540</c:v>
                </c:pt>
                <c:pt idx="1655">
                  <c:v>16550</c:v>
                </c:pt>
                <c:pt idx="1656">
                  <c:v>16560</c:v>
                </c:pt>
                <c:pt idx="1657">
                  <c:v>16570</c:v>
                </c:pt>
                <c:pt idx="1658">
                  <c:v>16580</c:v>
                </c:pt>
                <c:pt idx="1659">
                  <c:v>16590</c:v>
                </c:pt>
                <c:pt idx="1660">
                  <c:v>16600</c:v>
                </c:pt>
                <c:pt idx="1661">
                  <c:v>16610</c:v>
                </c:pt>
                <c:pt idx="1662">
                  <c:v>16620</c:v>
                </c:pt>
                <c:pt idx="1663">
                  <c:v>16630</c:v>
                </c:pt>
                <c:pt idx="1664">
                  <c:v>16640</c:v>
                </c:pt>
                <c:pt idx="1665">
                  <c:v>16650</c:v>
                </c:pt>
                <c:pt idx="1666">
                  <c:v>16660</c:v>
                </c:pt>
                <c:pt idx="1667">
                  <c:v>16670</c:v>
                </c:pt>
                <c:pt idx="1668">
                  <c:v>16680</c:v>
                </c:pt>
                <c:pt idx="1669">
                  <c:v>16690</c:v>
                </c:pt>
                <c:pt idx="1670">
                  <c:v>16700</c:v>
                </c:pt>
                <c:pt idx="1671">
                  <c:v>16710</c:v>
                </c:pt>
                <c:pt idx="1672">
                  <c:v>16720</c:v>
                </c:pt>
                <c:pt idx="1673">
                  <c:v>16730</c:v>
                </c:pt>
                <c:pt idx="1674">
                  <c:v>16740</c:v>
                </c:pt>
                <c:pt idx="1675">
                  <c:v>16750</c:v>
                </c:pt>
                <c:pt idx="1676">
                  <c:v>16760</c:v>
                </c:pt>
                <c:pt idx="1677">
                  <c:v>16770</c:v>
                </c:pt>
                <c:pt idx="1678">
                  <c:v>16780</c:v>
                </c:pt>
                <c:pt idx="1679">
                  <c:v>16790</c:v>
                </c:pt>
                <c:pt idx="1680">
                  <c:v>16800</c:v>
                </c:pt>
                <c:pt idx="1681">
                  <c:v>16810</c:v>
                </c:pt>
                <c:pt idx="1682">
                  <c:v>16820</c:v>
                </c:pt>
                <c:pt idx="1683">
                  <c:v>16830</c:v>
                </c:pt>
                <c:pt idx="1684">
                  <c:v>16840</c:v>
                </c:pt>
                <c:pt idx="1685">
                  <c:v>16850</c:v>
                </c:pt>
                <c:pt idx="1686">
                  <c:v>16860</c:v>
                </c:pt>
                <c:pt idx="1687">
                  <c:v>16870</c:v>
                </c:pt>
                <c:pt idx="1688">
                  <c:v>16880</c:v>
                </c:pt>
                <c:pt idx="1689">
                  <c:v>16890</c:v>
                </c:pt>
                <c:pt idx="1690">
                  <c:v>16900</c:v>
                </c:pt>
                <c:pt idx="1691">
                  <c:v>16910</c:v>
                </c:pt>
                <c:pt idx="1692">
                  <c:v>16920</c:v>
                </c:pt>
                <c:pt idx="1693">
                  <c:v>16930</c:v>
                </c:pt>
                <c:pt idx="1694">
                  <c:v>16940</c:v>
                </c:pt>
                <c:pt idx="1695">
                  <c:v>16950</c:v>
                </c:pt>
                <c:pt idx="1696">
                  <c:v>16960</c:v>
                </c:pt>
                <c:pt idx="1697">
                  <c:v>16970</c:v>
                </c:pt>
                <c:pt idx="1698">
                  <c:v>16980</c:v>
                </c:pt>
                <c:pt idx="1699">
                  <c:v>16990</c:v>
                </c:pt>
                <c:pt idx="1700">
                  <c:v>17000</c:v>
                </c:pt>
                <c:pt idx="1701">
                  <c:v>17010</c:v>
                </c:pt>
                <c:pt idx="1702">
                  <c:v>17020</c:v>
                </c:pt>
                <c:pt idx="1703">
                  <c:v>17030</c:v>
                </c:pt>
                <c:pt idx="1704">
                  <c:v>17040</c:v>
                </c:pt>
                <c:pt idx="1705">
                  <c:v>17050</c:v>
                </c:pt>
                <c:pt idx="1706">
                  <c:v>17060</c:v>
                </c:pt>
                <c:pt idx="1707">
                  <c:v>17070</c:v>
                </c:pt>
                <c:pt idx="1708">
                  <c:v>17080</c:v>
                </c:pt>
                <c:pt idx="1709">
                  <c:v>17090</c:v>
                </c:pt>
                <c:pt idx="1710">
                  <c:v>17100</c:v>
                </c:pt>
                <c:pt idx="1711">
                  <c:v>17110</c:v>
                </c:pt>
                <c:pt idx="1712">
                  <c:v>17120</c:v>
                </c:pt>
                <c:pt idx="1713">
                  <c:v>17130</c:v>
                </c:pt>
                <c:pt idx="1714">
                  <c:v>17140</c:v>
                </c:pt>
                <c:pt idx="1715">
                  <c:v>17150</c:v>
                </c:pt>
                <c:pt idx="1716">
                  <c:v>17160</c:v>
                </c:pt>
                <c:pt idx="1717">
                  <c:v>17170</c:v>
                </c:pt>
                <c:pt idx="1718">
                  <c:v>17180</c:v>
                </c:pt>
                <c:pt idx="1719">
                  <c:v>17190</c:v>
                </c:pt>
                <c:pt idx="1720">
                  <c:v>17200</c:v>
                </c:pt>
                <c:pt idx="1721">
                  <c:v>17210</c:v>
                </c:pt>
                <c:pt idx="1722">
                  <c:v>17220</c:v>
                </c:pt>
                <c:pt idx="1723">
                  <c:v>17230</c:v>
                </c:pt>
                <c:pt idx="1724">
                  <c:v>17240</c:v>
                </c:pt>
                <c:pt idx="1725">
                  <c:v>17250</c:v>
                </c:pt>
                <c:pt idx="1726">
                  <c:v>17260</c:v>
                </c:pt>
                <c:pt idx="1727">
                  <c:v>17270</c:v>
                </c:pt>
                <c:pt idx="1728">
                  <c:v>17280</c:v>
                </c:pt>
                <c:pt idx="1729">
                  <c:v>17290</c:v>
                </c:pt>
                <c:pt idx="1730">
                  <c:v>17300</c:v>
                </c:pt>
                <c:pt idx="1731">
                  <c:v>17310</c:v>
                </c:pt>
                <c:pt idx="1732">
                  <c:v>17320</c:v>
                </c:pt>
                <c:pt idx="1733">
                  <c:v>17330</c:v>
                </c:pt>
                <c:pt idx="1734">
                  <c:v>17340</c:v>
                </c:pt>
                <c:pt idx="1735">
                  <c:v>17350</c:v>
                </c:pt>
                <c:pt idx="1736">
                  <c:v>17360</c:v>
                </c:pt>
                <c:pt idx="1737">
                  <c:v>17370</c:v>
                </c:pt>
                <c:pt idx="1738">
                  <c:v>17380</c:v>
                </c:pt>
                <c:pt idx="1739">
                  <c:v>17390</c:v>
                </c:pt>
                <c:pt idx="1740">
                  <c:v>17400</c:v>
                </c:pt>
                <c:pt idx="1741">
                  <c:v>17410</c:v>
                </c:pt>
                <c:pt idx="1742">
                  <c:v>17420</c:v>
                </c:pt>
                <c:pt idx="1743">
                  <c:v>17430</c:v>
                </c:pt>
                <c:pt idx="1744">
                  <c:v>17440</c:v>
                </c:pt>
                <c:pt idx="1745">
                  <c:v>17450</c:v>
                </c:pt>
                <c:pt idx="1746">
                  <c:v>17460</c:v>
                </c:pt>
                <c:pt idx="1747">
                  <c:v>17470</c:v>
                </c:pt>
                <c:pt idx="1748">
                  <c:v>17480</c:v>
                </c:pt>
                <c:pt idx="1749">
                  <c:v>17490</c:v>
                </c:pt>
                <c:pt idx="1750">
                  <c:v>17500</c:v>
                </c:pt>
                <c:pt idx="1751">
                  <c:v>17510</c:v>
                </c:pt>
                <c:pt idx="1752">
                  <c:v>17520</c:v>
                </c:pt>
                <c:pt idx="1753">
                  <c:v>17530</c:v>
                </c:pt>
                <c:pt idx="1754">
                  <c:v>17540</c:v>
                </c:pt>
                <c:pt idx="1755">
                  <c:v>17550</c:v>
                </c:pt>
                <c:pt idx="1756">
                  <c:v>17560</c:v>
                </c:pt>
                <c:pt idx="1757">
                  <c:v>17570</c:v>
                </c:pt>
                <c:pt idx="1758">
                  <c:v>17580</c:v>
                </c:pt>
                <c:pt idx="1759">
                  <c:v>17590</c:v>
                </c:pt>
                <c:pt idx="1760">
                  <c:v>17600</c:v>
                </c:pt>
                <c:pt idx="1761">
                  <c:v>17610</c:v>
                </c:pt>
                <c:pt idx="1762">
                  <c:v>17620</c:v>
                </c:pt>
                <c:pt idx="1763">
                  <c:v>17630</c:v>
                </c:pt>
                <c:pt idx="1764">
                  <c:v>17640</c:v>
                </c:pt>
                <c:pt idx="1765">
                  <c:v>17650</c:v>
                </c:pt>
                <c:pt idx="1766">
                  <c:v>17660</c:v>
                </c:pt>
                <c:pt idx="1767">
                  <c:v>17670</c:v>
                </c:pt>
                <c:pt idx="1768">
                  <c:v>17680</c:v>
                </c:pt>
                <c:pt idx="1769">
                  <c:v>17690</c:v>
                </c:pt>
                <c:pt idx="1770">
                  <c:v>17700</c:v>
                </c:pt>
                <c:pt idx="1771">
                  <c:v>17710</c:v>
                </c:pt>
                <c:pt idx="1772">
                  <c:v>17720</c:v>
                </c:pt>
                <c:pt idx="1773">
                  <c:v>17730</c:v>
                </c:pt>
                <c:pt idx="1774">
                  <c:v>17740</c:v>
                </c:pt>
                <c:pt idx="1775">
                  <c:v>17750</c:v>
                </c:pt>
                <c:pt idx="1776">
                  <c:v>17760</c:v>
                </c:pt>
                <c:pt idx="1777">
                  <c:v>17770</c:v>
                </c:pt>
                <c:pt idx="1778">
                  <c:v>17780</c:v>
                </c:pt>
                <c:pt idx="1779">
                  <c:v>17790</c:v>
                </c:pt>
                <c:pt idx="1780">
                  <c:v>17800</c:v>
                </c:pt>
                <c:pt idx="1781">
                  <c:v>17810</c:v>
                </c:pt>
                <c:pt idx="1782">
                  <c:v>17820</c:v>
                </c:pt>
                <c:pt idx="1783">
                  <c:v>17830</c:v>
                </c:pt>
                <c:pt idx="1784">
                  <c:v>17840</c:v>
                </c:pt>
                <c:pt idx="1785">
                  <c:v>17850</c:v>
                </c:pt>
                <c:pt idx="1786">
                  <c:v>17860</c:v>
                </c:pt>
                <c:pt idx="1787">
                  <c:v>17870</c:v>
                </c:pt>
                <c:pt idx="1788">
                  <c:v>17880</c:v>
                </c:pt>
                <c:pt idx="1789">
                  <c:v>17890</c:v>
                </c:pt>
                <c:pt idx="1790">
                  <c:v>17900</c:v>
                </c:pt>
                <c:pt idx="1791">
                  <c:v>17910</c:v>
                </c:pt>
                <c:pt idx="1792">
                  <c:v>17920</c:v>
                </c:pt>
                <c:pt idx="1793">
                  <c:v>17930</c:v>
                </c:pt>
                <c:pt idx="1794">
                  <c:v>17940</c:v>
                </c:pt>
                <c:pt idx="1795">
                  <c:v>17950</c:v>
                </c:pt>
                <c:pt idx="1796">
                  <c:v>17960</c:v>
                </c:pt>
                <c:pt idx="1797">
                  <c:v>17970</c:v>
                </c:pt>
                <c:pt idx="1798">
                  <c:v>17980</c:v>
                </c:pt>
                <c:pt idx="1799">
                  <c:v>17990</c:v>
                </c:pt>
                <c:pt idx="1800">
                  <c:v>18000</c:v>
                </c:pt>
                <c:pt idx="1801">
                  <c:v>18010</c:v>
                </c:pt>
                <c:pt idx="1802">
                  <c:v>18020</c:v>
                </c:pt>
                <c:pt idx="1803">
                  <c:v>18030</c:v>
                </c:pt>
                <c:pt idx="1804">
                  <c:v>18040</c:v>
                </c:pt>
                <c:pt idx="1805">
                  <c:v>18050</c:v>
                </c:pt>
                <c:pt idx="1806">
                  <c:v>18060</c:v>
                </c:pt>
                <c:pt idx="1807">
                  <c:v>18070</c:v>
                </c:pt>
                <c:pt idx="1808">
                  <c:v>18080</c:v>
                </c:pt>
                <c:pt idx="1809">
                  <c:v>18090</c:v>
                </c:pt>
                <c:pt idx="1810">
                  <c:v>18100</c:v>
                </c:pt>
                <c:pt idx="1811">
                  <c:v>18110</c:v>
                </c:pt>
                <c:pt idx="1812">
                  <c:v>18120</c:v>
                </c:pt>
                <c:pt idx="1813">
                  <c:v>18130</c:v>
                </c:pt>
                <c:pt idx="1814">
                  <c:v>18140</c:v>
                </c:pt>
                <c:pt idx="1815">
                  <c:v>18150</c:v>
                </c:pt>
                <c:pt idx="1816">
                  <c:v>18160</c:v>
                </c:pt>
                <c:pt idx="1817">
                  <c:v>18170</c:v>
                </c:pt>
                <c:pt idx="1818">
                  <c:v>18180</c:v>
                </c:pt>
                <c:pt idx="1819">
                  <c:v>18190</c:v>
                </c:pt>
                <c:pt idx="1820">
                  <c:v>18200</c:v>
                </c:pt>
                <c:pt idx="1821">
                  <c:v>18210</c:v>
                </c:pt>
                <c:pt idx="1822">
                  <c:v>18220</c:v>
                </c:pt>
                <c:pt idx="1823">
                  <c:v>18230</c:v>
                </c:pt>
                <c:pt idx="1824">
                  <c:v>18240</c:v>
                </c:pt>
                <c:pt idx="1825">
                  <c:v>18250</c:v>
                </c:pt>
                <c:pt idx="1826">
                  <c:v>18260</c:v>
                </c:pt>
                <c:pt idx="1827">
                  <c:v>18270</c:v>
                </c:pt>
                <c:pt idx="1828">
                  <c:v>18280</c:v>
                </c:pt>
                <c:pt idx="1829">
                  <c:v>18290</c:v>
                </c:pt>
                <c:pt idx="1830">
                  <c:v>18300</c:v>
                </c:pt>
                <c:pt idx="1831">
                  <c:v>18310</c:v>
                </c:pt>
                <c:pt idx="1832">
                  <c:v>18320</c:v>
                </c:pt>
                <c:pt idx="1833">
                  <c:v>18330</c:v>
                </c:pt>
                <c:pt idx="1834">
                  <c:v>18340</c:v>
                </c:pt>
                <c:pt idx="1835">
                  <c:v>18350</c:v>
                </c:pt>
                <c:pt idx="1836">
                  <c:v>18360</c:v>
                </c:pt>
                <c:pt idx="1837">
                  <c:v>18370</c:v>
                </c:pt>
                <c:pt idx="1838">
                  <c:v>18380</c:v>
                </c:pt>
                <c:pt idx="1839">
                  <c:v>18390</c:v>
                </c:pt>
                <c:pt idx="1840">
                  <c:v>18400</c:v>
                </c:pt>
                <c:pt idx="1841">
                  <c:v>18410</c:v>
                </c:pt>
                <c:pt idx="1842">
                  <c:v>18420</c:v>
                </c:pt>
                <c:pt idx="1843">
                  <c:v>18430</c:v>
                </c:pt>
                <c:pt idx="1844">
                  <c:v>18440</c:v>
                </c:pt>
                <c:pt idx="1845">
                  <c:v>18450</c:v>
                </c:pt>
                <c:pt idx="1846">
                  <c:v>18460</c:v>
                </c:pt>
                <c:pt idx="1847">
                  <c:v>18470</c:v>
                </c:pt>
                <c:pt idx="1848">
                  <c:v>18480</c:v>
                </c:pt>
                <c:pt idx="1849">
                  <c:v>18490</c:v>
                </c:pt>
                <c:pt idx="1850">
                  <c:v>18500</c:v>
                </c:pt>
                <c:pt idx="1851">
                  <c:v>18510</c:v>
                </c:pt>
                <c:pt idx="1852">
                  <c:v>18520</c:v>
                </c:pt>
                <c:pt idx="1853">
                  <c:v>18530</c:v>
                </c:pt>
                <c:pt idx="1854">
                  <c:v>18540</c:v>
                </c:pt>
                <c:pt idx="1855">
                  <c:v>18550</c:v>
                </c:pt>
                <c:pt idx="1856">
                  <c:v>18560</c:v>
                </c:pt>
                <c:pt idx="1857">
                  <c:v>18570</c:v>
                </c:pt>
                <c:pt idx="1858">
                  <c:v>18580</c:v>
                </c:pt>
                <c:pt idx="1859">
                  <c:v>18590</c:v>
                </c:pt>
                <c:pt idx="1860">
                  <c:v>18600</c:v>
                </c:pt>
                <c:pt idx="1861">
                  <c:v>18610</c:v>
                </c:pt>
                <c:pt idx="1862">
                  <c:v>18620</c:v>
                </c:pt>
                <c:pt idx="1863">
                  <c:v>18630</c:v>
                </c:pt>
                <c:pt idx="1864">
                  <c:v>18640</c:v>
                </c:pt>
                <c:pt idx="1865">
                  <c:v>18650</c:v>
                </c:pt>
                <c:pt idx="1866">
                  <c:v>18660</c:v>
                </c:pt>
                <c:pt idx="1867">
                  <c:v>18670</c:v>
                </c:pt>
                <c:pt idx="1868">
                  <c:v>18680</c:v>
                </c:pt>
                <c:pt idx="1869">
                  <c:v>18690</c:v>
                </c:pt>
                <c:pt idx="1870">
                  <c:v>18700</c:v>
                </c:pt>
                <c:pt idx="1871">
                  <c:v>18710</c:v>
                </c:pt>
                <c:pt idx="1872">
                  <c:v>18720</c:v>
                </c:pt>
                <c:pt idx="1873">
                  <c:v>18730</c:v>
                </c:pt>
                <c:pt idx="1874">
                  <c:v>18740</c:v>
                </c:pt>
                <c:pt idx="1875">
                  <c:v>18750</c:v>
                </c:pt>
                <c:pt idx="1876">
                  <c:v>18760</c:v>
                </c:pt>
                <c:pt idx="1877">
                  <c:v>18770</c:v>
                </c:pt>
                <c:pt idx="1878">
                  <c:v>18780</c:v>
                </c:pt>
                <c:pt idx="1879">
                  <c:v>18790</c:v>
                </c:pt>
                <c:pt idx="1880">
                  <c:v>18800</c:v>
                </c:pt>
                <c:pt idx="1881">
                  <c:v>18810</c:v>
                </c:pt>
                <c:pt idx="1882">
                  <c:v>18820</c:v>
                </c:pt>
                <c:pt idx="1883">
                  <c:v>18830</c:v>
                </c:pt>
                <c:pt idx="1884">
                  <c:v>18840</c:v>
                </c:pt>
                <c:pt idx="1885">
                  <c:v>18850</c:v>
                </c:pt>
                <c:pt idx="1886">
                  <c:v>18860</c:v>
                </c:pt>
                <c:pt idx="1887">
                  <c:v>18870</c:v>
                </c:pt>
                <c:pt idx="1888">
                  <c:v>18880</c:v>
                </c:pt>
                <c:pt idx="1889">
                  <c:v>18890</c:v>
                </c:pt>
                <c:pt idx="1890">
                  <c:v>18900</c:v>
                </c:pt>
                <c:pt idx="1891">
                  <c:v>18910</c:v>
                </c:pt>
                <c:pt idx="1892">
                  <c:v>18920</c:v>
                </c:pt>
                <c:pt idx="1893">
                  <c:v>18930</c:v>
                </c:pt>
                <c:pt idx="1894">
                  <c:v>18940</c:v>
                </c:pt>
                <c:pt idx="1895">
                  <c:v>18950</c:v>
                </c:pt>
                <c:pt idx="1896">
                  <c:v>18960</c:v>
                </c:pt>
                <c:pt idx="1897">
                  <c:v>18970</c:v>
                </c:pt>
                <c:pt idx="1898">
                  <c:v>18980</c:v>
                </c:pt>
                <c:pt idx="1899">
                  <c:v>18990</c:v>
                </c:pt>
                <c:pt idx="1900">
                  <c:v>19000</c:v>
                </c:pt>
                <c:pt idx="1901">
                  <c:v>19010</c:v>
                </c:pt>
                <c:pt idx="1902">
                  <c:v>19020</c:v>
                </c:pt>
                <c:pt idx="1903">
                  <c:v>19030</c:v>
                </c:pt>
                <c:pt idx="1904">
                  <c:v>19040</c:v>
                </c:pt>
                <c:pt idx="1905">
                  <c:v>19050</c:v>
                </c:pt>
                <c:pt idx="1906">
                  <c:v>19060</c:v>
                </c:pt>
                <c:pt idx="1907">
                  <c:v>19070</c:v>
                </c:pt>
                <c:pt idx="1908">
                  <c:v>19080</c:v>
                </c:pt>
                <c:pt idx="1909">
                  <c:v>19090</c:v>
                </c:pt>
                <c:pt idx="1910">
                  <c:v>19100</c:v>
                </c:pt>
                <c:pt idx="1911">
                  <c:v>19110</c:v>
                </c:pt>
                <c:pt idx="1912">
                  <c:v>19120</c:v>
                </c:pt>
                <c:pt idx="1913">
                  <c:v>19130</c:v>
                </c:pt>
                <c:pt idx="1914">
                  <c:v>19140</c:v>
                </c:pt>
                <c:pt idx="1915">
                  <c:v>19150</c:v>
                </c:pt>
                <c:pt idx="1916">
                  <c:v>19160</c:v>
                </c:pt>
                <c:pt idx="1917">
                  <c:v>19170</c:v>
                </c:pt>
                <c:pt idx="1918">
                  <c:v>19180</c:v>
                </c:pt>
                <c:pt idx="1919">
                  <c:v>19190</c:v>
                </c:pt>
                <c:pt idx="1920">
                  <c:v>19200</c:v>
                </c:pt>
                <c:pt idx="1921">
                  <c:v>19210</c:v>
                </c:pt>
                <c:pt idx="1922">
                  <c:v>19220</c:v>
                </c:pt>
                <c:pt idx="1923">
                  <c:v>19230</c:v>
                </c:pt>
                <c:pt idx="1924">
                  <c:v>19240</c:v>
                </c:pt>
                <c:pt idx="1925">
                  <c:v>19250</c:v>
                </c:pt>
                <c:pt idx="1926">
                  <c:v>19260</c:v>
                </c:pt>
                <c:pt idx="1927">
                  <c:v>19270</c:v>
                </c:pt>
                <c:pt idx="1928">
                  <c:v>19280</c:v>
                </c:pt>
                <c:pt idx="1929">
                  <c:v>19290</c:v>
                </c:pt>
                <c:pt idx="1930">
                  <c:v>19300</c:v>
                </c:pt>
                <c:pt idx="1931">
                  <c:v>19310</c:v>
                </c:pt>
                <c:pt idx="1932">
                  <c:v>19320</c:v>
                </c:pt>
                <c:pt idx="1933">
                  <c:v>19330</c:v>
                </c:pt>
                <c:pt idx="1934">
                  <c:v>19340</c:v>
                </c:pt>
                <c:pt idx="1935">
                  <c:v>19350</c:v>
                </c:pt>
                <c:pt idx="1936">
                  <c:v>19360</c:v>
                </c:pt>
                <c:pt idx="1937">
                  <c:v>19370</c:v>
                </c:pt>
                <c:pt idx="1938">
                  <c:v>19380</c:v>
                </c:pt>
                <c:pt idx="1939">
                  <c:v>19390</c:v>
                </c:pt>
                <c:pt idx="1940">
                  <c:v>19400</c:v>
                </c:pt>
                <c:pt idx="1941">
                  <c:v>19410</c:v>
                </c:pt>
                <c:pt idx="1942">
                  <c:v>19420</c:v>
                </c:pt>
                <c:pt idx="1943">
                  <c:v>19430</c:v>
                </c:pt>
                <c:pt idx="1944">
                  <c:v>19440</c:v>
                </c:pt>
                <c:pt idx="1945">
                  <c:v>19450</c:v>
                </c:pt>
                <c:pt idx="1946">
                  <c:v>19460</c:v>
                </c:pt>
                <c:pt idx="1947">
                  <c:v>19470</c:v>
                </c:pt>
                <c:pt idx="1948">
                  <c:v>19480</c:v>
                </c:pt>
                <c:pt idx="1949">
                  <c:v>19490</c:v>
                </c:pt>
                <c:pt idx="1950">
                  <c:v>19500</c:v>
                </c:pt>
                <c:pt idx="1951">
                  <c:v>19510</c:v>
                </c:pt>
                <c:pt idx="1952">
                  <c:v>19520</c:v>
                </c:pt>
                <c:pt idx="1953">
                  <c:v>19530</c:v>
                </c:pt>
                <c:pt idx="1954">
                  <c:v>19540</c:v>
                </c:pt>
                <c:pt idx="1955">
                  <c:v>19550</c:v>
                </c:pt>
                <c:pt idx="1956">
                  <c:v>19560</c:v>
                </c:pt>
                <c:pt idx="1957">
                  <c:v>19570</c:v>
                </c:pt>
                <c:pt idx="1958">
                  <c:v>19580</c:v>
                </c:pt>
                <c:pt idx="1959">
                  <c:v>19590</c:v>
                </c:pt>
                <c:pt idx="1960">
                  <c:v>19600</c:v>
                </c:pt>
                <c:pt idx="1961">
                  <c:v>19610</c:v>
                </c:pt>
                <c:pt idx="1962">
                  <c:v>19620</c:v>
                </c:pt>
                <c:pt idx="1963">
                  <c:v>19630</c:v>
                </c:pt>
                <c:pt idx="1964">
                  <c:v>19640</c:v>
                </c:pt>
                <c:pt idx="1965">
                  <c:v>19650</c:v>
                </c:pt>
                <c:pt idx="1966">
                  <c:v>19660</c:v>
                </c:pt>
                <c:pt idx="1967">
                  <c:v>19670</c:v>
                </c:pt>
                <c:pt idx="1968">
                  <c:v>19680</c:v>
                </c:pt>
                <c:pt idx="1969">
                  <c:v>19690</c:v>
                </c:pt>
                <c:pt idx="1970">
                  <c:v>19700</c:v>
                </c:pt>
                <c:pt idx="1971">
                  <c:v>19710</c:v>
                </c:pt>
                <c:pt idx="1972">
                  <c:v>19720</c:v>
                </c:pt>
                <c:pt idx="1973">
                  <c:v>19730</c:v>
                </c:pt>
                <c:pt idx="1974">
                  <c:v>19740</c:v>
                </c:pt>
                <c:pt idx="1975">
                  <c:v>19750</c:v>
                </c:pt>
                <c:pt idx="1976">
                  <c:v>19760</c:v>
                </c:pt>
                <c:pt idx="1977">
                  <c:v>19770</c:v>
                </c:pt>
                <c:pt idx="1978">
                  <c:v>19780</c:v>
                </c:pt>
                <c:pt idx="1979">
                  <c:v>19790</c:v>
                </c:pt>
                <c:pt idx="1980">
                  <c:v>19800</c:v>
                </c:pt>
                <c:pt idx="1981">
                  <c:v>19810</c:v>
                </c:pt>
                <c:pt idx="1982">
                  <c:v>19820</c:v>
                </c:pt>
                <c:pt idx="1983">
                  <c:v>19830</c:v>
                </c:pt>
                <c:pt idx="1984">
                  <c:v>19840</c:v>
                </c:pt>
                <c:pt idx="1985">
                  <c:v>19850</c:v>
                </c:pt>
                <c:pt idx="1986">
                  <c:v>19860</c:v>
                </c:pt>
                <c:pt idx="1987">
                  <c:v>19870</c:v>
                </c:pt>
                <c:pt idx="1988">
                  <c:v>19880</c:v>
                </c:pt>
                <c:pt idx="1989">
                  <c:v>19890</c:v>
                </c:pt>
                <c:pt idx="1990">
                  <c:v>19900</c:v>
                </c:pt>
                <c:pt idx="1991">
                  <c:v>19910</c:v>
                </c:pt>
                <c:pt idx="1992">
                  <c:v>19920</c:v>
                </c:pt>
                <c:pt idx="1993">
                  <c:v>19930</c:v>
                </c:pt>
                <c:pt idx="1994">
                  <c:v>19940</c:v>
                </c:pt>
                <c:pt idx="1995">
                  <c:v>19950</c:v>
                </c:pt>
                <c:pt idx="1996">
                  <c:v>19960</c:v>
                </c:pt>
                <c:pt idx="1997">
                  <c:v>19970</c:v>
                </c:pt>
                <c:pt idx="1998">
                  <c:v>19980</c:v>
                </c:pt>
                <c:pt idx="1999">
                  <c:v>19990</c:v>
                </c:pt>
                <c:pt idx="2000">
                  <c:v>20000</c:v>
                </c:pt>
                <c:pt idx="2001">
                  <c:v>20010</c:v>
                </c:pt>
                <c:pt idx="2002">
                  <c:v>20020</c:v>
                </c:pt>
                <c:pt idx="2003">
                  <c:v>20030</c:v>
                </c:pt>
                <c:pt idx="2004">
                  <c:v>20040</c:v>
                </c:pt>
                <c:pt idx="2005">
                  <c:v>20050</c:v>
                </c:pt>
                <c:pt idx="2006">
                  <c:v>20060</c:v>
                </c:pt>
                <c:pt idx="2007">
                  <c:v>20070</c:v>
                </c:pt>
                <c:pt idx="2008">
                  <c:v>20080</c:v>
                </c:pt>
                <c:pt idx="2009">
                  <c:v>20090</c:v>
                </c:pt>
                <c:pt idx="2010">
                  <c:v>20100</c:v>
                </c:pt>
                <c:pt idx="2011">
                  <c:v>20110</c:v>
                </c:pt>
                <c:pt idx="2012">
                  <c:v>20120</c:v>
                </c:pt>
                <c:pt idx="2013">
                  <c:v>20130</c:v>
                </c:pt>
                <c:pt idx="2014">
                  <c:v>20140</c:v>
                </c:pt>
                <c:pt idx="2015">
                  <c:v>20150</c:v>
                </c:pt>
                <c:pt idx="2016">
                  <c:v>20160</c:v>
                </c:pt>
                <c:pt idx="2017">
                  <c:v>20170</c:v>
                </c:pt>
                <c:pt idx="2018">
                  <c:v>20180</c:v>
                </c:pt>
                <c:pt idx="2019">
                  <c:v>20190</c:v>
                </c:pt>
                <c:pt idx="2020">
                  <c:v>20200</c:v>
                </c:pt>
                <c:pt idx="2021">
                  <c:v>20210</c:v>
                </c:pt>
                <c:pt idx="2022">
                  <c:v>20220</c:v>
                </c:pt>
                <c:pt idx="2023">
                  <c:v>20230</c:v>
                </c:pt>
                <c:pt idx="2024">
                  <c:v>20240</c:v>
                </c:pt>
                <c:pt idx="2025">
                  <c:v>20250</c:v>
                </c:pt>
                <c:pt idx="2026">
                  <c:v>20260</c:v>
                </c:pt>
                <c:pt idx="2027">
                  <c:v>20270</c:v>
                </c:pt>
                <c:pt idx="2028">
                  <c:v>20280</c:v>
                </c:pt>
                <c:pt idx="2029">
                  <c:v>20290</c:v>
                </c:pt>
                <c:pt idx="2030">
                  <c:v>20300</c:v>
                </c:pt>
                <c:pt idx="2031">
                  <c:v>20310</c:v>
                </c:pt>
                <c:pt idx="2032">
                  <c:v>20320</c:v>
                </c:pt>
                <c:pt idx="2033">
                  <c:v>20330</c:v>
                </c:pt>
                <c:pt idx="2034">
                  <c:v>20340</c:v>
                </c:pt>
                <c:pt idx="2035">
                  <c:v>20350</c:v>
                </c:pt>
                <c:pt idx="2036">
                  <c:v>20360</c:v>
                </c:pt>
                <c:pt idx="2037">
                  <c:v>20370</c:v>
                </c:pt>
                <c:pt idx="2038">
                  <c:v>20380</c:v>
                </c:pt>
                <c:pt idx="2039">
                  <c:v>20390</c:v>
                </c:pt>
                <c:pt idx="2040">
                  <c:v>20400</c:v>
                </c:pt>
                <c:pt idx="2041">
                  <c:v>20410</c:v>
                </c:pt>
                <c:pt idx="2042">
                  <c:v>20420</c:v>
                </c:pt>
                <c:pt idx="2043">
                  <c:v>20430</c:v>
                </c:pt>
                <c:pt idx="2044">
                  <c:v>20440</c:v>
                </c:pt>
                <c:pt idx="2045">
                  <c:v>20450</c:v>
                </c:pt>
                <c:pt idx="2046">
                  <c:v>20460</c:v>
                </c:pt>
                <c:pt idx="2047">
                  <c:v>20470</c:v>
                </c:pt>
                <c:pt idx="2048">
                  <c:v>20480</c:v>
                </c:pt>
                <c:pt idx="2049">
                  <c:v>20490</c:v>
                </c:pt>
                <c:pt idx="2050">
                  <c:v>20500</c:v>
                </c:pt>
                <c:pt idx="2051">
                  <c:v>20510</c:v>
                </c:pt>
                <c:pt idx="2052">
                  <c:v>20520</c:v>
                </c:pt>
                <c:pt idx="2053">
                  <c:v>20530</c:v>
                </c:pt>
                <c:pt idx="2054">
                  <c:v>20540</c:v>
                </c:pt>
                <c:pt idx="2055">
                  <c:v>20550</c:v>
                </c:pt>
                <c:pt idx="2056">
                  <c:v>20560</c:v>
                </c:pt>
                <c:pt idx="2057">
                  <c:v>20570</c:v>
                </c:pt>
                <c:pt idx="2058">
                  <c:v>20580</c:v>
                </c:pt>
                <c:pt idx="2059">
                  <c:v>20590</c:v>
                </c:pt>
                <c:pt idx="2060">
                  <c:v>20600</c:v>
                </c:pt>
                <c:pt idx="2061">
                  <c:v>20610</c:v>
                </c:pt>
                <c:pt idx="2062">
                  <c:v>20620</c:v>
                </c:pt>
                <c:pt idx="2063">
                  <c:v>20630</c:v>
                </c:pt>
                <c:pt idx="2064">
                  <c:v>20640</c:v>
                </c:pt>
                <c:pt idx="2065">
                  <c:v>20650</c:v>
                </c:pt>
                <c:pt idx="2066">
                  <c:v>20660</c:v>
                </c:pt>
                <c:pt idx="2067">
                  <c:v>20670</c:v>
                </c:pt>
                <c:pt idx="2068">
                  <c:v>20680</c:v>
                </c:pt>
                <c:pt idx="2069">
                  <c:v>20690</c:v>
                </c:pt>
                <c:pt idx="2070">
                  <c:v>20700</c:v>
                </c:pt>
                <c:pt idx="2071">
                  <c:v>20710</c:v>
                </c:pt>
                <c:pt idx="2072">
                  <c:v>20720</c:v>
                </c:pt>
                <c:pt idx="2073">
                  <c:v>20730</c:v>
                </c:pt>
                <c:pt idx="2074">
                  <c:v>20740</c:v>
                </c:pt>
                <c:pt idx="2075">
                  <c:v>20750</c:v>
                </c:pt>
                <c:pt idx="2076">
                  <c:v>20760</c:v>
                </c:pt>
                <c:pt idx="2077">
                  <c:v>20770</c:v>
                </c:pt>
                <c:pt idx="2078">
                  <c:v>20780</c:v>
                </c:pt>
                <c:pt idx="2079">
                  <c:v>20790</c:v>
                </c:pt>
                <c:pt idx="2080">
                  <c:v>20800</c:v>
                </c:pt>
                <c:pt idx="2081">
                  <c:v>20810</c:v>
                </c:pt>
                <c:pt idx="2082">
                  <c:v>20820</c:v>
                </c:pt>
                <c:pt idx="2083">
                  <c:v>20830</c:v>
                </c:pt>
                <c:pt idx="2084">
                  <c:v>20840</c:v>
                </c:pt>
                <c:pt idx="2085">
                  <c:v>20850</c:v>
                </c:pt>
                <c:pt idx="2086">
                  <c:v>20860</c:v>
                </c:pt>
                <c:pt idx="2087">
                  <c:v>20870</c:v>
                </c:pt>
                <c:pt idx="2088">
                  <c:v>20880</c:v>
                </c:pt>
                <c:pt idx="2089">
                  <c:v>20890</c:v>
                </c:pt>
                <c:pt idx="2090">
                  <c:v>20900</c:v>
                </c:pt>
                <c:pt idx="2091">
                  <c:v>20910</c:v>
                </c:pt>
                <c:pt idx="2092">
                  <c:v>20920</c:v>
                </c:pt>
                <c:pt idx="2093">
                  <c:v>20930</c:v>
                </c:pt>
                <c:pt idx="2094">
                  <c:v>20940</c:v>
                </c:pt>
                <c:pt idx="2095">
                  <c:v>20950</c:v>
                </c:pt>
                <c:pt idx="2096">
                  <c:v>20960</c:v>
                </c:pt>
                <c:pt idx="2097">
                  <c:v>20970</c:v>
                </c:pt>
                <c:pt idx="2098">
                  <c:v>20980</c:v>
                </c:pt>
                <c:pt idx="2099">
                  <c:v>20990</c:v>
                </c:pt>
                <c:pt idx="2100">
                  <c:v>21000</c:v>
                </c:pt>
                <c:pt idx="2101">
                  <c:v>21010</c:v>
                </c:pt>
                <c:pt idx="2102">
                  <c:v>21020</c:v>
                </c:pt>
                <c:pt idx="2103">
                  <c:v>21030</c:v>
                </c:pt>
                <c:pt idx="2104">
                  <c:v>21040</c:v>
                </c:pt>
                <c:pt idx="2105">
                  <c:v>21050</c:v>
                </c:pt>
                <c:pt idx="2106">
                  <c:v>21060</c:v>
                </c:pt>
                <c:pt idx="2107">
                  <c:v>21070</c:v>
                </c:pt>
                <c:pt idx="2108">
                  <c:v>21080</c:v>
                </c:pt>
                <c:pt idx="2109">
                  <c:v>21090</c:v>
                </c:pt>
                <c:pt idx="2110">
                  <c:v>21100</c:v>
                </c:pt>
                <c:pt idx="2111">
                  <c:v>21110</c:v>
                </c:pt>
                <c:pt idx="2112">
                  <c:v>21120</c:v>
                </c:pt>
                <c:pt idx="2113">
                  <c:v>21130</c:v>
                </c:pt>
                <c:pt idx="2114">
                  <c:v>21140</c:v>
                </c:pt>
                <c:pt idx="2115">
                  <c:v>21150</c:v>
                </c:pt>
                <c:pt idx="2116">
                  <c:v>21160</c:v>
                </c:pt>
                <c:pt idx="2117">
                  <c:v>21170</c:v>
                </c:pt>
                <c:pt idx="2118">
                  <c:v>21180</c:v>
                </c:pt>
                <c:pt idx="2119">
                  <c:v>21190</c:v>
                </c:pt>
                <c:pt idx="2120">
                  <c:v>21200</c:v>
                </c:pt>
                <c:pt idx="2121">
                  <c:v>21210</c:v>
                </c:pt>
                <c:pt idx="2122">
                  <c:v>21220</c:v>
                </c:pt>
                <c:pt idx="2123">
                  <c:v>21230</c:v>
                </c:pt>
                <c:pt idx="2124">
                  <c:v>21240</c:v>
                </c:pt>
                <c:pt idx="2125">
                  <c:v>21250</c:v>
                </c:pt>
                <c:pt idx="2126">
                  <c:v>21260</c:v>
                </c:pt>
                <c:pt idx="2127">
                  <c:v>21270</c:v>
                </c:pt>
                <c:pt idx="2128">
                  <c:v>21280</c:v>
                </c:pt>
                <c:pt idx="2129">
                  <c:v>21290</c:v>
                </c:pt>
                <c:pt idx="2130">
                  <c:v>21300</c:v>
                </c:pt>
                <c:pt idx="2131">
                  <c:v>21310</c:v>
                </c:pt>
                <c:pt idx="2132">
                  <c:v>21320</c:v>
                </c:pt>
                <c:pt idx="2133">
                  <c:v>21330</c:v>
                </c:pt>
                <c:pt idx="2134">
                  <c:v>21340</c:v>
                </c:pt>
                <c:pt idx="2135">
                  <c:v>21350</c:v>
                </c:pt>
                <c:pt idx="2136">
                  <c:v>21360</c:v>
                </c:pt>
                <c:pt idx="2137">
                  <c:v>21370</c:v>
                </c:pt>
                <c:pt idx="2138">
                  <c:v>21380</c:v>
                </c:pt>
                <c:pt idx="2139">
                  <c:v>21390</c:v>
                </c:pt>
                <c:pt idx="2140">
                  <c:v>21400</c:v>
                </c:pt>
                <c:pt idx="2141">
                  <c:v>21410</c:v>
                </c:pt>
                <c:pt idx="2142">
                  <c:v>21420</c:v>
                </c:pt>
                <c:pt idx="2143">
                  <c:v>21430</c:v>
                </c:pt>
                <c:pt idx="2144">
                  <c:v>21440</c:v>
                </c:pt>
                <c:pt idx="2145">
                  <c:v>21450</c:v>
                </c:pt>
                <c:pt idx="2146">
                  <c:v>21460</c:v>
                </c:pt>
                <c:pt idx="2147">
                  <c:v>21470</c:v>
                </c:pt>
                <c:pt idx="2148">
                  <c:v>21480</c:v>
                </c:pt>
                <c:pt idx="2149">
                  <c:v>21490</c:v>
                </c:pt>
                <c:pt idx="2150">
                  <c:v>21500</c:v>
                </c:pt>
                <c:pt idx="2151">
                  <c:v>21510</c:v>
                </c:pt>
                <c:pt idx="2152">
                  <c:v>21520</c:v>
                </c:pt>
                <c:pt idx="2153">
                  <c:v>21530</c:v>
                </c:pt>
                <c:pt idx="2154">
                  <c:v>21540</c:v>
                </c:pt>
                <c:pt idx="2155">
                  <c:v>21550</c:v>
                </c:pt>
                <c:pt idx="2156">
                  <c:v>21560</c:v>
                </c:pt>
                <c:pt idx="2157">
                  <c:v>21570</c:v>
                </c:pt>
                <c:pt idx="2158">
                  <c:v>21580</c:v>
                </c:pt>
                <c:pt idx="2159">
                  <c:v>21590</c:v>
                </c:pt>
                <c:pt idx="2160">
                  <c:v>21600</c:v>
                </c:pt>
                <c:pt idx="2161">
                  <c:v>21610</c:v>
                </c:pt>
                <c:pt idx="2162">
                  <c:v>21620</c:v>
                </c:pt>
                <c:pt idx="2163">
                  <c:v>21630</c:v>
                </c:pt>
                <c:pt idx="2164">
                  <c:v>21640</c:v>
                </c:pt>
                <c:pt idx="2165">
                  <c:v>21650</c:v>
                </c:pt>
                <c:pt idx="2166">
                  <c:v>21660</c:v>
                </c:pt>
                <c:pt idx="2167">
                  <c:v>21670</c:v>
                </c:pt>
                <c:pt idx="2168">
                  <c:v>21680</c:v>
                </c:pt>
                <c:pt idx="2169">
                  <c:v>21690</c:v>
                </c:pt>
                <c:pt idx="2170">
                  <c:v>21700</c:v>
                </c:pt>
                <c:pt idx="2171">
                  <c:v>21710</c:v>
                </c:pt>
                <c:pt idx="2172">
                  <c:v>21720</c:v>
                </c:pt>
                <c:pt idx="2173">
                  <c:v>21730</c:v>
                </c:pt>
                <c:pt idx="2174">
                  <c:v>21740</c:v>
                </c:pt>
                <c:pt idx="2175">
                  <c:v>21750</c:v>
                </c:pt>
                <c:pt idx="2176">
                  <c:v>21760</c:v>
                </c:pt>
                <c:pt idx="2177">
                  <c:v>21770</c:v>
                </c:pt>
                <c:pt idx="2178">
                  <c:v>21780</c:v>
                </c:pt>
                <c:pt idx="2179">
                  <c:v>21790</c:v>
                </c:pt>
                <c:pt idx="2180">
                  <c:v>21800</c:v>
                </c:pt>
                <c:pt idx="2181">
                  <c:v>21810</c:v>
                </c:pt>
                <c:pt idx="2182">
                  <c:v>21820</c:v>
                </c:pt>
                <c:pt idx="2183">
                  <c:v>21830</c:v>
                </c:pt>
                <c:pt idx="2184">
                  <c:v>21840</c:v>
                </c:pt>
                <c:pt idx="2185">
                  <c:v>21850</c:v>
                </c:pt>
                <c:pt idx="2186">
                  <c:v>21860</c:v>
                </c:pt>
                <c:pt idx="2187">
                  <c:v>21870</c:v>
                </c:pt>
                <c:pt idx="2188">
                  <c:v>21880</c:v>
                </c:pt>
                <c:pt idx="2189">
                  <c:v>21890</c:v>
                </c:pt>
                <c:pt idx="2190">
                  <c:v>21900</c:v>
                </c:pt>
                <c:pt idx="2191">
                  <c:v>21910</c:v>
                </c:pt>
                <c:pt idx="2192">
                  <c:v>21920</c:v>
                </c:pt>
                <c:pt idx="2193">
                  <c:v>21930</c:v>
                </c:pt>
                <c:pt idx="2194">
                  <c:v>21940</c:v>
                </c:pt>
                <c:pt idx="2195">
                  <c:v>21950</c:v>
                </c:pt>
                <c:pt idx="2196">
                  <c:v>21960</c:v>
                </c:pt>
                <c:pt idx="2197">
                  <c:v>21970</c:v>
                </c:pt>
                <c:pt idx="2198">
                  <c:v>21980</c:v>
                </c:pt>
                <c:pt idx="2199">
                  <c:v>21990</c:v>
                </c:pt>
                <c:pt idx="2200">
                  <c:v>22000</c:v>
                </c:pt>
                <c:pt idx="2201">
                  <c:v>22010</c:v>
                </c:pt>
                <c:pt idx="2202">
                  <c:v>22020</c:v>
                </c:pt>
                <c:pt idx="2203">
                  <c:v>22030</c:v>
                </c:pt>
                <c:pt idx="2204">
                  <c:v>22040</c:v>
                </c:pt>
                <c:pt idx="2205">
                  <c:v>22050</c:v>
                </c:pt>
                <c:pt idx="2206">
                  <c:v>22060</c:v>
                </c:pt>
                <c:pt idx="2207">
                  <c:v>22070</c:v>
                </c:pt>
                <c:pt idx="2208">
                  <c:v>22080</c:v>
                </c:pt>
                <c:pt idx="2209">
                  <c:v>22090</c:v>
                </c:pt>
                <c:pt idx="2210">
                  <c:v>22100</c:v>
                </c:pt>
                <c:pt idx="2211">
                  <c:v>22110</c:v>
                </c:pt>
                <c:pt idx="2212">
                  <c:v>22120</c:v>
                </c:pt>
                <c:pt idx="2213">
                  <c:v>22130</c:v>
                </c:pt>
                <c:pt idx="2214">
                  <c:v>22140</c:v>
                </c:pt>
                <c:pt idx="2215">
                  <c:v>22150</c:v>
                </c:pt>
                <c:pt idx="2216">
                  <c:v>22160</c:v>
                </c:pt>
                <c:pt idx="2217">
                  <c:v>22170</c:v>
                </c:pt>
                <c:pt idx="2218">
                  <c:v>22180</c:v>
                </c:pt>
                <c:pt idx="2219">
                  <c:v>22190</c:v>
                </c:pt>
                <c:pt idx="2220">
                  <c:v>22200</c:v>
                </c:pt>
                <c:pt idx="2221">
                  <c:v>22210</c:v>
                </c:pt>
                <c:pt idx="2222">
                  <c:v>22220</c:v>
                </c:pt>
                <c:pt idx="2223">
                  <c:v>22230</c:v>
                </c:pt>
                <c:pt idx="2224">
                  <c:v>22240</c:v>
                </c:pt>
                <c:pt idx="2225">
                  <c:v>22250</c:v>
                </c:pt>
                <c:pt idx="2226">
                  <c:v>22260</c:v>
                </c:pt>
                <c:pt idx="2227">
                  <c:v>22270</c:v>
                </c:pt>
                <c:pt idx="2228">
                  <c:v>22280</c:v>
                </c:pt>
                <c:pt idx="2229">
                  <c:v>22290</c:v>
                </c:pt>
                <c:pt idx="2230">
                  <c:v>22300</c:v>
                </c:pt>
                <c:pt idx="2231">
                  <c:v>22310</c:v>
                </c:pt>
                <c:pt idx="2232">
                  <c:v>22320</c:v>
                </c:pt>
                <c:pt idx="2233">
                  <c:v>22330</c:v>
                </c:pt>
                <c:pt idx="2234">
                  <c:v>22340</c:v>
                </c:pt>
                <c:pt idx="2235">
                  <c:v>22350</c:v>
                </c:pt>
                <c:pt idx="2236">
                  <c:v>22360</c:v>
                </c:pt>
                <c:pt idx="2237">
                  <c:v>22370</c:v>
                </c:pt>
                <c:pt idx="2238">
                  <c:v>22380</c:v>
                </c:pt>
                <c:pt idx="2239">
                  <c:v>22390</c:v>
                </c:pt>
                <c:pt idx="2240">
                  <c:v>22400</c:v>
                </c:pt>
                <c:pt idx="2241">
                  <c:v>22410</c:v>
                </c:pt>
                <c:pt idx="2242">
                  <c:v>22420</c:v>
                </c:pt>
                <c:pt idx="2243">
                  <c:v>22430</c:v>
                </c:pt>
                <c:pt idx="2244">
                  <c:v>22440</c:v>
                </c:pt>
                <c:pt idx="2245">
                  <c:v>22450</c:v>
                </c:pt>
                <c:pt idx="2246">
                  <c:v>22460</c:v>
                </c:pt>
                <c:pt idx="2247">
                  <c:v>22470</c:v>
                </c:pt>
                <c:pt idx="2248">
                  <c:v>22480</c:v>
                </c:pt>
                <c:pt idx="2249">
                  <c:v>22490</c:v>
                </c:pt>
                <c:pt idx="2250">
                  <c:v>22500</c:v>
                </c:pt>
                <c:pt idx="2251">
                  <c:v>22510</c:v>
                </c:pt>
                <c:pt idx="2252">
                  <c:v>22520</c:v>
                </c:pt>
                <c:pt idx="2253">
                  <c:v>22530</c:v>
                </c:pt>
                <c:pt idx="2254">
                  <c:v>22540</c:v>
                </c:pt>
                <c:pt idx="2255">
                  <c:v>22550</c:v>
                </c:pt>
                <c:pt idx="2256">
                  <c:v>22560</c:v>
                </c:pt>
                <c:pt idx="2257">
                  <c:v>22570</c:v>
                </c:pt>
                <c:pt idx="2258">
                  <c:v>22580</c:v>
                </c:pt>
                <c:pt idx="2259">
                  <c:v>22590</c:v>
                </c:pt>
                <c:pt idx="2260">
                  <c:v>22600</c:v>
                </c:pt>
                <c:pt idx="2261">
                  <c:v>22610</c:v>
                </c:pt>
                <c:pt idx="2262">
                  <c:v>22620</c:v>
                </c:pt>
                <c:pt idx="2263">
                  <c:v>22630</c:v>
                </c:pt>
                <c:pt idx="2264">
                  <c:v>22640</c:v>
                </c:pt>
                <c:pt idx="2265">
                  <c:v>22650</c:v>
                </c:pt>
                <c:pt idx="2266">
                  <c:v>22660</c:v>
                </c:pt>
                <c:pt idx="2267">
                  <c:v>22670</c:v>
                </c:pt>
                <c:pt idx="2268">
                  <c:v>22680</c:v>
                </c:pt>
                <c:pt idx="2269">
                  <c:v>22690</c:v>
                </c:pt>
                <c:pt idx="2270">
                  <c:v>22700</c:v>
                </c:pt>
                <c:pt idx="2271">
                  <c:v>22710</c:v>
                </c:pt>
                <c:pt idx="2272">
                  <c:v>22720</c:v>
                </c:pt>
                <c:pt idx="2273">
                  <c:v>22730</c:v>
                </c:pt>
                <c:pt idx="2274">
                  <c:v>22740</c:v>
                </c:pt>
                <c:pt idx="2275">
                  <c:v>22750</c:v>
                </c:pt>
                <c:pt idx="2276">
                  <c:v>22760</c:v>
                </c:pt>
                <c:pt idx="2277">
                  <c:v>22770</c:v>
                </c:pt>
                <c:pt idx="2278">
                  <c:v>22780</c:v>
                </c:pt>
                <c:pt idx="2279">
                  <c:v>22790</c:v>
                </c:pt>
                <c:pt idx="2280">
                  <c:v>22800</c:v>
                </c:pt>
                <c:pt idx="2281">
                  <c:v>22810</c:v>
                </c:pt>
                <c:pt idx="2282">
                  <c:v>22820</c:v>
                </c:pt>
                <c:pt idx="2283">
                  <c:v>22830</c:v>
                </c:pt>
                <c:pt idx="2284">
                  <c:v>22840</c:v>
                </c:pt>
                <c:pt idx="2285">
                  <c:v>22850</c:v>
                </c:pt>
                <c:pt idx="2286">
                  <c:v>22860</c:v>
                </c:pt>
                <c:pt idx="2287">
                  <c:v>22870</c:v>
                </c:pt>
                <c:pt idx="2288">
                  <c:v>22880</c:v>
                </c:pt>
                <c:pt idx="2289">
                  <c:v>22890</c:v>
                </c:pt>
                <c:pt idx="2290">
                  <c:v>22900</c:v>
                </c:pt>
                <c:pt idx="2291">
                  <c:v>22910</c:v>
                </c:pt>
                <c:pt idx="2292">
                  <c:v>22920</c:v>
                </c:pt>
                <c:pt idx="2293">
                  <c:v>22930</c:v>
                </c:pt>
                <c:pt idx="2294">
                  <c:v>22940</c:v>
                </c:pt>
                <c:pt idx="2295">
                  <c:v>22950</c:v>
                </c:pt>
                <c:pt idx="2296">
                  <c:v>22960</c:v>
                </c:pt>
                <c:pt idx="2297">
                  <c:v>22970</c:v>
                </c:pt>
                <c:pt idx="2298">
                  <c:v>22980</c:v>
                </c:pt>
                <c:pt idx="2299">
                  <c:v>22990</c:v>
                </c:pt>
                <c:pt idx="2300">
                  <c:v>23000</c:v>
                </c:pt>
                <c:pt idx="2301">
                  <c:v>23010</c:v>
                </c:pt>
                <c:pt idx="2302">
                  <c:v>23020</c:v>
                </c:pt>
                <c:pt idx="2303">
                  <c:v>23030</c:v>
                </c:pt>
                <c:pt idx="2304">
                  <c:v>23040</c:v>
                </c:pt>
                <c:pt idx="2305">
                  <c:v>23050</c:v>
                </c:pt>
                <c:pt idx="2306">
                  <c:v>23060</c:v>
                </c:pt>
                <c:pt idx="2307">
                  <c:v>23070</c:v>
                </c:pt>
                <c:pt idx="2308">
                  <c:v>23080</c:v>
                </c:pt>
                <c:pt idx="2309">
                  <c:v>23090</c:v>
                </c:pt>
                <c:pt idx="2310">
                  <c:v>23100</c:v>
                </c:pt>
                <c:pt idx="2311">
                  <c:v>23110</c:v>
                </c:pt>
                <c:pt idx="2312">
                  <c:v>23120</c:v>
                </c:pt>
                <c:pt idx="2313">
                  <c:v>23130</c:v>
                </c:pt>
                <c:pt idx="2314">
                  <c:v>23140</c:v>
                </c:pt>
                <c:pt idx="2315">
                  <c:v>23150</c:v>
                </c:pt>
                <c:pt idx="2316">
                  <c:v>23160</c:v>
                </c:pt>
                <c:pt idx="2317">
                  <c:v>23170</c:v>
                </c:pt>
                <c:pt idx="2318">
                  <c:v>23180</c:v>
                </c:pt>
                <c:pt idx="2319">
                  <c:v>23190</c:v>
                </c:pt>
                <c:pt idx="2320">
                  <c:v>23200</c:v>
                </c:pt>
                <c:pt idx="2321">
                  <c:v>23210</c:v>
                </c:pt>
                <c:pt idx="2322">
                  <c:v>23220</c:v>
                </c:pt>
                <c:pt idx="2323">
                  <c:v>23230</c:v>
                </c:pt>
                <c:pt idx="2324">
                  <c:v>23240</c:v>
                </c:pt>
                <c:pt idx="2325">
                  <c:v>23250</c:v>
                </c:pt>
                <c:pt idx="2326">
                  <c:v>23260</c:v>
                </c:pt>
                <c:pt idx="2327">
                  <c:v>23270</c:v>
                </c:pt>
                <c:pt idx="2328">
                  <c:v>23280</c:v>
                </c:pt>
                <c:pt idx="2329">
                  <c:v>23290</c:v>
                </c:pt>
                <c:pt idx="2330">
                  <c:v>23300</c:v>
                </c:pt>
                <c:pt idx="2331">
                  <c:v>23310</c:v>
                </c:pt>
                <c:pt idx="2332">
                  <c:v>23320</c:v>
                </c:pt>
                <c:pt idx="2333">
                  <c:v>23330</c:v>
                </c:pt>
                <c:pt idx="2334">
                  <c:v>23340</c:v>
                </c:pt>
                <c:pt idx="2335">
                  <c:v>23350</c:v>
                </c:pt>
                <c:pt idx="2336">
                  <c:v>23360</c:v>
                </c:pt>
                <c:pt idx="2337">
                  <c:v>23370</c:v>
                </c:pt>
                <c:pt idx="2338">
                  <c:v>23380</c:v>
                </c:pt>
                <c:pt idx="2339">
                  <c:v>23390</c:v>
                </c:pt>
                <c:pt idx="2340">
                  <c:v>23400</c:v>
                </c:pt>
                <c:pt idx="2341">
                  <c:v>23410</c:v>
                </c:pt>
                <c:pt idx="2342">
                  <c:v>23420</c:v>
                </c:pt>
                <c:pt idx="2343">
                  <c:v>23430</c:v>
                </c:pt>
                <c:pt idx="2344">
                  <c:v>23440</c:v>
                </c:pt>
                <c:pt idx="2345">
                  <c:v>23450</c:v>
                </c:pt>
                <c:pt idx="2346">
                  <c:v>23460</c:v>
                </c:pt>
                <c:pt idx="2347">
                  <c:v>23470</c:v>
                </c:pt>
                <c:pt idx="2348">
                  <c:v>23480</c:v>
                </c:pt>
                <c:pt idx="2349">
                  <c:v>23490</c:v>
                </c:pt>
                <c:pt idx="2350">
                  <c:v>23500</c:v>
                </c:pt>
                <c:pt idx="2351">
                  <c:v>23510</c:v>
                </c:pt>
                <c:pt idx="2352">
                  <c:v>23520</c:v>
                </c:pt>
                <c:pt idx="2353">
                  <c:v>23530</c:v>
                </c:pt>
                <c:pt idx="2354">
                  <c:v>23540</c:v>
                </c:pt>
                <c:pt idx="2355">
                  <c:v>23550</c:v>
                </c:pt>
                <c:pt idx="2356">
                  <c:v>23560</c:v>
                </c:pt>
                <c:pt idx="2357">
                  <c:v>23570</c:v>
                </c:pt>
                <c:pt idx="2358">
                  <c:v>23580</c:v>
                </c:pt>
                <c:pt idx="2359">
                  <c:v>23590</c:v>
                </c:pt>
                <c:pt idx="2360">
                  <c:v>23600</c:v>
                </c:pt>
                <c:pt idx="2361">
                  <c:v>23610</c:v>
                </c:pt>
                <c:pt idx="2362">
                  <c:v>23620</c:v>
                </c:pt>
                <c:pt idx="2363">
                  <c:v>23630</c:v>
                </c:pt>
                <c:pt idx="2364">
                  <c:v>23640</c:v>
                </c:pt>
                <c:pt idx="2365">
                  <c:v>23650</c:v>
                </c:pt>
                <c:pt idx="2366">
                  <c:v>23660</c:v>
                </c:pt>
                <c:pt idx="2367">
                  <c:v>23670</c:v>
                </c:pt>
                <c:pt idx="2368">
                  <c:v>23680</c:v>
                </c:pt>
                <c:pt idx="2369">
                  <c:v>23690</c:v>
                </c:pt>
                <c:pt idx="2370">
                  <c:v>23700</c:v>
                </c:pt>
                <c:pt idx="2371">
                  <c:v>23710</c:v>
                </c:pt>
                <c:pt idx="2372">
                  <c:v>23720</c:v>
                </c:pt>
                <c:pt idx="2373">
                  <c:v>23730</c:v>
                </c:pt>
                <c:pt idx="2374">
                  <c:v>23740</c:v>
                </c:pt>
                <c:pt idx="2375">
                  <c:v>23750</c:v>
                </c:pt>
                <c:pt idx="2376">
                  <c:v>23760</c:v>
                </c:pt>
                <c:pt idx="2377">
                  <c:v>23770</c:v>
                </c:pt>
                <c:pt idx="2378">
                  <c:v>23780</c:v>
                </c:pt>
                <c:pt idx="2379">
                  <c:v>23790</c:v>
                </c:pt>
                <c:pt idx="2380">
                  <c:v>23800</c:v>
                </c:pt>
                <c:pt idx="2381">
                  <c:v>23810</c:v>
                </c:pt>
                <c:pt idx="2382">
                  <c:v>23820</c:v>
                </c:pt>
                <c:pt idx="2383">
                  <c:v>23830</c:v>
                </c:pt>
                <c:pt idx="2384">
                  <c:v>23840</c:v>
                </c:pt>
                <c:pt idx="2385">
                  <c:v>23850</c:v>
                </c:pt>
                <c:pt idx="2386">
                  <c:v>23860</c:v>
                </c:pt>
                <c:pt idx="2387">
                  <c:v>23870</c:v>
                </c:pt>
                <c:pt idx="2388">
                  <c:v>23880</c:v>
                </c:pt>
                <c:pt idx="2389">
                  <c:v>23890</c:v>
                </c:pt>
                <c:pt idx="2390">
                  <c:v>23900</c:v>
                </c:pt>
                <c:pt idx="2391">
                  <c:v>23910</c:v>
                </c:pt>
                <c:pt idx="2392">
                  <c:v>23920</c:v>
                </c:pt>
                <c:pt idx="2393">
                  <c:v>23930</c:v>
                </c:pt>
                <c:pt idx="2394">
                  <c:v>23940</c:v>
                </c:pt>
                <c:pt idx="2395">
                  <c:v>23950</c:v>
                </c:pt>
                <c:pt idx="2396">
                  <c:v>23960</c:v>
                </c:pt>
                <c:pt idx="2397">
                  <c:v>23970</c:v>
                </c:pt>
                <c:pt idx="2398">
                  <c:v>23980</c:v>
                </c:pt>
                <c:pt idx="2399">
                  <c:v>23990</c:v>
                </c:pt>
                <c:pt idx="2400">
                  <c:v>24000</c:v>
                </c:pt>
                <c:pt idx="2401">
                  <c:v>24010</c:v>
                </c:pt>
                <c:pt idx="2402">
                  <c:v>24020</c:v>
                </c:pt>
                <c:pt idx="2403">
                  <c:v>24030</c:v>
                </c:pt>
                <c:pt idx="2404">
                  <c:v>24040</c:v>
                </c:pt>
                <c:pt idx="2405">
                  <c:v>24050</c:v>
                </c:pt>
                <c:pt idx="2406">
                  <c:v>24060</c:v>
                </c:pt>
                <c:pt idx="2407">
                  <c:v>24070</c:v>
                </c:pt>
                <c:pt idx="2408">
                  <c:v>24080</c:v>
                </c:pt>
                <c:pt idx="2409">
                  <c:v>24090</c:v>
                </c:pt>
                <c:pt idx="2410">
                  <c:v>24100</c:v>
                </c:pt>
                <c:pt idx="2411">
                  <c:v>24110</c:v>
                </c:pt>
                <c:pt idx="2412">
                  <c:v>24120</c:v>
                </c:pt>
                <c:pt idx="2413">
                  <c:v>24130</c:v>
                </c:pt>
                <c:pt idx="2414">
                  <c:v>24140</c:v>
                </c:pt>
                <c:pt idx="2415">
                  <c:v>24150</c:v>
                </c:pt>
                <c:pt idx="2416">
                  <c:v>24160</c:v>
                </c:pt>
                <c:pt idx="2417">
                  <c:v>24170</c:v>
                </c:pt>
                <c:pt idx="2418">
                  <c:v>24180</c:v>
                </c:pt>
                <c:pt idx="2419">
                  <c:v>24190</c:v>
                </c:pt>
                <c:pt idx="2420">
                  <c:v>24200</c:v>
                </c:pt>
                <c:pt idx="2421">
                  <c:v>24210</c:v>
                </c:pt>
                <c:pt idx="2422">
                  <c:v>24220</c:v>
                </c:pt>
                <c:pt idx="2423">
                  <c:v>24230</c:v>
                </c:pt>
                <c:pt idx="2424">
                  <c:v>24240</c:v>
                </c:pt>
                <c:pt idx="2425">
                  <c:v>24250</c:v>
                </c:pt>
                <c:pt idx="2426">
                  <c:v>24260</c:v>
                </c:pt>
                <c:pt idx="2427">
                  <c:v>24270</c:v>
                </c:pt>
                <c:pt idx="2428">
                  <c:v>24280</c:v>
                </c:pt>
                <c:pt idx="2429">
                  <c:v>24290</c:v>
                </c:pt>
                <c:pt idx="2430">
                  <c:v>24300</c:v>
                </c:pt>
                <c:pt idx="2431">
                  <c:v>24310</c:v>
                </c:pt>
                <c:pt idx="2432">
                  <c:v>24320</c:v>
                </c:pt>
                <c:pt idx="2433">
                  <c:v>24330</c:v>
                </c:pt>
                <c:pt idx="2434">
                  <c:v>24340</c:v>
                </c:pt>
                <c:pt idx="2435">
                  <c:v>24350</c:v>
                </c:pt>
                <c:pt idx="2436">
                  <c:v>24360</c:v>
                </c:pt>
                <c:pt idx="2437">
                  <c:v>24370</c:v>
                </c:pt>
                <c:pt idx="2438">
                  <c:v>24380</c:v>
                </c:pt>
                <c:pt idx="2439">
                  <c:v>24390</c:v>
                </c:pt>
                <c:pt idx="2440">
                  <c:v>24400</c:v>
                </c:pt>
                <c:pt idx="2441">
                  <c:v>24410</c:v>
                </c:pt>
                <c:pt idx="2442">
                  <c:v>24420</c:v>
                </c:pt>
                <c:pt idx="2443">
                  <c:v>24430</c:v>
                </c:pt>
                <c:pt idx="2444">
                  <c:v>24440</c:v>
                </c:pt>
                <c:pt idx="2445">
                  <c:v>24450</c:v>
                </c:pt>
                <c:pt idx="2446">
                  <c:v>24460</c:v>
                </c:pt>
                <c:pt idx="2447">
                  <c:v>24470</c:v>
                </c:pt>
                <c:pt idx="2448">
                  <c:v>24480</c:v>
                </c:pt>
                <c:pt idx="2449">
                  <c:v>24490</c:v>
                </c:pt>
                <c:pt idx="2450">
                  <c:v>24500</c:v>
                </c:pt>
                <c:pt idx="2451">
                  <c:v>24510</c:v>
                </c:pt>
                <c:pt idx="2452">
                  <c:v>24520</c:v>
                </c:pt>
                <c:pt idx="2453">
                  <c:v>24530</c:v>
                </c:pt>
                <c:pt idx="2454">
                  <c:v>24540</c:v>
                </c:pt>
                <c:pt idx="2455">
                  <c:v>24550</c:v>
                </c:pt>
                <c:pt idx="2456">
                  <c:v>24560</c:v>
                </c:pt>
                <c:pt idx="2457">
                  <c:v>24570</c:v>
                </c:pt>
                <c:pt idx="2458">
                  <c:v>24580</c:v>
                </c:pt>
                <c:pt idx="2459">
                  <c:v>24590</c:v>
                </c:pt>
                <c:pt idx="2460">
                  <c:v>24600</c:v>
                </c:pt>
                <c:pt idx="2461">
                  <c:v>24610</c:v>
                </c:pt>
                <c:pt idx="2462">
                  <c:v>24620</c:v>
                </c:pt>
                <c:pt idx="2463">
                  <c:v>24630</c:v>
                </c:pt>
                <c:pt idx="2464">
                  <c:v>24640</c:v>
                </c:pt>
                <c:pt idx="2465">
                  <c:v>24650</c:v>
                </c:pt>
                <c:pt idx="2466">
                  <c:v>24660</c:v>
                </c:pt>
                <c:pt idx="2467">
                  <c:v>24670</c:v>
                </c:pt>
                <c:pt idx="2468">
                  <c:v>24680</c:v>
                </c:pt>
                <c:pt idx="2469">
                  <c:v>24690</c:v>
                </c:pt>
                <c:pt idx="2470">
                  <c:v>24700</c:v>
                </c:pt>
                <c:pt idx="2471">
                  <c:v>24710</c:v>
                </c:pt>
                <c:pt idx="2472">
                  <c:v>24720</c:v>
                </c:pt>
                <c:pt idx="2473">
                  <c:v>24730</c:v>
                </c:pt>
                <c:pt idx="2474">
                  <c:v>24740</c:v>
                </c:pt>
                <c:pt idx="2475">
                  <c:v>24750</c:v>
                </c:pt>
                <c:pt idx="2476">
                  <c:v>24760</c:v>
                </c:pt>
                <c:pt idx="2477">
                  <c:v>24770</c:v>
                </c:pt>
                <c:pt idx="2478">
                  <c:v>24780</c:v>
                </c:pt>
                <c:pt idx="2479">
                  <c:v>24790</c:v>
                </c:pt>
                <c:pt idx="2480">
                  <c:v>24800</c:v>
                </c:pt>
                <c:pt idx="2481">
                  <c:v>24810</c:v>
                </c:pt>
                <c:pt idx="2482">
                  <c:v>24820</c:v>
                </c:pt>
                <c:pt idx="2483">
                  <c:v>24830</c:v>
                </c:pt>
                <c:pt idx="2484">
                  <c:v>24840</c:v>
                </c:pt>
                <c:pt idx="2485">
                  <c:v>24850</c:v>
                </c:pt>
                <c:pt idx="2486">
                  <c:v>24860</c:v>
                </c:pt>
                <c:pt idx="2487">
                  <c:v>24870</c:v>
                </c:pt>
                <c:pt idx="2488">
                  <c:v>24880</c:v>
                </c:pt>
                <c:pt idx="2489">
                  <c:v>24890</c:v>
                </c:pt>
                <c:pt idx="2490">
                  <c:v>24900</c:v>
                </c:pt>
                <c:pt idx="2491">
                  <c:v>24910</c:v>
                </c:pt>
                <c:pt idx="2492">
                  <c:v>24920</c:v>
                </c:pt>
                <c:pt idx="2493">
                  <c:v>24930</c:v>
                </c:pt>
                <c:pt idx="2494">
                  <c:v>24940</c:v>
                </c:pt>
                <c:pt idx="2495">
                  <c:v>24950</c:v>
                </c:pt>
                <c:pt idx="2496">
                  <c:v>24960</c:v>
                </c:pt>
                <c:pt idx="2497">
                  <c:v>24970</c:v>
                </c:pt>
                <c:pt idx="2498">
                  <c:v>24980</c:v>
                </c:pt>
                <c:pt idx="2499">
                  <c:v>24990</c:v>
                </c:pt>
                <c:pt idx="2500">
                  <c:v>25000</c:v>
                </c:pt>
                <c:pt idx="2501">
                  <c:v>25010</c:v>
                </c:pt>
                <c:pt idx="2502">
                  <c:v>25020</c:v>
                </c:pt>
                <c:pt idx="2503">
                  <c:v>25030</c:v>
                </c:pt>
                <c:pt idx="2504">
                  <c:v>25040</c:v>
                </c:pt>
                <c:pt idx="2505">
                  <c:v>25050</c:v>
                </c:pt>
                <c:pt idx="2506">
                  <c:v>25060</c:v>
                </c:pt>
                <c:pt idx="2507">
                  <c:v>25070</c:v>
                </c:pt>
                <c:pt idx="2508">
                  <c:v>25080</c:v>
                </c:pt>
                <c:pt idx="2509">
                  <c:v>25090</c:v>
                </c:pt>
                <c:pt idx="2510">
                  <c:v>25100</c:v>
                </c:pt>
                <c:pt idx="2511">
                  <c:v>25110</c:v>
                </c:pt>
                <c:pt idx="2512">
                  <c:v>25120</c:v>
                </c:pt>
                <c:pt idx="2513">
                  <c:v>25130</c:v>
                </c:pt>
                <c:pt idx="2514">
                  <c:v>25140</c:v>
                </c:pt>
                <c:pt idx="2515">
                  <c:v>25150</c:v>
                </c:pt>
                <c:pt idx="2516">
                  <c:v>25160</c:v>
                </c:pt>
                <c:pt idx="2517">
                  <c:v>25170</c:v>
                </c:pt>
                <c:pt idx="2518">
                  <c:v>25180</c:v>
                </c:pt>
                <c:pt idx="2519">
                  <c:v>25190</c:v>
                </c:pt>
                <c:pt idx="2520">
                  <c:v>25200</c:v>
                </c:pt>
                <c:pt idx="2521">
                  <c:v>25210</c:v>
                </c:pt>
                <c:pt idx="2522">
                  <c:v>25220</c:v>
                </c:pt>
                <c:pt idx="2523">
                  <c:v>25230</c:v>
                </c:pt>
                <c:pt idx="2524">
                  <c:v>25240</c:v>
                </c:pt>
                <c:pt idx="2525">
                  <c:v>25250</c:v>
                </c:pt>
                <c:pt idx="2526">
                  <c:v>25260</c:v>
                </c:pt>
                <c:pt idx="2527">
                  <c:v>25270</c:v>
                </c:pt>
                <c:pt idx="2528">
                  <c:v>25280</c:v>
                </c:pt>
                <c:pt idx="2529">
                  <c:v>25290</c:v>
                </c:pt>
                <c:pt idx="2530">
                  <c:v>25300</c:v>
                </c:pt>
                <c:pt idx="2531">
                  <c:v>25310</c:v>
                </c:pt>
                <c:pt idx="2532">
                  <c:v>25320</c:v>
                </c:pt>
                <c:pt idx="2533">
                  <c:v>25330</c:v>
                </c:pt>
                <c:pt idx="2534">
                  <c:v>25340</c:v>
                </c:pt>
                <c:pt idx="2535">
                  <c:v>25350</c:v>
                </c:pt>
                <c:pt idx="2536">
                  <c:v>25360</c:v>
                </c:pt>
                <c:pt idx="2537">
                  <c:v>25370</c:v>
                </c:pt>
                <c:pt idx="2538">
                  <c:v>25380</c:v>
                </c:pt>
                <c:pt idx="2539">
                  <c:v>25390</c:v>
                </c:pt>
                <c:pt idx="2540">
                  <c:v>25400</c:v>
                </c:pt>
                <c:pt idx="2541">
                  <c:v>25410</c:v>
                </c:pt>
                <c:pt idx="2542">
                  <c:v>25420</c:v>
                </c:pt>
                <c:pt idx="2543">
                  <c:v>25430</c:v>
                </c:pt>
                <c:pt idx="2544">
                  <c:v>25440</c:v>
                </c:pt>
                <c:pt idx="2545">
                  <c:v>25450</c:v>
                </c:pt>
                <c:pt idx="2546">
                  <c:v>25460</c:v>
                </c:pt>
                <c:pt idx="2547">
                  <c:v>25470</c:v>
                </c:pt>
                <c:pt idx="2548">
                  <c:v>25480</c:v>
                </c:pt>
                <c:pt idx="2549">
                  <c:v>25490</c:v>
                </c:pt>
                <c:pt idx="2550">
                  <c:v>25500</c:v>
                </c:pt>
                <c:pt idx="2551">
                  <c:v>25510</c:v>
                </c:pt>
                <c:pt idx="2552">
                  <c:v>25520</c:v>
                </c:pt>
                <c:pt idx="2553">
                  <c:v>25530</c:v>
                </c:pt>
                <c:pt idx="2554">
                  <c:v>25540</c:v>
                </c:pt>
                <c:pt idx="2555">
                  <c:v>25550</c:v>
                </c:pt>
                <c:pt idx="2556">
                  <c:v>25560</c:v>
                </c:pt>
                <c:pt idx="2557">
                  <c:v>25570</c:v>
                </c:pt>
                <c:pt idx="2558">
                  <c:v>25580</c:v>
                </c:pt>
                <c:pt idx="2559">
                  <c:v>25590</c:v>
                </c:pt>
                <c:pt idx="2560">
                  <c:v>25600</c:v>
                </c:pt>
                <c:pt idx="2561">
                  <c:v>25610</c:v>
                </c:pt>
                <c:pt idx="2562">
                  <c:v>25620</c:v>
                </c:pt>
                <c:pt idx="2563">
                  <c:v>25630</c:v>
                </c:pt>
                <c:pt idx="2564">
                  <c:v>25640</c:v>
                </c:pt>
                <c:pt idx="2565">
                  <c:v>25650</c:v>
                </c:pt>
                <c:pt idx="2566">
                  <c:v>25660</c:v>
                </c:pt>
                <c:pt idx="2567">
                  <c:v>25670</c:v>
                </c:pt>
                <c:pt idx="2568">
                  <c:v>25680</c:v>
                </c:pt>
                <c:pt idx="2569">
                  <c:v>25690</c:v>
                </c:pt>
                <c:pt idx="2570">
                  <c:v>25700</c:v>
                </c:pt>
                <c:pt idx="2571">
                  <c:v>25710</c:v>
                </c:pt>
                <c:pt idx="2572">
                  <c:v>25720</c:v>
                </c:pt>
                <c:pt idx="2573">
                  <c:v>25730</c:v>
                </c:pt>
                <c:pt idx="2574">
                  <c:v>25740</c:v>
                </c:pt>
                <c:pt idx="2575">
                  <c:v>25750</c:v>
                </c:pt>
                <c:pt idx="2576">
                  <c:v>25760</c:v>
                </c:pt>
                <c:pt idx="2577">
                  <c:v>25770</c:v>
                </c:pt>
                <c:pt idx="2578">
                  <c:v>25780</c:v>
                </c:pt>
                <c:pt idx="2579">
                  <c:v>25790</c:v>
                </c:pt>
                <c:pt idx="2580">
                  <c:v>25800</c:v>
                </c:pt>
                <c:pt idx="2581">
                  <c:v>25810</c:v>
                </c:pt>
                <c:pt idx="2582">
                  <c:v>25820</c:v>
                </c:pt>
                <c:pt idx="2583">
                  <c:v>25830</c:v>
                </c:pt>
                <c:pt idx="2584">
                  <c:v>25840</c:v>
                </c:pt>
                <c:pt idx="2585">
                  <c:v>25850</c:v>
                </c:pt>
                <c:pt idx="2586">
                  <c:v>25860</c:v>
                </c:pt>
                <c:pt idx="2587">
                  <c:v>25870</c:v>
                </c:pt>
                <c:pt idx="2588">
                  <c:v>25880</c:v>
                </c:pt>
                <c:pt idx="2589">
                  <c:v>25890</c:v>
                </c:pt>
                <c:pt idx="2590">
                  <c:v>25900</c:v>
                </c:pt>
                <c:pt idx="2591">
                  <c:v>25910</c:v>
                </c:pt>
                <c:pt idx="2592">
                  <c:v>25920</c:v>
                </c:pt>
                <c:pt idx="2593">
                  <c:v>25930</c:v>
                </c:pt>
                <c:pt idx="2594">
                  <c:v>25940</c:v>
                </c:pt>
                <c:pt idx="2595">
                  <c:v>25950</c:v>
                </c:pt>
                <c:pt idx="2596">
                  <c:v>25960</c:v>
                </c:pt>
                <c:pt idx="2597">
                  <c:v>25970</c:v>
                </c:pt>
                <c:pt idx="2598">
                  <c:v>25980</c:v>
                </c:pt>
                <c:pt idx="2599">
                  <c:v>25990</c:v>
                </c:pt>
                <c:pt idx="2600">
                  <c:v>26000</c:v>
                </c:pt>
                <c:pt idx="2601">
                  <c:v>26010</c:v>
                </c:pt>
                <c:pt idx="2602">
                  <c:v>26020</c:v>
                </c:pt>
                <c:pt idx="2603">
                  <c:v>26030</c:v>
                </c:pt>
                <c:pt idx="2604">
                  <c:v>26040</c:v>
                </c:pt>
                <c:pt idx="2605">
                  <c:v>26050</c:v>
                </c:pt>
                <c:pt idx="2606">
                  <c:v>26060</c:v>
                </c:pt>
                <c:pt idx="2607">
                  <c:v>26070</c:v>
                </c:pt>
                <c:pt idx="2608">
                  <c:v>26080</c:v>
                </c:pt>
                <c:pt idx="2609">
                  <c:v>26090</c:v>
                </c:pt>
                <c:pt idx="2610">
                  <c:v>26100</c:v>
                </c:pt>
                <c:pt idx="2611">
                  <c:v>26110</c:v>
                </c:pt>
                <c:pt idx="2612">
                  <c:v>26120</c:v>
                </c:pt>
                <c:pt idx="2613">
                  <c:v>26130</c:v>
                </c:pt>
                <c:pt idx="2614">
                  <c:v>26140</c:v>
                </c:pt>
                <c:pt idx="2615">
                  <c:v>26150</c:v>
                </c:pt>
                <c:pt idx="2616">
                  <c:v>26160</c:v>
                </c:pt>
                <c:pt idx="2617">
                  <c:v>26170</c:v>
                </c:pt>
                <c:pt idx="2618">
                  <c:v>26180</c:v>
                </c:pt>
                <c:pt idx="2619">
                  <c:v>26190</c:v>
                </c:pt>
                <c:pt idx="2620">
                  <c:v>26200</c:v>
                </c:pt>
                <c:pt idx="2621">
                  <c:v>26210</c:v>
                </c:pt>
                <c:pt idx="2622">
                  <c:v>26220</c:v>
                </c:pt>
                <c:pt idx="2623">
                  <c:v>26230</c:v>
                </c:pt>
                <c:pt idx="2624">
                  <c:v>26240</c:v>
                </c:pt>
                <c:pt idx="2625">
                  <c:v>26250</c:v>
                </c:pt>
                <c:pt idx="2626">
                  <c:v>26260</c:v>
                </c:pt>
                <c:pt idx="2627">
                  <c:v>26270</c:v>
                </c:pt>
                <c:pt idx="2628">
                  <c:v>26280</c:v>
                </c:pt>
                <c:pt idx="2629">
                  <c:v>26290</c:v>
                </c:pt>
                <c:pt idx="2630">
                  <c:v>26300</c:v>
                </c:pt>
                <c:pt idx="2631">
                  <c:v>26310</c:v>
                </c:pt>
                <c:pt idx="2632">
                  <c:v>26320</c:v>
                </c:pt>
                <c:pt idx="2633">
                  <c:v>26330</c:v>
                </c:pt>
                <c:pt idx="2634">
                  <c:v>26340</c:v>
                </c:pt>
                <c:pt idx="2635">
                  <c:v>26350</c:v>
                </c:pt>
                <c:pt idx="2636">
                  <c:v>26360</c:v>
                </c:pt>
                <c:pt idx="2637">
                  <c:v>26370</c:v>
                </c:pt>
                <c:pt idx="2638">
                  <c:v>26380</c:v>
                </c:pt>
                <c:pt idx="2639">
                  <c:v>26390</c:v>
                </c:pt>
                <c:pt idx="2640">
                  <c:v>26400</c:v>
                </c:pt>
                <c:pt idx="2641">
                  <c:v>26410</c:v>
                </c:pt>
                <c:pt idx="2642">
                  <c:v>26420</c:v>
                </c:pt>
                <c:pt idx="2643">
                  <c:v>26430</c:v>
                </c:pt>
                <c:pt idx="2644">
                  <c:v>26440</c:v>
                </c:pt>
                <c:pt idx="2645">
                  <c:v>26450</c:v>
                </c:pt>
                <c:pt idx="2646">
                  <c:v>26460</c:v>
                </c:pt>
                <c:pt idx="2647">
                  <c:v>26470</c:v>
                </c:pt>
                <c:pt idx="2648">
                  <c:v>26480</c:v>
                </c:pt>
                <c:pt idx="2649">
                  <c:v>26490</c:v>
                </c:pt>
                <c:pt idx="2650">
                  <c:v>26500</c:v>
                </c:pt>
                <c:pt idx="2651">
                  <c:v>26510</c:v>
                </c:pt>
                <c:pt idx="2652">
                  <c:v>26520</c:v>
                </c:pt>
                <c:pt idx="2653">
                  <c:v>26530</c:v>
                </c:pt>
                <c:pt idx="2654">
                  <c:v>26540</c:v>
                </c:pt>
                <c:pt idx="2655">
                  <c:v>26550</c:v>
                </c:pt>
                <c:pt idx="2656">
                  <c:v>26560</c:v>
                </c:pt>
                <c:pt idx="2657">
                  <c:v>26570</c:v>
                </c:pt>
                <c:pt idx="2658">
                  <c:v>26580</c:v>
                </c:pt>
                <c:pt idx="2659">
                  <c:v>26590</c:v>
                </c:pt>
                <c:pt idx="2660">
                  <c:v>26600</c:v>
                </c:pt>
                <c:pt idx="2661">
                  <c:v>26610</c:v>
                </c:pt>
                <c:pt idx="2662">
                  <c:v>26620</c:v>
                </c:pt>
                <c:pt idx="2663">
                  <c:v>26630</c:v>
                </c:pt>
                <c:pt idx="2664">
                  <c:v>26640</c:v>
                </c:pt>
                <c:pt idx="2665">
                  <c:v>26650</c:v>
                </c:pt>
                <c:pt idx="2666">
                  <c:v>26660</c:v>
                </c:pt>
                <c:pt idx="2667">
                  <c:v>26670</c:v>
                </c:pt>
                <c:pt idx="2668">
                  <c:v>26680</c:v>
                </c:pt>
                <c:pt idx="2669">
                  <c:v>26690</c:v>
                </c:pt>
                <c:pt idx="2670">
                  <c:v>26700</c:v>
                </c:pt>
                <c:pt idx="2671">
                  <c:v>26710</c:v>
                </c:pt>
                <c:pt idx="2672">
                  <c:v>26720</c:v>
                </c:pt>
                <c:pt idx="2673">
                  <c:v>26730</c:v>
                </c:pt>
                <c:pt idx="2674">
                  <c:v>26740</c:v>
                </c:pt>
                <c:pt idx="2675">
                  <c:v>26750</c:v>
                </c:pt>
                <c:pt idx="2676">
                  <c:v>26760</c:v>
                </c:pt>
                <c:pt idx="2677">
                  <c:v>26770</c:v>
                </c:pt>
                <c:pt idx="2678">
                  <c:v>26780</c:v>
                </c:pt>
                <c:pt idx="2679">
                  <c:v>26790</c:v>
                </c:pt>
                <c:pt idx="2680">
                  <c:v>26800</c:v>
                </c:pt>
                <c:pt idx="2681">
                  <c:v>26810</c:v>
                </c:pt>
                <c:pt idx="2682">
                  <c:v>26820</c:v>
                </c:pt>
                <c:pt idx="2683">
                  <c:v>26830</c:v>
                </c:pt>
                <c:pt idx="2684">
                  <c:v>26840</c:v>
                </c:pt>
                <c:pt idx="2685">
                  <c:v>26850</c:v>
                </c:pt>
                <c:pt idx="2686">
                  <c:v>26860</c:v>
                </c:pt>
                <c:pt idx="2687">
                  <c:v>26870</c:v>
                </c:pt>
                <c:pt idx="2688">
                  <c:v>26880</c:v>
                </c:pt>
                <c:pt idx="2689">
                  <c:v>26890</c:v>
                </c:pt>
                <c:pt idx="2690">
                  <c:v>26900</c:v>
                </c:pt>
                <c:pt idx="2691">
                  <c:v>26910</c:v>
                </c:pt>
                <c:pt idx="2692">
                  <c:v>26920</c:v>
                </c:pt>
                <c:pt idx="2693">
                  <c:v>26930</c:v>
                </c:pt>
                <c:pt idx="2694">
                  <c:v>26940</c:v>
                </c:pt>
                <c:pt idx="2695">
                  <c:v>26950</c:v>
                </c:pt>
                <c:pt idx="2696">
                  <c:v>26960</c:v>
                </c:pt>
                <c:pt idx="2697">
                  <c:v>26970</c:v>
                </c:pt>
                <c:pt idx="2698">
                  <c:v>26980</c:v>
                </c:pt>
                <c:pt idx="2699">
                  <c:v>26990</c:v>
                </c:pt>
                <c:pt idx="2700">
                  <c:v>27000</c:v>
                </c:pt>
                <c:pt idx="2701">
                  <c:v>27010</c:v>
                </c:pt>
                <c:pt idx="2702">
                  <c:v>27020</c:v>
                </c:pt>
                <c:pt idx="2703">
                  <c:v>27030</c:v>
                </c:pt>
                <c:pt idx="2704">
                  <c:v>27040</c:v>
                </c:pt>
                <c:pt idx="2705">
                  <c:v>27050</c:v>
                </c:pt>
                <c:pt idx="2706">
                  <c:v>27060</c:v>
                </c:pt>
                <c:pt idx="2707">
                  <c:v>27070</c:v>
                </c:pt>
                <c:pt idx="2708">
                  <c:v>27080</c:v>
                </c:pt>
                <c:pt idx="2709">
                  <c:v>27090</c:v>
                </c:pt>
                <c:pt idx="2710">
                  <c:v>27100</c:v>
                </c:pt>
                <c:pt idx="2711">
                  <c:v>27110</c:v>
                </c:pt>
                <c:pt idx="2712">
                  <c:v>27120</c:v>
                </c:pt>
                <c:pt idx="2713">
                  <c:v>27130</c:v>
                </c:pt>
                <c:pt idx="2714">
                  <c:v>27140</c:v>
                </c:pt>
                <c:pt idx="2715">
                  <c:v>27150</c:v>
                </c:pt>
                <c:pt idx="2716">
                  <c:v>27160</c:v>
                </c:pt>
                <c:pt idx="2717">
                  <c:v>27170</c:v>
                </c:pt>
                <c:pt idx="2718">
                  <c:v>27180</c:v>
                </c:pt>
                <c:pt idx="2719">
                  <c:v>27190</c:v>
                </c:pt>
                <c:pt idx="2720">
                  <c:v>27200</c:v>
                </c:pt>
                <c:pt idx="2721">
                  <c:v>27210</c:v>
                </c:pt>
                <c:pt idx="2722">
                  <c:v>27220</c:v>
                </c:pt>
                <c:pt idx="2723">
                  <c:v>27230</c:v>
                </c:pt>
                <c:pt idx="2724">
                  <c:v>27240</c:v>
                </c:pt>
                <c:pt idx="2725">
                  <c:v>27250</c:v>
                </c:pt>
                <c:pt idx="2726">
                  <c:v>27260</c:v>
                </c:pt>
                <c:pt idx="2727">
                  <c:v>27270</c:v>
                </c:pt>
                <c:pt idx="2728">
                  <c:v>27280</c:v>
                </c:pt>
                <c:pt idx="2729">
                  <c:v>27290</c:v>
                </c:pt>
                <c:pt idx="2730">
                  <c:v>27300</c:v>
                </c:pt>
                <c:pt idx="2731">
                  <c:v>27310</c:v>
                </c:pt>
                <c:pt idx="2732">
                  <c:v>27320</c:v>
                </c:pt>
                <c:pt idx="2733">
                  <c:v>27330</c:v>
                </c:pt>
                <c:pt idx="2734">
                  <c:v>27340</c:v>
                </c:pt>
                <c:pt idx="2735">
                  <c:v>27350</c:v>
                </c:pt>
                <c:pt idx="2736">
                  <c:v>27360</c:v>
                </c:pt>
                <c:pt idx="2737">
                  <c:v>27370</c:v>
                </c:pt>
                <c:pt idx="2738">
                  <c:v>27380</c:v>
                </c:pt>
                <c:pt idx="2739">
                  <c:v>27390</c:v>
                </c:pt>
                <c:pt idx="2740">
                  <c:v>27400</c:v>
                </c:pt>
                <c:pt idx="2741">
                  <c:v>27410</c:v>
                </c:pt>
                <c:pt idx="2742">
                  <c:v>27420</c:v>
                </c:pt>
                <c:pt idx="2743">
                  <c:v>27430</c:v>
                </c:pt>
                <c:pt idx="2744">
                  <c:v>27440</c:v>
                </c:pt>
                <c:pt idx="2745">
                  <c:v>27450</c:v>
                </c:pt>
                <c:pt idx="2746">
                  <c:v>27460</c:v>
                </c:pt>
                <c:pt idx="2747">
                  <c:v>27470</c:v>
                </c:pt>
                <c:pt idx="2748">
                  <c:v>27480</c:v>
                </c:pt>
                <c:pt idx="2749">
                  <c:v>27490</c:v>
                </c:pt>
                <c:pt idx="2750">
                  <c:v>27500</c:v>
                </c:pt>
                <c:pt idx="2751">
                  <c:v>27510</c:v>
                </c:pt>
                <c:pt idx="2752">
                  <c:v>27520</c:v>
                </c:pt>
                <c:pt idx="2753">
                  <c:v>27530</c:v>
                </c:pt>
                <c:pt idx="2754">
                  <c:v>27540</c:v>
                </c:pt>
                <c:pt idx="2755">
                  <c:v>27550</c:v>
                </c:pt>
                <c:pt idx="2756">
                  <c:v>27560</c:v>
                </c:pt>
                <c:pt idx="2757">
                  <c:v>27570</c:v>
                </c:pt>
                <c:pt idx="2758">
                  <c:v>27580</c:v>
                </c:pt>
                <c:pt idx="2759">
                  <c:v>27590</c:v>
                </c:pt>
                <c:pt idx="2760">
                  <c:v>27600</c:v>
                </c:pt>
                <c:pt idx="2761">
                  <c:v>27610</c:v>
                </c:pt>
                <c:pt idx="2762">
                  <c:v>27620</c:v>
                </c:pt>
                <c:pt idx="2763">
                  <c:v>27630</c:v>
                </c:pt>
                <c:pt idx="2764">
                  <c:v>27640</c:v>
                </c:pt>
                <c:pt idx="2765">
                  <c:v>27650</c:v>
                </c:pt>
                <c:pt idx="2766">
                  <c:v>27660</c:v>
                </c:pt>
                <c:pt idx="2767">
                  <c:v>27670</c:v>
                </c:pt>
                <c:pt idx="2768">
                  <c:v>27680</c:v>
                </c:pt>
                <c:pt idx="2769">
                  <c:v>27690</c:v>
                </c:pt>
                <c:pt idx="2770">
                  <c:v>27700</c:v>
                </c:pt>
                <c:pt idx="2771">
                  <c:v>27710</c:v>
                </c:pt>
                <c:pt idx="2772">
                  <c:v>27720</c:v>
                </c:pt>
                <c:pt idx="2773">
                  <c:v>27730</c:v>
                </c:pt>
                <c:pt idx="2774">
                  <c:v>27740</c:v>
                </c:pt>
                <c:pt idx="2775">
                  <c:v>27750</c:v>
                </c:pt>
                <c:pt idx="2776">
                  <c:v>27760</c:v>
                </c:pt>
                <c:pt idx="2777">
                  <c:v>27770</c:v>
                </c:pt>
                <c:pt idx="2778">
                  <c:v>27780</c:v>
                </c:pt>
                <c:pt idx="2779">
                  <c:v>27790</c:v>
                </c:pt>
                <c:pt idx="2780">
                  <c:v>27800</c:v>
                </c:pt>
                <c:pt idx="2781">
                  <c:v>27810</c:v>
                </c:pt>
                <c:pt idx="2782">
                  <c:v>27820</c:v>
                </c:pt>
                <c:pt idx="2783">
                  <c:v>27830</c:v>
                </c:pt>
                <c:pt idx="2784">
                  <c:v>27840</c:v>
                </c:pt>
                <c:pt idx="2785">
                  <c:v>27850</c:v>
                </c:pt>
                <c:pt idx="2786">
                  <c:v>27860</c:v>
                </c:pt>
                <c:pt idx="2787">
                  <c:v>27870</c:v>
                </c:pt>
                <c:pt idx="2788">
                  <c:v>27880</c:v>
                </c:pt>
                <c:pt idx="2789">
                  <c:v>27890</c:v>
                </c:pt>
                <c:pt idx="2790">
                  <c:v>27900</c:v>
                </c:pt>
                <c:pt idx="2791">
                  <c:v>27910</c:v>
                </c:pt>
                <c:pt idx="2792">
                  <c:v>27920</c:v>
                </c:pt>
                <c:pt idx="2793">
                  <c:v>27930</c:v>
                </c:pt>
                <c:pt idx="2794">
                  <c:v>27940</c:v>
                </c:pt>
                <c:pt idx="2795">
                  <c:v>27950</c:v>
                </c:pt>
                <c:pt idx="2796">
                  <c:v>27960</c:v>
                </c:pt>
                <c:pt idx="2797">
                  <c:v>27970</c:v>
                </c:pt>
                <c:pt idx="2798">
                  <c:v>27980</c:v>
                </c:pt>
                <c:pt idx="2799">
                  <c:v>27990</c:v>
                </c:pt>
                <c:pt idx="2800">
                  <c:v>28000</c:v>
                </c:pt>
                <c:pt idx="2801">
                  <c:v>28010</c:v>
                </c:pt>
                <c:pt idx="2802">
                  <c:v>28020</c:v>
                </c:pt>
                <c:pt idx="2803">
                  <c:v>28030</c:v>
                </c:pt>
                <c:pt idx="2804">
                  <c:v>28040</c:v>
                </c:pt>
                <c:pt idx="2805">
                  <c:v>28050</c:v>
                </c:pt>
                <c:pt idx="2806">
                  <c:v>28060</c:v>
                </c:pt>
                <c:pt idx="2807">
                  <c:v>28070</c:v>
                </c:pt>
                <c:pt idx="2808">
                  <c:v>28080</c:v>
                </c:pt>
                <c:pt idx="2809">
                  <c:v>28090</c:v>
                </c:pt>
                <c:pt idx="2810">
                  <c:v>28100</c:v>
                </c:pt>
                <c:pt idx="2811">
                  <c:v>28110</c:v>
                </c:pt>
                <c:pt idx="2812">
                  <c:v>28120</c:v>
                </c:pt>
                <c:pt idx="2813">
                  <c:v>28130</c:v>
                </c:pt>
                <c:pt idx="2814">
                  <c:v>28140</c:v>
                </c:pt>
                <c:pt idx="2815">
                  <c:v>28150</c:v>
                </c:pt>
                <c:pt idx="2816">
                  <c:v>28160</c:v>
                </c:pt>
                <c:pt idx="2817">
                  <c:v>28170</c:v>
                </c:pt>
                <c:pt idx="2818">
                  <c:v>28180</c:v>
                </c:pt>
                <c:pt idx="2819">
                  <c:v>28190</c:v>
                </c:pt>
                <c:pt idx="2820">
                  <c:v>28200</c:v>
                </c:pt>
                <c:pt idx="2821">
                  <c:v>28210</c:v>
                </c:pt>
                <c:pt idx="2822">
                  <c:v>28220</c:v>
                </c:pt>
                <c:pt idx="2823">
                  <c:v>28230</c:v>
                </c:pt>
                <c:pt idx="2824">
                  <c:v>28240</c:v>
                </c:pt>
                <c:pt idx="2825">
                  <c:v>28250</c:v>
                </c:pt>
                <c:pt idx="2826">
                  <c:v>28260</c:v>
                </c:pt>
                <c:pt idx="2827">
                  <c:v>28270</c:v>
                </c:pt>
                <c:pt idx="2828">
                  <c:v>28280</c:v>
                </c:pt>
                <c:pt idx="2829">
                  <c:v>28290</c:v>
                </c:pt>
                <c:pt idx="2830">
                  <c:v>28300</c:v>
                </c:pt>
                <c:pt idx="2831">
                  <c:v>28310</c:v>
                </c:pt>
                <c:pt idx="2832">
                  <c:v>28320</c:v>
                </c:pt>
                <c:pt idx="2833">
                  <c:v>28330</c:v>
                </c:pt>
                <c:pt idx="2834">
                  <c:v>28340</c:v>
                </c:pt>
                <c:pt idx="2835">
                  <c:v>28350</c:v>
                </c:pt>
                <c:pt idx="2836">
                  <c:v>28360</c:v>
                </c:pt>
                <c:pt idx="2837">
                  <c:v>28370</c:v>
                </c:pt>
                <c:pt idx="2838">
                  <c:v>28380</c:v>
                </c:pt>
                <c:pt idx="2839">
                  <c:v>28390</c:v>
                </c:pt>
                <c:pt idx="2840">
                  <c:v>28400</c:v>
                </c:pt>
                <c:pt idx="2841">
                  <c:v>28410</c:v>
                </c:pt>
                <c:pt idx="2842">
                  <c:v>28420</c:v>
                </c:pt>
                <c:pt idx="2843">
                  <c:v>28430</c:v>
                </c:pt>
                <c:pt idx="2844">
                  <c:v>28440</c:v>
                </c:pt>
                <c:pt idx="2845">
                  <c:v>28450</c:v>
                </c:pt>
                <c:pt idx="2846">
                  <c:v>28460</c:v>
                </c:pt>
                <c:pt idx="2847">
                  <c:v>28470</c:v>
                </c:pt>
                <c:pt idx="2848">
                  <c:v>28480</c:v>
                </c:pt>
                <c:pt idx="2849">
                  <c:v>28490</c:v>
                </c:pt>
                <c:pt idx="2850">
                  <c:v>28500</c:v>
                </c:pt>
                <c:pt idx="2851">
                  <c:v>28510</c:v>
                </c:pt>
                <c:pt idx="2852">
                  <c:v>28520</c:v>
                </c:pt>
                <c:pt idx="2853">
                  <c:v>28530</c:v>
                </c:pt>
                <c:pt idx="2854">
                  <c:v>28540</c:v>
                </c:pt>
                <c:pt idx="2855">
                  <c:v>28550</c:v>
                </c:pt>
                <c:pt idx="2856">
                  <c:v>28560</c:v>
                </c:pt>
                <c:pt idx="2857">
                  <c:v>28570</c:v>
                </c:pt>
                <c:pt idx="2858">
                  <c:v>28580</c:v>
                </c:pt>
                <c:pt idx="2859">
                  <c:v>28590</c:v>
                </c:pt>
                <c:pt idx="2860">
                  <c:v>28600</c:v>
                </c:pt>
                <c:pt idx="2861">
                  <c:v>28610</c:v>
                </c:pt>
                <c:pt idx="2862">
                  <c:v>28620</c:v>
                </c:pt>
                <c:pt idx="2863">
                  <c:v>28630</c:v>
                </c:pt>
                <c:pt idx="2864">
                  <c:v>28640</c:v>
                </c:pt>
                <c:pt idx="2865">
                  <c:v>28650</c:v>
                </c:pt>
                <c:pt idx="2866">
                  <c:v>28660</c:v>
                </c:pt>
                <c:pt idx="2867">
                  <c:v>28670</c:v>
                </c:pt>
                <c:pt idx="2868">
                  <c:v>28680</c:v>
                </c:pt>
                <c:pt idx="2869">
                  <c:v>28690</c:v>
                </c:pt>
                <c:pt idx="2870">
                  <c:v>28700</c:v>
                </c:pt>
                <c:pt idx="2871">
                  <c:v>28710</c:v>
                </c:pt>
                <c:pt idx="2872">
                  <c:v>28720</c:v>
                </c:pt>
                <c:pt idx="2873">
                  <c:v>28730</c:v>
                </c:pt>
                <c:pt idx="2874">
                  <c:v>28740</c:v>
                </c:pt>
                <c:pt idx="2875">
                  <c:v>28750</c:v>
                </c:pt>
                <c:pt idx="2876">
                  <c:v>28760</c:v>
                </c:pt>
                <c:pt idx="2877">
                  <c:v>28770</c:v>
                </c:pt>
                <c:pt idx="2878">
                  <c:v>28780</c:v>
                </c:pt>
                <c:pt idx="2879">
                  <c:v>28790</c:v>
                </c:pt>
                <c:pt idx="2880">
                  <c:v>28800</c:v>
                </c:pt>
                <c:pt idx="2881">
                  <c:v>28810</c:v>
                </c:pt>
                <c:pt idx="2882">
                  <c:v>28820</c:v>
                </c:pt>
                <c:pt idx="2883">
                  <c:v>28830</c:v>
                </c:pt>
                <c:pt idx="2884">
                  <c:v>28840</c:v>
                </c:pt>
                <c:pt idx="2885">
                  <c:v>28850</c:v>
                </c:pt>
                <c:pt idx="2886">
                  <c:v>28860</c:v>
                </c:pt>
                <c:pt idx="2887">
                  <c:v>28870</c:v>
                </c:pt>
                <c:pt idx="2888">
                  <c:v>28880</c:v>
                </c:pt>
                <c:pt idx="2889">
                  <c:v>28890</c:v>
                </c:pt>
                <c:pt idx="2890">
                  <c:v>28900</c:v>
                </c:pt>
                <c:pt idx="2891">
                  <c:v>28910</c:v>
                </c:pt>
                <c:pt idx="2892">
                  <c:v>28920</c:v>
                </c:pt>
                <c:pt idx="2893">
                  <c:v>28930</c:v>
                </c:pt>
                <c:pt idx="2894">
                  <c:v>28940</c:v>
                </c:pt>
                <c:pt idx="2895">
                  <c:v>28950</c:v>
                </c:pt>
                <c:pt idx="2896">
                  <c:v>28960</c:v>
                </c:pt>
                <c:pt idx="2897">
                  <c:v>28970</c:v>
                </c:pt>
                <c:pt idx="2898">
                  <c:v>28980</c:v>
                </c:pt>
                <c:pt idx="2899">
                  <c:v>28990</c:v>
                </c:pt>
                <c:pt idx="2900">
                  <c:v>29000</c:v>
                </c:pt>
                <c:pt idx="2901">
                  <c:v>29010</c:v>
                </c:pt>
                <c:pt idx="2902">
                  <c:v>29020</c:v>
                </c:pt>
                <c:pt idx="2903">
                  <c:v>29030</c:v>
                </c:pt>
                <c:pt idx="2904">
                  <c:v>29040</c:v>
                </c:pt>
                <c:pt idx="2905">
                  <c:v>29050</c:v>
                </c:pt>
                <c:pt idx="2906">
                  <c:v>29060</c:v>
                </c:pt>
                <c:pt idx="2907">
                  <c:v>29070</c:v>
                </c:pt>
                <c:pt idx="2908">
                  <c:v>29080</c:v>
                </c:pt>
                <c:pt idx="2909">
                  <c:v>29090</c:v>
                </c:pt>
                <c:pt idx="2910">
                  <c:v>29100</c:v>
                </c:pt>
                <c:pt idx="2911">
                  <c:v>29110</c:v>
                </c:pt>
                <c:pt idx="2912">
                  <c:v>29120</c:v>
                </c:pt>
                <c:pt idx="2913">
                  <c:v>29130</c:v>
                </c:pt>
                <c:pt idx="2914">
                  <c:v>29140</c:v>
                </c:pt>
                <c:pt idx="2915">
                  <c:v>29150</c:v>
                </c:pt>
                <c:pt idx="2916">
                  <c:v>29160</c:v>
                </c:pt>
                <c:pt idx="2917">
                  <c:v>29170</c:v>
                </c:pt>
                <c:pt idx="2918">
                  <c:v>29180</c:v>
                </c:pt>
                <c:pt idx="2919">
                  <c:v>29190</c:v>
                </c:pt>
                <c:pt idx="2920">
                  <c:v>29200</c:v>
                </c:pt>
                <c:pt idx="2921">
                  <c:v>29210</c:v>
                </c:pt>
                <c:pt idx="2922">
                  <c:v>29220</c:v>
                </c:pt>
                <c:pt idx="2923">
                  <c:v>29230</c:v>
                </c:pt>
                <c:pt idx="2924">
                  <c:v>29240</c:v>
                </c:pt>
                <c:pt idx="2925">
                  <c:v>29250</c:v>
                </c:pt>
                <c:pt idx="2926">
                  <c:v>29260</c:v>
                </c:pt>
                <c:pt idx="2927">
                  <c:v>29270</c:v>
                </c:pt>
                <c:pt idx="2928">
                  <c:v>29280</c:v>
                </c:pt>
                <c:pt idx="2929">
                  <c:v>29290</c:v>
                </c:pt>
                <c:pt idx="2930">
                  <c:v>29300</c:v>
                </c:pt>
                <c:pt idx="2931">
                  <c:v>29310</c:v>
                </c:pt>
                <c:pt idx="2932">
                  <c:v>29320</c:v>
                </c:pt>
                <c:pt idx="2933">
                  <c:v>29330</c:v>
                </c:pt>
                <c:pt idx="2934">
                  <c:v>29340</c:v>
                </c:pt>
                <c:pt idx="2935">
                  <c:v>29350</c:v>
                </c:pt>
                <c:pt idx="2936">
                  <c:v>29360</c:v>
                </c:pt>
                <c:pt idx="2937">
                  <c:v>29370</c:v>
                </c:pt>
                <c:pt idx="2938">
                  <c:v>29380</c:v>
                </c:pt>
                <c:pt idx="2939">
                  <c:v>29390</c:v>
                </c:pt>
                <c:pt idx="2940">
                  <c:v>29400</c:v>
                </c:pt>
                <c:pt idx="2941">
                  <c:v>29410</c:v>
                </c:pt>
                <c:pt idx="2942">
                  <c:v>29420</c:v>
                </c:pt>
                <c:pt idx="2943">
                  <c:v>29430</c:v>
                </c:pt>
                <c:pt idx="2944">
                  <c:v>29440</c:v>
                </c:pt>
                <c:pt idx="2945">
                  <c:v>29450</c:v>
                </c:pt>
                <c:pt idx="2946">
                  <c:v>29460</c:v>
                </c:pt>
                <c:pt idx="2947">
                  <c:v>29470</c:v>
                </c:pt>
                <c:pt idx="2948">
                  <c:v>29480</c:v>
                </c:pt>
                <c:pt idx="2949">
                  <c:v>29490</c:v>
                </c:pt>
                <c:pt idx="2950">
                  <c:v>29500</c:v>
                </c:pt>
                <c:pt idx="2951">
                  <c:v>29510</c:v>
                </c:pt>
                <c:pt idx="2952">
                  <c:v>29520</c:v>
                </c:pt>
                <c:pt idx="2953">
                  <c:v>29530</c:v>
                </c:pt>
                <c:pt idx="2954">
                  <c:v>29540</c:v>
                </c:pt>
                <c:pt idx="2955">
                  <c:v>29550</c:v>
                </c:pt>
                <c:pt idx="2956">
                  <c:v>29560</c:v>
                </c:pt>
                <c:pt idx="2957">
                  <c:v>29570</c:v>
                </c:pt>
                <c:pt idx="2958">
                  <c:v>29580</c:v>
                </c:pt>
                <c:pt idx="2959">
                  <c:v>29590</c:v>
                </c:pt>
                <c:pt idx="2960">
                  <c:v>29600</c:v>
                </c:pt>
                <c:pt idx="2961">
                  <c:v>29610</c:v>
                </c:pt>
                <c:pt idx="2962">
                  <c:v>29620</c:v>
                </c:pt>
                <c:pt idx="2963">
                  <c:v>29630</c:v>
                </c:pt>
                <c:pt idx="2964">
                  <c:v>29640</c:v>
                </c:pt>
                <c:pt idx="2965">
                  <c:v>29650</c:v>
                </c:pt>
                <c:pt idx="2966">
                  <c:v>29660</c:v>
                </c:pt>
                <c:pt idx="2967">
                  <c:v>29670</c:v>
                </c:pt>
                <c:pt idx="2968">
                  <c:v>29680</c:v>
                </c:pt>
                <c:pt idx="2969">
                  <c:v>29690</c:v>
                </c:pt>
                <c:pt idx="2970">
                  <c:v>29700</c:v>
                </c:pt>
                <c:pt idx="2971">
                  <c:v>29710</c:v>
                </c:pt>
                <c:pt idx="2972">
                  <c:v>29720</c:v>
                </c:pt>
                <c:pt idx="2973">
                  <c:v>29730</c:v>
                </c:pt>
                <c:pt idx="2974">
                  <c:v>29740</c:v>
                </c:pt>
                <c:pt idx="2975">
                  <c:v>29750</c:v>
                </c:pt>
                <c:pt idx="2976">
                  <c:v>29760</c:v>
                </c:pt>
                <c:pt idx="2977">
                  <c:v>29770</c:v>
                </c:pt>
                <c:pt idx="2978">
                  <c:v>29780</c:v>
                </c:pt>
                <c:pt idx="2979">
                  <c:v>29790</c:v>
                </c:pt>
                <c:pt idx="2980">
                  <c:v>29800</c:v>
                </c:pt>
                <c:pt idx="2981">
                  <c:v>29810</c:v>
                </c:pt>
                <c:pt idx="2982">
                  <c:v>29820</c:v>
                </c:pt>
                <c:pt idx="2983">
                  <c:v>29830</c:v>
                </c:pt>
                <c:pt idx="2984">
                  <c:v>29840</c:v>
                </c:pt>
                <c:pt idx="2985">
                  <c:v>29850</c:v>
                </c:pt>
                <c:pt idx="2986">
                  <c:v>29860</c:v>
                </c:pt>
                <c:pt idx="2987">
                  <c:v>29870</c:v>
                </c:pt>
                <c:pt idx="2988">
                  <c:v>29880</c:v>
                </c:pt>
                <c:pt idx="2989">
                  <c:v>29890</c:v>
                </c:pt>
                <c:pt idx="2990">
                  <c:v>29900</c:v>
                </c:pt>
                <c:pt idx="2991">
                  <c:v>29910</c:v>
                </c:pt>
                <c:pt idx="2992">
                  <c:v>29920</c:v>
                </c:pt>
                <c:pt idx="2993">
                  <c:v>29930</c:v>
                </c:pt>
                <c:pt idx="2994">
                  <c:v>29940</c:v>
                </c:pt>
                <c:pt idx="2995">
                  <c:v>29950</c:v>
                </c:pt>
                <c:pt idx="2996">
                  <c:v>29960</c:v>
                </c:pt>
                <c:pt idx="2997">
                  <c:v>29970</c:v>
                </c:pt>
                <c:pt idx="2998">
                  <c:v>29980</c:v>
                </c:pt>
                <c:pt idx="2999">
                  <c:v>29990</c:v>
                </c:pt>
                <c:pt idx="3000">
                  <c:v>30000</c:v>
                </c:pt>
                <c:pt idx="3001">
                  <c:v>30010</c:v>
                </c:pt>
                <c:pt idx="3002">
                  <c:v>30020</c:v>
                </c:pt>
                <c:pt idx="3003">
                  <c:v>30030</c:v>
                </c:pt>
                <c:pt idx="3004">
                  <c:v>30040</c:v>
                </c:pt>
                <c:pt idx="3005">
                  <c:v>30050</c:v>
                </c:pt>
                <c:pt idx="3006">
                  <c:v>30060</c:v>
                </c:pt>
                <c:pt idx="3007">
                  <c:v>30070</c:v>
                </c:pt>
                <c:pt idx="3008">
                  <c:v>30080</c:v>
                </c:pt>
                <c:pt idx="3009">
                  <c:v>30090</c:v>
                </c:pt>
                <c:pt idx="3010">
                  <c:v>30100</c:v>
                </c:pt>
                <c:pt idx="3011">
                  <c:v>30110</c:v>
                </c:pt>
                <c:pt idx="3012">
                  <c:v>30120</c:v>
                </c:pt>
                <c:pt idx="3013">
                  <c:v>30130</c:v>
                </c:pt>
                <c:pt idx="3014">
                  <c:v>30140</c:v>
                </c:pt>
                <c:pt idx="3015">
                  <c:v>30150</c:v>
                </c:pt>
                <c:pt idx="3016">
                  <c:v>30160</c:v>
                </c:pt>
                <c:pt idx="3017">
                  <c:v>30170</c:v>
                </c:pt>
                <c:pt idx="3018">
                  <c:v>30180</c:v>
                </c:pt>
                <c:pt idx="3019">
                  <c:v>30190</c:v>
                </c:pt>
                <c:pt idx="3020">
                  <c:v>30200</c:v>
                </c:pt>
                <c:pt idx="3021">
                  <c:v>30210</c:v>
                </c:pt>
                <c:pt idx="3022">
                  <c:v>30220</c:v>
                </c:pt>
                <c:pt idx="3023">
                  <c:v>30230</c:v>
                </c:pt>
                <c:pt idx="3024">
                  <c:v>30240</c:v>
                </c:pt>
                <c:pt idx="3025">
                  <c:v>30250</c:v>
                </c:pt>
                <c:pt idx="3026">
                  <c:v>30260</c:v>
                </c:pt>
                <c:pt idx="3027">
                  <c:v>30270</c:v>
                </c:pt>
                <c:pt idx="3028">
                  <c:v>30280</c:v>
                </c:pt>
                <c:pt idx="3029">
                  <c:v>30290</c:v>
                </c:pt>
                <c:pt idx="3030">
                  <c:v>30300</c:v>
                </c:pt>
                <c:pt idx="3031">
                  <c:v>30310</c:v>
                </c:pt>
                <c:pt idx="3032">
                  <c:v>30320</c:v>
                </c:pt>
                <c:pt idx="3033">
                  <c:v>30330</c:v>
                </c:pt>
                <c:pt idx="3034">
                  <c:v>30340</c:v>
                </c:pt>
                <c:pt idx="3035">
                  <c:v>30350</c:v>
                </c:pt>
                <c:pt idx="3036">
                  <c:v>30360</c:v>
                </c:pt>
                <c:pt idx="3037">
                  <c:v>30370</c:v>
                </c:pt>
                <c:pt idx="3038">
                  <c:v>30380</c:v>
                </c:pt>
                <c:pt idx="3039">
                  <c:v>30390</c:v>
                </c:pt>
                <c:pt idx="3040">
                  <c:v>30400</c:v>
                </c:pt>
                <c:pt idx="3041">
                  <c:v>30410</c:v>
                </c:pt>
                <c:pt idx="3042">
                  <c:v>30420</c:v>
                </c:pt>
                <c:pt idx="3043">
                  <c:v>30430</c:v>
                </c:pt>
                <c:pt idx="3044">
                  <c:v>30440</c:v>
                </c:pt>
                <c:pt idx="3045">
                  <c:v>30450</c:v>
                </c:pt>
                <c:pt idx="3046">
                  <c:v>30460</c:v>
                </c:pt>
                <c:pt idx="3047">
                  <c:v>30470</c:v>
                </c:pt>
                <c:pt idx="3048">
                  <c:v>30480</c:v>
                </c:pt>
                <c:pt idx="3049">
                  <c:v>30490</c:v>
                </c:pt>
                <c:pt idx="3050">
                  <c:v>30500</c:v>
                </c:pt>
                <c:pt idx="3051">
                  <c:v>30510</c:v>
                </c:pt>
                <c:pt idx="3052">
                  <c:v>30520</c:v>
                </c:pt>
                <c:pt idx="3053">
                  <c:v>30530</c:v>
                </c:pt>
                <c:pt idx="3054">
                  <c:v>30540</c:v>
                </c:pt>
                <c:pt idx="3055">
                  <c:v>30550</c:v>
                </c:pt>
                <c:pt idx="3056">
                  <c:v>30560</c:v>
                </c:pt>
                <c:pt idx="3057">
                  <c:v>30570</c:v>
                </c:pt>
                <c:pt idx="3058">
                  <c:v>30580</c:v>
                </c:pt>
                <c:pt idx="3059">
                  <c:v>30590</c:v>
                </c:pt>
                <c:pt idx="3060">
                  <c:v>30600</c:v>
                </c:pt>
                <c:pt idx="3061">
                  <c:v>30610</c:v>
                </c:pt>
                <c:pt idx="3062">
                  <c:v>30620</c:v>
                </c:pt>
                <c:pt idx="3063">
                  <c:v>30630</c:v>
                </c:pt>
                <c:pt idx="3064">
                  <c:v>30640</c:v>
                </c:pt>
                <c:pt idx="3065">
                  <c:v>30650</c:v>
                </c:pt>
                <c:pt idx="3066">
                  <c:v>30660</c:v>
                </c:pt>
                <c:pt idx="3067">
                  <c:v>30670</c:v>
                </c:pt>
                <c:pt idx="3068">
                  <c:v>30680</c:v>
                </c:pt>
                <c:pt idx="3069">
                  <c:v>30690</c:v>
                </c:pt>
                <c:pt idx="3070">
                  <c:v>30700</c:v>
                </c:pt>
                <c:pt idx="3071">
                  <c:v>30710</c:v>
                </c:pt>
                <c:pt idx="3072">
                  <c:v>30720</c:v>
                </c:pt>
                <c:pt idx="3073">
                  <c:v>30730</c:v>
                </c:pt>
                <c:pt idx="3074">
                  <c:v>30740</c:v>
                </c:pt>
                <c:pt idx="3075">
                  <c:v>30750</c:v>
                </c:pt>
                <c:pt idx="3076">
                  <c:v>30760</c:v>
                </c:pt>
                <c:pt idx="3077">
                  <c:v>30770</c:v>
                </c:pt>
                <c:pt idx="3078">
                  <c:v>30780</c:v>
                </c:pt>
                <c:pt idx="3079">
                  <c:v>30790</c:v>
                </c:pt>
                <c:pt idx="3080">
                  <c:v>30800</c:v>
                </c:pt>
                <c:pt idx="3081">
                  <c:v>30810</c:v>
                </c:pt>
                <c:pt idx="3082">
                  <c:v>30820</c:v>
                </c:pt>
                <c:pt idx="3083">
                  <c:v>30830</c:v>
                </c:pt>
                <c:pt idx="3084">
                  <c:v>30840</c:v>
                </c:pt>
                <c:pt idx="3085">
                  <c:v>30850</c:v>
                </c:pt>
                <c:pt idx="3086">
                  <c:v>30860</c:v>
                </c:pt>
                <c:pt idx="3087">
                  <c:v>30870</c:v>
                </c:pt>
                <c:pt idx="3088">
                  <c:v>30880</c:v>
                </c:pt>
                <c:pt idx="3089">
                  <c:v>30890</c:v>
                </c:pt>
                <c:pt idx="3090">
                  <c:v>30900</c:v>
                </c:pt>
                <c:pt idx="3091">
                  <c:v>30910</c:v>
                </c:pt>
                <c:pt idx="3092">
                  <c:v>30920</c:v>
                </c:pt>
                <c:pt idx="3093">
                  <c:v>30930</c:v>
                </c:pt>
                <c:pt idx="3094">
                  <c:v>30940</c:v>
                </c:pt>
                <c:pt idx="3095">
                  <c:v>30950</c:v>
                </c:pt>
                <c:pt idx="3096">
                  <c:v>30960</c:v>
                </c:pt>
                <c:pt idx="3097">
                  <c:v>30970</c:v>
                </c:pt>
                <c:pt idx="3098">
                  <c:v>30980</c:v>
                </c:pt>
                <c:pt idx="3099">
                  <c:v>30990</c:v>
                </c:pt>
                <c:pt idx="3100">
                  <c:v>31000</c:v>
                </c:pt>
                <c:pt idx="3101">
                  <c:v>31010</c:v>
                </c:pt>
                <c:pt idx="3102">
                  <c:v>31020</c:v>
                </c:pt>
                <c:pt idx="3103">
                  <c:v>31030</c:v>
                </c:pt>
                <c:pt idx="3104">
                  <c:v>31040</c:v>
                </c:pt>
                <c:pt idx="3105">
                  <c:v>31050</c:v>
                </c:pt>
                <c:pt idx="3106">
                  <c:v>31060</c:v>
                </c:pt>
                <c:pt idx="3107">
                  <c:v>31070</c:v>
                </c:pt>
                <c:pt idx="3108">
                  <c:v>31080</c:v>
                </c:pt>
                <c:pt idx="3109">
                  <c:v>31090</c:v>
                </c:pt>
                <c:pt idx="3110">
                  <c:v>31100</c:v>
                </c:pt>
                <c:pt idx="3111">
                  <c:v>31110</c:v>
                </c:pt>
                <c:pt idx="3112">
                  <c:v>31120</c:v>
                </c:pt>
                <c:pt idx="3113">
                  <c:v>31130</c:v>
                </c:pt>
                <c:pt idx="3114">
                  <c:v>31140</c:v>
                </c:pt>
                <c:pt idx="3115">
                  <c:v>31150</c:v>
                </c:pt>
                <c:pt idx="3116">
                  <c:v>31160</c:v>
                </c:pt>
                <c:pt idx="3117">
                  <c:v>31170</c:v>
                </c:pt>
                <c:pt idx="3118">
                  <c:v>31180</c:v>
                </c:pt>
                <c:pt idx="3119">
                  <c:v>31190</c:v>
                </c:pt>
                <c:pt idx="3120">
                  <c:v>31200</c:v>
                </c:pt>
                <c:pt idx="3121">
                  <c:v>31210</c:v>
                </c:pt>
                <c:pt idx="3122">
                  <c:v>31220</c:v>
                </c:pt>
                <c:pt idx="3123">
                  <c:v>31230</c:v>
                </c:pt>
                <c:pt idx="3124">
                  <c:v>31240</c:v>
                </c:pt>
                <c:pt idx="3125">
                  <c:v>31250</c:v>
                </c:pt>
                <c:pt idx="3126">
                  <c:v>31260</c:v>
                </c:pt>
                <c:pt idx="3127">
                  <c:v>31270</c:v>
                </c:pt>
                <c:pt idx="3128">
                  <c:v>31280</c:v>
                </c:pt>
                <c:pt idx="3129">
                  <c:v>31290</c:v>
                </c:pt>
                <c:pt idx="3130">
                  <c:v>31300</c:v>
                </c:pt>
                <c:pt idx="3131">
                  <c:v>31310</c:v>
                </c:pt>
                <c:pt idx="3132">
                  <c:v>31320</c:v>
                </c:pt>
                <c:pt idx="3133">
                  <c:v>31330</c:v>
                </c:pt>
                <c:pt idx="3134">
                  <c:v>31340</c:v>
                </c:pt>
                <c:pt idx="3135">
                  <c:v>31350</c:v>
                </c:pt>
                <c:pt idx="3136">
                  <c:v>31360</c:v>
                </c:pt>
                <c:pt idx="3137">
                  <c:v>31370</c:v>
                </c:pt>
                <c:pt idx="3138">
                  <c:v>31380</c:v>
                </c:pt>
                <c:pt idx="3139">
                  <c:v>31390</c:v>
                </c:pt>
                <c:pt idx="3140">
                  <c:v>31400</c:v>
                </c:pt>
                <c:pt idx="3141">
                  <c:v>31410</c:v>
                </c:pt>
                <c:pt idx="3142">
                  <c:v>31420</c:v>
                </c:pt>
                <c:pt idx="3143">
                  <c:v>31430</c:v>
                </c:pt>
                <c:pt idx="3144">
                  <c:v>31440</c:v>
                </c:pt>
                <c:pt idx="3145">
                  <c:v>31450</c:v>
                </c:pt>
                <c:pt idx="3146">
                  <c:v>31460</c:v>
                </c:pt>
                <c:pt idx="3147">
                  <c:v>31470</c:v>
                </c:pt>
                <c:pt idx="3148">
                  <c:v>31480</c:v>
                </c:pt>
                <c:pt idx="3149">
                  <c:v>31490</c:v>
                </c:pt>
                <c:pt idx="3150">
                  <c:v>31500</c:v>
                </c:pt>
                <c:pt idx="3151">
                  <c:v>31510</c:v>
                </c:pt>
                <c:pt idx="3152">
                  <c:v>31520</c:v>
                </c:pt>
                <c:pt idx="3153">
                  <c:v>31530</c:v>
                </c:pt>
                <c:pt idx="3154">
                  <c:v>31540</c:v>
                </c:pt>
                <c:pt idx="3155">
                  <c:v>31550</c:v>
                </c:pt>
                <c:pt idx="3156">
                  <c:v>31560</c:v>
                </c:pt>
                <c:pt idx="3157">
                  <c:v>31570</c:v>
                </c:pt>
                <c:pt idx="3158">
                  <c:v>31580</c:v>
                </c:pt>
                <c:pt idx="3159">
                  <c:v>31590</c:v>
                </c:pt>
                <c:pt idx="3160">
                  <c:v>31600</c:v>
                </c:pt>
                <c:pt idx="3161">
                  <c:v>31610</c:v>
                </c:pt>
                <c:pt idx="3162">
                  <c:v>31620</c:v>
                </c:pt>
                <c:pt idx="3163">
                  <c:v>31630</c:v>
                </c:pt>
                <c:pt idx="3164">
                  <c:v>31640</c:v>
                </c:pt>
                <c:pt idx="3165">
                  <c:v>31650</c:v>
                </c:pt>
                <c:pt idx="3166">
                  <c:v>31660</c:v>
                </c:pt>
                <c:pt idx="3167">
                  <c:v>31670</c:v>
                </c:pt>
                <c:pt idx="3168">
                  <c:v>31680</c:v>
                </c:pt>
                <c:pt idx="3169">
                  <c:v>31690</c:v>
                </c:pt>
                <c:pt idx="3170">
                  <c:v>31700</c:v>
                </c:pt>
                <c:pt idx="3171">
                  <c:v>31710</c:v>
                </c:pt>
                <c:pt idx="3172">
                  <c:v>31720</c:v>
                </c:pt>
                <c:pt idx="3173">
                  <c:v>31730</c:v>
                </c:pt>
                <c:pt idx="3174">
                  <c:v>31740</c:v>
                </c:pt>
                <c:pt idx="3175">
                  <c:v>31750</c:v>
                </c:pt>
                <c:pt idx="3176">
                  <c:v>31760</c:v>
                </c:pt>
                <c:pt idx="3177">
                  <c:v>31770</c:v>
                </c:pt>
                <c:pt idx="3178">
                  <c:v>31780</c:v>
                </c:pt>
                <c:pt idx="3179">
                  <c:v>31790</c:v>
                </c:pt>
                <c:pt idx="3180">
                  <c:v>31800</c:v>
                </c:pt>
                <c:pt idx="3181">
                  <c:v>31810</c:v>
                </c:pt>
                <c:pt idx="3182">
                  <c:v>31820</c:v>
                </c:pt>
                <c:pt idx="3183">
                  <c:v>31830</c:v>
                </c:pt>
                <c:pt idx="3184">
                  <c:v>31840</c:v>
                </c:pt>
                <c:pt idx="3185">
                  <c:v>31850</c:v>
                </c:pt>
                <c:pt idx="3186">
                  <c:v>31860</c:v>
                </c:pt>
                <c:pt idx="3187">
                  <c:v>31870</c:v>
                </c:pt>
                <c:pt idx="3188">
                  <c:v>31880</c:v>
                </c:pt>
                <c:pt idx="3189">
                  <c:v>31890</c:v>
                </c:pt>
                <c:pt idx="3190">
                  <c:v>31900</c:v>
                </c:pt>
                <c:pt idx="3191">
                  <c:v>31910</c:v>
                </c:pt>
                <c:pt idx="3192">
                  <c:v>31920</c:v>
                </c:pt>
                <c:pt idx="3193">
                  <c:v>31930</c:v>
                </c:pt>
                <c:pt idx="3194">
                  <c:v>31940</c:v>
                </c:pt>
                <c:pt idx="3195">
                  <c:v>31950</c:v>
                </c:pt>
                <c:pt idx="3196">
                  <c:v>31960</c:v>
                </c:pt>
                <c:pt idx="3197">
                  <c:v>31970</c:v>
                </c:pt>
                <c:pt idx="3198">
                  <c:v>31980</c:v>
                </c:pt>
                <c:pt idx="3199">
                  <c:v>31990</c:v>
                </c:pt>
                <c:pt idx="3200">
                  <c:v>32000</c:v>
                </c:pt>
                <c:pt idx="3201">
                  <c:v>32010</c:v>
                </c:pt>
                <c:pt idx="3202">
                  <c:v>32020</c:v>
                </c:pt>
                <c:pt idx="3203">
                  <c:v>32030</c:v>
                </c:pt>
                <c:pt idx="3204">
                  <c:v>32040</c:v>
                </c:pt>
                <c:pt idx="3205">
                  <c:v>32050</c:v>
                </c:pt>
                <c:pt idx="3206">
                  <c:v>32060</c:v>
                </c:pt>
                <c:pt idx="3207">
                  <c:v>32070</c:v>
                </c:pt>
                <c:pt idx="3208">
                  <c:v>32080</c:v>
                </c:pt>
                <c:pt idx="3209">
                  <c:v>32090</c:v>
                </c:pt>
                <c:pt idx="3210">
                  <c:v>32100</c:v>
                </c:pt>
                <c:pt idx="3211">
                  <c:v>32110</c:v>
                </c:pt>
                <c:pt idx="3212">
                  <c:v>32120</c:v>
                </c:pt>
                <c:pt idx="3213">
                  <c:v>32130</c:v>
                </c:pt>
                <c:pt idx="3214">
                  <c:v>32140</c:v>
                </c:pt>
                <c:pt idx="3215">
                  <c:v>32150</c:v>
                </c:pt>
                <c:pt idx="3216">
                  <c:v>32160</c:v>
                </c:pt>
                <c:pt idx="3217">
                  <c:v>32170</c:v>
                </c:pt>
                <c:pt idx="3218">
                  <c:v>32180</c:v>
                </c:pt>
                <c:pt idx="3219">
                  <c:v>32190</c:v>
                </c:pt>
                <c:pt idx="3220">
                  <c:v>32200</c:v>
                </c:pt>
                <c:pt idx="3221">
                  <c:v>32210</c:v>
                </c:pt>
                <c:pt idx="3222">
                  <c:v>32220</c:v>
                </c:pt>
                <c:pt idx="3223">
                  <c:v>32230</c:v>
                </c:pt>
                <c:pt idx="3224">
                  <c:v>32240</c:v>
                </c:pt>
                <c:pt idx="3225">
                  <c:v>32250</c:v>
                </c:pt>
                <c:pt idx="3226">
                  <c:v>32260</c:v>
                </c:pt>
                <c:pt idx="3227">
                  <c:v>32270</c:v>
                </c:pt>
                <c:pt idx="3228">
                  <c:v>32280</c:v>
                </c:pt>
                <c:pt idx="3229">
                  <c:v>32290</c:v>
                </c:pt>
                <c:pt idx="3230">
                  <c:v>32300</c:v>
                </c:pt>
                <c:pt idx="3231">
                  <c:v>32310</c:v>
                </c:pt>
                <c:pt idx="3232">
                  <c:v>32320</c:v>
                </c:pt>
                <c:pt idx="3233">
                  <c:v>32330</c:v>
                </c:pt>
                <c:pt idx="3234">
                  <c:v>32340</c:v>
                </c:pt>
                <c:pt idx="3235">
                  <c:v>32350</c:v>
                </c:pt>
                <c:pt idx="3236">
                  <c:v>32360</c:v>
                </c:pt>
                <c:pt idx="3237">
                  <c:v>32370</c:v>
                </c:pt>
                <c:pt idx="3238">
                  <c:v>32380</c:v>
                </c:pt>
                <c:pt idx="3239">
                  <c:v>32390</c:v>
                </c:pt>
                <c:pt idx="3240">
                  <c:v>32400</c:v>
                </c:pt>
                <c:pt idx="3241">
                  <c:v>32410</c:v>
                </c:pt>
                <c:pt idx="3242">
                  <c:v>32420</c:v>
                </c:pt>
                <c:pt idx="3243">
                  <c:v>32430</c:v>
                </c:pt>
                <c:pt idx="3244">
                  <c:v>32440</c:v>
                </c:pt>
                <c:pt idx="3245">
                  <c:v>32450</c:v>
                </c:pt>
                <c:pt idx="3246">
                  <c:v>32460</c:v>
                </c:pt>
                <c:pt idx="3247">
                  <c:v>32470</c:v>
                </c:pt>
                <c:pt idx="3248">
                  <c:v>32480</c:v>
                </c:pt>
                <c:pt idx="3249">
                  <c:v>32490</c:v>
                </c:pt>
                <c:pt idx="3250">
                  <c:v>32500</c:v>
                </c:pt>
                <c:pt idx="3251">
                  <c:v>32510</c:v>
                </c:pt>
                <c:pt idx="3252">
                  <c:v>32520</c:v>
                </c:pt>
                <c:pt idx="3253">
                  <c:v>32530</c:v>
                </c:pt>
                <c:pt idx="3254">
                  <c:v>32540</c:v>
                </c:pt>
                <c:pt idx="3255">
                  <c:v>32550</c:v>
                </c:pt>
                <c:pt idx="3256">
                  <c:v>32560</c:v>
                </c:pt>
                <c:pt idx="3257">
                  <c:v>32570</c:v>
                </c:pt>
                <c:pt idx="3258">
                  <c:v>32580</c:v>
                </c:pt>
                <c:pt idx="3259">
                  <c:v>32590</c:v>
                </c:pt>
                <c:pt idx="3260">
                  <c:v>32600</c:v>
                </c:pt>
                <c:pt idx="3261">
                  <c:v>32610</c:v>
                </c:pt>
                <c:pt idx="3262">
                  <c:v>32620</c:v>
                </c:pt>
                <c:pt idx="3263">
                  <c:v>32630</c:v>
                </c:pt>
                <c:pt idx="3264">
                  <c:v>32640</c:v>
                </c:pt>
                <c:pt idx="3265">
                  <c:v>32650</c:v>
                </c:pt>
                <c:pt idx="3266">
                  <c:v>32660</c:v>
                </c:pt>
                <c:pt idx="3267">
                  <c:v>32670</c:v>
                </c:pt>
                <c:pt idx="3268">
                  <c:v>32680</c:v>
                </c:pt>
                <c:pt idx="3269">
                  <c:v>32690</c:v>
                </c:pt>
                <c:pt idx="3270">
                  <c:v>32700</c:v>
                </c:pt>
                <c:pt idx="3271">
                  <c:v>32710</c:v>
                </c:pt>
                <c:pt idx="3272">
                  <c:v>32720</c:v>
                </c:pt>
                <c:pt idx="3273">
                  <c:v>32730</c:v>
                </c:pt>
                <c:pt idx="3274">
                  <c:v>32740</c:v>
                </c:pt>
                <c:pt idx="3275">
                  <c:v>32750</c:v>
                </c:pt>
                <c:pt idx="3276">
                  <c:v>32760</c:v>
                </c:pt>
                <c:pt idx="3277">
                  <c:v>32770</c:v>
                </c:pt>
                <c:pt idx="3278">
                  <c:v>32780</c:v>
                </c:pt>
                <c:pt idx="3279">
                  <c:v>32790</c:v>
                </c:pt>
                <c:pt idx="3280">
                  <c:v>32800</c:v>
                </c:pt>
                <c:pt idx="3281">
                  <c:v>32810</c:v>
                </c:pt>
                <c:pt idx="3282">
                  <c:v>32820</c:v>
                </c:pt>
                <c:pt idx="3283">
                  <c:v>32830</c:v>
                </c:pt>
                <c:pt idx="3284">
                  <c:v>32840</c:v>
                </c:pt>
                <c:pt idx="3285">
                  <c:v>32850</c:v>
                </c:pt>
                <c:pt idx="3286">
                  <c:v>32860</c:v>
                </c:pt>
                <c:pt idx="3287">
                  <c:v>32870</c:v>
                </c:pt>
                <c:pt idx="3288">
                  <c:v>32880</c:v>
                </c:pt>
                <c:pt idx="3289">
                  <c:v>32890</c:v>
                </c:pt>
                <c:pt idx="3290">
                  <c:v>32900</c:v>
                </c:pt>
                <c:pt idx="3291">
                  <c:v>32910</c:v>
                </c:pt>
                <c:pt idx="3292">
                  <c:v>32920</c:v>
                </c:pt>
                <c:pt idx="3293">
                  <c:v>32930</c:v>
                </c:pt>
                <c:pt idx="3294">
                  <c:v>32940</c:v>
                </c:pt>
                <c:pt idx="3295">
                  <c:v>32950</c:v>
                </c:pt>
                <c:pt idx="3296">
                  <c:v>32960</c:v>
                </c:pt>
                <c:pt idx="3297">
                  <c:v>32970</c:v>
                </c:pt>
                <c:pt idx="3298">
                  <c:v>32980</c:v>
                </c:pt>
                <c:pt idx="3299">
                  <c:v>32990</c:v>
                </c:pt>
                <c:pt idx="3300">
                  <c:v>33000</c:v>
                </c:pt>
                <c:pt idx="3301">
                  <c:v>33010</c:v>
                </c:pt>
                <c:pt idx="3302">
                  <c:v>33020</c:v>
                </c:pt>
                <c:pt idx="3303">
                  <c:v>33030</c:v>
                </c:pt>
                <c:pt idx="3304">
                  <c:v>33040</c:v>
                </c:pt>
                <c:pt idx="3305">
                  <c:v>33050</c:v>
                </c:pt>
                <c:pt idx="3306">
                  <c:v>33060</c:v>
                </c:pt>
                <c:pt idx="3307">
                  <c:v>33070</c:v>
                </c:pt>
                <c:pt idx="3308">
                  <c:v>33080</c:v>
                </c:pt>
                <c:pt idx="3309">
                  <c:v>33090</c:v>
                </c:pt>
                <c:pt idx="3310">
                  <c:v>33100</c:v>
                </c:pt>
                <c:pt idx="3311">
                  <c:v>33110</c:v>
                </c:pt>
                <c:pt idx="3312">
                  <c:v>33120</c:v>
                </c:pt>
                <c:pt idx="3313">
                  <c:v>33130</c:v>
                </c:pt>
                <c:pt idx="3314">
                  <c:v>33140</c:v>
                </c:pt>
                <c:pt idx="3315">
                  <c:v>33150</c:v>
                </c:pt>
                <c:pt idx="3316">
                  <c:v>33160</c:v>
                </c:pt>
                <c:pt idx="3317">
                  <c:v>33170</c:v>
                </c:pt>
                <c:pt idx="3318">
                  <c:v>33180</c:v>
                </c:pt>
                <c:pt idx="3319">
                  <c:v>33190</c:v>
                </c:pt>
                <c:pt idx="3320">
                  <c:v>33200</c:v>
                </c:pt>
                <c:pt idx="3321">
                  <c:v>33210</c:v>
                </c:pt>
                <c:pt idx="3322">
                  <c:v>33220</c:v>
                </c:pt>
                <c:pt idx="3323">
                  <c:v>33230</c:v>
                </c:pt>
                <c:pt idx="3324">
                  <c:v>33240</c:v>
                </c:pt>
                <c:pt idx="3325">
                  <c:v>33250</c:v>
                </c:pt>
                <c:pt idx="3326">
                  <c:v>33260</c:v>
                </c:pt>
                <c:pt idx="3327">
                  <c:v>33270</c:v>
                </c:pt>
                <c:pt idx="3328">
                  <c:v>33280</c:v>
                </c:pt>
                <c:pt idx="3329">
                  <c:v>33290</c:v>
                </c:pt>
                <c:pt idx="3330">
                  <c:v>33300</c:v>
                </c:pt>
                <c:pt idx="3331">
                  <c:v>33310</c:v>
                </c:pt>
                <c:pt idx="3332">
                  <c:v>33320</c:v>
                </c:pt>
                <c:pt idx="3333">
                  <c:v>33330</c:v>
                </c:pt>
                <c:pt idx="3334">
                  <c:v>33340</c:v>
                </c:pt>
                <c:pt idx="3335">
                  <c:v>33350</c:v>
                </c:pt>
                <c:pt idx="3336">
                  <c:v>33360</c:v>
                </c:pt>
                <c:pt idx="3337">
                  <c:v>33370</c:v>
                </c:pt>
                <c:pt idx="3338">
                  <c:v>33380</c:v>
                </c:pt>
                <c:pt idx="3339">
                  <c:v>33390</c:v>
                </c:pt>
                <c:pt idx="3340">
                  <c:v>33400</c:v>
                </c:pt>
                <c:pt idx="3341">
                  <c:v>33410</c:v>
                </c:pt>
                <c:pt idx="3342">
                  <c:v>33420</c:v>
                </c:pt>
                <c:pt idx="3343">
                  <c:v>33430</c:v>
                </c:pt>
                <c:pt idx="3344">
                  <c:v>33440</c:v>
                </c:pt>
                <c:pt idx="3345">
                  <c:v>33450</c:v>
                </c:pt>
                <c:pt idx="3346">
                  <c:v>33460</c:v>
                </c:pt>
                <c:pt idx="3347">
                  <c:v>33470</c:v>
                </c:pt>
                <c:pt idx="3348">
                  <c:v>33480</c:v>
                </c:pt>
                <c:pt idx="3349">
                  <c:v>33490</c:v>
                </c:pt>
                <c:pt idx="3350">
                  <c:v>33500</c:v>
                </c:pt>
                <c:pt idx="3351">
                  <c:v>33510</c:v>
                </c:pt>
                <c:pt idx="3352">
                  <c:v>33520</c:v>
                </c:pt>
                <c:pt idx="3353">
                  <c:v>33530</c:v>
                </c:pt>
                <c:pt idx="3354">
                  <c:v>33540</c:v>
                </c:pt>
                <c:pt idx="3355">
                  <c:v>33550</c:v>
                </c:pt>
                <c:pt idx="3356">
                  <c:v>33560</c:v>
                </c:pt>
                <c:pt idx="3357">
                  <c:v>33570</c:v>
                </c:pt>
                <c:pt idx="3358">
                  <c:v>33580</c:v>
                </c:pt>
                <c:pt idx="3359">
                  <c:v>33590</c:v>
                </c:pt>
                <c:pt idx="3360">
                  <c:v>33600</c:v>
                </c:pt>
                <c:pt idx="3361">
                  <c:v>33610</c:v>
                </c:pt>
                <c:pt idx="3362">
                  <c:v>33620</c:v>
                </c:pt>
                <c:pt idx="3363">
                  <c:v>33630</c:v>
                </c:pt>
                <c:pt idx="3364">
                  <c:v>33640</c:v>
                </c:pt>
                <c:pt idx="3365">
                  <c:v>33650</c:v>
                </c:pt>
                <c:pt idx="3366">
                  <c:v>33660</c:v>
                </c:pt>
                <c:pt idx="3367">
                  <c:v>33670</c:v>
                </c:pt>
                <c:pt idx="3368">
                  <c:v>33680</c:v>
                </c:pt>
                <c:pt idx="3369">
                  <c:v>33690</c:v>
                </c:pt>
                <c:pt idx="3370">
                  <c:v>33700</c:v>
                </c:pt>
                <c:pt idx="3371">
                  <c:v>33710</c:v>
                </c:pt>
                <c:pt idx="3372">
                  <c:v>33720</c:v>
                </c:pt>
                <c:pt idx="3373">
                  <c:v>33730</c:v>
                </c:pt>
                <c:pt idx="3374">
                  <c:v>33740</c:v>
                </c:pt>
                <c:pt idx="3375">
                  <c:v>33750</c:v>
                </c:pt>
                <c:pt idx="3376">
                  <c:v>33760</c:v>
                </c:pt>
                <c:pt idx="3377">
                  <c:v>33770</c:v>
                </c:pt>
                <c:pt idx="3378">
                  <c:v>33780</c:v>
                </c:pt>
                <c:pt idx="3379">
                  <c:v>33790</c:v>
                </c:pt>
                <c:pt idx="3380">
                  <c:v>33800</c:v>
                </c:pt>
                <c:pt idx="3381">
                  <c:v>33810</c:v>
                </c:pt>
                <c:pt idx="3382">
                  <c:v>33820</c:v>
                </c:pt>
                <c:pt idx="3383">
                  <c:v>33830</c:v>
                </c:pt>
                <c:pt idx="3384">
                  <c:v>33840</c:v>
                </c:pt>
                <c:pt idx="3385">
                  <c:v>33850</c:v>
                </c:pt>
                <c:pt idx="3386">
                  <c:v>33860</c:v>
                </c:pt>
                <c:pt idx="3387">
                  <c:v>33870</c:v>
                </c:pt>
                <c:pt idx="3388">
                  <c:v>33880</c:v>
                </c:pt>
                <c:pt idx="3389">
                  <c:v>33890</c:v>
                </c:pt>
                <c:pt idx="3390">
                  <c:v>33900</c:v>
                </c:pt>
                <c:pt idx="3391">
                  <c:v>33910</c:v>
                </c:pt>
                <c:pt idx="3392">
                  <c:v>33920</c:v>
                </c:pt>
                <c:pt idx="3393">
                  <c:v>33930</c:v>
                </c:pt>
                <c:pt idx="3394">
                  <c:v>33940</c:v>
                </c:pt>
                <c:pt idx="3395">
                  <c:v>33950</c:v>
                </c:pt>
                <c:pt idx="3396">
                  <c:v>33960</c:v>
                </c:pt>
                <c:pt idx="3397">
                  <c:v>33970</c:v>
                </c:pt>
                <c:pt idx="3398">
                  <c:v>33980</c:v>
                </c:pt>
                <c:pt idx="3399">
                  <c:v>33990</c:v>
                </c:pt>
                <c:pt idx="3400">
                  <c:v>34000</c:v>
                </c:pt>
                <c:pt idx="3401">
                  <c:v>34010</c:v>
                </c:pt>
                <c:pt idx="3402">
                  <c:v>34020</c:v>
                </c:pt>
                <c:pt idx="3403">
                  <c:v>34030</c:v>
                </c:pt>
                <c:pt idx="3404">
                  <c:v>34040</c:v>
                </c:pt>
                <c:pt idx="3405">
                  <c:v>34050</c:v>
                </c:pt>
                <c:pt idx="3406">
                  <c:v>34060</c:v>
                </c:pt>
                <c:pt idx="3407">
                  <c:v>34070</c:v>
                </c:pt>
                <c:pt idx="3408">
                  <c:v>34080</c:v>
                </c:pt>
                <c:pt idx="3409">
                  <c:v>34090</c:v>
                </c:pt>
                <c:pt idx="3410">
                  <c:v>34100</c:v>
                </c:pt>
                <c:pt idx="3411">
                  <c:v>34110</c:v>
                </c:pt>
                <c:pt idx="3412">
                  <c:v>34120</c:v>
                </c:pt>
                <c:pt idx="3413">
                  <c:v>34130</c:v>
                </c:pt>
                <c:pt idx="3414">
                  <c:v>34140</c:v>
                </c:pt>
                <c:pt idx="3415">
                  <c:v>34150</c:v>
                </c:pt>
                <c:pt idx="3416">
                  <c:v>34160</c:v>
                </c:pt>
                <c:pt idx="3417">
                  <c:v>34170</c:v>
                </c:pt>
                <c:pt idx="3418">
                  <c:v>34180</c:v>
                </c:pt>
                <c:pt idx="3419">
                  <c:v>34190</c:v>
                </c:pt>
                <c:pt idx="3420">
                  <c:v>34200</c:v>
                </c:pt>
                <c:pt idx="3421">
                  <c:v>34210</c:v>
                </c:pt>
                <c:pt idx="3422">
                  <c:v>34220</c:v>
                </c:pt>
                <c:pt idx="3423">
                  <c:v>34230</c:v>
                </c:pt>
                <c:pt idx="3424">
                  <c:v>34240</c:v>
                </c:pt>
                <c:pt idx="3425">
                  <c:v>34250</c:v>
                </c:pt>
                <c:pt idx="3426">
                  <c:v>34260</c:v>
                </c:pt>
                <c:pt idx="3427">
                  <c:v>34270</c:v>
                </c:pt>
                <c:pt idx="3428">
                  <c:v>34280</c:v>
                </c:pt>
                <c:pt idx="3429">
                  <c:v>34290</c:v>
                </c:pt>
                <c:pt idx="3430">
                  <c:v>34300</c:v>
                </c:pt>
                <c:pt idx="3431">
                  <c:v>34310</c:v>
                </c:pt>
                <c:pt idx="3432">
                  <c:v>34320</c:v>
                </c:pt>
                <c:pt idx="3433">
                  <c:v>34330</c:v>
                </c:pt>
                <c:pt idx="3434">
                  <c:v>34340</c:v>
                </c:pt>
                <c:pt idx="3435">
                  <c:v>34350</c:v>
                </c:pt>
                <c:pt idx="3436">
                  <c:v>34360</c:v>
                </c:pt>
                <c:pt idx="3437">
                  <c:v>34370</c:v>
                </c:pt>
                <c:pt idx="3438">
                  <c:v>34380</c:v>
                </c:pt>
                <c:pt idx="3439">
                  <c:v>34390</c:v>
                </c:pt>
                <c:pt idx="3440">
                  <c:v>34400</c:v>
                </c:pt>
                <c:pt idx="3441">
                  <c:v>34410</c:v>
                </c:pt>
                <c:pt idx="3442">
                  <c:v>34420</c:v>
                </c:pt>
                <c:pt idx="3443">
                  <c:v>34430</c:v>
                </c:pt>
                <c:pt idx="3444">
                  <c:v>34440</c:v>
                </c:pt>
                <c:pt idx="3445">
                  <c:v>34450</c:v>
                </c:pt>
                <c:pt idx="3446">
                  <c:v>34460</c:v>
                </c:pt>
                <c:pt idx="3447">
                  <c:v>34470</c:v>
                </c:pt>
                <c:pt idx="3448">
                  <c:v>34480</c:v>
                </c:pt>
                <c:pt idx="3449">
                  <c:v>34490</c:v>
                </c:pt>
                <c:pt idx="3450">
                  <c:v>34500</c:v>
                </c:pt>
                <c:pt idx="3451">
                  <c:v>34510</c:v>
                </c:pt>
                <c:pt idx="3452">
                  <c:v>34520</c:v>
                </c:pt>
                <c:pt idx="3453">
                  <c:v>34530</c:v>
                </c:pt>
                <c:pt idx="3454">
                  <c:v>34540</c:v>
                </c:pt>
                <c:pt idx="3455">
                  <c:v>34550</c:v>
                </c:pt>
                <c:pt idx="3456">
                  <c:v>34560</c:v>
                </c:pt>
                <c:pt idx="3457">
                  <c:v>34570</c:v>
                </c:pt>
                <c:pt idx="3458">
                  <c:v>34580</c:v>
                </c:pt>
                <c:pt idx="3459">
                  <c:v>34590</c:v>
                </c:pt>
                <c:pt idx="3460">
                  <c:v>34600</c:v>
                </c:pt>
                <c:pt idx="3461">
                  <c:v>34610</c:v>
                </c:pt>
                <c:pt idx="3462">
                  <c:v>34620</c:v>
                </c:pt>
                <c:pt idx="3463">
                  <c:v>34630</c:v>
                </c:pt>
                <c:pt idx="3464">
                  <c:v>34640</c:v>
                </c:pt>
                <c:pt idx="3465">
                  <c:v>34650</c:v>
                </c:pt>
                <c:pt idx="3466">
                  <c:v>34660</c:v>
                </c:pt>
                <c:pt idx="3467">
                  <c:v>34670</c:v>
                </c:pt>
                <c:pt idx="3468">
                  <c:v>34680</c:v>
                </c:pt>
                <c:pt idx="3469">
                  <c:v>34690</c:v>
                </c:pt>
                <c:pt idx="3470">
                  <c:v>34700</c:v>
                </c:pt>
                <c:pt idx="3471">
                  <c:v>34710</c:v>
                </c:pt>
                <c:pt idx="3472">
                  <c:v>34720</c:v>
                </c:pt>
                <c:pt idx="3473">
                  <c:v>34730</c:v>
                </c:pt>
                <c:pt idx="3474">
                  <c:v>34740</c:v>
                </c:pt>
                <c:pt idx="3475">
                  <c:v>34750</c:v>
                </c:pt>
                <c:pt idx="3476">
                  <c:v>34760</c:v>
                </c:pt>
                <c:pt idx="3477">
                  <c:v>34770</c:v>
                </c:pt>
                <c:pt idx="3478">
                  <c:v>34780</c:v>
                </c:pt>
                <c:pt idx="3479">
                  <c:v>34790</c:v>
                </c:pt>
                <c:pt idx="3480">
                  <c:v>34800</c:v>
                </c:pt>
                <c:pt idx="3481">
                  <c:v>34810</c:v>
                </c:pt>
                <c:pt idx="3482">
                  <c:v>34820</c:v>
                </c:pt>
                <c:pt idx="3483">
                  <c:v>34830</c:v>
                </c:pt>
                <c:pt idx="3484">
                  <c:v>34840</c:v>
                </c:pt>
                <c:pt idx="3485">
                  <c:v>34850</c:v>
                </c:pt>
                <c:pt idx="3486">
                  <c:v>34860</c:v>
                </c:pt>
                <c:pt idx="3487">
                  <c:v>34870</c:v>
                </c:pt>
                <c:pt idx="3488">
                  <c:v>34880</c:v>
                </c:pt>
                <c:pt idx="3489">
                  <c:v>34890</c:v>
                </c:pt>
                <c:pt idx="3490">
                  <c:v>34900</c:v>
                </c:pt>
                <c:pt idx="3491">
                  <c:v>34910</c:v>
                </c:pt>
                <c:pt idx="3492">
                  <c:v>34920</c:v>
                </c:pt>
                <c:pt idx="3493">
                  <c:v>34930</c:v>
                </c:pt>
                <c:pt idx="3494">
                  <c:v>34940</c:v>
                </c:pt>
                <c:pt idx="3495">
                  <c:v>34950</c:v>
                </c:pt>
                <c:pt idx="3496">
                  <c:v>34960</c:v>
                </c:pt>
              </c:numCache>
            </c:numRef>
          </c:xVal>
          <c:yVal>
            <c:numRef>
              <c:f>geomorph!$G$2:$G$3498</c:f>
              <c:numCache>
                <c:formatCode>0.000</c:formatCode>
                <c:ptCount val="3497"/>
                <c:pt idx="0">
                  <c:v>106.525761</c:v>
                </c:pt>
                <c:pt idx="1">
                  <c:v>106.524631</c:v>
                </c:pt>
                <c:pt idx="2">
                  <c:v>106.523501</c:v>
                </c:pt>
                <c:pt idx="3">
                  <c:v>106.52237100000001</c:v>
                </c:pt>
                <c:pt idx="4">
                  <c:v>106.521241</c:v>
                </c:pt>
                <c:pt idx="5">
                  <c:v>106.520111</c:v>
                </c:pt>
                <c:pt idx="6">
                  <c:v>106.518981</c:v>
                </c:pt>
                <c:pt idx="7">
                  <c:v>106.51785100000001</c:v>
                </c:pt>
                <c:pt idx="8">
                  <c:v>106.516721</c:v>
                </c:pt>
                <c:pt idx="9">
                  <c:v>106.515591</c:v>
                </c:pt>
                <c:pt idx="10">
                  <c:v>106.514461</c:v>
                </c:pt>
                <c:pt idx="11">
                  <c:v>106.51333100000001</c:v>
                </c:pt>
                <c:pt idx="12">
                  <c:v>106.512201</c:v>
                </c:pt>
                <c:pt idx="13">
                  <c:v>106.511071</c:v>
                </c:pt>
                <c:pt idx="14">
                  <c:v>106.509941</c:v>
                </c:pt>
                <c:pt idx="15">
                  <c:v>106.50881100000001</c:v>
                </c:pt>
                <c:pt idx="16">
                  <c:v>106.50768100000001</c:v>
                </c:pt>
                <c:pt idx="17">
                  <c:v>106.506551</c:v>
                </c:pt>
                <c:pt idx="18">
                  <c:v>106.505421</c:v>
                </c:pt>
                <c:pt idx="19">
                  <c:v>106.50429100000001</c:v>
                </c:pt>
                <c:pt idx="20">
                  <c:v>106.50316100000001</c:v>
                </c:pt>
                <c:pt idx="21">
                  <c:v>106.502031</c:v>
                </c:pt>
                <c:pt idx="22">
                  <c:v>106.500901</c:v>
                </c:pt>
                <c:pt idx="23">
                  <c:v>106.49977100000001</c:v>
                </c:pt>
                <c:pt idx="24">
                  <c:v>106.49864100000001</c:v>
                </c:pt>
                <c:pt idx="25">
                  <c:v>106.497511</c:v>
                </c:pt>
                <c:pt idx="26">
                  <c:v>106.496381</c:v>
                </c:pt>
                <c:pt idx="27">
                  <c:v>106.495251</c:v>
                </c:pt>
                <c:pt idx="28">
                  <c:v>106.49412100000001</c:v>
                </c:pt>
                <c:pt idx="29">
                  <c:v>106.492991</c:v>
                </c:pt>
                <c:pt idx="30">
                  <c:v>106.491861</c:v>
                </c:pt>
                <c:pt idx="31">
                  <c:v>106.490731</c:v>
                </c:pt>
                <c:pt idx="32">
                  <c:v>106.48960100000001</c:v>
                </c:pt>
                <c:pt idx="33">
                  <c:v>106.488471</c:v>
                </c:pt>
                <c:pt idx="34">
                  <c:v>106.487341</c:v>
                </c:pt>
                <c:pt idx="35">
                  <c:v>106.486211</c:v>
                </c:pt>
                <c:pt idx="36">
                  <c:v>106.48508100000001</c:v>
                </c:pt>
                <c:pt idx="37">
                  <c:v>106.483951</c:v>
                </c:pt>
                <c:pt idx="38">
                  <c:v>106.482821</c:v>
                </c:pt>
                <c:pt idx="39">
                  <c:v>106.481691</c:v>
                </c:pt>
                <c:pt idx="40">
                  <c:v>106.48056100000001</c:v>
                </c:pt>
                <c:pt idx="41">
                  <c:v>106.47943100000001</c:v>
                </c:pt>
                <c:pt idx="42">
                  <c:v>106.478301</c:v>
                </c:pt>
                <c:pt idx="43">
                  <c:v>106.477171</c:v>
                </c:pt>
                <c:pt idx="44">
                  <c:v>106.47604100000001</c:v>
                </c:pt>
                <c:pt idx="45">
                  <c:v>106.47491100000001</c:v>
                </c:pt>
                <c:pt idx="46">
                  <c:v>106.473781</c:v>
                </c:pt>
                <c:pt idx="47">
                  <c:v>106.472651</c:v>
                </c:pt>
                <c:pt idx="48">
                  <c:v>106.47152100000001</c:v>
                </c:pt>
                <c:pt idx="49">
                  <c:v>106.47039100000001</c:v>
                </c:pt>
                <c:pt idx="50">
                  <c:v>106.469261</c:v>
                </c:pt>
                <c:pt idx="51">
                  <c:v>106.468131</c:v>
                </c:pt>
                <c:pt idx="52">
                  <c:v>106.467001</c:v>
                </c:pt>
                <c:pt idx="53">
                  <c:v>106.46587100000001</c:v>
                </c:pt>
                <c:pt idx="54">
                  <c:v>106.464741</c:v>
                </c:pt>
                <c:pt idx="55">
                  <c:v>106.463611</c:v>
                </c:pt>
                <c:pt idx="56">
                  <c:v>106.462481</c:v>
                </c:pt>
                <c:pt idx="57">
                  <c:v>106.46135100000001</c:v>
                </c:pt>
                <c:pt idx="58">
                  <c:v>106.460221</c:v>
                </c:pt>
                <c:pt idx="59">
                  <c:v>106.459091</c:v>
                </c:pt>
                <c:pt idx="60">
                  <c:v>106.457961</c:v>
                </c:pt>
                <c:pt idx="61">
                  <c:v>106.45683100000001</c:v>
                </c:pt>
                <c:pt idx="62">
                  <c:v>106.455701</c:v>
                </c:pt>
                <c:pt idx="63">
                  <c:v>106.454571</c:v>
                </c:pt>
                <c:pt idx="64">
                  <c:v>106.453441</c:v>
                </c:pt>
                <c:pt idx="65">
                  <c:v>106.45231100000001</c:v>
                </c:pt>
                <c:pt idx="66">
                  <c:v>106.45118100000001</c:v>
                </c:pt>
                <c:pt idx="67">
                  <c:v>106.450051</c:v>
                </c:pt>
                <c:pt idx="68">
                  <c:v>106.448921</c:v>
                </c:pt>
                <c:pt idx="69">
                  <c:v>106.44779100000001</c:v>
                </c:pt>
                <c:pt idx="70">
                  <c:v>106.44666100000001</c:v>
                </c:pt>
                <c:pt idx="71">
                  <c:v>106.445531</c:v>
                </c:pt>
                <c:pt idx="72">
                  <c:v>106.444401</c:v>
                </c:pt>
                <c:pt idx="73">
                  <c:v>106.443271</c:v>
                </c:pt>
                <c:pt idx="74">
                  <c:v>106.44214100000001</c:v>
                </c:pt>
                <c:pt idx="75">
                  <c:v>106.441011</c:v>
                </c:pt>
                <c:pt idx="76">
                  <c:v>106.439881</c:v>
                </c:pt>
                <c:pt idx="77">
                  <c:v>106.438751</c:v>
                </c:pt>
                <c:pt idx="78">
                  <c:v>106.43762100000001</c:v>
                </c:pt>
                <c:pt idx="79">
                  <c:v>106.436491</c:v>
                </c:pt>
                <c:pt idx="80">
                  <c:v>106.435361</c:v>
                </c:pt>
                <c:pt idx="81">
                  <c:v>106.434231</c:v>
                </c:pt>
                <c:pt idx="82">
                  <c:v>106.43310100000001</c:v>
                </c:pt>
                <c:pt idx="83">
                  <c:v>106.431971</c:v>
                </c:pt>
                <c:pt idx="84">
                  <c:v>106.430841</c:v>
                </c:pt>
                <c:pt idx="85">
                  <c:v>106.429711</c:v>
                </c:pt>
                <c:pt idx="86">
                  <c:v>106.42858100000001</c:v>
                </c:pt>
                <c:pt idx="87">
                  <c:v>106.427451</c:v>
                </c:pt>
                <c:pt idx="88">
                  <c:v>106.426321</c:v>
                </c:pt>
                <c:pt idx="89">
                  <c:v>106.425191</c:v>
                </c:pt>
                <c:pt idx="90">
                  <c:v>106.42406100000001</c:v>
                </c:pt>
                <c:pt idx="91">
                  <c:v>106.42293100000001</c:v>
                </c:pt>
                <c:pt idx="92">
                  <c:v>106.421801</c:v>
                </c:pt>
                <c:pt idx="93">
                  <c:v>106.420671</c:v>
                </c:pt>
                <c:pt idx="94">
                  <c:v>106.41954100000001</c:v>
                </c:pt>
                <c:pt idx="95">
                  <c:v>106.41841100000001</c:v>
                </c:pt>
                <c:pt idx="96">
                  <c:v>106.417281</c:v>
                </c:pt>
                <c:pt idx="97">
                  <c:v>106.416151</c:v>
                </c:pt>
                <c:pt idx="98">
                  <c:v>106.415021</c:v>
                </c:pt>
                <c:pt idx="99">
                  <c:v>106.41389100000001</c:v>
                </c:pt>
                <c:pt idx="100">
                  <c:v>106.412761</c:v>
                </c:pt>
                <c:pt idx="101">
                  <c:v>106.411631</c:v>
                </c:pt>
                <c:pt idx="102">
                  <c:v>106.410501</c:v>
                </c:pt>
                <c:pt idx="103">
                  <c:v>106.40937100000001</c:v>
                </c:pt>
                <c:pt idx="104">
                  <c:v>106.408241</c:v>
                </c:pt>
                <c:pt idx="105">
                  <c:v>106.407111</c:v>
                </c:pt>
                <c:pt idx="106">
                  <c:v>106.405981</c:v>
                </c:pt>
                <c:pt idx="107">
                  <c:v>106.40485100000001</c:v>
                </c:pt>
                <c:pt idx="108">
                  <c:v>106.403721</c:v>
                </c:pt>
                <c:pt idx="109">
                  <c:v>106.402591</c:v>
                </c:pt>
                <c:pt idx="110">
                  <c:v>106.401461</c:v>
                </c:pt>
                <c:pt idx="111">
                  <c:v>106.40033100000001</c:v>
                </c:pt>
                <c:pt idx="112">
                  <c:v>106.39920100000001</c:v>
                </c:pt>
                <c:pt idx="113">
                  <c:v>106.398071</c:v>
                </c:pt>
                <c:pt idx="114">
                  <c:v>106.396941</c:v>
                </c:pt>
                <c:pt idx="115">
                  <c:v>106.39581100000001</c:v>
                </c:pt>
                <c:pt idx="116">
                  <c:v>106.39468100000001</c:v>
                </c:pt>
                <c:pt idx="117">
                  <c:v>106.393551</c:v>
                </c:pt>
                <c:pt idx="118">
                  <c:v>106.392421</c:v>
                </c:pt>
                <c:pt idx="119">
                  <c:v>106.39129100000001</c:v>
                </c:pt>
                <c:pt idx="120">
                  <c:v>106.39016100000001</c:v>
                </c:pt>
                <c:pt idx="121">
                  <c:v>106.389031</c:v>
                </c:pt>
                <c:pt idx="122">
                  <c:v>106.387901</c:v>
                </c:pt>
                <c:pt idx="123">
                  <c:v>106.386771</c:v>
                </c:pt>
                <c:pt idx="124">
                  <c:v>106.38564100000001</c:v>
                </c:pt>
                <c:pt idx="125">
                  <c:v>106.384511</c:v>
                </c:pt>
                <c:pt idx="126">
                  <c:v>106.383381</c:v>
                </c:pt>
                <c:pt idx="127">
                  <c:v>106.382251</c:v>
                </c:pt>
                <c:pt idx="128">
                  <c:v>106.38112100000001</c:v>
                </c:pt>
                <c:pt idx="129">
                  <c:v>106.379991</c:v>
                </c:pt>
                <c:pt idx="130">
                  <c:v>106.378861</c:v>
                </c:pt>
                <c:pt idx="131">
                  <c:v>106.377731</c:v>
                </c:pt>
                <c:pt idx="132">
                  <c:v>106.37660100000001</c:v>
                </c:pt>
                <c:pt idx="133">
                  <c:v>106.375471</c:v>
                </c:pt>
                <c:pt idx="134">
                  <c:v>106.374341</c:v>
                </c:pt>
                <c:pt idx="135">
                  <c:v>106.373211</c:v>
                </c:pt>
                <c:pt idx="136">
                  <c:v>106.37208100000001</c:v>
                </c:pt>
                <c:pt idx="137">
                  <c:v>106.37095100000001</c:v>
                </c:pt>
                <c:pt idx="138">
                  <c:v>106.369821</c:v>
                </c:pt>
                <c:pt idx="139">
                  <c:v>106.368691</c:v>
                </c:pt>
                <c:pt idx="140">
                  <c:v>106.36756100000001</c:v>
                </c:pt>
                <c:pt idx="141">
                  <c:v>106.36643100000001</c:v>
                </c:pt>
                <c:pt idx="142">
                  <c:v>106.365301</c:v>
                </c:pt>
                <c:pt idx="143">
                  <c:v>106.364171</c:v>
                </c:pt>
                <c:pt idx="144">
                  <c:v>106.36304100000001</c:v>
                </c:pt>
                <c:pt idx="145">
                  <c:v>106.36191100000001</c:v>
                </c:pt>
                <c:pt idx="146">
                  <c:v>106.360781</c:v>
                </c:pt>
                <c:pt idx="147">
                  <c:v>106.359651</c:v>
                </c:pt>
                <c:pt idx="148">
                  <c:v>106.358521</c:v>
                </c:pt>
                <c:pt idx="149">
                  <c:v>106.35739100000001</c:v>
                </c:pt>
                <c:pt idx="150">
                  <c:v>106.356261</c:v>
                </c:pt>
                <c:pt idx="151">
                  <c:v>106.355131</c:v>
                </c:pt>
                <c:pt idx="152">
                  <c:v>106.354001</c:v>
                </c:pt>
                <c:pt idx="153">
                  <c:v>106.35287100000001</c:v>
                </c:pt>
                <c:pt idx="154">
                  <c:v>106.351741</c:v>
                </c:pt>
                <c:pt idx="155">
                  <c:v>106.350611</c:v>
                </c:pt>
                <c:pt idx="156">
                  <c:v>106.349481</c:v>
                </c:pt>
                <c:pt idx="157">
                  <c:v>106.34835100000001</c:v>
                </c:pt>
                <c:pt idx="158">
                  <c:v>106.347221</c:v>
                </c:pt>
                <c:pt idx="159">
                  <c:v>106.346091</c:v>
                </c:pt>
                <c:pt idx="160">
                  <c:v>106.344961</c:v>
                </c:pt>
                <c:pt idx="161">
                  <c:v>106.34383100000001</c:v>
                </c:pt>
                <c:pt idx="162">
                  <c:v>106.34270100000001</c:v>
                </c:pt>
                <c:pt idx="163">
                  <c:v>106.341571</c:v>
                </c:pt>
                <c:pt idx="164">
                  <c:v>106.340441</c:v>
                </c:pt>
                <c:pt idx="165">
                  <c:v>106.33931100000001</c:v>
                </c:pt>
                <c:pt idx="166">
                  <c:v>106.33818100000001</c:v>
                </c:pt>
                <c:pt idx="167">
                  <c:v>106.337051</c:v>
                </c:pt>
                <c:pt idx="168">
                  <c:v>106.335921</c:v>
                </c:pt>
                <c:pt idx="169">
                  <c:v>106.33479100000001</c:v>
                </c:pt>
                <c:pt idx="170">
                  <c:v>106.33366100000001</c:v>
                </c:pt>
                <c:pt idx="171">
                  <c:v>106.332531</c:v>
                </c:pt>
                <c:pt idx="172">
                  <c:v>106.331401</c:v>
                </c:pt>
                <c:pt idx="173">
                  <c:v>106.330271</c:v>
                </c:pt>
                <c:pt idx="174">
                  <c:v>106.32914100000001</c:v>
                </c:pt>
                <c:pt idx="175">
                  <c:v>106.328011</c:v>
                </c:pt>
                <c:pt idx="176">
                  <c:v>106.326881</c:v>
                </c:pt>
                <c:pt idx="177">
                  <c:v>106.325751</c:v>
                </c:pt>
                <c:pt idx="178">
                  <c:v>106.32462100000001</c:v>
                </c:pt>
                <c:pt idx="179">
                  <c:v>106.323491</c:v>
                </c:pt>
                <c:pt idx="180">
                  <c:v>106.322361</c:v>
                </c:pt>
                <c:pt idx="181">
                  <c:v>106.321231</c:v>
                </c:pt>
                <c:pt idx="182">
                  <c:v>106.32010100000001</c:v>
                </c:pt>
                <c:pt idx="183">
                  <c:v>106.318971</c:v>
                </c:pt>
                <c:pt idx="184">
                  <c:v>106.317841</c:v>
                </c:pt>
                <c:pt idx="185">
                  <c:v>106.316711</c:v>
                </c:pt>
                <c:pt idx="186">
                  <c:v>106.31558100000001</c:v>
                </c:pt>
                <c:pt idx="187">
                  <c:v>106.31445100000001</c:v>
                </c:pt>
                <c:pt idx="188">
                  <c:v>106.313321</c:v>
                </c:pt>
                <c:pt idx="189">
                  <c:v>106.312191</c:v>
                </c:pt>
                <c:pt idx="190">
                  <c:v>106.31106100000001</c:v>
                </c:pt>
                <c:pt idx="191">
                  <c:v>106.30993100000001</c:v>
                </c:pt>
                <c:pt idx="192">
                  <c:v>106.308801</c:v>
                </c:pt>
                <c:pt idx="193">
                  <c:v>106.307671</c:v>
                </c:pt>
                <c:pt idx="194">
                  <c:v>106.306541</c:v>
                </c:pt>
                <c:pt idx="195">
                  <c:v>106.30541100000001</c:v>
                </c:pt>
                <c:pt idx="196">
                  <c:v>106.304281</c:v>
                </c:pt>
                <c:pt idx="197">
                  <c:v>106.303151</c:v>
                </c:pt>
                <c:pt idx="198">
                  <c:v>106.302021</c:v>
                </c:pt>
                <c:pt idx="199">
                  <c:v>106.30089100000001</c:v>
                </c:pt>
                <c:pt idx="200">
                  <c:v>106.299761</c:v>
                </c:pt>
                <c:pt idx="201">
                  <c:v>106.298631</c:v>
                </c:pt>
                <c:pt idx="202">
                  <c:v>106.297501</c:v>
                </c:pt>
                <c:pt idx="203">
                  <c:v>106.29637100000001</c:v>
                </c:pt>
                <c:pt idx="204">
                  <c:v>106.295241</c:v>
                </c:pt>
                <c:pt idx="205">
                  <c:v>106.294111</c:v>
                </c:pt>
                <c:pt idx="206">
                  <c:v>106.292981</c:v>
                </c:pt>
                <c:pt idx="207">
                  <c:v>106.29185100000001</c:v>
                </c:pt>
                <c:pt idx="208">
                  <c:v>106.290721</c:v>
                </c:pt>
                <c:pt idx="209">
                  <c:v>106.289591</c:v>
                </c:pt>
                <c:pt idx="210">
                  <c:v>106.288461</c:v>
                </c:pt>
                <c:pt idx="211">
                  <c:v>106.28733100000001</c:v>
                </c:pt>
                <c:pt idx="212">
                  <c:v>106.28620100000001</c:v>
                </c:pt>
                <c:pt idx="213">
                  <c:v>106.285071</c:v>
                </c:pt>
                <c:pt idx="214">
                  <c:v>106.283941</c:v>
                </c:pt>
                <c:pt idx="215">
                  <c:v>106.28281100000001</c:v>
                </c:pt>
                <c:pt idx="216">
                  <c:v>106.28168100000001</c:v>
                </c:pt>
                <c:pt idx="217">
                  <c:v>106.280551</c:v>
                </c:pt>
                <c:pt idx="218">
                  <c:v>106.279421</c:v>
                </c:pt>
                <c:pt idx="219">
                  <c:v>106.278291</c:v>
                </c:pt>
                <c:pt idx="220">
                  <c:v>106.27716100000001</c:v>
                </c:pt>
                <c:pt idx="221">
                  <c:v>106.276031</c:v>
                </c:pt>
                <c:pt idx="222">
                  <c:v>106.274901</c:v>
                </c:pt>
                <c:pt idx="223">
                  <c:v>106.273771</c:v>
                </c:pt>
                <c:pt idx="224">
                  <c:v>106.27264100000001</c:v>
                </c:pt>
                <c:pt idx="225">
                  <c:v>106.271511</c:v>
                </c:pt>
                <c:pt idx="226">
                  <c:v>106.270381</c:v>
                </c:pt>
                <c:pt idx="227">
                  <c:v>106.269251</c:v>
                </c:pt>
                <c:pt idx="228">
                  <c:v>106.26812100000001</c:v>
                </c:pt>
                <c:pt idx="229">
                  <c:v>106.266991</c:v>
                </c:pt>
                <c:pt idx="230">
                  <c:v>106.265861</c:v>
                </c:pt>
                <c:pt idx="231">
                  <c:v>106.264731</c:v>
                </c:pt>
                <c:pt idx="232">
                  <c:v>106.26360100000001</c:v>
                </c:pt>
                <c:pt idx="233">
                  <c:v>106.26247100000001</c:v>
                </c:pt>
                <c:pt idx="234">
                  <c:v>106.261341</c:v>
                </c:pt>
                <c:pt idx="235">
                  <c:v>106.260211</c:v>
                </c:pt>
                <c:pt idx="236">
                  <c:v>106.25908100000001</c:v>
                </c:pt>
                <c:pt idx="237">
                  <c:v>106.25795100000001</c:v>
                </c:pt>
                <c:pt idx="238">
                  <c:v>106.256821</c:v>
                </c:pt>
                <c:pt idx="239">
                  <c:v>106.255691</c:v>
                </c:pt>
                <c:pt idx="240">
                  <c:v>106.25456100000001</c:v>
                </c:pt>
                <c:pt idx="241">
                  <c:v>106.25343100000001</c:v>
                </c:pt>
                <c:pt idx="242">
                  <c:v>106.252301</c:v>
                </c:pt>
                <c:pt idx="243">
                  <c:v>106.251171</c:v>
                </c:pt>
                <c:pt idx="244">
                  <c:v>106.250041</c:v>
                </c:pt>
                <c:pt idx="245">
                  <c:v>106.24891100000001</c:v>
                </c:pt>
                <c:pt idx="246">
                  <c:v>106.247781</c:v>
                </c:pt>
                <c:pt idx="247">
                  <c:v>106.246651</c:v>
                </c:pt>
                <c:pt idx="248">
                  <c:v>106.245521</c:v>
                </c:pt>
                <c:pt idx="249">
                  <c:v>106.24439100000001</c:v>
                </c:pt>
                <c:pt idx="250">
                  <c:v>106.243261</c:v>
                </c:pt>
                <c:pt idx="251">
                  <c:v>106.242131</c:v>
                </c:pt>
                <c:pt idx="252">
                  <c:v>106.241001</c:v>
                </c:pt>
                <c:pt idx="253">
                  <c:v>106.23987100000001</c:v>
                </c:pt>
                <c:pt idx="254">
                  <c:v>106.238741</c:v>
                </c:pt>
                <c:pt idx="255">
                  <c:v>106.237611</c:v>
                </c:pt>
                <c:pt idx="256">
                  <c:v>106.236481</c:v>
                </c:pt>
                <c:pt idx="257">
                  <c:v>106.23535100000001</c:v>
                </c:pt>
                <c:pt idx="258">
                  <c:v>106.23422100000001</c:v>
                </c:pt>
                <c:pt idx="259">
                  <c:v>106.233091</c:v>
                </c:pt>
                <c:pt idx="260">
                  <c:v>106.231961</c:v>
                </c:pt>
                <c:pt idx="261">
                  <c:v>106.23083100000001</c:v>
                </c:pt>
                <c:pt idx="262">
                  <c:v>106.22970100000001</c:v>
                </c:pt>
                <c:pt idx="263">
                  <c:v>106.228571</c:v>
                </c:pt>
                <c:pt idx="264">
                  <c:v>106.227441</c:v>
                </c:pt>
                <c:pt idx="265">
                  <c:v>106.22631100000001</c:v>
                </c:pt>
                <c:pt idx="266">
                  <c:v>106.22518100000001</c:v>
                </c:pt>
                <c:pt idx="267">
                  <c:v>106.224051</c:v>
                </c:pt>
                <c:pt idx="268">
                  <c:v>106.222921</c:v>
                </c:pt>
                <c:pt idx="269">
                  <c:v>106.221791</c:v>
                </c:pt>
                <c:pt idx="270">
                  <c:v>106.22066100000001</c:v>
                </c:pt>
                <c:pt idx="271">
                  <c:v>106.219531</c:v>
                </c:pt>
                <c:pt idx="272">
                  <c:v>106.218401</c:v>
                </c:pt>
                <c:pt idx="273">
                  <c:v>106.217271</c:v>
                </c:pt>
                <c:pt idx="274">
                  <c:v>106.21614100000001</c:v>
                </c:pt>
                <c:pt idx="275">
                  <c:v>106.215011</c:v>
                </c:pt>
                <c:pt idx="276">
                  <c:v>106.213881</c:v>
                </c:pt>
                <c:pt idx="277">
                  <c:v>106.212751</c:v>
                </c:pt>
                <c:pt idx="278">
                  <c:v>106.21162100000001</c:v>
                </c:pt>
                <c:pt idx="279">
                  <c:v>106.210491</c:v>
                </c:pt>
                <c:pt idx="280">
                  <c:v>106.209361</c:v>
                </c:pt>
                <c:pt idx="281">
                  <c:v>106.208231</c:v>
                </c:pt>
                <c:pt idx="282">
                  <c:v>106.20710100000001</c:v>
                </c:pt>
                <c:pt idx="283">
                  <c:v>106.20597100000001</c:v>
                </c:pt>
                <c:pt idx="284">
                  <c:v>106.204841</c:v>
                </c:pt>
                <c:pt idx="285">
                  <c:v>106.203711</c:v>
                </c:pt>
                <c:pt idx="286">
                  <c:v>106.20258100000001</c:v>
                </c:pt>
                <c:pt idx="287">
                  <c:v>106.20145100000001</c:v>
                </c:pt>
                <c:pt idx="288">
                  <c:v>106.200321</c:v>
                </c:pt>
                <c:pt idx="289">
                  <c:v>106.199191</c:v>
                </c:pt>
                <c:pt idx="290">
                  <c:v>106.19806100000001</c:v>
                </c:pt>
                <c:pt idx="291">
                  <c:v>106.19693100000001</c:v>
                </c:pt>
                <c:pt idx="292">
                  <c:v>106.195801</c:v>
                </c:pt>
                <c:pt idx="293">
                  <c:v>106.194671</c:v>
                </c:pt>
                <c:pt idx="294">
                  <c:v>106.193541</c:v>
                </c:pt>
                <c:pt idx="295">
                  <c:v>106.19241100000001</c:v>
                </c:pt>
                <c:pt idx="296">
                  <c:v>106.191281</c:v>
                </c:pt>
                <c:pt idx="297">
                  <c:v>106.190151</c:v>
                </c:pt>
                <c:pt idx="298">
                  <c:v>106.189021</c:v>
                </c:pt>
                <c:pt idx="299">
                  <c:v>106.18789100000001</c:v>
                </c:pt>
                <c:pt idx="300">
                  <c:v>106.186761</c:v>
                </c:pt>
                <c:pt idx="301">
                  <c:v>106.185631</c:v>
                </c:pt>
                <c:pt idx="302">
                  <c:v>106.184501</c:v>
                </c:pt>
                <c:pt idx="303">
                  <c:v>106.18337100000001</c:v>
                </c:pt>
                <c:pt idx="304">
                  <c:v>106.182241</c:v>
                </c:pt>
                <c:pt idx="305">
                  <c:v>106.181111</c:v>
                </c:pt>
                <c:pt idx="306">
                  <c:v>106.179981</c:v>
                </c:pt>
                <c:pt idx="307">
                  <c:v>106.17885100000001</c:v>
                </c:pt>
                <c:pt idx="308">
                  <c:v>106.17772100000001</c:v>
                </c:pt>
                <c:pt idx="309">
                  <c:v>106.176591</c:v>
                </c:pt>
                <c:pt idx="310">
                  <c:v>106.175461</c:v>
                </c:pt>
                <c:pt idx="311">
                  <c:v>106.17433100000001</c:v>
                </c:pt>
                <c:pt idx="312">
                  <c:v>106.17320100000001</c:v>
                </c:pt>
                <c:pt idx="313">
                  <c:v>106.172071</c:v>
                </c:pt>
                <c:pt idx="314">
                  <c:v>106.170941</c:v>
                </c:pt>
                <c:pt idx="315">
                  <c:v>106.16981100000001</c:v>
                </c:pt>
                <c:pt idx="316">
                  <c:v>106.16868100000001</c:v>
                </c:pt>
                <c:pt idx="317">
                  <c:v>106.167551</c:v>
                </c:pt>
                <c:pt idx="318">
                  <c:v>106.166421</c:v>
                </c:pt>
                <c:pt idx="319">
                  <c:v>106.165291</c:v>
                </c:pt>
                <c:pt idx="320">
                  <c:v>106.16416100000001</c:v>
                </c:pt>
                <c:pt idx="321">
                  <c:v>106.163031</c:v>
                </c:pt>
                <c:pt idx="322">
                  <c:v>106.161901</c:v>
                </c:pt>
                <c:pt idx="323">
                  <c:v>106.160771</c:v>
                </c:pt>
                <c:pt idx="324">
                  <c:v>106.15964100000001</c:v>
                </c:pt>
                <c:pt idx="325">
                  <c:v>106.158511</c:v>
                </c:pt>
                <c:pt idx="326">
                  <c:v>106.157381</c:v>
                </c:pt>
                <c:pt idx="327">
                  <c:v>106.156251</c:v>
                </c:pt>
                <c:pt idx="328">
                  <c:v>106.15512100000001</c:v>
                </c:pt>
                <c:pt idx="329">
                  <c:v>106.153991</c:v>
                </c:pt>
                <c:pt idx="330">
                  <c:v>106.152861</c:v>
                </c:pt>
                <c:pt idx="331">
                  <c:v>106.151731</c:v>
                </c:pt>
                <c:pt idx="332">
                  <c:v>106.15060100000001</c:v>
                </c:pt>
                <c:pt idx="333">
                  <c:v>106.14947100000001</c:v>
                </c:pt>
                <c:pt idx="334">
                  <c:v>106.148341</c:v>
                </c:pt>
                <c:pt idx="335">
                  <c:v>106.147211</c:v>
                </c:pt>
                <c:pt idx="336">
                  <c:v>106.14608100000001</c:v>
                </c:pt>
                <c:pt idx="337">
                  <c:v>106.14495100000001</c:v>
                </c:pt>
                <c:pt idx="338">
                  <c:v>106.143821</c:v>
                </c:pt>
                <c:pt idx="339">
                  <c:v>106.142691</c:v>
                </c:pt>
                <c:pt idx="340">
                  <c:v>106.141561</c:v>
                </c:pt>
                <c:pt idx="341">
                  <c:v>106.14043100000001</c:v>
                </c:pt>
                <c:pt idx="342">
                  <c:v>106.139301</c:v>
                </c:pt>
                <c:pt idx="343">
                  <c:v>106.138171</c:v>
                </c:pt>
                <c:pt idx="344">
                  <c:v>106.137041</c:v>
                </c:pt>
                <c:pt idx="345">
                  <c:v>106.13591100000001</c:v>
                </c:pt>
                <c:pt idx="346">
                  <c:v>106.134781</c:v>
                </c:pt>
                <c:pt idx="347">
                  <c:v>106.133651</c:v>
                </c:pt>
                <c:pt idx="348">
                  <c:v>106.132521</c:v>
                </c:pt>
                <c:pt idx="349">
                  <c:v>106.13139100000001</c:v>
                </c:pt>
                <c:pt idx="350">
                  <c:v>106.130261</c:v>
                </c:pt>
                <c:pt idx="351">
                  <c:v>106.129131</c:v>
                </c:pt>
                <c:pt idx="352">
                  <c:v>106.128001</c:v>
                </c:pt>
                <c:pt idx="353">
                  <c:v>106.12687100000001</c:v>
                </c:pt>
                <c:pt idx="354">
                  <c:v>106.125741</c:v>
                </c:pt>
                <c:pt idx="355">
                  <c:v>106.124611</c:v>
                </c:pt>
                <c:pt idx="356">
                  <c:v>106.123481</c:v>
                </c:pt>
                <c:pt idx="357">
                  <c:v>106.12235100000001</c:v>
                </c:pt>
                <c:pt idx="358">
                  <c:v>106.12122100000001</c:v>
                </c:pt>
                <c:pt idx="359">
                  <c:v>106.120091</c:v>
                </c:pt>
                <c:pt idx="360">
                  <c:v>106.118961</c:v>
                </c:pt>
                <c:pt idx="361">
                  <c:v>106.11783100000001</c:v>
                </c:pt>
                <c:pt idx="362">
                  <c:v>106.11670100000001</c:v>
                </c:pt>
                <c:pt idx="363">
                  <c:v>106.115571</c:v>
                </c:pt>
                <c:pt idx="364">
                  <c:v>106.114441</c:v>
                </c:pt>
                <c:pt idx="365">
                  <c:v>106.113311</c:v>
                </c:pt>
                <c:pt idx="366">
                  <c:v>106.11218100000001</c:v>
                </c:pt>
                <c:pt idx="367">
                  <c:v>106.111051</c:v>
                </c:pt>
                <c:pt idx="368">
                  <c:v>106.109921</c:v>
                </c:pt>
                <c:pt idx="369">
                  <c:v>106.108791</c:v>
                </c:pt>
                <c:pt idx="370">
                  <c:v>106.10766100000001</c:v>
                </c:pt>
                <c:pt idx="371">
                  <c:v>106.106531</c:v>
                </c:pt>
                <c:pt idx="372">
                  <c:v>106.105401</c:v>
                </c:pt>
                <c:pt idx="373">
                  <c:v>106.104271</c:v>
                </c:pt>
                <c:pt idx="374">
                  <c:v>106.10314100000001</c:v>
                </c:pt>
                <c:pt idx="375">
                  <c:v>106.102011</c:v>
                </c:pt>
                <c:pt idx="376">
                  <c:v>106.100881</c:v>
                </c:pt>
                <c:pt idx="377">
                  <c:v>106.099751</c:v>
                </c:pt>
                <c:pt idx="378">
                  <c:v>106.09862100000001</c:v>
                </c:pt>
                <c:pt idx="379">
                  <c:v>106.09749100000001</c:v>
                </c:pt>
                <c:pt idx="380">
                  <c:v>106.096361</c:v>
                </c:pt>
                <c:pt idx="381">
                  <c:v>106.095231</c:v>
                </c:pt>
                <c:pt idx="382">
                  <c:v>106.09410100000001</c:v>
                </c:pt>
                <c:pt idx="383">
                  <c:v>106.09297100000001</c:v>
                </c:pt>
                <c:pt idx="384">
                  <c:v>106.091841</c:v>
                </c:pt>
                <c:pt idx="385">
                  <c:v>106.090711</c:v>
                </c:pt>
                <c:pt idx="386">
                  <c:v>106.08958100000001</c:v>
                </c:pt>
                <c:pt idx="387">
                  <c:v>106.08845100000001</c:v>
                </c:pt>
                <c:pt idx="388">
                  <c:v>106.087321</c:v>
                </c:pt>
                <c:pt idx="389">
                  <c:v>106.086191</c:v>
                </c:pt>
                <c:pt idx="390">
                  <c:v>106.085061</c:v>
                </c:pt>
                <c:pt idx="391">
                  <c:v>106.08393100000001</c:v>
                </c:pt>
                <c:pt idx="392">
                  <c:v>106.082801</c:v>
                </c:pt>
                <c:pt idx="393">
                  <c:v>106.081671</c:v>
                </c:pt>
                <c:pt idx="394">
                  <c:v>106.080541</c:v>
                </c:pt>
                <c:pt idx="395">
                  <c:v>106.07941100000001</c:v>
                </c:pt>
                <c:pt idx="396">
                  <c:v>106.078281</c:v>
                </c:pt>
                <c:pt idx="397">
                  <c:v>106.077151</c:v>
                </c:pt>
                <c:pt idx="398">
                  <c:v>106.076021</c:v>
                </c:pt>
                <c:pt idx="399">
                  <c:v>106.07489100000001</c:v>
                </c:pt>
                <c:pt idx="400">
                  <c:v>106.073761</c:v>
                </c:pt>
                <c:pt idx="401">
                  <c:v>106.072631</c:v>
                </c:pt>
                <c:pt idx="402">
                  <c:v>106.071501</c:v>
                </c:pt>
                <c:pt idx="403">
                  <c:v>106.07037100000001</c:v>
                </c:pt>
                <c:pt idx="404">
                  <c:v>106.06924100000001</c:v>
                </c:pt>
                <c:pt idx="405">
                  <c:v>106.068111</c:v>
                </c:pt>
                <c:pt idx="406">
                  <c:v>106.066981</c:v>
                </c:pt>
                <c:pt idx="407">
                  <c:v>106.06585100000001</c:v>
                </c:pt>
                <c:pt idx="408">
                  <c:v>106.06472100000001</c:v>
                </c:pt>
                <c:pt idx="409">
                  <c:v>106.063591</c:v>
                </c:pt>
                <c:pt idx="410">
                  <c:v>106.062461</c:v>
                </c:pt>
                <c:pt idx="411">
                  <c:v>106.06133100000001</c:v>
                </c:pt>
                <c:pt idx="412">
                  <c:v>106.06020100000001</c:v>
                </c:pt>
                <c:pt idx="413">
                  <c:v>106.059071</c:v>
                </c:pt>
                <c:pt idx="414">
                  <c:v>106.057941</c:v>
                </c:pt>
                <c:pt idx="415">
                  <c:v>106.056811</c:v>
                </c:pt>
                <c:pt idx="416">
                  <c:v>106.05568100000001</c:v>
                </c:pt>
                <c:pt idx="417">
                  <c:v>106.054551</c:v>
                </c:pt>
                <c:pt idx="418">
                  <c:v>106.053421</c:v>
                </c:pt>
                <c:pt idx="419">
                  <c:v>106.052291</c:v>
                </c:pt>
                <c:pt idx="420">
                  <c:v>106.05116100000001</c:v>
                </c:pt>
                <c:pt idx="421">
                  <c:v>106.050031</c:v>
                </c:pt>
                <c:pt idx="422">
                  <c:v>106.048901</c:v>
                </c:pt>
                <c:pt idx="423">
                  <c:v>106.047771</c:v>
                </c:pt>
                <c:pt idx="424">
                  <c:v>106.04664100000001</c:v>
                </c:pt>
                <c:pt idx="425">
                  <c:v>106.045511</c:v>
                </c:pt>
                <c:pt idx="426">
                  <c:v>106.044381</c:v>
                </c:pt>
                <c:pt idx="427">
                  <c:v>106.043251</c:v>
                </c:pt>
                <c:pt idx="428">
                  <c:v>106.04212100000001</c:v>
                </c:pt>
                <c:pt idx="429">
                  <c:v>106.04099100000001</c:v>
                </c:pt>
                <c:pt idx="430">
                  <c:v>106.039861</c:v>
                </c:pt>
                <c:pt idx="431">
                  <c:v>106.038731</c:v>
                </c:pt>
                <c:pt idx="432">
                  <c:v>106.03760100000001</c:v>
                </c:pt>
                <c:pt idx="433">
                  <c:v>106.03647100000001</c:v>
                </c:pt>
                <c:pt idx="434">
                  <c:v>106.035341</c:v>
                </c:pt>
                <c:pt idx="435">
                  <c:v>106.034211</c:v>
                </c:pt>
                <c:pt idx="436">
                  <c:v>106.03308100000001</c:v>
                </c:pt>
                <c:pt idx="437">
                  <c:v>106.03195100000001</c:v>
                </c:pt>
                <c:pt idx="438">
                  <c:v>106.030821</c:v>
                </c:pt>
                <c:pt idx="439">
                  <c:v>106.029691</c:v>
                </c:pt>
                <c:pt idx="440">
                  <c:v>106.028561</c:v>
                </c:pt>
                <c:pt idx="441">
                  <c:v>106.02743100000001</c:v>
                </c:pt>
                <c:pt idx="442">
                  <c:v>106.026301</c:v>
                </c:pt>
                <c:pt idx="443">
                  <c:v>106.025171</c:v>
                </c:pt>
                <c:pt idx="444">
                  <c:v>106.024041</c:v>
                </c:pt>
                <c:pt idx="445">
                  <c:v>106.02291100000001</c:v>
                </c:pt>
                <c:pt idx="446">
                  <c:v>106.021781</c:v>
                </c:pt>
                <c:pt idx="447">
                  <c:v>106.020651</c:v>
                </c:pt>
                <c:pt idx="448">
                  <c:v>106.019521</c:v>
                </c:pt>
                <c:pt idx="449">
                  <c:v>106.01839100000001</c:v>
                </c:pt>
                <c:pt idx="450">
                  <c:v>106.017261</c:v>
                </c:pt>
                <c:pt idx="451">
                  <c:v>106.016131</c:v>
                </c:pt>
                <c:pt idx="452">
                  <c:v>106.015001</c:v>
                </c:pt>
                <c:pt idx="453">
                  <c:v>106.01387100000001</c:v>
                </c:pt>
                <c:pt idx="454">
                  <c:v>106.01274100000001</c:v>
                </c:pt>
                <c:pt idx="455">
                  <c:v>106.011611</c:v>
                </c:pt>
                <c:pt idx="456">
                  <c:v>106.010481</c:v>
                </c:pt>
                <c:pt idx="457">
                  <c:v>106.00935100000001</c:v>
                </c:pt>
                <c:pt idx="458">
                  <c:v>106.00822100000001</c:v>
                </c:pt>
                <c:pt idx="459">
                  <c:v>106.007091</c:v>
                </c:pt>
                <c:pt idx="460">
                  <c:v>106.005961</c:v>
                </c:pt>
                <c:pt idx="461">
                  <c:v>106.004831</c:v>
                </c:pt>
                <c:pt idx="462">
                  <c:v>106.00370100000001</c:v>
                </c:pt>
                <c:pt idx="463">
                  <c:v>106.002571</c:v>
                </c:pt>
                <c:pt idx="464">
                  <c:v>106.001441</c:v>
                </c:pt>
                <c:pt idx="465">
                  <c:v>106.000311</c:v>
                </c:pt>
                <c:pt idx="466">
                  <c:v>105.99918100000001</c:v>
                </c:pt>
                <c:pt idx="467">
                  <c:v>105.998051</c:v>
                </c:pt>
                <c:pt idx="468">
                  <c:v>105.996921</c:v>
                </c:pt>
                <c:pt idx="469">
                  <c:v>105.995791</c:v>
                </c:pt>
                <c:pt idx="470">
                  <c:v>105.99466100000001</c:v>
                </c:pt>
                <c:pt idx="471">
                  <c:v>105.993531</c:v>
                </c:pt>
                <c:pt idx="472">
                  <c:v>105.992401</c:v>
                </c:pt>
                <c:pt idx="473">
                  <c:v>105.991271</c:v>
                </c:pt>
                <c:pt idx="474">
                  <c:v>105.99014100000001</c:v>
                </c:pt>
                <c:pt idx="475">
                  <c:v>105.989011</c:v>
                </c:pt>
                <c:pt idx="476">
                  <c:v>105.987881</c:v>
                </c:pt>
                <c:pt idx="477">
                  <c:v>105.986751</c:v>
                </c:pt>
                <c:pt idx="478">
                  <c:v>105.98562100000001</c:v>
                </c:pt>
                <c:pt idx="479">
                  <c:v>105.98449100000001</c:v>
                </c:pt>
                <c:pt idx="480">
                  <c:v>105.983361</c:v>
                </c:pt>
                <c:pt idx="481">
                  <c:v>105.982231</c:v>
                </c:pt>
                <c:pt idx="482">
                  <c:v>105.98110100000001</c:v>
                </c:pt>
                <c:pt idx="483">
                  <c:v>105.97997100000001</c:v>
                </c:pt>
                <c:pt idx="484">
                  <c:v>105.978841</c:v>
                </c:pt>
                <c:pt idx="485">
                  <c:v>105.977711</c:v>
                </c:pt>
                <c:pt idx="486">
                  <c:v>105.976581</c:v>
                </c:pt>
                <c:pt idx="487">
                  <c:v>105.97545100000001</c:v>
                </c:pt>
                <c:pt idx="488">
                  <c:v>105.974321</c:v>
                </c:pt>
                <c:pt idx="489">
                  <c:v>105.973191</c:v>
                </c:pt>
                <c:pt idx="490">
                  <c:v>105.972061</c:v>
                </c:pt>
                <c:pt idx="491">
                  <c:v>105.97093100000001</c:v>
                </c:pt>
                <c:pt idx="492">
                  <c:v>105.969801</c:v>
                </c:pt>
                <c:pt idx="493">
                  <c:v>105.968671</c:v>
                </c:pt>
                <c:pt idx="494">
                  <c:v>105.967541</c:v>
                </c:pt>
                <c:pt idx="495">
                  <c:v>105.96641100000001</c:v>
                </c:pt>
                <c:pt idx="496">
                  <c:v>105.965281</c:v>
                </c:pt>
                <c:pt idx="497">
                  <c:v>105.964151</c:v>
                </c:pt>
                <c:pt idx="498">
                  <c:v>105.963021</c:v>
                </c:pt>
                <c:pt idx="499">
                  <c:v>105.96189100000001</c:v>
                </c:pt>
                <c:pt idx="500">
                  <c:v>105.96076100000001</c:v>
                </c:pt>
                <c:pt idx="501">
                  <c:v>105.959631</c:v>
                </c:pt>
                <c:pt idx="502">
                  <c:v>105.958501</c:v>
                </c:pt>
                <c:pt idx="503">
                  <c:v>105.95737100000001</c:v>
                </c:pt>
                <c:pt idx="504">
                  <c:v>105.95624100000001</c:v>
                </c:pt>
                <c:pt idx="505">
                  <c:v>105.955111</c:v>
                </c:pt>
                <c:pt idx="506">
                  <c:v>105.953981</c:v>
                </c:pt>
                <c:pt idx="507">
                  <c:v>105.95285100000001</c:v>
                </c:pt>
                <c:pt idx="508">
                  <c:v>105.95172100000001</c:v>
                </c:pt>
                <c:pt idx="509">
                  <c:v>105.950591</c:v>
                </c:pt>
                <c:pt idx="510">
                  <c:v>105.949461</c:v>
                </c:pt>
                <c:pt idx="511">
                  <c:v>105.948331</c:v>
                </c:pt>
                <c:pt idx="512">
                  <c:v>105.94720100000001</c:v>
                </c:pt>
                <c:pt idx="513">
                  <c:v>105.946071</c:v>
                </c:pt>
                <c:pt idx="514">
                  <c:v>105.944941</c:v>
                </c:pt>
                <c:pt idx="515">
                  <c:v>105.943811</c:v>
                </c:pt>
                <c:pt idx="516">
                  <c:v>105.94268100000001</c:v>
                </c:pt>
                <c:pt idx="517">
                  <c:v>105.941551</c:v>
                </c:pt>
                <c:pt idx="518">
                  <c:v>105.940421</c:v>
                </c:pt>
                <c:pt idx="519">
                  <c:v>105.939291</c:v>
                </c:pt>
                <c:pt idx="520">
                  <c:v>105.93816100000001</c:v>
                </c:pt>
                <c:pt idx="521">
                  <c:v>105.937031</c:v>
                </c:pt>
                <c:pt idx="522">
                  <c:v>105.935901</c:v>
                </c:pt>
                <c:pt idx="523">
                  <c:v>105.934771</c:v>
                </c:pt>
                <c:pt idx="524">
                  <c:v>105.93364100000001</c:v>
                </c:pt>
                <c:pt idx="525">
                  <c:v>105.93251100000001</c:v>
                </c:pt>
                <c:pt idx="526">
                  <c:v>105.931381</c:v>
                </c:pt>
                <c:pt idx="527">
                  <c:v>105.930251</c:v>
                </c:pt>
                <c:pt idx="528">
                  <c:v>105.92912100000001</c:v>
                </c:pt>
                <c:pt idx="529">
                  <c:v>105.92799100000001</c:v>
                </c:pt>
                <c:pt idx="530">
                  <c:v>105.926861</c:v>
                </c:pt>
                <c:pt idx="531">
                  <c:v>105.925731</c:v>
                </c:pt>
                <c:pt idx="532">
                  <c:v>105.92460100000001</c:v>
                </c:pt>
                <c:pt idx="533">
                  <c:v>105.92347100000001</c:v>
                </c:pt>
                <c:pt idx="534">
                  <c:v>105.922341</c:v>
                </c:pt>
                <c:pt idx="535">
                  <c:v>105.921211</c:v>
                </c:pt>
                <c:pt idx="536">
                  <c:v>105.920081</c:v>
                </c:pt>
                <c:pt idx="537">
                  <c:v>105.91895100000001</c:v>
                </c:pt>
                <c:pt idx="538">
                  <c:v>105.917821</c:v>
                </c:pt>
                <c:pt idx="539">
                  <c:v>105.916691</c:v>
                </c:pt>
                <c:pt idx="540">
                  <c:v>105.915561</c:v>
                </c:pt>
                <c:pt idx="541">
                  <c:v>105.91443100000001</c:v>
                </c:pt>
                <c:pt idx="542">
                  <c:v>105.913301</c:v>
                </c:pt>
                <c:pt idx="543">
                  <c:v>105.912171</c:v>
                </c:pt>
                <c:pt idx="544">
                  <c:v>105.911041</c:v>
                </c:pt>
                <c:pt idx="545">
                  <c:v>105.90991100000001</c:v>
                </c:pt>
                <c:pt idx="546">
                  <c:v>105.908781</c:v>
                </c:pt>
                <c:pt idx="547">
                  <c:v>105.907651</c:v>
                </c:pt>
                <c:pt idx="548">
                  <c:v>105.906521</c:v>
                </c:pt>
                <c:pt idx="549">
                  <c:v>105.90539100000001</c:v>
                </c:pt>
                <c:pt idx="550">
                  <c:v>105.90426100000001</c:v>
                </c:pt>
                <c:pt idx="551">
                  <c:v>105.903131</c:v>
                </c:pt>
                <c:pt idx="552">
                  <c:v>105.902001</c:v>
                </c:pt>
                <c:pt idx="553">
                  <c:v>105.90087100000001</c:v>
                </c:pt>
                <c:pt idx="554">
                  <c:v>105.89974100000001</c:v>
                </c:pt>
                <c:pt idx="555">
                  <c:v>105.898611</c:v>
                </c:pt>
                <c:pt idx="556">
                  <c:v>105.897481</c:v>
                </c:pt>
                <c:pt idx="557">
                  <c:v>105.89635100000001</c:v>
                </c:pt>
                <c:pt idx="558">
                  <c:v>105.89522100000001</c:v>
                </c:pt>
                <c:pt idx="559">
                  <c:v>105.894091</c:v>
                </c:pt>
                <c:pt idx="560">
                  <c:v>105.892961</c:v>
                </c:pt>
                <c:pt idx="561">
                  <c:v>105.891831</c:v>
                </c:pt>
                <c:pt idx="562">
                  <c:v>105.89070100000001</c:v>
                </c:pt>
                <c:pt idx="563">
                  <c:v>105.889571</c:v>
                </c:pt>
                <c:pt idx="564">
                  <c:v>105.888441</c:v>
                </c:pt>
                <c:pt idx="565">
                  <c:v>105.887311</c:v>
                </c:pt>
                <c:pt idx="566">
                  <c:v>105.88618100000001</c:v>
                </c:pt>
                <c:pt idx="567">
                  <c:v>105.885051</c:v>
                </c:pt>
                <c:pt idx="568">
                  <c:v>105.883921</c:v>
                </c:pt>
                <c:pt idx="569">
                  <c:v>105.882791</c:v>
                </c:pt>
                <c:pt idx="570">
                  <c:v>105.88166100000001</c:v>
                </c:pt>
                <c:pt idx="571">
                  <c:v>105.880531</c:v>
                </c:pt>
                <c:pt idx="572">
                  <c:v>105.879401</c:v>
                </c:pt>
                <c:pt idx="573">
                  <c:v>105.878271</c:v>
                </c:pt>
                <c:pt idx="574">
                  <c:v>105.87714100000001</c:v>
                </c:pt>
                <c:pt idx="575">
                  <c:v>105.87601100000001</c:v>
                </c:pt>
                <c:pt idx="576">
                  <c:v>105.874881</c:v>
                </c:pt>
                <c:pt idx="577">
                  <c:v>105.873751</c:v>
                </c:pt>
                <c:pt idx="578">
                  <c:v>105.87262100000001</c:v>
                </c:pt>
                <c:pt idx="579">
                  <c:v>105.87149100000001</c:v>
                </c:pt>
                <c:pt idx="580">
                  <c:v>105.870361</c:v>
                </c:pt>
                <c:pt idx="581">
                  <c:v>105.869231</c:v>
                </c:pt>
                <c:pt idx="582">
                  <c:v>105.868101</c:v>
                </c:pt>
                <c:pt idx="583">
                  <c:v>105.86697100000001</c:v>
                </c:pt>
                <c:pt idx="584">
                  <c:v>105.865841</c:v>
                </c:pt>
                <c:pt idx="585">
                  <c:v>105.864711</c:v>
                </c:pt>
                <c:pt idx="586">
                  <c:v>105.863581</c:v>
                </c:pt>
                <c:pt idx="587">
                  <c:v>105.86245100000001</c:v>
                </c:pt>
                <c:pt idx="588">
                  <c:v>105.861321</c:v>
                </c:pt>
                <c:pt idx="589">
                  <c:v>105.860191</c:v>
                </c:pt>
                <c:pt idx="590">
                  <c:v>105.859061</c:v>
                </c:pt>
                <c:pt idx="591">
                  <c:v>105.85793100000001</c:v>
                </c:pt>
                <c:pt idx="592">
                  <c:v>105.856801</c:v>
                </c:pt>
                <c:pt idx="593">
                  <c:v>105.855671</c:v>
                </c:pt>
                <c:pt idx="594">
                  <c:v>105.854541</c:v>
                </c:pt>
                <c:pt idx="595">
                  <c:v>105.85341100000001</c:v>
                </c:pt>
                <c:pt idx="596">
                  <c:v>105.852281</c:v>
                </c:pt>
                <c:pt idx="597">
                  <c:v>105.851151</c:v>
                </c:pt>
                <c:pt idx="598">
                  <c:v>105.850021</c:v>
                </c:pt>
                <c:pt idx="599">
                  <c:v>105.84889100000001</c:v>
                </c:pt>
                <c:pt idx="600">
                  <c:v>105.84776100000001</c:v>
                </c:pt>
                <c:pt idx="601">
                  <c:v>105.846631</c:v>
                </c:pt>
                <c:pt idx="602">
                  <c:v>105.845501</c:v>
                </c:pt>
                <c:pt idx="603">
                  <c:v>105.84437100000001</c:v>
                </c:pt>
                <c:pt idx="604">
                  <c:v>105.84324100000001</c:v>
                </c:pt>
                <c:pt idx="605">
                  <c:v>105.842111</c:v>
                </c:pt>
                <c:pt idx="606">
                  <c:v>105.840981</c:v>
                </c:pt>
                <c:pt idx="607">
                  <c:v>105.839851</c:v>
                </c:pt>
                <c:pt idx="608">
                  <c:v>105.83872100000001</c:v>
                </c:pt>
                <c:pt idx="609">
                  <c:v>105.837591</c:v>
                </c:pt>
                <c:pt idx="610">
                  <c:v>105.836461</c:v>
                </c:pt>
                <c:pt idx="611">
                  <c:v>105.835331</c:v>
                </c:pt>
                <c:pt idx="612">
                  <c:v>105.83420100000001</c:v>
                </c:pt>
                <c:pt idx="613">
                  <c:v>105.833071</c:v>
                </c:pt>
                <c:pt idx="614">
                  <c:v>105.831941</c:v>
                </c:pt>
                <c:pt idx="615">
                  <c:v>105.830811</c:v>
                </c:pt>
                <c:pt idx="616">
                  <c:v>105.82968100000001</c:v>
                </c:pt>
                <c:pt idx="617">
                  <c:v>105.828551</c:v>
                </c:pt>
                <c:pt idx="618">
                  <c:v>105.827421</c:v>
                </c:pt>
                <c:pt idx="619">
                  <c:v>105.826291</c:v>
                </c:pt>
                <c:pt idx="620">
                  <c:v>105.82516100000001</c:v>
                </c:pt>
                <c:pt idx="621">
                  <c:v>105.82403100000001</c:v>
                </c:pt>
                <c:pt idx="622">
                  <c:v>105.822901</c:v>
                </c:pt>
                <c:pt idx="623">
                  <c:v>105.821771</c:v>
                </c:pt>
                <c:pt idx="624">
                  <c:v>105.82064100000001</c:v>
                </c:pt>
                <c:pt idx="625">
                  <c:v>105.81951100000001</c:v>
                </c:pt>
                <c:pt idx="626">
                  <c:v>105.818381</c:v>
                </c:pt>
                <c:pt idx="627">
                  <c:v>105.817251</c:v>
                </c:pt>
                <c:pt idx="628">
                  <c:v>105.81612100000001</c:v>
                </c:pt>
                <c:pt idx="629">
                  <c:v>105.81499100000001</c:v>
                </c:pt>
                <c:pt idx="630">
                  <c:v>105.813861</c:v>
                </c:pt>
                <c:pt idx="631">
                  <c:v>105.812731</c:v>
                </c:pt>
                <c:pt idx="632">
                  <c:v>105.811601</c:v>
                </c:pt>
                <c:pt idx="633">
                  <c:v>105.81047100000001</c:v>
                </c:pt>
                <c:pt idx="634">
                  <c:v>105.809341</c:v>
                </c:pt>
                <c:pt idx="635">
                  <c:v>105.808211</c:v>
                </c:pt>
                <c:pt idx="636">
                  <c:v>105.807081</c:v>
                </c:pt>
                <c:pt idx="637">
                  <c:v>105.80595100000001</c:v>
                </c:pt>
                <c:pt idx="638">
                  <c:v>105.804821</c:v>
                </c:pt>
                <c:pt idx="639">
                  <c:v>105.803691</c:v>
                </c:pt>
                <c:pt idx="640">
                  <c:v>105.802561</c:v>
                </c:pt>
                <c:pt idx="641">
                  <c:v>105.80143100000001</c:v>
                </c:pt>
                <c:pt idx="642">
                  <c:v>105.800301</c:v>
                </c:pt>
                <c:pt idx="643">
                  <c:v>105.799171</c:v>
                </c:pt>
                <c:pt idx="644">
                  <c:v>105.798041</c:v>
                </c:pt>
                <c:pt idx="645">
                  <c:v>105.79691100000001</c:v>
                </c:pt>
                <c:pt idx="646">
                  <c:v>105.79578100000001</c:v>
                </c:pt>
                <c:pt idx="647">
                  <c:v>105.794651</c:v>
                </c:pt>
                <c:pt idx="648">
                  <c:v>105.793521</c:v>
                </c:pt>
                <c:pt idx="649">
                  <c:v>105.79239100000001</c:v>
                </c:pt>
                <c:pt idx="650">
                  <c:v>105.79126100000001</c:v>
                </c:pt>
                <c:pt idx="651">
                  <c:v>105.790131</c:v>
                </c:pt>
                <c:pt idx="652">
                  <c:v>105.789001</c:v>
                </c:pt>
                <c:pt idx="653">
                  <c:v>105.78787100000001</c:v>
                </c:pt>
                <c:pt idx="654">
                  <c:v>105.78674100000001</c:v>
                </c:pt>
                <c:pt idx="655">
                  <c:v>105.785611</c:v>
                </c:pt>
                <c:pt idx="656">
                  <c:v>105.784481</c:v>
                </c:pt>
                <c:pt idx="657">
                  <c:v>105.783351</c:v>
                </c:pt>
                <c:pt idx="658">
                  <c:v>105.78222100000001</c:v>
                </c:pt>
                <c:pt idx="659">
                  <c:v>105.781091</c:v>
                </c:pt>
                <c:pt idx="660">
                  <c:v>105.779961</c:v>
                </c:pt>
                <c:pt idx="661">
                  <c:v>105.778831</c:v>
                </c:pt>
                <c:pt idx="662">
                  <c:v>105.77770100000001</c:v>
                </c:pt>
                <c:pt idx="663">
                  <c:v>105.776571</c:v>
                </c:pt>
                <c:pt idx="664">
                  <c:v>105.775441</c:v>
                </c:pt>
                <c:pt idx="665">
                  <c:v>105.774311</c:v>
                </c:pt>
                <c:pt idx="666">
                  <c:v>105.77318100000001</c:v>
                </c:pt>
                <c:pt idx="667">
                  <c:v>105.772051</c:v>
                </c:pt>
                <c:pt idx="668">
                  <c:v>105.770921</c:v>
                </c:pt>
                <c:pt idx="669">
                  <c:v>105.769791</c:v>
                </c:pt>
                <c:pt idx="670">
                  <c:v>105.76866100000001</c:v>
                </c:pt>
                <c:pt idx="671">
                  <c:v>105.76753100000001</c:v>
                </c:pt>
                <c:pt idx="672">
                  <c:v>105.766401</c:v>
                </c:pt>
                <c:pt idx="673">
                  <c:v>105.765271</c:v>
                </c:pt>
                <c:pt idx="674">
                  <c:v>105.76414100000001</c:v>
                </c:pt>
                <c:pt idx="675">
                  <c:v>105.76301100000001</c:v>
                </c:pt>
                <c:pt idx="676">
                  <c:v>105.761881</c:v>
                </c:pt>
                <c:pt idx="677">
                  <c:v>105.760751</c:v>
                </c:pt>
                <c:pt idx="678">
                  <c:v>105.75962100000001</c:v>
                </c:pt>
                <c:pt idx="679">
                  <c:v>105.75849100000001</c:v>
                </c:pt>
                <c:pt idx="680">
                  <c:v>105.757361</c:v>
                </c:pt>
                <c:pt idx="681">
                  <c:v>105.756231</c:v>
                </c:pt>
                <c:pt idx="682">
                  <c:v>105.755101</c:v>
                </c:pt>
                <c:pt idx="683">
                  <c:v>105.75397100000001</c:v>
                </c:pt>
                <c:pt idx="684">
                  <c:v>105.752841</c:v>
                </c:pt>
                <c:pt idx="685">
                  <c:v>105.751711</c:v>
                </c:pt>
                <c:pt idx="686">
                  <c:v>105.750581</c:v>
                </c:pt>
                <c:pt idx="687">
                  <c:v>105.74945100000001</c:v>
                </c:pt>
                <c:pt idx="688">
                  <c:v>105.748321</c:v>
                </c:pt>
                <c:pt idx="689">
                  <c:v>105.747191</c:v>
                </c:pt>
                <c:pt idx="690">
                  <c:v>105.746061</c:v>
                </c:pt>
                <c:pt idx="691">
                  <c:v>105.74493100000001</c:v>
                </c:pt>
                <c:pt idx="692">
                  <c:v>105.743801</c:v>
                </c:pt>
                <c:pt idx="693">
                  <c:v>105.742671</c:v>
                </c:pt>
                <c:pt idx="694">
                  <c:v>105.741541</c:v>
                </c:pt>
                <c:pt idx="695">
                  <c:v>105.74041100000001</c:v>
                </c:pt>
                <c:pt idx="696">
                  <c:v>105.73928100000001</c:v>
                </c:pt>
                <c:pt idx="697">
                  <c:v>105.738151</c:v>
                </c:pt>
                <c:pt idx="698">
                  <c:v>105.737021</c:v>
                </c:pt>
                <c:pt idx="699">
                  <c:v>105.73589100000001</c:v>
                </c:pt>
                <c:pt idx="700">
                  <c:v>105.73476100000001</c:v>
                </c:pt>
                <c:pt idx="701">
                  <c:v>105.733631</c:v>
                </c:pt>
                <c:pt idx="702">
                  <c:v>105.732501</c:v>
                </c:pt>
                <c:pt idx="703">
                  <c:v>105.731371</c:v>
                </c:pt>
                <c:pt idx="704">
                  <c:v>105.73024100000001</c:v>
                </c:pt>
                <c:pt idx="705">
                  <c:v>105.729111</c:v>
                </c:pt>
                <c:pt idx="706">
                  <c:v>105.727981</c:v>
                </c:pt>
                <c:pt idx="707">
                  <c:v>105.726851</c:v>
                </c:pt>
                <c:pt idx="708">
                  <c:v>105.72572100000001</c:v>
                </c:pt>
                <c:pt idx="709">
                  <c:v>105.724591</c:v>
                </c:pt>
                <c:pt idx="710">
                  <c:v>105.723461</c:v>
                </c:pt>
                <c:pt idx="711">
                  <c:v>105.722331</c:v>
                </c:pt>
                <c:pt idx="712">
                  <c:v>105.72120100000001</c:v>
                </c:pt>
                <c:pt idx="713">
                  <c:v>105.720071</c:v>
                </c:pt>
                <c:pt idx="714">
                  <c:v>105.718941</c:v>
                </c:pt>
                <c:pt idx="715">
                  <c:v>105.717811</c:v>
                </c:pt>
                <c:pt idx="716">
                  <c:v>105.71668100000001</c:v>
                </c:pt>
                <c:pt idx="717">
                  <c:v>105.715551</c:v>
                </c:pt>
                <c:pt idx="718">
                  <c:v>105.714421</c:v>
                </c:pt>
                <c:pt idx="719">
                  <c:v>105.713291</c:v>
                </c:pt>
                <c:pt idx="720">
                  <c:v>105.71216100000001</c:v>
                </c:pt>
                <c:pt idx="721">
                  <c:v>105.71103100000001</c:v>
                </c:pt>
                <c:pt idx="722">
                  <c:v>105.709901</c:v>
                </c:pt>
                <c:pt idx="723">
                  <c:v>105.708771</c:v>
                </c:pt>
                <c:pt idx="724">
                  <c:v>105.70764100000001</c:v>
                </c:pt>
                <c:pt idx="725">
                  <c:v>105.70651100000001</c:v>
                </c:pt>
                <c:pt idx="726">
                  <c:v>105.705381</c:v>
                </c:pt>
                <c:pt idx="727">
                  <c:v>105.704251</c:v>
                </c:pt>
                <c:pt idx="728">
                  <c:v>105.703121</c:v>
                </c:pt>
                <c:pt idx="729">
                  <c:v>105.70199100000001</c:v>
                </c:pt>
                <c:pt idx="730">
                  <c:v>105.700861</c:v>
                </c:pt>
                <c:pt idx="731">
                  <c:v>105.699731</c:v>
                </c:pt>
                <c:pt idx="732">
                  <c:v>105.698601</c:v>
                </c:pt>
                <c:pt idx="733">
                  <c:v>105.69747100000001</c:v>
                </c:pt>
                <c:pt idx="734">
                  <c:v>105.696341</c:v>
                </c:pt>
                <c:pt idx="735">
                  <c:v>105.695211</c:v>
                </c:pt>
                <c:pt idx="736">
                  <c:v>105.694081</c:v>
                </c:pt>
                <c:pt idx="737">
                  <c:v>105.69295100000001</c:v>
                </c:pt>
                <c:pt idx="738">
                  <c:v>105.691821</c:v>
                </c:pt>
                <c:pt idx="739">
                  <c:v>105.690691</c:v>
                </c:pt>
                <c:pt idx="740">
                  <c:v>105.689561</c:v>
                </c:pt>
                <c:pt idx="741">
                  <c:v>105.68843100000001</c:v>
                </c:pt>
                <c:pt idx="742">
                  <c:v>105.68730100000001</c:v>
                </c:pt>
                <c:pt idx="743">
                  <c:v>105.686171</c:v>
                </c:pt>
                <c:pt idx="744">
                  <c:v>105.685041</c:v>
                </c:pt>
                <c:pt idx="745">
                  <c:v>105.68391100000001</c:v>
                </c:pt>
                <c:pt idx="746">
                  <c:v>105.68278100000001</c:v>
                </c:pt>
                <c:pt idx="747">
                  <c:v>105.681651</c:v>
                </c:pt>
                <c:pt idx="748">
                  <c:v>105.680521</c:v>
                </c:pt>
                <c:pt idx="749">
                  <c:v>105.67939100000001</c:v>
                </c:pt>
                <c:pt idx="750">
                  <c:v>105.67826100000001</c:v>
                </c:pt>
                <c:pt idx="751">
                  <c:v>105.677131</c:v>
                </c:pt>
                <c:pt idx="752">
                  <c:v>105.676001</c:v>
                </c:pt>
                <c:pt idx="753">
                  <c:v>105.674871</c:v>
                </c:pt>
                <c:pt idx="754">
                  <c:v>105.67374100000001</c:v>
                </c:pt>
                <c:pt idx="755">
                  <c:v>105.672611</c:v>
                </c:pt>
                <c:pt idx="756">
                  <c:v>105.671481</c:v>
                </c:pt>
                <c:pt idx="757">
                  <c:v>105.670351</c:v>
                </c:pt>
                <c:pt idx="758">
                  <c:v>105.66922100000001</c:v>
                </c:pt>
                <c:pt idx="759">
                  <c:v>105.668091</c:v>
                </c:pt>
                <c:pt idx="760">
                  <c:v>105.666961</c:v>
                </c:pt>
                <c:pt idx="761">
                  <c:v>105.665831</c:v>
                </c:pt>
                <c:pt idx="762">
                  <c:v>105.66470100000001</c:v>
                </c:pt>
                <c:pt idx="763">
                  <c:v>105.663571</c:v>
                </c:pt>
                <c:pt idx="764">
                  <c:v>105.662441</c:v>
                </c:pt>
                <c:pt idx="765">
                  <c:v>105.661311</c:v>
                </c:pt>
                <c:pt idx="766">
                  <c:v>105.66018100000001</c:v>
                </c:pt>
                <c:pt idx="767">
                  <c:v>105.65905100000001</c:v>
                </c:pt>
                <c:pt idx="768">
                  <c:v>105.657921</c:v>
                </c:pt>
                <c:pt idx="769">
                  <c:v>105.656791</c:v>
                </c:pt>
                <c:pt idx="770">
                  <c:v>105.65566100000001</c:v>
                </c:pt>
                <c:pt idx="771">
                  <c:v>105.65453100000001</c:v>
                </c:pt>
                <c:pt idx="772">
                  <c:v>105.653401</c:v>
                </c:pt>
                <c:pt idx="773">
                  <c:v>105.652271</c:v>
                </c:pt>
                <c:pt idx="774">
                  <c:v>105.65114100000001</c:v>
                </c:pt>
                <c:pt idx="775">
                  <c:v>105.65001100000001</c:v>
                </c:pt>
                <c:pt idx="776">
                  <c:v>105.648881</c:v>
                </c:pt>
                <c:pt idx="777">
                  <c:v>105.647751</c:v>
                </c:pt>
                <c:pt idx="778">
                  <c:v>105.646621</c:v>
                </c:pt>
                <c:pt idx="779">
                  <c:v>105.64549100000001</c:v>
                </c:pt>
                <c:pt idx="780">
                  <c:v>105.644361</c:v>
                </c:pt>
                <c:pt idx="781">
                  <c:v>105.643231</c:v>
                </c:pt>
                <c:pt idx="782">
                  <c:v>105.642101</c:v>
                </c:pt>
                <c:pt idx="783">
                  <c:v>105.64097100000001</c:v>
                </c:pt>
                <c:pt idx="784">
                  <c:v>105.639841</c:v>
                </c:pt>
                <c:pt idx="785">
                  <c:v>105.638711</c:v>
                </c:pt>
                <c:pt idx="786">
                  <c:v>105.637581</c:v>
                </c:pt>
                <c:pt idx="787">
                  <c:v>105.63645100000001</c:v>
                </c:pt>
                <c:pt idx="788">
                  <c:v>105.635321</c:v>
                </c:pt>
                <c:pt idx="789">
                  <c:v>105.634191</c:v>
                </c:pt>
                <c:pt idx="790">
                  <c:v>105.633061</c:v>
                </c:pt>
                <c:pt idx="791">
                  <c:v>105.63193100000001</c:v>
                </c:pt>
                <c:pt idx="792">
                  <c:v>105.63080100000001</c:v>
                </c:pt>
                <c:pt idx="793">
                  <c:v>105.629671</c:v>
                </c:pt>
                <c:pt idx="794">
                  <c:v>105.628541</c:v>
                </c:pt>
                <c:pt idx="795">
                  <c:v>105.62741100000001</c:v>
                </c:pt>
                <c:pt idx="796">
                  <c:v>105.62628100000001</c:v>
                </c:pt>
                <c:pt idx="797">
                  <c:v>105.625151</c:v>
                </c:pt>
                <c:pt idx="798">
                  <c:v>105.624021</c:v>
                </c:pt>
                <c:pt idx="799">
                  <c:v>105.62289100000001</c:v>
                </c:pt>
                <c:pt idx="800">
                  <c:v>105.62176100000001</c:v>
                </c:pt>
                <c:pt idx="801">
                  <c:v>105.620631</c:v>
                </c:pt>
                <c:pt idx="802">
                  <c:v>105.619501</c:v>
                </c:pt>
                <c:pt idx="803">
                  <c:v>105.618371</c:v>
                </c:pt>
                <c:pt idx="804">
                  <c:v>105.61724100000001</c:v>
                </c:pt>
                <c:pt idx="805">
                  <c:v>105.616111</c:v>
                </c:pt>
                <c:pt idx="806">
                  <c:v>105.614981</c:v>
                </c:pt>
                <c:pt idx="807">
                  <c:v>105.613851</c:v>
                </c:pt>
                <c:pt idx="808">
                  <c:v>105.61272100000001</c:v>
                </c:pt>
                <c:pt idx="809">
                  <c:v>105.611591</c:v>
                </c:pt>
                <c:pt idx="810">
                  <c:v>105.610461</c:v>
                </c:pt>
                <c:pt idx="811">
                  <c:v>105.609331</c:v>
                </c:pt>
                <c:pt idx="812">
                  <c:v>105.60820100000001</c:v>
                </c:pt>
                <c:pt idx="813">
                  <c:v>105.607071</c:v>
                </c:pt>
                <c:pt idx="814">
                  <c:v>105.605941</c:v>
                </c:pt>
                <c:pt idx="815">
                  <c:v>105.604811</c:v>
                </c:pt>
                <c:pt idx="816">
                  <c:v>105.60368100000001</c:v>
                </c:pt>
                <c:pt idx="817">
                  <c:v>105.60255100000001</c:v>
                </c:pt>
                <c:pt idx="818">
                  <c:v>105.601421</c:v>
                </c:pt>
                <c:pt idx="819">
                  <c:v>105.600291</c:v>
                </c:pt>
                <c:pt idx="820">
                  <c:v>105.59916100000001</c:v>
                </c:pt>
                <c:pt idx="821">
                  <c:v>105.59803100000001</c:v>
                </c:pt>
                <c:pt idx="822">
                  <c:v>105.596901</c:v>
                </c:pt>
                <c:pt idx="823">
                  <c:v>105.595771</c:v>
                </c:pt>
                <c:pt idx="824">
                  <c:v>105.594641</c:v>
                </c:pt>
                <c:pt idx="825">
                  <c:v>105.59351100000001</c:v>
                </c:pt>
                <c:pt idx="826">
                  <c:v>105.592381</c:v>
                </c:pt>
                <c:pt idx="827">
                  <c:v>105.591251</c:v>
                </c:pt>
                <c:pt idx="828">
                  <c:v>105.590121</c:v>
                </c:pt>
                <c:pt idx="829">
                  <c:v>105.58899100000001</c:v>
                </c:pt>
                <c:pt idx="830">
                  <c:v>105.587861</c:v>
                </c:pt>
                <c:pt idx="831">
                  <c:v>105.586731</c:v>
                </c:pt>
                <c:pt idx="832">
                  <c:v>105.585601</c:v>
                </c:pt>
                <c:pt idx="833">
                  <c:v>105.58447100000001</c:v>
                </c:pt>
                <c:pt idx="834">
                  <c:v>105.583341</c:v>
                </c:pt>
                <c:pt idx="835">
                  <c:v>105.582211</c:v>
                </c:pt>
                <c:pt idx="836">
                  <c:v>105.581081</c:v>
                </c:pt>
                <c:pt idx="837">
                  <c:v>105.57995100000001</c:v>
                </c:pt>
                <c:pt idx="838">
                  <c:v>105.578821</c:v>
                </c:pt>
                <c:pt idx="839">
                  <c:v>105.577691</c:v>
                </c:pt>
                <c:pt idx="840">
                  <c:v>105.576561</c:v>
                </c:pt>
                <c:pt idx="841">
                  <c:v>105.57543100000001</c:v>
                </c:pt>
                <c:pt idx="842">
                  <c:v>105.57430100000001</c:v>
                </c:pt>
                <c:pt idx="843">
                  <c:v>105.573171</c:v>
                </c:pt>
                <c:pt idx="844">
                  <c:v>105.572041</c:v>
                </c:pt>
                <c:pt idx="845">
                  <c:v>105.57091100000001</c:v>
                </c:pt>
                <c:pt idx="846">
                  <c:v>105.56978100000001</c:v>
                </c:pt>
                <c:pt idx="847">
                  <c:v>105.568651</c:v>
                </c:pt>
                <c:pt idx="848">
                  <c:v>105.567521</c:v>
                </c:pt>
                <c:pt idx="849">
                  <c:v>105.566391</c:v>
                </c:pt>
                <c:pt idx="850">
                  <c:v>105.56526100000001</c:v>
                </c:pt>
                <c:pt idx="851">
                  <c:v>105.564131</c:v>
                </c:pt>
                <c:pt idx="852">
                  <c:v>105.563001</c:v>
                </c:pt>
                <c:pt idx="853">
                  <c:v>105.561871</c:v>
                </c:pt>
                <c:pt idx="854">
                  <c:v>105.56074100000001</c:v>
                </c:pt>
                <c:pt idx="855">
                  <c:v>105.559611</c:v>
                </c:pt>
                <c:pt idx="856">
                  <c:v>105.558481</c:v>
                </c:pt>
                <c:pt idx="857">
                  <c:v>105.557351</c:v>
                </c:pt>
                <c:pt idx="858">
                  <c:v>105.55622100000001</c:v>
                </c:pt>
                <c:pt idx="859">
                  <c:v>105.555091</c:v>
                </c:pt>
                <c:pt idx="860">
                  <c:v>105.553961</c:v>
                </c:pt>
                <c:pt idx="861">
                  <c:v>105.552831</c:v>
                </c:pt>
                <c:pt idx="862">
                  <c:v>105.55170100000001</c:v>
                </c:pt>
                <c:pt idx="863">
                  <c:v>105.55057100000001</c:v>
                </c:pt>
                <c:pt idx="864">
                  <c:v>105.549441</c:v>
                </c:pt>
                <c:pt idx="865">
                  <c:v>105.548311</c:v>
                </c:pt>
                <c:pt idx="866">
                  <c:v>105.54718100000001</c:v>
                </c:pt>
                <c:pt idx="867">
                  <c:v>105.54605100000001</c:v>
                </c:pt>
                <c:pt idx="868">
                  <c:v>105.544921</c:v>
                </c:pt>
                <c:pt idx="869">
                  <c:v>105.543791</c:v>
                </c:pt>
                <c:pt idx="870">
                  <c:v>105.54266100000001</c:v>
                </c:pt>
                <c:pt idx="871">
                  <c:v>105.54153100000001</c:v>
                </c:pt>
                <c:pt idx="872">
                  <c:v>105.540401</c:v>
                </c:pt>
                <c:pt idx="873">
                  <c:v>105.539271</c:v>
                </c:pt>
                <c:pt idx="874">
                  <c:v>105.538141</c:v>
                </c:pt>
                <c:pt idx="875">
                  <c:v>105.53701100000001</c:v>
                </c:pt>
                <c:pt idx="876">
                  <c:v>105.535881</c:v>
                </c:pt>
                <c:pt idx="877">
                  <c:v>105.534751</c:v>
                </c:pt>
                <c:pt idx="878">
                  <c:v>105.533621</c:v>
                </c:pt>
                <c:pt idx="879">
                  <c:v>105.53249100000001</c:v>
                </c:pt>
                <c:pt idx="880">
                  <c:v>105.531361</c:v>
                </c:pt>
                <c:pt idx="881">
                  <c:v>105.530231</c:v>
                </c:pt>
                <c:pt idx="882">
                  <c:v>105.529101</c:v>
                </c:pt>
                <c:pt idx="883">
                  <c:v>105.52797100000001</c:v>
                </c:pt>
                <c:pt idx="884">
                  <c:v>105.526841</c:v>
                </c:pt>
                <c:pt idx="885">
                  <c:v>105.525711</c:v>
                </c:pt>
                <c:pt idx="886">
                  <c:v>105.524581</c:v>
                </c:pt>
                <c:pt idx="887">
                  <c:v>105.52345100000001</c:v>
                </c:pt>
                <c:pt idx="888">
                  <c:v>105.52232100000001</c:v>
                </c:pt>
                <c:pt idx="889">
                  <c:v>105.521191</c:v>
                </c:pt>
                <c:pt idx="890">
                  <c:v>105.520061</c:v>
                </c:pt>
                <c:pt idx="891">
                  <c:v>105.51893100000001</c:v>
                </c:pt>
                <c:pt idx="892">
                  <c:v>105.51780100000001</c:v>
                </c:pt>
                <c:pt idx="893">
                  <c:v>105.516671</c:v>
                </c:pt>
                <c:pt idx="894">
                  <c:v>105.515541</c:v>
                </c:pt>
                <c:pt idx="895">
                  <c:v>105.51441100000001</c:v>
                </c:pt>
                <c:pt idx="896">
                  <c:v>105.51328100000001</c:v>
                </c:pt>
                <c:pt idx="897">
                  <c:v>105.512151</c:v>
                </c:pt>
                <c:pt idx="898">
                  <c:v>105.511021</c:v>
                </c:pt>
                <c:pt idx="899">
                  <c:v>105.509891</c:v>
                </c:pt>
                <c:pt idx="900">
                  <c:v>105.50876100000001</c:v>
                </c:pt>
                <c:pt idx="901">
                  <c:v>105.507631</c:v>
                </c:pt>
                <c:pt idx="902">
                  <c:v>105.506501</c:v>
                </c:pt>
                <c:pt idx="903">
                  <c:v>105.505371</c:v>
                </c:pt>
                <c:pt idx="904">
                  <c:v>105.50424100000001</c:v>
                </c:pt>
                <c:pt idx="905">
                  <c:v>105.503111</c:v>
                </c:pt>
                <c:pt idx="906">
                  <c:v>105.501981</c:v>
                </c:pt>
                <c:pt idx="907">
                  <c:v>105.500851</c:v>
                </c:pt>
                <c:pt idx="908">
                  <c:v>105.49972100000001</c:v>
                </c:pt>
                <c:pt idx="909">
                  <c:v>105.498591</c:v>
                </c:pt>
                <c:pt idx="910">
                  <c:v>105.497461</c:v>
                </c:pt>
                <c:pt idx="911">
                  <c:v>105.496331</c:v>
                </c:pt>
                <c:pt idx="912">
                  <c:v>105.49520100000001</c:v>
                </c:pt>
                <c:pt idx="913">
                  <c:v>105.49407100000001</c:v>
                </c:pt>
                <c:pt idx="914">
                  <c:v>105.492941</c:v>
                </c:pt>
                <c:pt idx="915">
                  <c:v>105.491811</c:v>
                </c:pt>
                <c:pt idx="916">
                  <c:v>105.49068100000001</c:v>
                </c:pt>
                <c:pt idx="917">
                  <c:v>105.48955100000001</c:v>
                </c:pt>
                <c:pt idx="918">
                  <c:v>105.488421</c:v>
                </c:pt>
                <c:pt idx="919">
                  <c:v>105.487291</c:v>
                </c:pt>
                <c:pt idx="920">
                  <c:v>105.48616100000001</c:v>
                </c:pt>
                <c:pt idx="921">
                  <c:v>105.48503100000001</c:v>
                </c:pt>
                <c:pt idx="922">
                  <c:v>105.483901</c:v>
                </c:pt>
                <c:pt idx="923">
                  <c:v>105.482771</c:v>
                </c:pt>
                <c:pt idx="924">
                  <c:v>105.481641</c:v>
                </c:pt>
                <c:pt idx="925">
                  <c:v>105.48051100000001</c:v>
                </c:pt>
                <c:pt idx="926">
                  <c:v>105.479381</c:v>
                </c:pt>
                <c:pt idx="927">
                  <c:v>105.478251</c:v>
                </c:pt>
                <c:pt idx="928">
                  <c:v>105.477121</c:v>
                </c:pt>
                <c:pt idx="929">
                  <c:v>105.47599100000001</c:v>
                </c:pt>
                <c:pt idx="930">
                  <c:v>105.474861</c:v>
                </c:pt>
                <c:pt idx="931">
                  <c:v>105.473731</c:v>
                </c:pt>
                <c:pt idx="932">
                  <c:v>105.472601</c:v>
                </c:pt>
                <c:pt idx="933">
                  <c:v>105.47147100000001</c:v>
                </c:pt>
                <c:pt idx="934">
                  <c:v>105.470341</c:v>
                </c:pt>
                <c:pt idx="935">
                  <c:v>105.469211</c:v>
                </c:pt>
                <c:pt idx="936">
                  <c:v>105.468081</c:v>
                </c:pt>
                <c:pt idx="937">
                  <c:v>105.46695100000001</c:v>
                </c:pt>
                <c:pt idx="938">
                  <c:v>105.46582100000001</c:v>
                </c:pt>
                <c:pt idx="939">
                  <c:v>105.464691</c:v>
                </c:pt>
                <c:pt idx="940">
                  <c:v>105.463561</c:v>
                </c:pt>
                <c:pt idx="941">
                  <c:v>105.46243100000001</c:v>
                </c:pt>
                <c:pt idx="942">
                  <c:v>105.46130100000001</c:v>
                </c:pt>
                <c:pt idx="943">
                  <c:v>105.460171</c:v>
                </c:pt>
                <c:pt idx="944">
                  <c:v>105.459041</c:v>
                </c:pt>
                <c:pt idx="945">
                  <c:v>105.457911</c:v>
                </c:pt>
                <c:pt idx="946">
                  <c:v>105.45678100000001</c:v>
                </c:pt>
                <c:pt idx="947">
                  <c:v>105.455651</c:v>
                </c:pt>
                <c:pt idx="948">
                  <c:v>105.454521</c:v>
                </c:pt>
                <c:pt idx="949">
                  <c:v>105.453391</c:v>
                </c:pt>
                <c:pt idx="950">
                  <c:v>105.45226100000001</c:v>
                </c:pt>
                <c:pt idx="951">
                  <c:v>105.451131</c:v>
                </c:pt>
                <c:pt idx="952">
                  <c:v>105.450001</c:v>
                </c:pt>
                <c:pt idx="953">
                  <c:v>105.448871</c:v>
                </c:pt>
                <c:pt idx="954">
                  <c:v>105.44774100000001</c:v>
                </c:pt>
                <c:pt idx="955">
                  <c:v>105.446611</c:v>
                </c:pt>
                <c:pt idx="956">
                  <c:v>105.445481</c:v>
                </c:pt>
                <c:pt idx="957">
                  <c:v>105.444351</c:v>
                </c:pt>
                <c:pt idx="958">
                  <c:v>105.44322100000001</c:v>
                </c:pt>
                <c:pt idx="959">
                  <c:v>105.442091</c:v>
                </c:pt>
                <c:pt idx="960">
                  <c:v>105.440961</c:v>
                </c:pt>
                <c:pt idx="961">
                  <c:v>105.439831</c:v>
                </c:pt>
                <c:pt idx="962">
                  <c:v>105.43870100000001</c:v>
                </c:pt>
                <c:pt idx="963">
                  <c:v>105.43757100000001</c:v>
                </c:pt>
                <c:pt idx="964">
                  <c:v>105.436441</c:v>
                </c:pt>
                <c:pt idx="965">
                  <c:v>105.435311</c:v>
                </c:pt>
                <c:pt idx="966">
                  <c:v>105.43418100000001</c:v>
                </c:pt>
                <c:pt idx="967">
                  <c:v>105.43305100000001</c:v>
                </c:pt>
                <c:pt idx="968">
                  <c:v>105.431921</c:v>
                </c:pt>
                <c:pt idx="969">
                  <c:v>105.430791</c:v>
                </c:pt>
                <c:pt idx="970">
                  <c:v>105.42966100000001</c:v>
                </c:pt>
                <c:pt idx="971">
                  <c:v>105.42853100000001</c:v>
                </c:pt>
                <c:pt idx="972">
                  <c:v>105.427401</c:v>
                </c:pt>
                <c:pt idx="973">
                  <c:v>105.426271</c:v>
                </c:pt>
                <c:pt idx="974">
                  <c:v>105.425141</c:v>
                </c:pt>
                <c:pt idx="975">
                  <c:v>105.42401100000001</c:v>
                </c:pt>
                <c:pt idx="976">
                  <c:v>105.422881</c:v>
                </c:pt>
                <c:pt idx="977">
                  <c:v>105.421751</c:v>
                </c:pt>
                <c:pt idx="978">
                  <c:v>105.420621</c:v>
                </c:pt>
                <c:pt idx="979">
                  <c:v>105.41949100000001</c:v>
                </c:pt>
                <c:pt idx="980">
                  <c:v>105.418361</c:v>
                </c:pt>
                <c:pt idx="981">
                  <c:v>105.417231</c:v>
                </c:pt>
                <c:pt idx="982">
                  <c:v>105.416101</c:v>
                </c:pt>
                <c:pt idx="983">
                  <c:v>105.41497100000001</c:v>
                </c:pt>
                <c:pt idx="984">
                  <c:v>105.41384100000001</c:v>
                </c:pt>
                <c:pt idx="985">
                  <c:v>105.412711</c:v>
                </c:pt>
                <c:pt idx="986">
                  <c:v>105.411581</c:v>
                </c:pt>
                <c:pt idx="987">
                  <c:v>105.41045100000001</c:v>
                </c:pt>
                <c:pt idx="988">
                  <c:v>105.40932100000001</c:v>
                </c:pt>
                <c:pt idx="989">
                  <c:v>105.408191</c:v>
                </c:pt>
                <c:pt idx="990">
                  <c:v>105.407061</c:v>
                </c:pt>
                <c:pt idx="991">
                  <c:v>105.40593100000001</c:v>
                </c:pt>
                <c:pt idx="992">
                  <c:v>105.40480100000001</c:v>
                </c:pt>
                <c:pt idx="993">
                  <c:v>105.403671</c:v>
                </c:pt>
                <c:pt idx="994">
                  <c:v>105.402541</c:v>
                </c:pt>
                <c:pt idx="995">
                  <c:v>105.401411</c:v>
                </c:pt>
                <c:pt idx="996">
                  <c:v>105.40028100000001</c:v>
                </c:pt>
                <c:pt idx="997">
                  <c:v>105.399151</c:v>
                </c:pt>
                <c:pt idx="998">
                  <c:v>105.398021</c:v>
                </c:pt>
                <c:pt idx="999">
                  <c:v>105.396891</c:v>
                </c:pt>
                <c:pt idx="1000">
                  <c:v>105.39576100000001</c:v>
                </c:pt>
                <c:pt idx="1001">
                  <c:v>105.394631</c:v>
                </c:pt>
                <c:pt idx="1002">
                  <c:v>105.393501</c:v>
                </c:pt>
                <c:pt idx="1003">
                  <c:v>105.392371</c:v>
                </c:pt>
                <c:pt idx="1004">
                  <c:v>105.39124100000001</c:v>
                </c:pt>
                <c:pt idx="1005">
                  <c:v>105.390111</c:v>
                </c:pt>
                <c:pt idx="1006">
                  <c:v>105.388981</c:v>
                </c:pt>
                <c:pt idx="1007">
                  <c:v>105.387851</c:v>
                </c:pt>
                <c:pt idx="1008">
                  <c:v>105.38672100000001</c:v>
                </c:pt>
                <c:pt idx="1009">
                  <c:v>105.38559100000001</c:v>
                </c:pt>
                <c:pt idx="1010">
                  <c:v>105.384461</c:v>
                </c:pt>
                <c:pt idx="1011">
                  <c:v>105.383331</c:v>
                </c:pt>
                <c:pt idx="1012">
                  <c:v>105.38220100000001</c:v>
                </c:pt>
                <c:pt idx="1013">
                  <c:v>105.38107100000001</c:v>
                </c:pt>
                <c:pt idx="1014">
                  <c:v>105.379941</c:v>
                </c:pt>
                <c:pt idx="1015">
                  <c:v>105.378811</c:v>
                </c:pt>
                <c:pt idx="1016">
                  <c:v>105.37768100000001</c:v>
                </c:pt>
                <c:pt idx="1017">
                  <c:v>105.37655100000001</c:v>
                </c:pt>
                <c:pt idx="1018">
                  <c:v>105.375421</c:v>
                </c:pt>
                <c:pt idx="1019">
                  <c:v>105.374291</c:v>
                </c:pt>
                <c:pt idx="1020">
                  <c:v>105.373161</c:v>
                </c:pt>
                <c:pt idx="1021">
                  <c:v>105.37203100000001</c:v>
                </c:pt>
                <c:pt idx="1022">
                  <c:v>105.370901</c:v>
                </c:pt>
                <c:pt idx="1023">
                  <c:v>105.369771</c:v>
                </c:pt>
                <c:pt idx="1024">
                  <c:v>105.368641</c:v>
                </c:pt>
                <c:pt idx="1025">
                  <c:v>105.36751100000001</c:v>
                </c:pt>
                <c:pt idx="1026">
                  <c:v>105.366381</c:v>
                </c:pt>
                <c:pt idx="1027">
                  <c:v>105.365251</c:v>
                </c:pt>
                <c:pt idx="1028">
                  <c:v>105.364121</c:v>
                </c:pt>
                <c:pt idx="1029">
                  <c:v>105.36299100000001</c:v>
                </c:pt>
                <c:pt idx="1030">
                  <c:v>105.361861</c:v>
                </c:pt>
                <c:pt idx="1031">
                  <c:v>105.360731</c:v>
                </c:pt>
                <c:pt idx="1032">
                  <c:v>105.359601</c:v>
                </c:pt>
                <c:pt idx="1033">
                  <c:v>105.35847100000001</c:v>
                </c:pt>
                <c:pt idx="1034">
                  <c:v>105.35734100000001</c:v>
                </c:pt>
                <c:pt idx="1035">
                  <c:v>105.356211</c:v>
                </c:pt>
                <c:pt idx="1036">
                  <c:v>105.355081</c:v>
                </c:pt>
                <c:pt idx="1037">
                  <c:v>105.35395100000001</c:v>
                </c:pt>
                <c:pt idx="1038">
                  <c:v>105.35282100000001</c:v>
                </c:pt>
                <c:pt idx="1039">
                  <c:v>105.351691</c:v>
                </c:pt>
                <c:pt idx="1040">
                  <c:v>105.350561</c:v>
                </c:pt>
                <c:pt idx="1041">
                  <c:v>105.34943100000001</c:v>
                </c:pt>
                <c:pt idx="1042">
                  <c:v>105.34830100000001</c:v>
                </c:pt>
                <c:pt idx="1043">
                  <c:v>105.347171</c:v>
                </c:pt>
                <c:pt idx="1044">
                  <c:v>105.346041</c:v>
                </c:pt>
                <c:pt idx="1045">
                  <c:v>105.344911</c:v>
                </c:pt>
                <c:pt idx="1046">
                  <c:v>105.34378100000001</c:v>
                </c:pt>
                <c:pt idx="1047">
                  <c:v>105.342651</c:v>
                </c:pt>
                <c:pt idx="1048">
                  <c:v>105.341521</c:v>
                </c:pt>
                <c:pt idx="1049">
                  <c:v>105.340391</c:v>
                </c:pt>
                <c:pt idx="1050">
                  <c:v>105.33926100000001</c:v>
                </c:pt>
                <c:pt idx="1051">
                  <c:v>105.338131</c:v>
                </c:pt>
                <c:pt idx="1052">
                  <c:v>105.337001</c:v>
                </c:pt>
                <c:pt idx="1053">
                  <c:v>105.335871</c:v>
                </c:pt>
                <c:pt idx="1054">
                  <c:v>105.33474100000001</c:v>
                </c:pt>
                <c:pt idx="1055">
                  <c:v>105.333611</c:v>
                </c:pt>
                <c:pt idx="1056">
                  <c:v>105.332481</c:v>
                </c:pt>
                <c:pt idx="1057">
                  <c:v>105.331351</c:v>
                </c:pt>
                <c:pt idx="1058">
                  <c:v>105.33022100000001</c:v>
                </c:pt>
                <c:pt idx="1059">
                  <c:v>105.32909100000001</c:v>
                </c:pt>
                <c:pt idx="1060">
                  <c:v>105.327961</c:v>
                </c:pt>
                <c:pt idx="1061">
                  <c:v>105.326831</c:v>
                </c:pt>
                <c:pt idx="1062">
                  <c:v>105.32570100000001</c:v>
                </c:pt>
                <c:pt idx="1063">
                  <c:v>105.32457100000001</c:v>
                </c:pt>
                <c:pt idx="1064">
                  <c:v>105.323441</c:v>
                </c:pt>
                <c:pt idx="1065">
                  <c:v>105.322311</c:v>
                </c:pt>
                <c:pt idx="1066">
                  <c:v>105.321181</c:v>
                </c:pt>
                <c:pt idx="1067">
                  <c:v>105.32005100000001</c:v>
                </c:pt>
                <c:pt idx="1068">
                  <c:v>105.318921</c:v>
                </c:pt>
                <c:pt idx="1069">
                  <c:v>105.317791</c:v>
                </c:pt>
                <c:pt idx="1070">
                  <c:v>105.316661</c:v>
                </c:pt>
                <c:pt idx="1071">
                  <c:v>105.31553100000001</c:v>
                </c:pt>
                <c:pt idx="1072">
                  <c:v>105.314401</c:v>
                </c:pt>
                <c:pt idx="1073">
                  <c:v>105.313271</c:v>
                </c:pt>
                <c:pt idx="1074">
                  <c:v>105.312141</c:v>
                </c:pt>
                <c:pt idx="1075">
                  <c:v>105.31101100000001</c:v>
                </c:pt>
                <c:pt idx="1076">
                  <c:v>105.309881</c:v>
                </c:pt>
                <c:pt idx="1077">
                  <c:v>105.308751</c:v>
                </c:pt>
                <c:pt idx="1078">
                  <c:v>105.307621</c:v>
                </c:pt>
                <c:pt idx="1079">
                  <c:v>105.30649100000001</c:v>
                </c:pt>
                <c:pt idx="1080">
                  <c:v>105.305361</c:v>
                </c:pt>
                <c:pt idx="1081">
                  <c:v>105.304231</c:v>
                </c:pt>
                <c:pt idx="1082">
                  <c:v>105.303101</c:v>
                </c:pt>
                <c:pt idx="1083">
                  <c:v>105.30197100000001</c:v>
                </c:pt>
                <c:pt idx="1084">
                  <c:v>105.30084100000001</c:v>
                </c:pt>
                <c:pt idx="1085">
                  <c:v>105.299711</c:v>
                </c:pt>
                <c:pt idx="1086">
                  <c:v>105.298581</c:v>
                </c:pt>
                <c:pt idx="1087">
                  <c:v>105.29745100000001</c:v>
                </c:pt>
                <c:pt idx="1088">
                  <c:v>105.29632100000001</c:v>
                </c:pt>
                <c:pt idx="1089">
                  <c:v>105.295191</c:v>
                </c:pt>
                <c:pt idx="1090">
                  <c:v>105.294061</c:v>
                </c:pt>
                <c:pt idx="1091">
                  <c:v>105.29293100000001</c:v>
                </c:pt>
                <c:pt idx="1092">
                  <c:v>105.29180100000001</c:v>
                </c:pt>
                <c:pt idx="1093">
                  <c:v>105.290671</c:v>
                </c:pt>
                <c:pt idx="1094">
                  <c:v>105.289541</c:v>
                </c:pt>
                <c:pt idx="1095">
                  <c:v>105.288411</c:v>
                </c:pt>
                <c:pt idx="1096">
                  <c:v>105.28728100000001</c:v>
                </c:pt>
                <c:pt idx="1097">
                  <c:v>105.286151</c:v>
                </c:pt>
                <c:pt idx="1098">
                  <c:v>105.285021</c:v>
                </c:pt>
                <c:pt idx="1099">
                  <c:v>105.283891</c:v>
                </c:pt>
                <c:pt idx="1100">
                  <c:v>105.28276100000001</c:v>
                </c:pt>
                <c:pt idx="1101">
                  <c:v>105.281631</c:v>
                </c:pt>
                <c:pt idx="1102">
                  <c:v>105.280501</c:v>
                </c:pt>
                <c:pt idx="1103">
                  <c:v>105.279371</c:v>
                </c:pt>
                <c:pt idx="1104">
                  <c:v>105.27824100000001</c:v>
                </c:pt>
                <c:pt idx="1105">
                  <c:v>105.277111</c:v>
                </c:pt>
                <c:pt idx="1106">
                  <c:v>105.275981</c:v>
                </c:pt>
                <c:pt idx="1107">
                  <c:v>105.274851</c:v>
                </c:pt>
                <c:pt idx="1108">
                  <c:v>105.27372100000001</c:v>
                </c:pt>
                <c:pt idx="1109">
                  <c:v>105.27259100000001</c:v>
                </c:pt>
                <c:pt idx="1110">
                  <c:v>105.271461</c:v>
                </c:pt>
                <c:pt idx="1111">
                  <c:v>105.270331</c:v>
                </c:pt>
                <c:pt idx="1112">
                  <c:v>105.26920100000001</c:v>
                </c:pt>
                <c:pt idx="1113">
                  <c:v>105.26807100000001</c:v>
                </c:pt>
                <c:pt idx="1114">
                  <c:v>105.266941</c:v>
                </c:pt>
                <c:pt idx="1115">
                  <c:v>105.265811</c:v>
                </c:pt>
                <c:pt idx="1116">
                  <c:v>105.264681</c:v>
                </c:pt>
                <c:pt idx="1117">
                  <c:v>105.26355100000001</c:v>
                </c:pt>
                <c:pt idx="1118">
                  <c:v>105.262421</c:v>
                </c:pt>
                <c:pt idx="1119">
                  <c:v>105.261291</c:v>
                </c:pt>
                <c:pt idx="1120">
                  <c:v>105.260161</c:v>
                </c:pt>
                <c:pt idx="1121">
                  <c:v>105.25903100000001</c:v>
                </c:pt>
                <c:pt idx="1122">
                  <c:v>105.257901</c:v>
                </c:pt>
                <c:pt idx="1123">
                  <c:v>105.256771</c:v>
                </c:pt>
                <c:pt idx="1124">
                  <c:v>105.255641</c:v>
                </c:pt>
                <c:pt idx="1125">
                  <c:v>105.25451100000001</c:v>
                </c:pt>
                <c:pt idx="1126">
                  <c:v>105.253381</c:v>
                </c:pt>
                <c:pt idx="1127">
                  <c:v>105.252251</c:v>
                </c:pt>
                <c:pt idx="1128">
                  <c:v>105.251121</c:v>
                </c:pt>
                <c:pt idx="1129">
                  <c:v>105.24999100000001</c:v>
                </c:pt>
                <c:pt idx="1130">
                  <c:v>105.24886100000001</c:v>
                </c:pt>
                <c:pt idx="1131">
                  <c:v>105.247731</c:v>
                </c:pt>
                <c:pt idx="1132">
                  <c:v>105.246601</c:v>
                </c:pt>
                <c:pt idx="1133">
                  <c:v>105.24547100000001</c:v>
                </c:pt>
                <c:pt idx="1134">
                  <c:v>105.24434100000001</c:v>
                </c:pt>
                <c:pt idx="1135">
                  <c:v>105.243211</c:v>
                </c:pt>
                <c:pt idx="1136">
                  <c:v>105.242081</c:v>
                </c:pt>
                <c:pt idx="1137">
                  <c:v>105.24095100000001</c:v>
                </c:pt>
                <c:pt idx="1138">
                  <c:v>105.23982100000001</c:v>
                </c:pt>
                <c:pt idx="1139">
                  <c:v>105.238691</c:v>
                </c:pt>
                <c:pt idx="1140">
                  <c:v>105.237561</c:v>
                </c:pt>
                <c:pt idx="1141">
                  <c:v>105.236431</c:v>
                </c:pt>
                <c:pt idx="1142">
                  <c:v>105.23530100000001</c:v>
                </c:pt>
                <c:pt idx="1143">
                  <c:v>105.234171</c:v>
                </c:pt>
                <c:pt idx="1144">
                  <c:v>105.233041</c:v>
                </c:pt>
                <c:pt idx="1145">
                  <c:v>105.231911</c:v>
                </c:pt>
                <c:pt idx="1146">
                  <c:v>105.23078100000001</c:v>
                </c:pt>
                <c:pt idx="1147">
                  <c:v>105.229651</c:v>
                </c:pt>
                <c:pt idx="1148">
                  <c:v>105.228521</c:v>
                </c:pt>
                <c:pt idx="1149">
                  <c:v>105.227391</c:v>
                </c:pt>
                <c:pt idx="1150">
                  <c:v>105.22626100000001</c:v>
                </c:pt>
                <c:pt idx="1151">
                  <c:v>105.225131</c:v>
                </c:pt>
                <c:pt idx="1152">
                  <c:v>105.224001</c:v>
                </c:pt>
                <c:pt idx="1153">
                  <c:v>105.222871</c:v>
                </c:pt>
                <c:pt idx="1154">
                  <c:v>105.22174100000001</c:v>
                </c:pt>
                <c:pt idx="1155">
                  <c:v>105.22061100000001</c:v>
                </c:pt>
                <c:pt idx="1156">
                  <c:v>105.219481</c:v>
                </c:pt>
                <c:pt idx="1157">
                  <c:v>105.218351</c:v>
                </c:pt>
                <c:pt idx="1158">
                  <c:v>105.21722100000001</c:v>
                </c:pt>
                <c:pt idx="1159">
                  <c:v>105.21609100000001</c:v>
                </c:pt>
                <c:pt idx="1160">
                  <c:v>105.214961</c:v>
                </c:pt>
                <c:pt idx="1161">
                  <c:v>105.213831</c:v>
                </c:pt>
                <c:pt idx="1162">
                  <c:v>105.21270100000001</c:v>
                </c:pt>
                <c:pt idx="1163">
                  <c:v>105.21157100000001</c:v>
                </c:pt>
                <c:pt idx="1164">
                  <c:v>105.210441</c:v>
                </c:pt>
                <c:pt idx="1165">
                  <c:v>105.209311</c:v>
                </c:pt>
                <c:pt idx="1166">
                  <c:v>105.208181</c:v>
                </c:pt>
                <c:pt idx="1167">
                  <c:v>105.20705100000001</c:v>
                </c:pt>
                <c:pt idx="1168">
                  <c:v>105.205921</c:v>
                </c:pt>
                <c:pt idx="1169">
                  <c:v>105.204791</c:v>
                </c:pt>
                <c:pt idx="1170">
                  <c:v>105.203661</c:v>
                </c:pt>
                <c:pt idx="1171">
                  <c:v>105.20253100000001</c:v>
                </c:pt>
                <c:pt idx="1172">
                  <c:v>105.201401</c:v>
                </c:pt>
                <c:pt idx="1173">
                  <c:v>105.200271</c:v>
                </c:pt>
                <c:pt idx="1174">
                  <c:v>105.199141</c:v>
                </c:pt>
                <c:pt idx="1175">
                  <c:v>105.19801100000001</c:v>
                </c:pt>
                <c:pt idx="1176">
                  <c:v>105.196881</c:v>
                </c:pt>
                <c:pt idx="1177">
                  <c:v>105.195751</c:v>
                </c:pt>
                <c:pt idx="1178">
                  <c:v>105.194621</c:v>
                </c:pt>
                <c:pt idx="1179">
                  <c:v>105.19349100000001</c:v>
                </c:pt>
                <c:pt idx="1180">
                  <c:v>105.19236100000001</c:v>
                </c:pt>
                <c:pt idx="1181">
                  <c:v>105.191231</c:v>
                </c:pt>
                <c:pt idx="1182">
                  <c:v>105.190101</c:v>
                </c:pt>
                <c:pt idx="1183">
                  <c:v>105.18897100000001</c:v>
                </c:pt>
                <c:pt idx="1184">
                  <c:v>105.18784100000001</c:v>
                </c:pt>
                <c:pt idx="1185">
                  <c:v>105.186711</c:v>
                </c:pt>
                <c:pt idx="1186">
                  <c:v>105.185581</c:v>
                </c:pt>
                <c:pt idx="1187">
                  <c:v>105.184451</c:v>
                </c:pt>
                <c:pt idx="1188">
                  <c:v>105.18332100000001</c:v>
                </c:pt>
                <c:pt idx="1189">
                  <c:v>105.182191</c:v>
                </c:pt>
                <c:pt idx="1190">
                  <c:v>105.181061</c:v>
                </c:pt>
                <c:pt idx="1191">
                  <c:v>105.179931</c:v>
                </c:pt>
                <c:pt idx="1192">
                  <c:v>105.17880100000001</c:v>
                </c:pt>
                <c:pt idx="1193">
                  <c:v>105.177671</c:v>
                </c:pt>
                <c:pt idx="1194">
                  <c:v>105.176541</c:v>
                </c:pt>
                <c:pt idx="1195">
                  <c:v>105.175411</c:v>
                </c:pt>
                <c:pt idx="1196">
                  <c:v>105.17428100000001</c:v>
                </c:pt>
                <c:pt idx="1197">
                  <c:v>105.173151</c:v>
                </c:pt>
                <c:pt idx="1198">
                  <c:v>105.172021</c:v>
                </c:pt>
                <c:pt idx="1199">
                  <c:v>105.170891</c:v>
                </c:pt>
                <c:pt idx="1200">
                  <c:v>105.16976100000001</c:v>
                </c:pt>
                <c:pt idx="1201">
                  <c:v>105.168631</c:v>
                </c:pt>
                <c:pt idx="1202">
                  <c:v>105.167501</c:v>
                </c:pt>
                <c:pt idx="1203">
                  <c:v>105.166371</c:v>
                </c:pt>
                <c:pt idx="1204">
                  <c:v>105.16524100000001</c:v>
                </c:pt>
                <c:pt idx="1205">
                  <c:v>105.16411100000001</c:v>
                </c:pt>
                <c:pt idx="1206">
                  <c:v>105.162981</c:v>
                </c:pt>
                <c:pt idx="1207">
                  <c:v>105.161851</c:v>
                </c:pt>
                <c:pt idx="1208">
                  <c:v>105.16072100000001</c:v>
                </c:pt>
                <c:pt idx="1209">
                  <c:v>105.15959100000001</c:v>
                </c:pt>
                <c:pt idx="1210">
                  <c:v>105.158461</c:v>
                </c:pt>
                <c:pt idx="1211">
                  <c:v>105.157331</c:v>
                </c:pt>
                <c:pt idx="1212">
                  <c:v>105.15620100000001</c:v>
                </c:pt>
                <c:pt idx="1213">
                  <c:v>105.15507100000001</c:v>
                </c:pt>
                <c:pt idx="1214">
                  <c:v>105.153941</c:v>
                </c:pt>
                <c:pt idx="1215">
                  <c:v>105.152811</c:v>
                </c:pt>
                <c:pt idx="1216">
                  <c:v>105.151681</c:v>
                </c:pt>
                <c:pt idx="1217">
                  <c:v>105.15055100000001</c:v>
                </c:pt>
                <c:pt idx="1218">
                  <c:v>105.149421</c:v>
                </c:pt>
                <c:pt idx="1219">
                  <c:v>105.148291</c:v>
                </c:pt>
                <c:pt idx="1220">
                  <c:v>105.147161</c:v>
                </c:pt>
                <c:pt idx="1221">
                  <c:v>105.14603100000001</c:v>
                </c:pt>
                <c:pt idx="1222">
                  <c:v>105.144901</c:v>
                </c:pt>
                <c:pt idx="1223">
                  <c:v>105.143771</c:v>
                </c:pt>
                <c:pt idx="1224">
                  <c:v>105.142641</c:v>
                </c:pt>
                <c:pt idx="1225">
                  <c:v>105.14151100000001</c:v>
                </c:pt>
                <c:pt idx="1226">
                  <c:v>105.140381</c:v>
                </c:pt>
                <c:pt idx="1227">
                  <c:v>105.139251</c:v>
                </c:pt>
                <c:pt idx="1228">
                  <c:v>105.138121</c:v>
                </c:pt>
                <c:pt idx="1229">
                  <c:v>105.13699100000001</c:v>
                </c:pt>
                <c:pt idx="1230">
                  <c:v>105.13586100000001</c:v>
                </c:pt>
                <c:pt idx="1231">
                  <c:v>105.134731</c:v>
                </c:pt>
                <c:pt idx="1232">
                  <c:v>105.133601</c:v>
                </c:pt>
                <c:pt idx="1233">
                  <c:v>105.13247100000001</c:v>
                </c:pt>
                <c:pt idx="1234">
                  <c:v>105.13134100000001</c:v>
                </c:pt>
                <c:pt idx="1235">
                  <c:v>105.130211</c:v>
                </c:pt>
                <c:pt idx="1236">
                  <c:v>105.129081</c:v>
                </c:pt>
                <c:pt idx="1237">
                  <c:v>105.127951</c:v>
                </c:pt>
                <c:pt idx="1238">
                  <c:v>105.12682100000001</c:v>
                </c:pt>
                <c:pt idx="1239">
                  <c:v>105.125691</c:v>
                </c:pt>
                <c:pt idx="1240">
                  <c:v>105.124561</c:v>
                </c:pt>
                <c:pt idx="1241">
                  <c:v>105.123431</c:v>
                </c:pt>
                <c:pt idx="1242">
                  <c:v>105.12230100000001</c:v>
                </c:pt>
                <c:pt idx="1243">
                  <c:v>105.121171</c:v>
                </c:pt>
                <c:pt idx="1244">
                  <c:v>105.120041</c:v>
                </c:pt>
                <c:pt idx="1245">
                  <c:v>105.118911</c:v>
                </c:pt>
                <c:pt idx="1246">
                  <c:v>105.11778100000001</c:v>
                </c:pt>
                <c:pt idx="1247">
                  <c:v>105.116651</c:v>
                </c:pt>
                <c:pt idx="1248">
                  <c:v>105.115521</c:v>
                </c:pt>
                <c:pt idx="1249">
                  <c:v>105.114391</c:v>
                </c:pt>
                <c:pt idx="1250">
                  <c:v>105.11326100000001</c:v>
                </c:pt>
                <c:pt idx="1251">
                  <c:v>105.11213100000001</c:v>
                </c:pt>
                <c:pt idx="1252">
                  <c:v>105.111001</c:v>
                </c:pt>
                <c:pt idx="1253">
                  <c:v>105.109871</c:v>
                </c:pt>
                <c:pt idx="1254">
                  <c:v>105.10874100000001</c:v>
                </c:pt>
                <c:pt idx="1255">
                  <c:v>105.10761100000001</c:v>
                </c:pt>
                <c:pt idx="1256">
                  <c:v>105.106481</c:v>
                </c:pt>
                <c:pt idx="1257">
                  <c:v>105.105351</c:v>
                </c:pt>
                <c:pt idx="1258">
                  <c:v>105.10422100000001</c:v>
                </c:pt>
                <c:pt idx="1259">
                  <c:v>105.10309100000001</c:v>
                </c:pt>
                <c:pt idx="1260">
                  <c:v>105.101961</c:v>
                </c:pt>
                <c:pt idx="1261">
                  <c:v>105.100831</c:v>
                </c:pt>
                <c:pt idx="1262">
                  <c:v>105.099701</c:v>
                </c:pt>
                <c:pt idx="1263">
                  <c:v>105.09857100000001</c:v>
                </c:pt>
                <c:pt idx="1264">
                  <c:v>105.097441</c:v>
                </c:pt>
                <c:pt idx="1265">
                  <c:v>105.096311</c:v>
                </c:pt>
                <c:pt idx="1266">
                  <c:v>105.095181</c:v>
                </c:pt>
                <c:pt idx="1267">
                  <c:v>105.09405100000001</c:v>
                </c:pt>
                <c:pt idx="1268">
                  <c:v>105.092921</c:v>
                </c:pt>
                <c:pt idx="1269">
                  <c:v>105.091791</c:v>
                </c:pt>
                <c:pt idx="1270">
                  <c:v>105.090661</c:v>
                </c:pt>
                <c:pt idx="1271">
                  <c:v>105.08953100000001</c:v>
                </c:pt>
                <c:pt idx="1272">
                  <c:v>105.088401</c:v>
                </c:pt>
                <c:pt idx="1273">
                  <c:v>105.087271</c:v>
                </c:pt>
                <c:pt idx="1274">
                  <c:v>105.086141</c:v>
                </c:pt>
                <c:pt idx="1275">
                  <c:v>105.08501100000001</c:v>
                </c:pt>
                <c:pt idx="1276">
                  <c:v>105.08388100000001</c:v>
                </c:pt>
                <c:pt idx="1277">
                  <c:v>105.082751</c:v>
                </c:pt>
                <c:pt idx="1278">
                  <c:v>105.081621</c:v>
                </c:pt>
                <c:pt idx="1279">
                  <c:v>105.08049100000001</c:v>
                </c:pt>
                <c:pt idx="1280">
                  <c:v>105.07936100000001</c:v>
                </c:pt>
                <c:pt idx="1281">
                  <c:v>105.078231</c:v>
                </c:pt>
                <c:pt idx="1282">
                  <c:v>105.077101</c:v>
                </c:pt>
                <c:pt idx="1283">
                  <c:v>105.07597100000001</c:v>
                </c:pt>
                <c:pt idx="1284">
                  <c:v>105.07484100000001</c:v>
                </c:pt>
                <c:pt idx="1285">
                  <c:v>105.073711</c:v>
                </c:pt>
                <c:pt idx="1286">
                  <c:v>105.072581</c:v>
                </c:pt>
                <c:pt idx="1287">
                  <c:v>105.071451</c:v>
                </c:pt>
                <c:pt idx="1288">
                  <c:v>105.07032100000001</c:v>
                </c:pt>
                <c:pt idx="1289">
                  <c:v>105.069191</c:v>
                </c:pt>
                <c:pt idx="1290">
                  <c:v>105.068061</c:v>
                </c:pt>
                <c:pt idx="1291">
                  <c:v>105.066931</c:v>
                </c:pt>
                <c:pt idx="1292">
                  <c:v>105.06580100000001</c:v>
                </c:pt>
                <c:pt idx="1293">
                  <c:v>105.064671</c:v>
                </c:pt>
                <c:pt idx="1294">
                  <c:v>105.063541</c:v>
                </c:pt>
                <c:pt idx="1295">
                  <c:v>105.062411</c:v>
                </c:pt>
                <c:pt idx="1296">
                  <c:v>105.06128100000001</c:v>
                </c:pt>
                <c:pt idx="1297">
                  <c:v>105.060151</c:v>
                </c:pt>
                <c:pt idx="1298">
                  <c:v>105.059021</c:v>
                </c:pt>
                <c:pt idx="1299">
                  <c:v>105.057891</c:v>
                </c:pt>
                <c:pt idx="1300">
                  <c:v>105.05676100000001</c:v>
                </c:pt>
                <c:pt idx="1301">
                  <c:v>105.05563100000001</c:v>
                </c:pt>
                <c:pt idx="1302">
                  <c:v>105.054501</c:v>
                </c:pt>
                <c:pt idx="1303">
                  <c:v>105.053371</c:v>
                </c:pt>
                <c:pt idx="1304">
                  <c:v>105.05224100000001</c:v>
                </c:pt>
                <c:pt idx="1305">
                  <c:v>105.05111100000001</c:v>
                </c:pt>
                <c:pt idx="1306">
                  <c:v>105.049981</c:v>
                </c:pt>
                <c:pt idx="1307">
                  <c:v>105.048851</c:v>
                </c:pt>
                <c:pt idx="1308">
                  <c:v>105.047721</c:v>
                </c:pt>
                <c:pt idx="1309">
                  <c:v>105.04659100000001</c:v>
                </c:pt>
                <c:pt idx="1310">
                  <c:v>105.045461</c:v>
                </c:pt>
                <c:pt idx="1311">
                  <c:v>105.044331</c:v>
                </c:pt>
                <c:pt idx="1312">
                  <c:v>105.043201</c:v>
                </c:pt>
                <c:pt idx="1313">
                  <c:v>105.04207100000001</c:v>
                </c:pt>
                <c:pt idx="1314">
                  <c:v>105.040941</c:v>
                </c:pt>
                <c:pt idx="1315">
                  <c:v>105.039811</c:v>
                </c:pt>
                <c:pt idx="1316">
                  <c:v>105.038681</c:v>
                </c:pt>
                <c:pt idx="1317">
                  <c:v>105.03755100000001</c:v>
                </c:pt>
                <c:pt idx="1318">
                  <c:v>105.036421</c:v>
                </c:pt>
                <c:pt idx="1319">
                  <c:v>105.035291</c:v>
                </c:pt>
                <c:pt idx="1320">
                  <c:v>105.034161</c:v>
                </c:pt>
                <c:pt idx="1321">
                  <c:v>105.03303100000001</c:v>
                </c:pt>
                <c:pt idx="1322">
                  <c:v>105.031901</c:v>
                </c:pt>
                <c:pt idx="1323">
                  <c:v>105.030771</c:v>
                </c:pt>
                <c:pt idx="1324">
                  <c:v>105.029641</c:v>
                </c:pt>
                <c:pt idx="1325">
                  <c:v>105.02851100000001</c:v>
                </c:pt>
                <c:pt idx="1326">
                  <c:v>105.02738100000001</c:v>
                </c:pt>
                <c:pt idx="1327">
                  <c:v>105.026251</c:v>
                </c:pt>
                <c:pt idx="1328">
                  <c:v>105.025121</c:v>
                </c:pt>
                <c:pt idx="1329">
                  <c:v>105.02399100000001</c:v>
                </c:pt>
                <c:pt idx="1330">
                  <c:v>105.02286100000001</c:v>
                </c:pt>
                <c:pt idx="1331">
                  <c:v>105.021731</c:v>
                </c:pt>
                <c:pt idx="1332">
                  <c:v>105.020601</c:v>
                </c:pt>
                <c:pt idx="1333">
                  <c:v>105.01947100000001</c:v>
                </c:pt>
                <c:pt idx="1334">
                  <c:v>105.01834100000001</c:v>
                </c:pt>
                <c:pt idx="1335">
                  <c:v>105.017211</c:v>
                </c:pt>
                <c:pt idx="1336">
                  <c:v>105.016081</c:v>
                </c:pt>
                <c:pt idx="1337">
                  <c:v>105.014951</c:v>
                </c:pt>
                <c:pt idx="1338">
                  <c:v>105.01382100000001</c:v>
                </c:pt>
                <c:pt idx="1339">
                  <c:v>105.012691</c:v>
                </c:pt>
                <c:pt idx="1340">
                  <c:v>105.011561</c:v>
                </c:pt>
                <c:pt idx="1341">
                  <c:v>105.010431</c:v>
                </c:pt>
                <c:pt idx="1342">
                  <c:v>105.00930100000001</c:v>
                </c:pt>
                <c:pt idx="1343">
                  <c:v>105.008171</c:v>
                </c:pt>
                <c:pt idx="1344">
                  <c:v>105.007041</c:v>
                </c:pt>
                <c:pt idx="1345">
                  <c:v>105.005911</c:v>
                </c:pt>
                <c:pt idx="1346">
                  <c:v>105.00478100000001</c:v>
                </c:pt>
                <c:pt idx="1347">
                  <c:v>105.003651</c:v>
                </c:pt>
                <c:pt idx="1348">
                  <c:v>105.002521</c:v>
                </c:pt>
                <c:pt idx="1349">
                  <c:v>105.001391</c:v>
                </c:pt>
                <c:pt idx="1350">
                  <c:v>105.00026100000001</c:v>
                </c:pt>
                <c:pt idx="1351">
                  <c:v>104.99913100000001</c:v>
                </c:pt>
                <c:pt idx="1352">
                  <c:v>104.998001</c:v>
                </c:pt>
                <c:pt idx="1353">
                  <c:v>104.996871</c:v>
                </c:pt>
                <c:pt idx="1354">
                  <c:v>104.99574100000001</c:v>
                </c:pt>
                <c:pt idx="1355">
                  <c:v>104.99461100000001</c:v>
                </c:pt>
                <c:pt idx="1356">
                  <c:v>104.993481</c:v>
                </c:pt>
                <c:pt idx="1357">
                  <c:v>104.992351</c:v>
                </c:pt>
                <c:pt idx="1358">
                  <c:v>104.991221</c:v>
                </c:pt>
                <c:pt idx="1359">
                  <c:v>104.99009100000001</c:v>
                </c:pt>
                <c:pt idx="1360">
                  <c:v>104.988961</c:v>
                </c:pt>
                <c:pt idx="1361">
                  <c:v>104.987831</c:v>
                </c:pt>
                <c:pt idx="1362">
                  <c:v>104.986701</c:v>
                </c:pt>
                <c:pt idx="1363">
                  <c:v>104.98557100000001</c:v>
                </c:pt>
                <c:pt idx="1364">
                  <c:v>104.984441</c:v>
                </c:pt>
                <c:pt idx="1365">
                  <c:v>104.983311</c:v>
                </c:pt>
                <c:pt idx="1366">
                  <c:v>104.982181</c:v>
                </c:pt>
                <c:pt idx="1367">
                  <c:v>104.98105100000001</c:v>
                </c:pt>
                <c:pt idx="1368">
                  <c:v>104.979921</c:v>
                </c:pt>
                <c:pt idx="1369">
                  <c:v>104.978791</c:v>
                </c:pt>
                <c:pt idx="1370">
                  <c:v>104.977661</c:v>
                </c:pt>
                <c:pt idx="1371">
                  <c:v>104.97653100000001</c:v>
                </c:pt>
                <c:pt idx="1372">
                  <c:v>104.97540100000001</c:v>
                </c:pt>
                <c:pt idx="1373">
                  <c:v>104.974271</c:v>
                </c:pt>
                <c:pt idx="1374">
                  <c:v>104.973141</c:v>
                </c:pt>
                <c:pt idx="1375">
                  <c:v>104.97201100000001</c:v>
                </c:pt>
                <c:pt idx="1376">
                  <c:v>104.97088100000001</c:v>
                </c:pt>
                <c:pt idx="1377">
                  <c:v>104.969751</c:v>
                </c:pt>
                <c:pt idx="1378">
                  <c:v>104.968621</c:v>
                </c:pt>
                <c:pt idx="1379">
                  <c:v>104.96749100000001</c:v>
                </c:pt>
                <c:pt idx="1380">
                  <c:v>104.96636100000001</c:v>
                </c:pt>
                <c:pt idx="1381">
                  <c:v>104.965231</c:v>
                </c:pt>
                <c:pt idx="1382">
                  <c:v>104.964101</c:v>
                </c:pt>
                <c:pt idx="1383">
                  <c:v>104.962971</c:v>
                </c:pt>
                <c:pt idx="1384">
                  <c:v>104.96184100000001</c:v>
                </c:pt>
                <c:pt idx="1385">
                  <c:v>104.960711</c:v>
                </c:pt>
                <c:pt idx="1386">
                  <c:v>104.959581</c:v>
                </c:pt>
                <c:pt idx="1387">
                  <c:v>104.958451</c:v>
                </c:pt>
                <c:pt idx="1388">
                  <c:v>104.95732100000001</c:v>
                </c:pt>
                <c:pt idx="1389">
                  <c:v>104.956191</c:v>
                </c:pt>
                <c:pt idx="1390">
                  <c:v>104.955061</c:v>
                </c:pt>
                <c:pt idx="1391">
                  <c:v>104.953931</c:v>
                </c:pt>
                <c:pt idx="1392">
                  <c:v>104.95280100000001</c:v>
                </c:pt>
                <c:pt idx="1393">
                  <c:v>104.951671</c:v>
                </c:pt>
                <c:pt idx="1394">
                  <c:v>104.950541</c:v>
                </c:pt>
                <c:pt idx="1395">
                  <c:v>104.949411</c:v>
                </c:pt>
                <c:pt idx="1396">
                  <c:v>104.94828100000001</c:v>
                </c:pt>
                <c:pt idx="1397">
                  <c:v>104.94715100000001</c:v>
                </c:pt>
                <c:pt idx="1398">
                  <c:v>104.946021</c:v>
                </c:pt>
                <c:pt idx="1399">
                  <c:v>104.944891</c:v>
                </c:pt>
                <c:pt idx="1400">
                  <c:v>104.94376100000001</c:v>
                </c:pt>
                <c:pt idx="1401">
                  <c:v>104.94263100000001</c:v>
                </c:pt>
                <c:pt idx="1402">
                  <c:v>104.941501</c:v>
                </c:pt>
                <c:pt idx="1403">
                  <c:v>104.940371</c:v>
                </c:pt>
                <c:pt idx="1404">
                  <c:v>104.93924100000001</c:v>
                </c:pt>
                <c:pt idx="1405">
                  <c:v>104.93811100000001</c:v>
                </c:pt>
                <c:pt idx="1406">
                  <c:v>104.936981</c:v>
                </c:pt>
                <c:pt idx="1407">
                  <c:v>104.935851</c:v>
                </c:pt>
                <c:pt idx="1408">
                  <c:v>104.934721</c:v>
                </c:pt>
                <c:pt idx="1409">
                  <c:v>104.93359100000001</c:v>
                </c:pt>
                <c:pt idx="1410">
                  <c:v>104.932461</c:v>
                </c:pt>
                <c:pt idx="1411">
                  <c:v>104.931331</c:v>
                </c:pt>
                <c:pt idx="1412">
                  <c:v>104.930201</c:v>
                </c:pt>
                <c:pt idx="1413">
                  <c:v>104.92907100000001</c:v>
                </c:pt>
                <c:pt idx="1414">
                  <c:v>104.927941</c:v>
                </c:pt>
                <c:pt idx="1415">
                  <c:v>104.926811</c:v>
                </c:pt>
                <c:pt idx="1416">
                  <c:v>104.925681</c:v>
                </c:pt>
                <c:pt idx="1417">
                  <c:v>104.92455100000001</c:v>
                </c:pt>
                <c:pt idx="1418">
                  <c:v>104.923421</c:v>
                </c:pt>
                <c:pt idx="1419">
                  <c:v>104.922291</c:v>
                </c:pt>
                <c:pt idx="1420">
                  <c:v>104.921161</c:v>
                </c:pt>
                <c:pt idx="1421">
                  <c:v>104.92003100000001</c:v>
                </c:pt>
                <c:pt idx="1422">
                  <c:v>104.91890100000001</c:v>
                </c:pt>
                <c:pt idx="1423">
                  <c:v>104.917771</c:v>
                </c:pt>
                <c:pt idx="1424">
                  <c:v>104.916641</c:v>
                </c:pt>
                <c:pt idx="1425">
                  <c:v>104.91551100000001</c:v>
                </c:pt>
                <c:pt idx="1426">
                  <c:v>104.91438100000001</c:v>
                </c:pt>
                <c:pt idx="1427">
                  <c:v>104.913251</c:v>
                </c:pt>
                <c:pt idx="1428">
                  <c:v>104.912121</c:v>
                </c:pt>
                <c:pt idx="1429">
                  <c:v>104.910991</c:v>
                </c:pt>
                <c:pt idx="1430">
                  <c:v>104.90986100000001</c:v>
                </c:pt>
                <c:pt idx="1431">
                  <c:v>104.908731</c:v>
                </c:pt>
                <c:pt idx="1432">
                  <c:v>104.907601</c:v>
                </c:pt>
                <c:pt idx="1433">
                  <c:v>104.906471</c:v>
                </c:pt>
                <c:pt idx="1434">
                  <c:v>104.90534100000001</c:v>
                </c:pt>
                <c:pt idx="1435">
                  <c:v>104.904211</c:v>
                </c:pt>
                <c:pt idx="1436">
                  <c:v>104.903081</c:v>
                </c:pt>
                <c:pt idx="1437">
                  <c:v>104.901951</c:v>
                </c:pt>
                <c:pt idx="1438">
                  <c:v>104.90082100000001</c:v>
                </c:pt>
                <c:pt idx="1439">
                  <c:v>104.899691</c:v>
                </c:pt>
                <c:pt idx="1440">
                  <c:v>104.898561</c:v>
                </c:pt>
                <c:pt idx="1441">
                  <c:v>104.897431</c:v>
                </c:pt>
                <c:pt idx="1442">
                  <c:v>104.89630100000001</c:v>
                </c:pt>
                <c:pt idx="1443">
                  <c:v>104.895171</c:v>
                </c:pt>
                <c:pt idx="1444">
                  <c:v>104.894041</c:v>
                </c:pt>
                <c:pt idx="1445">
                  <c:v>104.892911</c:v>
                </c:pt>
                <c:pt idx="1446">
                  <c:v>104.89178100000001</c:v>
                </c:pt>
                <c:pt idx="1447">
                  <c:v>104.89065100000001</c:v>
                </c:pt>
                <c:pt idx="1448">
                  <c:v>104.889521</c:v>
                </c:pt>
                <c:pt idx="1449">
                  <c:v>104.888391</c:v>
                </c:pt>
                <c:pt idx="1450">
                  <c:v>104.88726100000001</c:v>
                </c:pt>
                <c:pt idx="1451">
                  <c:v>104.88613100000001</c:v>
                </c:pt>
                <c:pt idx="1452">
                  <c:v>104.885001</c:v>
                </c:pt>
                <c:pt idx="1453">
                  <c:v>104.883871</c:v>
                </c:pt>
                <c:pt idx="1454">
                  <c:v>104.88274100000001</c:v>
                </c:pt>
                <c:pt idx="1455">
                  <c:v>104.88161100000001</c:v>
                </c:pt>
                <c:pt idx="1456">
                  <c:v>104.880481</c:v>
                </c:pt>
                <c:pt idx="1457">
                  <c:v>104.879351</c:v>
                </c:pt>
                <c:pt idx="1458">
                  <c:v>104.878221</c:v>
                </c:pt>
                <c:pt idx="1459">
                  <c:v>104.87709100000001</c:v>
                </c:pt>
                <c:pt idx="1460">
                  <c:v>104.875961</c:v>
                </c:pt>
                <c:pt idx="1461">
                  <c:v>104.874831</c:v>
                </c:pt>
                <c:pt idx="1462">
                  <c:v>104.873701</c:v>
                </c:pt>
                <c:pt idx="1463">
                  <c:v>104.87257100000001</c:v>
                </c:pt>
                <c:pt idx="1464">
                  <c:v>104.871441</c:v>
                </c:pt>
                <c:pt idx="1465">
                  <c:v>104.870311</c:v>
                </c:pt>
                <c:pt idx="1466">
                  <c:v>104.869181</c:v>
                </c:pt>
                <c:pt idx="1467">
                  <c:v>104.86805100000001</c:v>
                </c:pt>
                <c:pt idx="1468">
                  <c:v>104.866921</c:v>
                </c:pt>
                <c:pt idx="1469">
                  <c:v>104.865791</c:v>
                </c:pt>
                <c:pt idx="1470">
                  <c:v>104.864661</c:v>
                </c:pt>
                <c:pt idx="1471">
                  <c:v>104.86353100000001</c:v>
                </c:pt>
                <c:pt idx="1472">
                  <c:v>104.86240100000001</c:v>
                </c:pt>
                <c:pt idx="1473">
                  <c:v>104.861271</c:v>
                </c:pt>
                <c:pt idx="1474">
                  <c:v>104.860141</c:v>
                </c:pt>
                <c:pt idx="1475">
                  <c:v>104.85901100000001</c:v>
                </c:pt>
                <c:pt idx="1476">
                  <c:v>104.85788100000001</c:v>
                </c:pt>
                <c:pt idx="1477">
                  <c:v>104.856751</c:v>
                </c:pt>
                <c:pt idx="1478">
                  <c:v>104.855621</c:v>
                </c:pt>
                <c:pt idx="1479">
                  <c:v>104.854491</c:v>
                </c:pt>
                <c:pt idx="1480">
                  <c:v>104.85336100000001</c:v>
                </c:pt>
                <c:pt idx="1481">
                  <c:v>104.852231</c:v>
                </c:pt>
                <c:pt idx="1482">
                  <c:v>104.851101</c:v>
                </c:pt>
                <c:pt idx="1483">
                  <c:v>104.849971</c:v>
                </c:pt>
                <c:pt idx="1484">
                  <c:v>104.84884100000001</c:v>
                </c:pt>
                <c:pt idx="1485">
                  <c:v>104.847711</c:v>
                </c:pt>
                <c:pt idx="1486">
                  <c:v>104.846581</c:v>
                </c:pt>
                <c:pt idx="1487">
                  <c:v>104.845451</c:v>
                </c:pt>
                <c:pt idx="1488">
                  <c:v>104.84432100000001</c:v>
                </c:pt>
                <c:pt idx="1489">
                  <c:v>104.843191</c:v>
                </c:pt>
                <c:pt idx="1490">
                  <c:v>104.842061</c:v>
                </c:pt>
                <c:pt idx="1491">
                  <c:v>104.840931</c:v>
                </c:pt>
                <c:pt idx="1492">
                  <c:v>104.83980100000001</c:v>
                </c:pt>
                <c:pt idx="1493">
                  <c:v>104.83867100000001</c:v>
                </c:pt>
                <c:pt idx="1494">
                  <c:v>104.837541</c:v>
                </c:pt>
                <c:pt idx="1495">
                  <c:v>104.836411</c:v>
                </c:pt>
                <c:pt idx="1496">
                  <c:v>104.83528100000001</c:v>
                </c:pt>
                <c:pt idx="1497">
                  <c:v>104.83415100000001</c:v>
                </c:pt>
                <c:pt idx="1498">
                  <c:v>104.833021</c:v>
                </c:pt>
                <c:pt idx="1499">
                  <c:v>104.831891</c:v>
                </c:pt>
                <c:pt idx="1500">
                  <c:v>104.83076100000001</c:v>
                </c:pt>
                <c:pt idx="1501">
                  <c:v>104.82963100000001</c:v>
                </c:pt>
                <c:pt idx="1502">
                  <c:v>104.828501</c:v>
                </c:pt>
                <c:pt idx="1503">
                  <c:v>104.827371</c:v>
                </c:pt>
                <c:pt idx="1504">
                  <c:v>104.826241</c:v>
                </c:pt>
                <c:pt idx="1505">
                  <c:v>104.82511100000001</c:v>
                </c:pt>
                <c:pt idx="1506">
                  <c:v>104.823981</c:v>
                </c:pt>
                <c:pt idx="1507">
                  <c:v>104.822851</c:v>
                </c:pt>
                <c:pt idx="1508">
                  <c:v>104.821721</c:v>
                </c:pt>
                <c:pt idx="1509">
                  <c:v>104.82059100000001</c:v>
                </c:pt>
                <c:pt idx="1510">
                  <c:v>104.819461</c:v>
                </c:pt>
                <c:pt idx="1511">
                  <c:v>104.818331</c:v>
                </c:pt>
                <c:pt idx="1512">
                  <c:v>104.817201</c:v>
                </c:pt>
                <c:pt idx="1513">
                  <c:v>104.81607100000001</c:v>
                </c:pt>
                <c:pt idx="1514">
                  <c:v>104.814941</c:v>
                </c:pt>
                <c:pt idx="1515">
                  <c:v>104.813811</c:v>
                </c:pt>
                <c:pt idx="1516">
                  <c:v>104.812681</c:v>
                </c:pt>
                <c:pt idx="1517">
                  <c:v>104.81155100000001</c:v>
                </c:pt>
                <c:pt idx="1518">
                  <c:v>104.81042100000001</c:v>
                </c:pt>
                <c:pt idx="1519">
                  <c:v>104.809291</c:v>
                </c:pt>
                <c:pt idx="1520">
                  <c:v>104.808161</c:v>
                </c:pt>
                <c:pt idx="1521">
                  <c:v>104.80703100000001</c:v>
                </c:pt>
                <c:pt idx="1522">
                  <c:v>104.80590100000001</c:v>
                </c:pt>
                <c:pt idx="1523">
                  <c:v>104.804771</c:v>
                </c:pt>
                <c:pt idx="1524">
                  <c:v>104.803641</c:v>
                </c:pt>
                <c:pt idx="1525">
                  <c:v>104.80251100000001</c:v>
                </c:pt>
                <c:pt idx="1526">
                  <c:v>104.80138100000001</c:v>
                </c:pt>
                <c:pt idx="1527">
                  <c:v>104.800251</c:v>
                </c:pt>
                <c:pt idx="1528">
                  <c:v>104.799121</c:v>
                </c:pt>
                <c:pt idx="1529">
                  <c:v>104.797991</c:v>
                </c:pt>
                <c:pt idx="1530">
                  <c:v>104.79686100000001</c:v>
                </c:pt>
                <c:pt idx="1531">
                  <c:v>104.795731</c:v>
                </c:pt>
                <c:pt idx="1532">
                  <c:v>104.794601</c:v>
                </c:pt>
                <c:pt idx="1533">
                  <c:v>104.793471</c:v>
                </c:pt>
                <c:pt idx="1534">
                  <c:v>104.79234100000001</c:v>
                </c:pt>
                <c:pt idx="1535">
                  <c:v>104.791211</c:v>
                </c:pt>
                <c:pt idx="1536">
                  <c:v>104.790081</c:v>
                </c:pt>
                <c:pt idx="1537">
                  <c:v>104.788951</c:v>
                </c:pt>
                <c:pt idx="1538">
                  <c:v>104.78782100000001</c:v>
                </c:pt>
                <c:pt idx="1539">
                  <c:v>104.786691</c:v>
                </c:pt>
                <c:pt idx="1540">
                  <c:v>104.785561</c:v>
                </c:pt>
                <c:pt idx="1541">
                  <c:v>104.784431</c:v>
                </c:pt>
                <c:pt idx="1542">
                  <c:v>104.78330100000001</c:v>
                </c:pt>
                <c:pt idx="1543">
                  <c:v>104.78217100000001</c:v>
                </c:pt>
                <c:pt idx="1544">
                  <c:v>104.781041</c:v>
                </c:pt>
                <c:pt idx="1545">
                  <c:v>104.779911</c:v>
                </c:pt>
                <c:pt idx="1546">
                  <c:v>104.77878100000001</c:v>
                </c:pt>
                <c:pt idx="1547">
                  <c:v>104.77765100000001</c:v>
                </c:pt>
                <c:pt idx="1548">
                  <c:v>104.776521</c:v>
                </c:pt>
                <c:pt idx="1549">
                  <c:v>104.775391</c:v>
                </c:pt>
                <c:pt idx="1550">
                  <c:v>104.77426100000001</c:v>
                </c:pt>
                <c:pt idx="1551">
                  <c:v>104.77313100000001</c:v>
                </c:pt>
                <c:pt idx="1552">
                  <c:v>104.772001</c:v>
                </c:pt>
                <c:pt idx="1553">
                  <c:v>104.770871</c:v>
                </c:pt>
                <c:pt idx="1554">
                  <c:v>104.769741</c:v>
                </c:pt>
                <c:pt idx="1555">
                  <c:v>104.76861100000001</c:v>
                </c:pt>
                <c:pt idx="1556">
                  <c:v>104.767481</c:v>
                </c:pt>
                <c:pt idx="1557">
                  <c:v>104.766351</c:v>
                </c:pt>
                <c:pt idx="1558">
                  <c:v>104.765221</c:v>
                </c:pt>
                <c:pt idx="1559">
                  <c:v>104.76409100000001</c:v>
                </c:pt>
                <c:pt idx="1560">
                  <c:v>104.762961</c:v>
                </c:pt>
                <c:pt idx="1561">
                  <c:v>104.761831</c:v>
                </c:pt>
                <c:pt idx="1562">
                  <c:v>104.760701</c:v>
                </c:pt>
                <c:pt idx="1563">
                  <c:v>104.75957100000001</c:v>
                </c:pt>
                <c:pt idx="1564">
                  <c:v>104.758441</c:v>
                </c:pt>
                <c:pt idx="1565">
                  <c:v>104.757311</c:v>
                </c:pt>
                <c:pt idx="1566">
                  <c:v>104.756181</c:v>
                </c:pt>
                <c:pt idx="1567">
                  <c:v>104.75505100000001</c:v>
                </c:pt>
                <c:pt idx="1568">
                  <c:v>104.75392100000001</c:v>
                </c:pt>
                <c:pt idx="1569">
                  <c:v>104.752791</c:v>
                </c:pt>
                <c:pt idx="1570">
                  <c:v>104.751661</c:v>
                </c:pt>
                <c:pt idx="1571">
                  <c:v>104.75053100000001</c:v>
                </c:pt>
                <c:pt idx="1572">
                  <c:v>104.74940100000001</c:v>
                </c:pt>
                <c:pt idx="1573">
                  <c:v>104.748271</c:v>
                </c:pt>
                <c:pt idx="1574">
                  <c:v>104.747141</c:v>
                </c:pt>
                <c:pt idx="1575">
                  <c:v>104.74601100000001</c:v>
                </c:pt>
                <c:pt idx="1576">
                  <c:v>104.74488100000001</c:v>
                </c:pt>
                <c:pt idx="1577">
                  <c:v>104.743751</c:v>
                </c:pt>
                <c:pt idx="1578">
                  <c:v>104.742621</c:v>
                </c:pt>
                <c:pt idx="1579">
                  <c:v>104.741491</c:v>
                </c:pt>
                <c:pt idx="1580">
                  <c:v>104.74036100000001</c:v>
                </c:pt>
                <c:pt idx="1581">
                  <c:v>104.739231</c:v>
                </c:pt>
                <c:pt idx="1582">
                  <c:v>104.738101</c:v>
                </c:pt>
                <c:pt idx="1583">
                  <c:v>104.736971</c:v>
                </c:pt>
                <c:pt idx="1584">
                  <c:v>104.73584100000001</c:v>
                </c:pt>
                <c:pt idx="1585">
                  <c:v>104.734711</c:v>
                </c:pt>
                <c:pt idx="1586">
                  <c:v>104.733581</c:v>
                </c:pt>
                <c:pt idx="1587">
                  <c:v>104.732451</c:v>
                </c:pt>
                <c:pt idx="1588">
                  <c:v>104.73132100000001</c:v>
                </c:pt>
                <c:pt idx="1589">
                  <c:v>104.730191</c:v>
                </c:pt>
                <c:pt idx="1590">
                  <c:v>104.729061</c:v>
                </c:pt>
                <c:pt idx="1591">
                  <c:v>104.727931</c:v>
                </c:pt>
                <c:pt idx="1592">
                  <c:v>104.72680100000001</c:v>
                </c:pt>
                <c:pt idx="1593">
                  <c:v>104.72567100000001</c:v>
                </c:pt>
                <c:pt idx="1594">
                  <c:v>104.724541</c:v>
                </c:pt>
                <c:pt idx="1595">
                  <c:v>104.723411</c:v>
                </c:pt>
                <c:pt idx="1596">
                  <c:v>104.72228100000001</c:v>
                </c:pt>
                <c:pt idx="1597">
                  <c:v>104.72115100000001</c:v>
                </c:pt>
                <c:pt idx="1598">
                  <c:v>104.720021</c:v>
                </c:pt>
                <c:pt idx="1599">
                  <c:v>104.718891</c:v>
                </c:pt>
                <c:pt idx="1600">
                  <c:v>104.717761</c:v>
                </c:pt>
                <c:pt idx="1601">
                  <c:v>104.71663100000001</c:v>
                </c:pt>
                <c:pt idx="1602">
                  <c:v>104.715501</c:v>
                </c:pt>
                <c:pt idx="1603">
                  <c:v>104.714371</c:v>
                </c:pt>
                <c:pt idx="1604">
                  <c:v>104.713241</c:v>
                </c:pt>
                <c:pt idx="1605">
                  <c:v>104.71211100000001</c:v>
                </c:pt>
                <c:pt idx="1606">
                  <c:v>104.710981</c:v>
                </c:pt>
                <c:pt idx="1607">
                  <c:v>104.709851</c:v>
                </c:pt>
                <c:pt idx="1608">
                  <c:v>104.708721</c:v>
                </c:pt>
                <c:pt idx="1609">
                  <c:v>104.70759100000001</c:v>
                </c:pt>
                <c:pt idx="1610">
                  <c:v>104.706461</c:v>
                </c:pt>
                <c:pt idx="1611">
                  <c:v>104.705331</c:v>
                </c:pt>
                <c:pt idx="1612">
                  <c:v>104.704201</c:v>
                </c:pt>
                <c:pt idx="1613">
                  <c:v>104.70307100000001</c:v>
                </c:pt>
                <c:pt idx="1614">
                  <c:v>104.70194100000001</c:v>
                </c:pt>
                <c:pt idx="1615">
                  <c:v>104.700811</c:v>
                </c:pt>
                <c:pt idx="1616">
                  <c:v>104.699681</c:v>
                </c:pt>
                <c:pt idx="1617">
                  <c:v>104.69855100000001</c:v>
                </c:pt>
                <c:pt idx="1618">
                  <c:v>104.69742100000001</c:v>
                </c:pt>
                <c:pt idx="1619">
                  <c:v>104.696291</c:v>
                </c:pt>
                <c:pt idx="1620">
                  <c:v>104.695161</c:v>
                </c:pt>
                <c:pt idx="1621">
                  <c:v>104.69403100000001</c:v>
                </c:pt>
                <c:pt idx="1622">
                  <c:v>104.69290100000001</c:v>
                </c:pt>
                <c:pt idx="1623">
                  <c:v>104.691771</c:v>
                </c:pt>
                <c:pt idx="1624">
                  <c:v>104.690641</c:v>
                </c:pt>
                <c:pt idx="1625">
                  <c:v>104.689511</c:v>
                </c:pt>
                <c:pt idx="1626">
                  <c:v>104.68838100000001</c:v>
                </c:pt>
                <c:pt idx="1627">
                  <c:v>104.687251</c:v>
                </c:pt>
                <c:pt idx="1628">
                  <c:v>104.686121</c:v>
                </c:pt>
                <c:pt idx="1629">
                  <c:v>104.684991</c:v>
                </c:pt>
                <c:pt idx="1630">
                  <c:v>104.68386100000001</c:v>
                </c:pt>
                <c:pt idx="1631">
                  <c:v>104.682731</c:v>
                </c:pt>
                <c:pt idx="1632">
                  <c:v>104.681601</c:v>
                </c:pt>
                <c:pt idx="1633">
                  <c:v>104.680471</c:v>
                </c:pt>
                <c:pt idx="1634">
                  <c:v>104.67934100000001</c:v>
                </c:pt>
                <c:pt idx="1635">
                  <c:v>104.678211</c:v>
                </c:pt>
                <c:pt idx="1636">
                  <c:v>104.677081</c:v>
                </c:pt>
                <c:pt idx="1637">
                  <c:v>104.675951</c:v>
                </c:pt>
                <c:pt idx="1638">
                  <c:v>104.67482100000001</c:v>
                </c:pt>
                <c:pt idx="1639">
                  <c:v>104.67369100000001</c:v>
                </c:pt>
                <c:pt idx="1640">
                  <c:v>104.672561</c:v>
                </c:pt>
                <c:pt idx="1641">
                  <c:v>104.671431</c:v>
                </c:pt>
                <c:pt idx="1642">
                  <c:v>104.67030100000001</c:v>
                </c:pt>
                <c:pt idx="1643">
                  <c:v>104.66917100000001</c:v>
                </c:pt>
                <c:pt idx="1644">
                  <c:v>104.668041</c:v>
                </c:pt>
                <c:pt idx="1645">
                  <c:v>104.666911</c:v>
                </c:pt>
                <c:pt idx="1646">
                  <c:v>104.66578100000001</c:v>
                </c:pt>
                <c:pt idx="1647">
                  <c:v>104.66465100000001</c:v>
                </c:pt>
                <c:pt idx="1648">
                  <c:v>104.663521</c:v>
                </c:pt>
                <c:pt idx="1649">
                  <c:v>104.662391</c:v>
                </c:pt>
                <c:pt idx="1650">
                  <c:v>104.661261</c:v>
                </c:pt>
                <c:pt idx="1651">
                  <c:v>104.66013100000001</c:v>
                </c:pt>
                <c:pt idx="1652">
                  <c:v>104.659001</c:v>
                </c:pt>
                <c:pt idx="1653">
                  <c:v>104.657871</c:v>
                </c:pt>
                <c:pt idx="1654">
                  <c:v>104.656741</c:v>
                </c:pt>
                <c:pt idx="1655">
                  <c:v>104.65561100000001</c:v>
                </c:pt>
                <c:pt idx="1656">
                  <c:v>104.654481</c:v>
                </c:pt>
                <c:pt idx="1657">
                  <c:v>104.653351</c:v>
                </c:pt>
                <c:pt idx="1658">
                  <c:v>104.652221</c:v>
                </c:pt>
                <c:pt idx="1659">
                  <c:v>104.65109100000001</c:v>
                </c:pt>
                <c:pt idx="1660">
                  <c:v>104.649961</c:v>
                </c:pt>
                <c:pt idx="1661">
                  <c:v>104.648831</c:v>
                </c:pt>
                <c:pt idx="1662">
                  <c:v>104.647701</c:v>
                </c:pt>
                <c:pt idx="1663">
                  <c:v>104.64657100000001</c:v>
                </c:pt>
                <c:pt idx="1664">
                  <c:v>104.64544100000001</c:v>
                </c:pt>
                <c:pt idx="1665">
                  <c:v>104.644311</c:v>
                </c:pt>
                <c:pt idx="1666">
                  <c:v>104.643181</c:v>
                </c:pt>
                <c:pt idx="1667">
                  <c:v>104.64205100000001</c:v>
                </c:pt>
                <c:pt idx="1668">
                  <c:v>104.64092100000001</c:v>
                </c:pt>
                <c:pt idx="1669">
                  <c:v>104.639791</c:v>
                </c:pt>
                <c:pt idx="1670">
                  <c:v>104.638661</c:v>
                </c:pt>
                <c:pt idx="1671">
                  <c:v>104.63753100000001</c:v>
                </c:pt>
                <c:pt idx="1672">
                  <c:v>104.63640100000001</c:v>
                </c:pt>
                <c:pt idx="1673">
                  <c:v>104.635271</c:v>
                </c:pt>
                <c:pt idx="1674">
                  <c:v>104.634141</c:v>
                </c:pt>
                <c:pt idx="1675">
                  <c:v>104.633011</c:v>
                </c:pt>
                <c:pt idx="1676">
                  <c:v>104.63188100000001</c:v>
                </c:pt>
                <c:pt idx="1677">
                  <c:v>104.630751</c:v>
                </c:pt>
                <c:pt idx="1678">
                  <c:v>104.629621</c:v>
                </c:pt>
                <c:pt idx="1679">
                  <c:v>104.628491</c:v>
                </c:pt>
                <c:pt idx="1680">
                  <c:v>104.62736100000001</c:v>
                </c:pt>
                <c:pt idx="1681">
                  <c:v>104.626231</c:v>
                </c:pt>
                <c:pt idx="1682">
                  <c:v>104.625101</c:v>
                </c:pt>
                <c:pt idx="1683">
                  <c:v>104.623971</c:v>
                </c:pt>
                <c:pt idx="1684">
                  <c:v>104.62284100000001</c:v>
                </c:pt>
                <c:pt idx="1685">
                  <c:v>104.621711</c:v>
                </c:pt>
                <c:pt idx="1686">
                  <c:v>104.620581</c:v>
                </c:pt>
                <c:pt idx="1687">
                  <c:v>104.619451</c:v>
                </c:pt>
                <c:pt idx="1688">
                  <c:v>104.61832100000001</c:v>
                </c:pt>
                <c:pt idx="1689">
                  <c:v>104.61719100000001</c:v>
                </c:pt>
                <c:pt idx="1690">
                  <c:v>104.616061</c:v>
                </c:pt>
                <c:pt idx="1691">
                  <c:v>104.614931</c:v>
                </c:pt>
                <c:pt idx="1692">
                  <c:v>104.61380100000001</c:v>
                </c:pt>
                <c:pt idx="1693">
                  <c:v>104.61267100000001</c:v>
                </c:pt>
                <c:pt idx="1694">
                  <c:v>104.611541</c:v>
                </c:pt>
                <c:pt idx="1695">
                  <c:v>104.610411</c:v>
                </c:pt>
                <c:pt idx="1696">
                  <c:v>104.60928100000001</c:v>
                </c:pt>
                <c:pt idx="1697">
                  <c:v>104.60815100000001</c:v>
                </c:pt>
                <c:pt idx="1698">
                  <c:v>104.607021</c:v>
                </c:pt>
                <c:pt idx="1699">
                  <c:v>104.605891</c:v>
                </c:pt>
                <c:pt idx="1700">
                  <c:v>104.604761</c:v>
                </c:pt>
                <c:pt idx="1701">
                  <c:v>104.60363100000001</c:v>
                </c:pt>
                <c:pt idx="1702">
                  <c:v>104.602501</c:v>
                </c:pt>
                <c:pt idx="1703">
                  <c:v>104.601371</c:v>
                </c:pt>
                <c:pt idx="1704">
                  <c:v>104.600241</c:v>
                </c:pt>
                <c:pt idx="1705">
                  <c:v>104.59911100000001</c:v>
                </c:pt>
                <c:pt idx="1706">
                  <c:v>104.597981</c:v>
                </c:pt>
                <c:pt idx="1707">
                  <c:v>104.596851</c:v>
                </c:pt>
                <c:pt idx="1708">
                  <c:v>104.595721</c:v>
                </c:pt>
                <c:pt idx="1709">
                  <c:v>104.59459100000001</c:v>
                </c:pt>
                <c:pt idx="1710">
                  <c:v>104.593461</c:v>
                </c:pt>
                <c:pt idx="1711">
                  <c:v>104.592331</c:v>
                </c:pt>
                <c:pt idx="1712">
                  <c:v>104.591201</c:v>
                </c:pt>
                <c:pt idx="1713">
                  <c:v>104.59007100000001</c:v>
                </c:pt>
                <c:pt idx="1714">
                  <c:v>104.58894100000001</c:v>
                </c:pt>
                <c:pt idx="1715">
                  <c:v>104.587811</c:v>
                </c:pt>
                <c:pt idx="1716">
                  <c:v>104.586681</c:v>
                </c:pt>
                <c:pt idx="1717">
                  <c:v>104.58555100000001</c:v>
                </c:pt>
                <c:pt idx="1718">
                  <c:v>104.58442100000001</c:v>
                </c:pt>
                <c:pt idx="1719">
                  <c:v>104.583291</c:v>
                </c:pt>
                <c:pt idx="1720">
                  <c:v>104.582161</c:v>
                </c:pt>
                <c:pt idx="1721">
                  <c:v>104.581031</c:v>
                </c:pt>
                <c:pt idx="1722">
                  <c:v>104.57990100000001</c:v>
                </c:pt>
                <c:pt idx="1723">
                  <c:v>104.578771</c:v>
                </c:pt>
                <c:pt idx="1724">
                  <c:v>104.577641</c:v>
                </c:pt>
                <c:pt idx="1725">
                  <c:v>104.576511</c:v>
                </c:pt>
                <c:pt idx="1726">
                  <c:v>104.57538100000001</c:v>
                </c:pt>
                <c:pt idx="1727">
                  <c:v>104.574251</c:v>
                </c:pt>
                <c:pt idx="1728">
                  <c:v>104.573121</c:v>
                </c:pt>
                <c:pt idx="1729">
                  <c:v>104.571991</c:v>
                </c:pt>
                <c:pt idx="1730">
                  <c:v>104.57086100000001</c:v>
                </c:pt>
                <c:pt idx="1731">
                  <c:v>104.569731</c:v>
                </c:pt>
                <c:pt idx="1732">
                  <c:v>104.568601</c:v>
                </c:pt>
                <c:pt idx="1733">
                  <c:v>104.567471</c:v>
                </c:pt>
                <c:pt idx="1734">
                  <c:v>104.56634100000001</c:v>
                </c:pt>
                <c:pt idx="1735">
                  <c:v>104.56521100000001</c:v>
                </c:pt>
                <c:pt idx="1736">
                  <c:v>104.564081</c:v>
                </c:pt>
                <c:pt idx="1737">
                  <c:v>104.562951</c:v>
                </c:pt>
                <c:pt idx="1738">
                  <c:v>104.56182100000001</c:v>
                </c:pt>
                <c:pt idx="1739">
                  <c:v>104.56069100000001</c:v>
                </c:pt>
                <c:pt idx="1740">
                  <c:v>104.559561</c:v>
                </c:pt>
                <c:pt idx="1741">
                  <c:v>104.558431</c:v>
                </c:pt>
                <c:pt idx="1742">
                  <c:v>104.55730100000001</c:v>
                </c:pt>
                <c:pt idx="1743">
                  <c:v>104.55617100000001</c:v>
                </c:pt>
                <c:pt idx="1744">
                  <c:v>104.555041</c:v>
                </c:pt>
                <c:pt idx="1745">
                  <c:v>104.553911</c:v>
                </c:pt>
                <c:pt idx="1746">
                  <c:v>104.552781</c:v>
                </c:pt>
                <c:pt idx="1747">
                  <c:v>104.55165100000001</c:v>
                </c:pt>
                <c:pt idx="1748">
                  <c:v>104.550521</c:v>
                </c:pt>
                <c:pt idx="1749">
                  <c:v>104.549391</c:v>
                </c:pt>
                <c:pt idx="1750">
                  <c:v>104.548261</c:v>
                </c:pt>
                <c:pt idx="1751">
                  <c:v>104.54713100000001</c:v>
                </c:pt>
                <c:pt idx="1752">
                  <c:v>104.546001</c:v>
                </c:pt>
                <c:pt idx="1753">
                  <c:v>104.544871</c:v>
                </c:pt>
                <c:pt idx="1754">
                  <c:v>104.543741</c:v>
                </c:pt>
                <c:pt idx="1755">
                  <c:v>104.54261100000001</c:v>
                </c:pt>
                <c:pt idx="1756">
                  <c:v>104.541481</c:v>
                </c:pt>
                <c:pt idx="1757">
                  <c:v>104.540351</c:v>
                </c:pt>
                <c:pt idx="1758">
                  <c:v>104.539221</c:v>
                </c:pt>
                <c:pt idx="1759">
                  <c:v>104.53809100000001</c:v>
                </c:pt>
                <c:pt idx="1760">
                  <c:v>104.53696100000001</c:v>
                </c:pt>
                <c:pt idx="1761">
                  <c:v>104.535831</c:v>
                </c:pt>
                <c:pt idx="1762">
                  <c:v>104.534701</c:v>
                </c:pt>
                <c:pt idx="1763">
                  <c:v>104.53357100000001</c:v>
                </c:pt>
                <c:pt idx="1764">
                  <c:v>104.53244100000001</c:v>
                </c:pt>
                <c:pt idx="1765">
                  <c:v>104.531311</c:v>
                </c:pt>
                <c:pt idx="1766">
                  <c:v>104.530181</c:v>
                </c:pt>
                <c:pt idx="1767">
                  <c:v>104.52905100000001</c:v>
                </c:pt>
                <c:pt idx="1768">
                  <c:v>104.52792100000001</c:v>
                </c:pt>
                <c:pt idx="1769">
                  <c:v>104.526791</c:v>
                </c:pt>
                <c:pt idx="1770">
                  <c:v>104.525661</c:v>
                </c:pt>
                <c:pt idx="1771">
                  <c:v>104.524531</c:v>
                </c:pt>
                <c:pt idx="1772">
                  <c:v>104.52340100000001</c:v>
                </c:pt>
                <c:pt idx="1773">
                  <c:v>104.522271</c:v>
                </c:pt>
                <c:pt idx="1774">
                  <c:v>104.521141</c:v>
                </c:pt>
                <c:pt idx="1775">
                  <c:v>104.520011</c:v>
                </c:pt>
                <c:pt idx="1776">
                  <c:v>104.51888100000001</c:v>
                </c:pt>
                <c:pt idx="1777">
                  <c:v>104.517751</c:v>
                </c:pt>
                <c:pt idx="1778">
                  <c:v>104.516621</c:v>
                </c:pt>
                <c:pt idx="1779">
                  <c:v>104.515491</c:v>
                </c:pt>
                <c:pt idx="1780">
                  <c:v>104.51436100000001</c:v>
                </c:pt>
                <c:pt idx="1781">
                  <c:v>104.513231</c:v>
                </c:pt>
                <c:pt idx="1782">
                  <c:v>104.512101</c:v>
                </c:pt>
                <c:pt idx="1783">
                  <c:v>104.510971</c:v>
                </c:pt>
                <c:pt idx="1784">
                  <c:v>104.50984100000001</c:v>
                </c:pt>
                <c:pt idx="1785">
                  <c:v>104.50871100000001</c:v>
                </c:pt>
                <c:pt idx="1786">
                  <c:v>104.507581</c:v>
                </c:pt>
                <c:pt idx="1787">
                  <c:v>104.506451</c:v>
                </c:pt>
                <c:pt idx="1788">
                  <c:v>104.50532100000001</c:v>
                </c:pt>
                <c:pt idx="1789">
                  <c:v>104.50419100000001</c:v>
                </c:pt>
                <c:pt idx="1790">
                  <c:v>104.503061</c:v>
                </c:pt>
                <c:pt idx="1791">
                  <c:v>104.501931</c:v>
                </c:pt>
                <c:pt idx="1792">
                  <c:v>104.500801</c:v>
                </c:pt>
                <c:pt idx="1793">
                  <c:v>104.49967100000001</c:v>
                </c:pt>
                <c:pt idx="1794">
                  <c:v>104.498541</c:v>
                </c:pt>
                <c:pt idx="1795">
                  <c:v>104.497411</c:v>
                </c:pt>
                <c:pt idx="1796">
                  <c:v>104.496281</c:v>
                </c:pt>
                <c:pt idx="1797">
                  <c:v>104.49515100000001</c:v>
                </c:pt>
                <c:pt idx="1798">
                  <c:v>104.494021</c:v>
                </c:pt>
                <c:pt idx="1799">
                  <c:v>104.492891</c:v>
                </c:pt>
                <c:pt idx="1800">
                  <c:v>104.491761</c:v>
                </c:pt>
                <c:pt idx="1801">
                  <c:v>104.49063100000001</c:v>
                </c:pt>
                <c:pt idx="1802">
                  <c:v>104.489501</c:v>
                </c:pt>
                <c:pt idx="1803">
                  <c:v>104.488371</c:v>
                </c:pt>
                <c:pt idx="1804">
                  <c:v>104.487241</c:v>
                </c:pt>
                <c:pt idx="1805">
                  <c:v>104.48611100000001</c:v>
                </c:pt>
                <c:pt idx="1806">
                  <c:v>104.484981</c:v>
                </c:pt>
                <c:pt idx="1807">
                  <c:v>104.483851</c:v>
                </c:pt>
                <c:pt idx="1808">
                  <c:v>104.482721</c:v>
                </c:pt>
                <c:pt idx="1809">
                  <c:v>104.48159100000001</c:v>
                </c:pt>
                <c:pt idx="1810">
                  <c:v>104.48046100000001</c:v>
                </c:pt>
                <c:pt idx="1811">
                  <c:v>104.479331</c:v>
                </c:pt>
                <c:pt idx="1812">
                  <c:v>104.478201</c:v>
                </c:pt>
                <c:pt idx="1813">
                  <c:v>104.47707100000001</c:v>
                </c:pt>
                <c:pt idx="1814">
                  <c:v>104.47594100000001</c:v>
                </c:pt>
                <c:pt idx="1815">
                  <c:v>104.474811</c:v>
                </c:pt>
                <c:pt idx="1816">
                  <c:v>104.473681</c:v>
                </c:pt>
                <c:pt idx="1817">
                  <c:v>104.47255100000001</c:v>
                </c:pt>
                <c:pt idx="1818">
                  <c:v>104.47142100000001</c:v>
                </c:pt>
                <c:pt idx="1819">
                  <c:v>104.470291</c:v>
                </c:pt>
                <c:pt idx="1820">
                  <c:v>104.469161</c:v>
                </c:pt>
                <c:pt idx="1821">
                  <c:v>104.468031</c:v>
                </c:pt>
                <c:pt idx="1822">
                  <c:v>104.46690100000001</c:v>
                </c:pt>
                <c:pt idx="1823">
                  <c:v>104.465771</c:v>
                </c:pt>
                <c:pt idx="1824">
                  <c:v>104.464641</c:v>
                </c:pt>
                <c:pt idx="1825">
                  <c:v>104.463511</c:v>
                </c:pt>
                <c:pt idx="1826">
                  <c:v>104.46238100000001</c:v>
                </c:pt>
                <c:pt idx="1827">
                  <c:v>104.461251</c:v>
                </c:pt>
                <c:pt idx="1828">
                  <c:v>104.460121</c:v>
                </c:pt>
                <c:pt idx="1829">
                  <c:v>104.458991</c:v>
                </c:pt>
                <c:pt idx="1830">
                  <c:v>104.45786100000001</c:v>
                </c:pt>
                <c:pt idx="1831">
                  <c:v>104.456731</c:v>
                </c:pt>
                <c:pt idx="1832">
                  <c:v>104.455601</c:v>
                </c:pt>
                <c:pt idx="1833">
                  <c:v>104.454471</c:v>
                </c:pt>
                <c:pt idx="1834">
                  <c:v>104.45334100000001</c:v>
                </c:pt>
                <c:pt idx="1835">
                  <c:v>104.45221100000001</c:v>
                </c:pt>
                <c:pt idx="1836">
                  <c:v>104.451081</c:v>
                </c:pt>
                <c:pt idx="1837">
                  <c:v>104.449951</c:v>
                </c:pt>
                <c:pt idx="1838">
                  <c:v>104.44882100000001</c:v>
                </c:pt>
                <c:pt idx="1839">
                  <c:v>104.44769100000001</c:v>
                </c:pt>
                <c:pt idx="1840">
                  <c:v>104.446561</c:v>
                </c:pt>
                <c:pt idx="1841">
                  <c:v>104.445431</c:v>
                </c:pt>
                <c:pt idx="1842">
                  <c:v>104.444301</c:v>
                </c:pt>
                <c:pt idx="1843">
                  <c:v>104.44317100000001</c:v>
                </c:pt>
                <c:pt idx="1844">
                  <c:v>104.442041</c:v>
                </c:pt>
                <c:pt idx="1845">
                  <c:v>104.440911</c:v>
                </c:pt>
                <c:pt idx="1846">
                  <c:v>104.439781</c:v>
                </c:pt>
                <c:pt idx="1847">
                  <c:v>104.43865100000001</c:v>
                </c:pt>
                <c:pt idx="1848">
                  <c:v>104.437521</c:v>
                </c:pt>
                <c:pt idx="1849">
                  <c:v>104.436391</c:v>
                </c:pt>
                <c:pt idx="1850">
                  <c:v>104.435261</c:v>
                </c:pt>
                <c:pt idx="1851">
                  <c:v>104.43413100000001</c:v>
                </c:pt>
                <c:pt idx="1852">
                  <c:v>104.433001</c:v>
                </c:pt>
                <c:pt idx="1853">
                  <c:v>104.431871</c:v>
                </c:pt>
                <c:pt idx="1854">
                  <c:v>104.430741</c:v>
                </c:pt>
                <c:pt idx="1855">
                  <c:v>104.42961100000001</c:v>
                </c:pt>
                <c:pt idx="1856">
                  <c:v>104.428481</c:v>
                </c:pt>
                <c:pt idx="1857">
                  <c:v>104.427351</c:v>
                </c:pt>
                <c:pt idx="1858">
                  <c:v>104.426221</c:v>
                </c:pt>
                <c:pt idx="1859">
                  <c:v>104.42509100000001</c:v>
                </c:pt>
                <c:pt idx="1860">
                  <c:v>104.42396100000001</c:v>
                </c:pt>
                <c:pt idx="1861">
                  <c:v>104.422831</c:v>
                </c:pt>
                <c:pt idx="1862">
                  <c:v>104.421701</c:v>
                </c:pt>
                <c:pt idx="1863">
                  <c:v>104.42057100000001</c:v>
                </c:pt>
                <c:pt idx="1864">
                  <c:v>104.41944100000001</c:v>
                </c:pt>
                <c:pt idx="1865">
                  <c:v>104.418311</c:v>
                </c:pt>
                <c:pt idx="1866">
                  <c:v>104.417181</c:v>
                </c:pt>
                <c:pt idx="1867">
                  <c:v>104.41605100000001</c:v>
                </c:pt>
                <c:pt idx="1868">
                  <c:v>104.41492100000001</c:v>
                </c:pt>
                <c:pt idx="1869">
                  <c:v>104.413791</c:v>
                </c:pt>
                <c:pt idx="1870">
                  <c:v>104.412661</c:v>
                </c:pt>
                <c:pt idx="1871">
                  <c:v>104.411531</c:v>
                </c:pt>
                <c:pt idx="1872">
                  <c:v>104.41040100000001</c:v>
                </c:pt>
                <c:pt idx="1873">
                  <c:v>104.409271</c:v>
                </c:pt>
                <c:pt idx="1874">
                  <c:v>104.408141</c:v>
                </c:pt>
                <c:pt idx="1875">
                  <c:v>104.407011</c:v>
                </c:pt>
                <c:pt idx="1876">
                  <c:v>104.40588100000001</c:v>
                </c:pt>
                <c:pt idx="1877">
                  <c:v>104.404751</c:v>
                </c:pt>
                <c:pt idx="1878">
                  <c:v>104.403621</c:v>
                </c:pt>
                <c:pt idx="1879">
                  <c:v>104.402491</c:v>
                </c:pt>
                <c:pt idx="1880">
                  <c:v>104.40136100000001</c:v>
                </c:pt>
                <c:pt idx="1881">
                  <c:v>104.40023100000001</c:v>
                </c:pt>
                <c:pt idx="1882">
                  <c:v>104.399101</c:v>
                </c:pt>
                <c:pt idx="1883">
                  <c:v>104.397971</c:v>
                </c:pt>
                <c:pt idx="1884">
                  <c:v>104.39684100000001</c:v>
                </c:pt>
                <c:pt idx="1885">
                  <c:v>104.39571100000001</c:v>
                </c:pt>
                <c:pt idx="1886">
                  <c:v>104.394581</c:v>
                </c:pt>
                <c:pt idx="1887">
                  <c:v>104.393451</c:v>
                </c:pt>
                <c:pt idx="1888">
                  <c:v>104.39232100000001</c:v>
                </c:pt>
                <c:pt idx="1889">
                  <c:v>104.39119100000001</c:v>
                </c:pt>
                <c:pt idx="1890">
                  <c:v>104.390061</c:v>
                </c:pt>
                <c:pt idx="1891">
                  <c:v>104.388931</c:v>
                </c:pt>
                <c:pt idx="1892">
                  <c:v>104.387801</c:v>
                </c:pt>
                <c:pt idx="1893">
                  <c:v>104.38667100000001</c:v>
                </c:pt>
                <c:pt idx="1894">
                  <c:v>104.385541</c:v>
                </c:pt>
                <c:pt idx="1895">
                  <c:v>104.384411</c:v>
                </c:pt>
                <c:pt idx="1896">
                  <c:v>104.383281</c:v>
                </c:pt>
                <c:pt idx="1897">
                  <c:v>104.38215100000001</c:v>
                </c:pt>
                <c:pt idx="1898">
                  <c:v>104.381021</c:v>
                </c:pt>
                <c:pt idx="1899">
                  <c:v>104.379891</c:v>
                </c:pt>
                <c:pt idx="1900">
                  <c:v>104.378761</c:v>
                </c:pt>
                <c:pt idx="1901">
                  <c:v>104.37763100000001</c:v>
                </c:pt>
                <c:pt idx="1902">
                  <c:v>104.376501</c:v>
                </c:pt>
                <c:pt idx="1903">
                  <c:v>104.375371</c:v>
                </c:pt>
                <c:pt idx="1904">
                  <c:v>104.374241</c:v>
                </c:pt>
                <c:pt idx="1905">
                  <c:v>104.37311100000001</c:v>
                </c:pt>
                <c:pt idx="1906">
                  <c:v>104.37198100000001</c:v>
                </c:pt>
                <c:pt idx="1907">
                  <c:v>104.370851</c:v>
                </c:pt>
                <c:pt idx="1908">
                  <c:v>104.369721</c:v>
                </c:pt>
                <c:pt idx="1909">
                  <c:v>104.36859100000001</c:v>
                </c:pt>
                <c:pt idx="1910">
                  <c:v>104.36746100000001</c:v>
                </c:pt>
                <c:pt idx="1911">
                  <c:v>104.366331</c:v>
                </c:pt>
                <c:pt idx="1912">
                  <c:v>104.365201</c:v>
                </c:pt>
                <c:pt idx="1913">
                  <c:v>104.364071</c:v>
                </c:pt>
                <c:pt idx="1914">
                  <c:v>104.36294100000001</c:v>
                </c:pt>
                <c:pt idx="1915">
                  <c:v>104.361811</c:v>
                </c:pt>
                <c:pt idx="1916">
                  <c:v>104.360681</c:v>
                </c:pt>
                <c:pt idx="1917">
                  <c:v>104.359551</c:v>
                </c:pt>
                <c:pt idx="1918">
                  <c:v>104.35842100000001</c:v>
                </c:pt>
                <c:pt idx="1919">
                  <c:v>104.357291</c:v>
                </c:pt>
                <c:pt idx="1920">
                  <c:v>104.356161</c:v>
                </c:pt>
                <c:pt idx="1921">
                  <c:v>104.355031</c:v>
                </c:pt>
                <c:pt idx="1922">
                  <c:v>104.35390100000001</c:v>
                </c:pt>
                <c:pt idx="1923">
                  <c:v>104.352771</c:v>
                </c:pt>
                <c:pt idx="1924">
                  <c:v>104.351641</c:v>
                </c:pt>
                <c:pt idx="1925">
                  <c:v>104.350511</c:v>
                </c:pt>
                <c:pt idx="1926">
                  <c:v>104.34938100000001</c:v>
                </c:pt>
                <c:pt idx="1927">
                  <c:v>104.348251</c:v>
                </c:pt>
                <c:pt idx="1928">
                  <c:v>104.347121</c:v>
                </c:pt>
                <c:pt idx="1929">
                  <c:v>104.345991</c:v>
                </c:pt>
                <c:pt idx="1930">
                  <c:v>104.34486100000001</c:v>
                </c:pt>
                <c:pt idx="1931">
                  <c:v>104.34373100000001</c:v>
                </c:pt>
                <c:pt idx="1932">
                  <c:v>104.342601</c:v>
                </c:pt>
                <c:pt idx="1933">
                  <c:v>104.341471</c:v>
                </c:pt>
                <c:pt idx="1934">
                  <c:v>104.34034100000001</c:v>
                </c:pt>
                <c:pt idx="1935">
                  <c:v>104.33921100000001</c:v>
                </c:pt>
                <c:pt idx="1936">
                  <c:v>104.338081</c:v>
                </c:pt>
                <c:pt idx="1937">
                  <c:v>104.336951</c:v>
                </c:pt>
                <c:pt idx="1938">
                  <c:v>104.33582100000001</c:v>
                </c:pt>
                <c:pt idx="1939">
                  <c:v>104.33469100000001</c:v>
                </c:pt>
                <c:pt idx="1940">
                  <c:v>104.333561</c:v>
                </c:pt>
                <c:pt idx="1941">
                  <c:v>104.332431</c:v>
                </c:pt>
                <c:pt idx="1942">
                  <c:v>104.331301</c:v>
                </c:pt>
                <c:pt idx="1943">
                  <c:v>104.33017100000001</c:v>
                </c:pt>
                <c:pt idx="1944">
                  <c:v>104.329041</c:v>
                </c:pt>
                <c:pt idx="1945">
                  <c:v>104.327911</c:v>
                </c:pt>
                <c:pt idx="1946">
                  <c:v>104.326781</c:v>
                </c:pt>
                <c:pt idx="1947">
                  <c:v>104.32565100000001</c:v>
                </c:pt>
                <c:pt idx="1948">
                  <c:v>104.324521</c:v>
                </c:pt>
                <c:pt idx="1949">
                  <c:v>104.323391</c:v>
                </c:pt>
                <c:pt idx="1950">
                  <c:v>104.322261</c:v>
                </c:pt>
                <c:pt idx="1951">
                  <c:v>104.32113100000001</c:v>
                </c:pt>
                <c:pt idx="1952">
                  <c:v>104.320001</c:v>
                </c:pt>
                <c:pt idx="1953">
                  <c:v>104.318871</c:v>
                </c:pt>
                <c:pt idx="1954">
                  <c:v>104.317741</c:v>
                </c:pt>
                <c:pt idx="1955">
                  <c:v>104.31661100000001</c:v>
                </c:pt>
                <c:pt idx="1956">
                  <c:v>104.31548100000001</c:v>
                </c:pt>
                <c:pt idx="1957">
                  <c:v>104.314351</c:v>
                </c:pt>
                <c:pt idx="1958">
                  <c:v>104.313221</c:v>
                </c:pt>
                <c:pt idx="1959">
                  <c:v>104.31209100000001</c:v>
                </c:pt>
                <c:pt idx="1960">
                  <c:v>104.31096100000001</c:v>
                </c:pt>
                <c:pt idx="1961">
                  <c:v>104.309831</c:v>
                </c:pt>
                <c:pt idx="1962">
                  <c:v>104.308701</c:v>
                </c:pt>
                <c:pt idx="1963">
                  <c:v>104.307571</c:v>
                </c:pt>
                <c:pt idx="1964">
                  <c:v>104.30644100000001</c:v>
                </c:pt>
                <c:pt idx="1965">
                  <c:v>104.305311</c:v>
                </c:pt>
                <c:pt idx="1966">
                  <c:v>104.304181</c:v>
                </c:pt>
                <c:pt idx="1967">
                  <c:v>104.303051</c:v>
                </c:pt>
                <c:pt idx="1968">
                  <c:v>104.30192100000001</c:v>
                </c:pt>
                <c:pt idx="1969">
                  <c:v>104.300791</c:v>
                </c:pt>
                <c:pt idx="1970">
                  <c:v>104.299661</c:v>
                </c:pt>
                <c:pt idx="1971">
                  <c:v>104.298531</c:v>
                </c:pt>
                <c:pt idx="1972">
                  <c:v>104.29740100000001</c:v>
                </c:pt>
                <c:pt idx="1973">
                  <c:v>104.296271</c:v>
                </c:pt>
                <c:pt idx="1974">
                  <c:v>104.295141</c:v>
                </c:pt>
                <c:pt idx="1975">
                  <c:v>104.294011</c:v>
                </c:pt>
                <c:pt idx="1976">
                  <c:v>104.29288100000001</c:v>
                </c:pt>
                <c:pt idx="1977">
                  <c:v>104.291751</c:v>
                </c:pt>
                <c:pt idx="1978">
                  <c:v>104.290621</c:v>
                </c:pt>
                <c:pt idx="1979">
                  <c:v>104.289491</c:v>
                </c:pt>
                <c:pt idx="1980">
                  <c:v>104.28836100000001</c:v>
                </c:pt>
                <c:pt idx="1981">
                  <c:v>104.28723100000001</c:v>
                </c:pt>
                <c:pt idx="1982">
                  <c:v>104.286101</c:v>
                </c:pt>
                <c:pt idx="1983">
                  <c:v>104.284971</c:v>
                </c:pt>
                <c:pt idx="1984">
                  <c:v>104.28384100000001</c:v>
                </c:pt>
                <c:pt idx="1985">
                  <c:v>104.28271100000001</c:v>
                </c:pt>
                <c:pt idx="1986">
                  <c:v>104.281581</c:v>
                </c:pt>
                <c:pt idx="1987">
                  <c:v>104.280451</c:v>
                </c:pt>
                <c:pt idx="1988">
                  <c:v>104.27932100000001</c:v>
                </c:pt>
                <c:pt idx="1989">
                  <c:v>104.27819100000001</c:v>
                </c:pt>
                <c:pt idx="1990">
                  <c:v>104.277061</c:v>
                </c:pt>
                <c:pt idx="1991">
                  <c:v>104.275931</c:v>
                </c:pt>
                <c:pt idx="1992">
                  <c:v>104.274801</c:v>
                </c:pt>
                <c:pt idx="1993">
                  <c:v>104.27367100000001</c:v>
                </c:pt>
                <c:pt idx="1994">
                  <c:v>104.272541</c:v>
                </c:pt>
                <c:pt idx="1995">
                  <c:v>104.271411</c:v>
                </c:pt>
                <c:pt idx="1996">
                  <c:v>104.270281</c:v>
                </c:pt>
                <c:pt idx="1997">
                  <c:v>104.26915100000001</c:v>
                </c:pt>
                <c:pt idx="1998">
                  <c:v>104.268021</c:v>
                </c:pt>
                <c:pt idx="1999">
                  <c:v>104.266891</c:v>
                </c:pt>
                <c:pt idx="2000">
                  <c:v>104.265761</c:v>
                </c:pt>
                <c:pt idx="2001">
                  <c:v>104.26463100000001</c:v>
                </c:pt>
                <c:pt idx="2002">
                  <c:v>104.26350100000001</c:v>
                </c:pt>
                <c:pt idx="2003">
                  <c:v>104.262371</c:v>
                </c:pt>
                <c:pt idx="2004">
                  <c:v>104.261241</c:v>
                </c:pt>
                <c:pt idx="2005">
                  <c:v>104.26011100000001</c:v>
                </c:pt>
                <c:pt idx="2006">
                  <c:v>104.25898100000001</c:v>
                </c:pt>
                <c:pt idx="2007">
                  <c:v>104.257851</c:v>
                </c:pt>
                <c:pt idx="2008">
                  <c:v>104.256721</c:v>
                </c:pt>
                <c:pt idx="2009">
                  <c:v>104.25559100000001</c:v>
                </c:pt>
                <c:pt idx="2010">
                  <c:v>104.25446100000001</c:v>
                </c:pt>
                <c:pt idx="2011">
                  <c:v>104.253331</c:v>
                </c:pt>
                <c:pt idx="2012">
                  <c:v>104.252201</c:v>
                </c:pt>
                <c:pt idx="2013">
                  <c:v>104.251071</c:v>
                </c:pt>
                <c:pt idx="2014">
                  <c:v>104.24994100000001</c:v>
                </c:pt>
                <c:pt idx="2015">
                  <c:v>104.248811</c:v>
                </c:pt>
                <c:pt idx="2016">
                  <c:v>104.247681</c:v>
                </c:pt>
                <c:pt idx="2017">
                  <c:v>104.246551</c:v>
                </c:pt>
                <c:pt idx="2018">
                  <c:v>104.24542100000001</c:v>
                </c:pt>
                <c:pt idx="2019">
                  <c:v>104.244291</c:v>
                </c:pt>
                <c:pt idx="2020">
                  <c:v>104.243161</c:v>
                </c:pt>
                <c:pt idx="2021">
                  <c:v>104.242031</c:v>
                </c:pt>
                <c:pt idx="2022">
                  <c:v>104.24090100000001</c:v>
                </c:pt>
                <c:pt idx="2023">
                  <c:v>104.239771</c:v>
                </c:pt>
                <c:pt idx="2024">
                  <c:v>104.238641</c:v>
                </c:pt>
                <c:pt idx="2025">
                  <c:v>104.237511</c:v>
                </c:pt>
                <c:pt idx="2026">
                  <c:v>104.23638100000001</c:v>
                </c:pt>
                <c:pt idx="2027">
                  <c:v>104.23525100000001</c:v>
                </c:pt>
                <c:pt idx="2028">
                  <c:v>104.234121</c:v>
                </c:pt>
                <c:pt idx="2029">
                  <c:v>104.232991</c:v>
                </c:pt>
                <c:pt idx="2030">
                  <c:v>104.23186100000001</c:v>
                </c:pt>
                <c:pt idx="2031">
                  <c:v>104.23073100000001</c:v>
                </c:pt>
                <c:pt idx="2032">
                  <c:v>104.229601</c:v>
                </c:pt>
                <c:pt idx="2033">
                  <c:v>104.228471</c:v>
                </c:pt>
                <c:pt idx="2034">
                  <c:v>104.227341</c:v>
                </c:pt>
                <c:pt idx="2035">
                  <c:v>104.22621100000001</c:v>
                </c:pt>
                <c:pt idx="2036">
                  <c:v>104.225081</c:v>
                </c:pt>
                <c:pt idx="2037">
                  <c:v>104.223951</c:v>
                </c:pt>
                <c:pt idx="2038">
                  <c:v>104.222821</c:v>
                </c:pt>
                <c:pt idx="2039">
                  <c:v>104.22169100000001</c:v>
                </c:pt>
                <c:pt idx="2040">
                  <c:v>104.220561</c:v>
                </c:pt>
                <c:pt idx="2041">
                  <c:v>104.219431</c:v>
                </c:pt>
                <c:pt idx="2042">
                  <c:v>104.218301</c:v>
                </c:pt>
                <c:pt idx="2043">
                  <c:v>104.21717100000001</c:v>
                </c:pt>
                <c:pt idx="2044">
                  <c:v>104.216041</c:v>
                </c:pt>
                <c:pt idx="2045">
                  <c:v>104.214911</c:v>
                </c:pt>
                <c:pt idx="2046">
                  <c:v>104.213781</c:v>
                </c:pt>
                <c:pt idx="2047">
                  <c:v>104.21265100000001</c:v>
                </c:pt>
                <c:pt idx="2048">
                  <c:v>104.211521</c:v>
                </c:pt>
                <c:pt idx="2049">
                  <c:v>104.210391</c:v>
                </c:pt>
                <c:pt idx="2050">
                  <c:v>104.209261</c:v>
                </c:pt>
                <c:pt idx="2051">
                  <c:v>104.20813100000001</c:v>
                </c:pt>
                <c:pt idx="2052">
                  <c:v>104.20700100000001</c:v>
                </c:pt>
                <c:pt idx="2053">
                  <c:v>104.205871</c:v>
                </c:pt>
                <c:pt idx="2054">
                  <c:v>104.204741</c:v>
                </c:pt>
                <c:pt idx="2055">
                  <c:v>104.20361100000001</c:v>
                </c:pt>
                <c:pt idx="2056">
                  <c:v>104.20248100000001</c:v>
                </c:pt>
                <c:pt idx="2057">
                  <c:v>104.201351</c:v>
                </c:pt>
                <c:pt idx="2058">
                  <c:v>104.200221</c:v>
                </c:pt>
                <c:pt idx="2059">
                  <c:v>104.19909100000001</c:v>
                </c:pt>
                <c:pt idx="2060">
                  <c:v>104.19796100000001</c:v>
                </c:pt>
                <c:pt idx="2061">
                  <c:v>104.196831</c:v>
                </c:pt>
                <c:pt idx="2062">
                  <c:v>104.195701</c:v>
                </c:pt>
                <c:pt idx="2063">
                  <c:v>104.194571</c:v>
                </c:pt>
                <c:pt idx="2064">
                  <c:v>104.19344100000001</c:v>
                </c:pt>
                <c:pt idx="2065">
                  <c:v>104.192311</c:v>
                </c:pt>
                <c:pt idx="2066">
                  <c:v>104.191181</c:v>
                </c:pt>
                <c:pt idx="2067">
                  <c:v>104.190051</c:v>
                </c:pt>
                <c:pt idx="2068">
                  <c:v>104.18892100000001</c:v>
                </c:pt>
                <c:pt idx="2069">
                  <c:v>104.187791</c:v>
                </c:pt>
                <c:pt idx="2070">
                  <c:v>104.186661</c:v>
                </c:pt>
                <c:pt idx="2071">
                  <c:v>104.185531</c:v>
                </c:pt>
                <c:pt idx="2072">
                  <c:v>104.18440100000001</c:v>
                </c:pt>
                <c:pt idx="2073">
                  <c:v>104.183271</c:v>
                </c:pt>
                <c:pt idx="2074">
                  <c:v>104.182141</c:v>
                </c:pt>
                <c:pt idx="2075">
                  <c:v>104.181011</c:v>
                </c:pt>
                <c:pt idx="2076">
                  <c:v>104.17988100000001</c:v>
                </c:pt>
                <c:pt idx="2077">
                  <c:v>104.17875100000001</c:v>
                </c:pt>
                <c:pt idx="2078">
                  <c:v>104.177621</c:v>
                </c:pt>
                <c:pt idx="2079">
                  <c:v>104.176491</c:v>
                </c:pt>
                <c:pt idx="2080">
                  <c:v>104.17536100000001</c:v>
                </c:pt>
                <c:pt idx="2081">
                  <c:v>104.17423100000001</c:v>
                </c:pt>
                <c:pt idx="2082">
                  <c:v>104.173101</c:v>
                </c:pt>
                <c:pt idx="2083">
                  <c:v>104.171971</c:v>
                </c:pt>
                <c:pt idx="2084">
                  <c:v>104.170841</c:v>
                </c:pt>
                <c:pt idx="2085">
                  <c:v>104.16971100000001</c:v>
                </c:pt>
                <c:pt idx="2086">
                  <c:v>104.168581</c:v>
                </c:pt>
                <c:pt idx="2087">
                  <c:v>104.167451</c:v>
                </c:pt>
                <c:pt idx="2088">
                  <c:v>104.166321</c:v>
                </c:pt>
                <c:pt idx="2089">
                  <c:v>104.16519100000001</c:v>
                </c:pt>
                <c:pt idx="2090">
                  <c:v>104.164061</c:v>
                </c:pt>
                <c:pt idx="2091">
                  <c:v>104.162931</c:v>
                </c:pt>
                <c:pt idx="2092">
                  <c:v>104.161801</c:v>
                </c:pt>
                <c:pt idx="2093">
                  <c:v>104.16067100000001</c:v>
                </c:pt>
                <c:pt idx="2094">
                  <c:v>104.159541</c:v>
                </c:pt>
                <c:pt idx="2095">
                  <c:v>104.158411</c:v>
                </c:pt>
                <c:pt idx="2096">
                  <c:v>104.157281</c:v>
                </c:pt>
                <c:pt idx="2097">
                  <c:v>104.15615100000001</c:v>
                </c:pt>
                <c:pt idx="2098">
                  <c:v>104.155021</c:v>
                </c:pt>
                <c:pt idx="2099">
                  <c:v>104.153891</c:v>
                </c:pt>
                <c:pt idx="2100">
                  <c:v>104.152761</c:v>
                </c:pt>
                <c:pt idx="2101">
                  <c:v>104.15163100000001</c:v>
                </c:pt>
                <c:pt idx="2102">
                  <c:v>104.15050100000001</c:v>
                </c:pt>
                <c:pt idx="2103">
                  <c:v>104.149371</c:v>
                </c:pt>
                <c:pt idx="2104">
                  <c:v>104.148241</c:v>
                </c:pt>
                <c:pt idx="2105">
                  <c:v>104.14711100000001</c:v>
                </c:pt>
                <c:pt idx="2106">
                  <c:v>104.14598100000001</c:v>
                </c:pt>
                <c:pt idx="2107">
                  <c:v>104.144851</c:v>
                </c:pt>
                <c:pt idx="2108">
                  <c:v>104.143721</c:v>
                </c:pt>
                <c:pt idx="2109">
                  <c:v>104.14259100000001</c:v>
                </c:pt>
                <c:pt idx="2110">
                  <c:v>104.14146100000001</c:v>
                </c:pt>
                <c:pt idx="2111">
                  <c:v>104.140331</c:v>
                </c:pt>
                <c:pt idx="2112">
                  <c:v>104.139201</c:v>
                </c:pt>
                <c:pt idx="2113">
                  <c:v>104.138071</c:v>
                </c:pt>
                <c:pt idx="2114">
                  <c:v>104.13694100000001</c:v>
                </c:pt>
                <c:pt idx="2115">
                  <c:v>104.135811</c:v>
                </c:pt>
                <c:pt idx="2116">
                  <c:v>104.134681</c:v>
                </c:pt>
                <c:pt idx="2117">
                  <c:v>104.133551</c:v>
                </c:pt>
                <c:pt idx="2118">
                  <c:v>104.13242100000001</c:v>
                </c:pt>
                <c:pt idx="2119">
                  <c:v>104.131291</c:v>
                </c:pt>
                <c:pt idx="2120">
                  <c:v>104.130161</c:v>
                </c:pt>
                <c:pt idx="2121">
                  <c:v>104.129031</c:v>
                </c:pt>
                <c:pt idx="2122">
                  <c:v>104.12790100000001</c:v>
                </c:pt>
                <c:pt idx="2123">
                  <c:v>104.12677100000001</c:v>
                </c:pt>
                <c:pt idx="2124">
                  <c:v>104.125641</c:v>
                </c:pt>
                <c:pt idx="2125">
                  <c:v>104.124511</c:v>
                </c:pt>
                <c:pt idx="2126">
                  <c:v>104.12338100000001</c:v>
                </c:pt>
                <c:pt idx="2127">
                  <c:v>104.12225100000001</c:v>
                </c:pt>
                <c:pt idx="2128">
                  <c:v>104.121121</c:v>
                </c:pt>
                <c:pt idx="2129">
                  <c:v>104.119991</c:v>
                </c:pt>
                <c:pt idx="2130">
                  <c:v>104.11886100000001</c:v>
                </c:pt>
                <c:pt idx="2131">
                  <c:v>104.11773100000001</c:v>
                </c:pt>
                <c:pt idx="2132">
                  <c:v>104.116601</c:v>
                </c:pt>
                <c:pt idx="2133">
                  <c:v>104.115471</c:v>
                </c:pt>
                <c:pt idx="2134">
                  <c:v>104.114341</c:v>
                </c:pt>
                <c:pt idx="2135">
                  <c:v>104.11321100000001</c:v>
                </c:pt>
                <c:pt idx="2136">
                  <c:v>104.112081</c:v>
                </c:pt>
                <c:pt idx="2137">
                  <c:v>104.110951</c:v>
                </c:pt>
                <c:pt idx="2138">
                  <c:v>104.109821</c:v>
                </c:pt>
                <c:pt idx="2139">
                  <c:v>104.10869100000001</c:v>
                </c:pt>
                <c:pt idx="2140">
                  <c:v>104.107561</c:v>
                </c:pt>
                <c:pt idx="2141">
                  <c:v>104.106431</c:v>
                </c:pt>
                <c:pt idx="2142">
                  <c:v>104.105301</c:v>
                </c:pt>
                <c:pt idx="2143">
                  <c:v>104.10417100000001</c:v>
                </c:pt>
                <c:pt idx="2144">
                  <c:v>104.103041</c:v>
                </c:pt>
                <c:pt idx="2145">
                  <c:v>104.101911</c:v>
                </c:pt>
                <c:pt idx="2146">
                  <c:v>104.100781</c:v>
                </c:pt>
                <c:pt idx="2147">
                  <c:v>104.09965100000001</c:v>
                </c:pt>
                <c:pt idx="2148">
                  <c:v>104.09852100000001</c:v>
                </c:pt>
                <c:pt idx="2149">
                  <c:v>104.097391</c:v>
                </c:pt>
                <c:pt idx="2150">
                  <c:v>104.096261</c:v>
                </c:pt>
                <c:pt idx="2151">
                  <c:v>104.09513100000001</c:v>
                </c:pt>
                <c:pt idx="2152">
                  <c:v>104.09400100000001</c:v>
                </c:pt>
                <c:pt idx="2153">
                  <c:v>104.092871</c:v>
                </c:pt>
                <c:pt idx="2154">
                  <c:v>104.091741</c:v>
                </c:pt>
                <c:pt idx="2155">
                  <c:v>104.09061100000001</c:v>
                </c:pt>
                <c:pt idx="2156">
                  <c:v>104.08948100000001</c:v>
                </c:pt>
                <c:pt idx="2157">
                  <c:v>104.088351</c:v>
                </c:pt>
                <c:pt idx="2158">
                  <c:v>104.087221</c:v>
                </c:pt>
                <c:pt idx="2159">
                  <c:v>104.086091</c:v>
                </c:pt>
                <c:pt idx="2160">
                  <c:v>104.08496100000001</c:v>
                </c:pt>
                <c:pt idx="2161">
                  <c:v>104.083831</c:v>
                </c:pt>
                <c:pt idx="2162">
                  <c:v>104.082701</c:v>
                </c:pt>
                <c:pt idx="2163">
                  <c:v>104.081571</c:v>
                </c:pt>
                <c:pt idx="2164">
                  <c:v>104.08044100000001</c:v>
                </c:pt>
                <c:pt idx="2165">
                  <c:v>104.079311</c:v>
                </c:pt>
                <c:pt idx="2166">
                  <c:v>104.078181</c:v>
                </c:pt>
                <c:pt idx="2167">
                  <c:v>104.077051</c:v>
                </c:pt>
                <c:pt idx="2168">
                  <c:v>104.07592100000001</c:v>
                </c:pt>
                <c:pt idx="2169">
                  <c:v>104.074791</c:v>
                </c:pt>
                <c:pt idx="2170">
                  <c:v>104.073661</c:v>
                </c:pt>
                <c:pt idx="2171">
                  <c:v>104.072531</c:v>
                </c:pt>
                <c:pt idx="2172">
                  <c:v>104.07140100000001</c:v>
                </c:pt>
                <c:pt idx="2173">
                  <c:v>104.07027100000001</c:v>
                </c:pt>
                <c:pt idx="2174">
                  <c:v>104.069141</c:v>
                </c:pt>
                <c:pt idx="2175">
                  <c:v>104.068011</c:v>
                </c:pt>
                <c:pt idx="2176">
                  <c:v>104.06688100000001</c:v>
                </c:pt>
                <c:pt idx="2177">
                  <c:v>104.06575100000001</c:v>
                </c:pt>
                <c:pt idx="2178">
                  <c:v>104.064621</c:v>
                </c:pt>
                <c:pt idx="2179">
                  <c:v>104.063491</c:v>
                </c:pt>
                <c:pt idx="2180">
                  <c:v>104.06236100000001</c:v>
                </c:pt>
                <c:pt idx="2181">
                  <c:v>104.06123100000001</c:v>
                </c:pt>
                <c:pt idx="2182">
                  <c:v>104.060101</c:v>
                </c:pt>
                <c:pt idx="2183">
                  <c:v>104.058971</c:v>
                </c:pt>
                <c:pt idx="2184">
                  <c:v>104.057841</c:v>
                </c:pt>
                <c:pt idx="2185">
                  <c:v>104.05671100000001</c:v>
                </c:pt>
                <c:pt idx="2186">
                  <c:v>104.055581</c:v>
                </c:pt>
                <c:pt idx="2187">
                  <c:v>104.054451</c:v>
                </c:pt>
                <c:pt idx="2188">
                  <c:v>104.053321</c:v>
                </c:pt>
                <c:pt idx="2189">
                  <c:v>104.05219100000001</c:v>
                </c:pt>
                <c:pt idx="2190">
                  <c:v>104.051061</c:v>
                </c:pt>
                <c:pt idx="2191">
                  <c:v>104.049931</c:v>
                </c:pt>
                <c:pt idx="2192">
                  <c:v>104.048801</c:v>
                </c:pt>
                <c:pt idx="2193">
                  <c:v>104.04767100000001</c:v>
                </c:pt>
                <c:pt idx="2194">
                  <c:v>104.046541</c:v>
                </c:pt>
                <c:pt idx="2195">
                  <c:v>104.045411</c:v>
                </c:pt>
                <c:pt idx="2196">
                  <c:v>104.044281</c:v>
                </c:pt>
                <c:pt idx="2197">
                  <c:v>104.04315100000001</c:v>
                </c:pt>
                <c:pt idx="2198">
                  <c:v>104.04202100000001</c:v>
                </c:pt>
                <c:pt idx="2199">
                  <c:v>104.040891</c:v>
                </c:pt>
                <c:pt idx="2200">
                  <c:v>104.039761</c:v>
                </c:pt>
                <c:pt idx="2201">
                  <c:v>104.03863100000001</c:v>
                </c:pt>
                <c:pt idx="2202">
                  <c:v>104.03750100000001</c:v>
                </c:pt>
                <c:pt idx="2203">
                  <c:v>104.036371</c:v>
                </c:pt>
                <c:pt idx="2204">
                  <c:v>104.035241</c:v>
                </c:pt>
                <c:pt idx="2205">
                  <c:v>104.034111</c:v>
                </c:pt>
                <c:pt idx="2206">
                  <c:v>104.03298100000001</c:v>
                </c:pt>
                <c:pt idx="2207">
                  <c:v>104.031851</c:v>
                </c:pt>
                <c:pt idx="2208">
                  <c:v>104.030721</c:v>
                </c:pt>
                <c:pt idx="2209">
                  <c:v>104.029591</c:v>
                </c:pt>
                <c:pt idx="2210">
                  <c:v>104.02846100000001</c:v>
                </c:pt>
                <c:pt idx="2211">
                  <c:v>104.027331</c:v>
                </c:pt>
                <c:pt idx="2212">
                  <c:v>104.026201</c:v>
                </c:pt>
                <c:pt idx="2213">
                  <c:v>104.025071</c:v>
                </c:pt>
                <c:pt idx="2214">
                  <c:v>104.02394100000001</c:v>
                </c:pt>
                <c:pt idx="2215">
                  <c:v>104.022811</c:v>
                </c:pt>
                <c:pt idx="2216">
                  <c:v>104.021681</c:v>
                </c:pt>
                <c:pt idx="2217">
                  <c:v>104.020551</c:v>
                </c:pt>
                <c:pt idx="2218">
                  <c:v>104.01942100000001</c:v>
                </c:pt>
                <c:pt idx="2219">
                  <c:v>104.018291</c:v>
                </c:pt>
                <c:pt idx="2220">
                  <c:v>104.017161</c:v>
                </c:pt>
                <c:pt idx="2221">
                  <c:v>104.016031</c:v>
                </c:pt>
                <c:pt idx="2222">
                  <c:v>104.01490100000001</c:v>
                </c:pt>
                <c:pt idx="2223">
                  <c:v>104.01377100000001</c:v>
                </c:pt>
                <c:pt idx="2224">
                  <c:v>104.012641</c:v>
                </c:pt>
                <c:pt idx="2225">
                  <c:v>104.011511</c:v>
                </c:pt>
                <c:pt idx="2226">
                  <c:v>104.01038100000001</c:v>
                </c:pt>
                <c:pt idx="2227">
                  <c:v>104.00925100000001</c:v>
                </c:pt>
                <c:pt idx="2228">
                  <c:v>104.008121</c:v>
                </c:pt>
                <c:pt idx="2229">
                  <c:v>104.006991</c:v>
                </c:pt>
                <c:pt idx="2230">
                  <c:v>104.00586100000001</c:v>
                </c:pt>
                <c:pt idx="2231">
                  <c:v>104.00473100000001</c:v>
                </c:pt>
                <c:pt idx="2232">
                  <c:v>104.003601</c:v>
                </c:pt>
                <c:pt idx="2233">
                  <c:v>104.002471</c:v>
                </c:pt>
                <c:pt idx="2234">
                  <c:v>104.001341</c:v>
                </c:pt>
                <c:pt idx="2235">
                  <c:v>104.00021100000001</c:v>
                </c:pt>
                <c:pt idx="2236">
                  <c:v>103.999081</c:v>
                </c:pt>
                <c:pt idx="2237">
                  <c:v>103.997951</c:v>
                </c:pt>
                <c:pt idx="2238">
                  <c:v>103.996821</c:v>
                </c:pt>
                <c:pt idx="2239">
                  <c:v>103.99569100000001</c:v>
                </c:pt>
                <c:pt idx="2240">
                  <c:v>103.994561</c:v>
                </c:pt>
                <c:pt idx="2241">
                  <c:v>103.993431</c:v>
                </c:pt>
                <c:pt idx="2242">
                  <c:v>103.992301</c:v>
                </c:pt>
                <c:pt idx="2243">
                  <c:v>103.99117100000001</c:v>
                </c:pt>
                <c:pt idx="2244">
                  <c:v>103.99004100000001</c:v>
                </c:pt>
                <c:pt idx="2245">
                  <c:v>103.988911</c:v>
                </c:pt>
                <c:pt idx="2246">
                  <c:v>103.987781</c:v>
                </c:pt>
                <c:pt idx="2247">
                  <c:v>103.98665100000001</c:v>
                </c:pt>
                <c:pt idx="2248">
                  <c:v>103.98552100000001</c:v>
                </c:pt>
                <c:pt idx="2249">
                  <c:v>103.984391</c:v>
                </c:pt>
                <c:pt idx="2250">
                  <c:v>103.983261</c:v>
                </c:pt>
                <c:pt idx="2251">
                  <c:v>103.98213100000001</c:v>
                </c:pt>
                <c:pt idx="2252">
                  <c:v>103.98100100000001</c:v>
                </c:pt>
                <c:pt idx="2253">
                  <c:v>103.979871</c:v>
                </c:pt>
                <c:pt idx="2254">
                  <c:v>103.978741</c:v>
                </c:pt>
                <c:pt idx="2255">
                  <c:v>103.977611</c:v>
                </c:pt>
                <c:pt idx="2256">
                  <c:v>103.97648100000001</c:v>
                </c:pt>
                <c:pt idx="2257">
                  <c:v>103.975351</c:v>
                </c:pt>
                <c:pt idx="2258">
                  <c:v>103.974221</c:v>
                </c:pt>
                <c:pt idx="2259">
                  <c:v>103.973091</c:v>
                </c:pt>
                <c:pt idx="2260">
                  <c:v>103.97196100000001</c:v>
                </c:pt>
                <c:pt idx="2261">
                  <c:v>103.970831</c:v>
                </c:pt>
                <c:pt idx="2262">
                  <c:v>103.969701</c:v>
                </c:pt>
                <c:pt idx="2263">
                  <c:v>103.968571</c:v>
                </c:pt>
                <c:pt idx="2264">
                  <c:v>103.96744100000001</c:v>
                </c:pt>
                <c:pt idx="2265">
                  <c:v>103.966311</c:v>
                </c:pt>
                <c:pt idx="2266">
                  <c:v>103.965181</c:v>
                </c:pt>
                <c:pt idx="2267">
                  <c:v>103.964051</c:v>
                </c:pt>
                <c:pt idx="2268">
                  <c:v>103.96292100000001</c:v>
                </c:pt>
                <c:pt idx="2269">
                  <c:v>103.96179100000001</c:v>
                </c:pt>
                <c:pt idx="2270">
                  <c:v>103.960661</c:v>
                </c:pt>
                <c:pt idx="2271">
                  <c:v>103.959531</c:v>
                </c:pt>
                <c:pt idx="2272">
                  <c:v>103.95840100000001</c:v>
                </c:pt>
                <c:pt idx="2273">
                  <c:v>103.95727100000001</c:v>
                </c:pt>
                <c:pt idx="2274">
                  <c:v>103.956141</c:v>
                </c:pt>
                <c:pt idx="2275">
                  <c:v>103.955011</c:v>
                </c:pt>
                <c:pt idx="2276">
                  <c:v>103.95388100000001</c:v>
                </c:pt>
                <c:pt idx="2277">
                  <c:v>103.95275100000001</c:v>
                </c:pt>
                <c:pt idx="2278">
                  <c:v>103.951621</c:v>
                </c:pt>
                <c:pt idx="2279">
                  <c:v>103.950491</c:v>
                </c:pt>
                <c:pt idx="2280">
                  <c:v>103.949361</c:v>
                </c:pt>
                <c:pt idx="2281">
                  <c:v>103.94823100000001</c:v>
                </c:pt>
                <c:pt idx="2282">
                  <c:v>103.947101</c:v>
                </c:pt>
                <c:pt idx="2283">
                  <c:v>103.945971</c:v>
                </c:pt>
                <c:pt idx="2284">
                  <c:v>103.944841</c:v>
                </c:pt>
                <c:pt idx="2285">
                  <c:v>103.94371100000001</c:v>
                </c:pt>
                <c:pt idx="2286">
                  <c:v>103.942581</c:v>
                </c:pt>
                <c:pt idx="2287">
                  <c:v>103.941451</c:v>
                </c:pt>
                <c:pt idx="2288">
                  <c:v>103.940321</c:v>
                </c:pt>
                <c:pt idx="2289">
                  <c:v>103.93919100000001</c:v>
                </c:pt>
                <c:pt idx="2290">
                  <c:v>103.938061</c:v>
                </c:pt>
                <c:pt idx="2291">
                  <c:v>103.936931</c:v>
                </c:pt>
                <c:pt idx="2292">
                  <c:v>103.935801</c:v>
                </c:pt>
                <c:pt idx="2293">
                  <c:v>103.93467100000001</c:v>
                </c:pt>
                <c:pt idx="2294">
                  <c:v>103.93354100000001</c:v>
                </c:pt>
                <c:pt idx="2295">
                  <c:v>103.932411</c:v>
                </c:pt>
                <c:pt idx="2296">
                  <c:v>103.931281</c:v>
                </c:pt>
                <c:pt idx="2297">
                  <c:v>103.93015100000001</c:v>
                </c:pt>
                <c:pt idx="2298">
                  <c:v>103.92902100000001</c:v>
                </c:pt>
                <c:pt idx="2299">
                  <c:v>103.927891</c:v>
                </c:pt>
                <c:pt idx="2300">
                  <c:v>103.926761</c:v>
                </c:pt>
                <c:pt idx="2301">
                  <c:v>103.92563100000001</c:v>
                </c:pt>
                <c:pt idx="2302">
                  <c:v>103.92450100000001</c:v>
                </c:pt>
                <c:pt idx="2303">
                  <c:v>103.923371</c:v>
                </c:pt>
                <c:pt idx="2304">
                  <c:v>103.922241</c:v>
                </c:pt>
                <c:pt idx="2305">
                  <c:v>103.921111</c:v>
                </c:pt>
                <c:pt idx="2306">
                  <c:v>103.91998100000001</c:v>
                </c:pt>
                <c:pt idx="2307">
                  <c:v>103.918851</c:v>
                </c:pt>
                <c:pt idx="2308">
                  <c:v>103.917721</c:v>
                </c:pt>
                <c:pt idx="2309">
                  <c:v>103.916591</c:v>
                </c:pt>
                <c:pt idx="2310">
                  <c:v>103.91546100000001</c:v>
                </c:pt>
                <c:pt idx="2311">
                  <c:v>103.914331</c:v>
                </c:pt>
                <c:pt idx="2312">
                  <c:v>103.913201</c:v>
                </c:pt>
                <c:pt idx="2313">
                  <c:v>103.912071</c:v>
                </c:pt>
                <c:pt idx="2314">
                  <c:v>103.91094100000001</c:v>
                </c:pt>
                <c:pt idx="2315">
                  <c:v>103.909811</c:v>
                </c:pt>
                <c:pt idx="2316">
                  <c:v>103.908681</c:v>
                </c:pt>
                <c:pt idx="2317">
                  <c:v>103.907551</c:v>
                </c:pt>
                <c:pt idx="2318">
                  <c:v>103.90642100000001</c:v>
                </c:pt>
                <c:pt idx="2319">
                  <c:v>103.90529100000001</c:v>
                </c:pt>
                <c:pt idx="2320">
                  <c:v>103.904161</c:v>
                </c:pt>
                <c:pt idx="2321">
                  <c:v>103.903031</c:v>
                </c:pt>
                <c:pt idx="2322">
                  <c:v>103.90190100000001</c:v>
                </c:pt>
                <c:pt idx="2323">
                  <c:v>103.90077100000001</c:v>
                </c:pt>
                <c:pt idx="2324">
                  <c:v>103.899641</c:v>
                </c:pt>
                <c:pt idx="2325">
                  <c:v>103.898511</c:v>
                </c:pt>
                <c:pt idx="2326">
                  <c:v>103.897381</c:v>
                </c:pt>
                <c:pt idx="2327">
                  <c:v>103.89625100000001</c:v>
                </c:pt>
                <c:pt idx="2328">
                  <c:v>103.895121</c:v>
                </c:pt>
                <c:pt idx="2329">
                  <c:v>103.893991</c:v>
                </c:pt>
                <c:pt idx="2330">
                  <c:v>103.892861</c:v>
                </c:pt>
                <c:pt idx="2331">
                  <c:v>103.89173100000001</c:v>
                </c:pt>
                <c:pt idx="2332">
                  <c:v>103.890601</c:v>
                </c:pt>
                <c:pt idx="2333">
                  <c:v>103.889471</c:v>
                </c:pt>
                <c:pt idx="2334">
                  <c:v>103.888341</c:v>
                </c:pt>
                <c:pt idx="2335">
                  <c:v>103.88721100000001</c:v>
                </c:pt>
                <c:pt idx="2336">
                  <c:v>103.886081</c:v>
                </c:pt>
                <c:pt idx="2337">
                  <c:v>103.884951</c:v>
                </c:pt>
                <c:pt idx="2338">
                  <c:v>103.883821</c:v>
                </c:pt>
                <c:pt idx="2339">
                  <c:v>103.88269100000001</c:v>
                </c:pt>
                <c:pt idx="2340">
                  <c:v>103.881561</c:v>
                </c:pt>
                <c:pt idx="2341">
                  <c:v>103.880431</c:v>
                </c:pt>
                <c:pt idx="2342">
                  <c:v>103.879301</c:v>
                </c:pt>
                <c:pt idx="2343">
                  <c:v>103.87817100000001</c:v>
                </c:pt>
                <c:pt idx="2344">
                  <c:v>103.87704100000001</c:v>
                </c:pt>
                <c:pt idx="2345">
                  <c:v>103.875911</c:v>
                </c:pt>
                <c:pt idx="2346">
                  <c:v>103.874781</c:v>
                </c:pt>
                <c:pt idx="2347">
                  <c:v>103.87365100000001</c:v>
                </c:pt>
                <c:pt idx="2348">
                  <c:v>103.87252100000001</c:v>
                </c:pt>
                <c:pt idx="2349">
                  <c:v>103.871391</c:v>
                </c:pt>
                <c:pt idx="2350">
                  <c:v>103.870261</c:v>
                </c:pt>
                <c:pt idx="2351">
                  <c:v>103.86913100000001</c:v>
                </c:pt>
                <c:pt idx="2352">
                  <c:v>103.86800100000001</c:v>
                </c:pt>
                <c:pt idx="2353">
                  <c:v>103.866871</c:v>
                </c:pt>
                <c:pt idx="2354">
                  <c:v>103.865741</c:v>
                </c:pt>
                <c:pt idx="2355">
                  <c:v>103.864611</c:v>
                </c:pt>
                <c:pt idx="2356">
                  <c:v>103.86348100000001</c:v>
                </c:pt>
                <c:pt idx="2357">
                  <c:v>103.862351</c:v>
                </c:pt>
                <c:pt idx="2358">
                  <c:v>103.861221</c:v>
                </c:pt>
                <c:pt idx="2359">
                  <c:v>103.860091</c:v>
                </c:pt>
                <c:pt idx="2360">
                  <c:v>103.85896100000001</c:v>
                </c:pt>
                <c:pt idx="2361">
                  <c:v>103.857831</c:v>
                </c:pt>
                <c:pt idx="2362">
                  <c:v>103.856701</c:v>
                </c:pt>
                <c:pt idx="2363">
                  <c:v>103.855571</c:v>
                </c:pt>
                <c:pt idx="2364">
                  <c:v>103.85444100000001</c:v>
                </c:pt>
                <c:pt idx="2365">
                  <c:v>103.85331100000001</c:v>
                </c:pt>
                <c:pt idx="2366">
                  <c:v>103.852181</c:v>
                </c:pt>
                <c:pt idx="2367">
                  <c:v>103.851051</c:v>
                </c:pt>
                <c:pt idx="2368">
                  <c:v>103.84992100000001</c:v>
                </c:pt>
                <c:pt idx="2369">
                  <c:v>103.84879100000001</c:v>
                </c:pt>
                <c:pt idx="2370">
                  <c:v>103.847661</c:v>
                </c:pt>
                <c:pt idx="2371">
                  <c:v>103.846531</c:v>
                </c:pt>
                <c:pt idx="2372">
                  <c:v>103.84540100000001</c:v>
                </c:pt>
                <c:pt idx="2373">
                  <c:v>103.84427100000001</c:v>
                </c:pt>
                <c:pt idx="2374">
                  <c:v>103.843141</c:v>
                </c:pt>
                <c:pt idx="2375">
                  <c:v>103.842011</c:v>
                </c:pt>
                <c:pt idx="2376">
                  <c:v>103.840881</c:v>
                </c:pt>
                <c:pt idx="2377">
                  <c:v>103.83975100000001</c:v>
                </c:pt>
                <c:pt idx="2378">
                  <c:v>103.838621</c:v>
                </c:pt>
                <c:pt idx="2379">
                  <c:v>103.837491</c:v>
                </c:pt>
                <c:pt idx="2380">
                  <c:v>103.836361</c:v>
                </c:pt>
                <c:pt idx="2381">
                  <c:v>103.83523100000001</c:v>
                </c:pt>
                <c:pt idx="2382">
                  <c:v>103.834101</c:v>
                </c:pt>
                <c:pt idx="2383">
                  <c:v>103.832971</c:v>
                </c:pt>
                <c:pt idx="2384">
                  <c:v>103.831841</c:v>
                </c:pt>
                <c:pt idx="2385">
                  <c:v>103.83071100000001</c:v>
                </c:pt>
                <c:pt idx="2386">
                  <c:v>103.829581</c:v>
                </c:pt>
                <c:pt idx="2387">
                  <c:v>103.828451</c:v>
                </c:pt>
                <c:pt idx="2388">
                  <c:v>103.827321</c:v>
                </c:pt>
                <c:pt idx="2389">
                  <c:v>103.82619100000001</c:v>
                </c:pt>
                <c:pt idx="2390">
                  <c:v>103.82506100000001</c:v>
                </c:pt>
                <c:pt idx="2391">
                  <c:v>103.823931</c:v>
                </c:pt>
                <c:pt idx="2392">
                  <c:v>103.822801</c:v>
                </c:pt>
                <c:pt idx="2393">
                  <c:v>103.82167100000001</c:v>
                </c:pt>
                <c:pt idx="2394">
                  <c:v>103.82054100000001</c:v>
                </c:pt>
                <c:pt idx="2395">
                  <c:v>103.819411</c:v>
                </c:pt>
                <c:pt idx="2396">
                  <c:v>103.818281</c:v>
                </c:pt>
                <c:pt idx="2397">
                  <c:v>103.81715100000001</c:v>
                </c:pt>
                <c:pt idx="2398">
                  <c:v>103.81602100000001</c:v>
                </c:pt>
                <c:pt idx="2399">
                  <c:v>103.814891</c:v>
                </c:pt>
                <c:pt idx="2400">
                  <c:v>103.813761</c:v>
                </c:pt>
                <c:pt idx="2401">
                  <c:v>103.812631</c:v>
                </c:pt>
                <c:pt idx="2402">
                  <c:v>103.81150100000001</c:v>
                </c:pt>
                <c:pt idx="2403">
                  <c:v>103.810371</c:v>
                </c:pt>
                <c:pt idx="2404">
                  <c:v>103.809241</c:v>
                </c:pt>
                <c:pt idx="2405">
                  <c:v>103.808111</c:v>
                </c:pt>
                <c:pt idx="2406">
                  <c:v>103.80698100000001</c:v>
                </c:pt>
                <c:pt idx="2407">
                  <c:v>103.805851</c:v>
                </c:pt>
                <c:pt idx="2408">
                  <c:v>103.804721</c:v>
                </c:pt>
                <c:pt idx="2409">
                  <c:v>103.803591</c:v>
                </c:pt>
                <c:pt idx="2410">
                  <c:v>103.80246100000001</c:v>
                </c:pt>
                <c:pt idx="2411">
                  <c:v>103.801331</c:v>
                </c:pt>
                <c:pt idx="2412">
                  <c:v>103.800201</c:v>
                </c:pt>
                <c:pt idx="2413">
                  <c:v>103.799071</c:v>
                </c:pt>
                <c:pt idx="2414">
                  <c:v>103.79794100000001</c:v>
                </c:pt>
                <c:pt idx="2415">
                  <c:v>103.79681100000001</c:v>
                </c:pt>
                <c:pt idx="2416">
                  <c:v>103.795681</c:v>
                </c:pt>
                <c:pt idx="2417">
                  <c:v>103.794551</c:v>
                </c:pt>
                <c:pt idx="2418">
                  <c:v>103.79342100000001</c:v>
                </c:pt>
                <c:pt idx="2419">
                  <c:v>103.79229100000001</c:v>
                </c:pt>
                <c:pt idx="2420">
                  <c:v>103.791161</c:v>
                </c:pt>
                <c:pt idx="2421">
                  <c:v>103.790031</c:v>
                </c:pt>
                <c:pt idx="2422">
                  <c:v>103.78890100000001</c:v>
                </c:pt>
                <c:pt idx="2423">
                  <c:v>103.78777100000001</c:v>
                </c:pt>
                <c:pt idx="2424">
                  <c:v>103.786641</c:v>
                </c:pt>
                <c:pt idx="2425">
                  <c:v>103.785511</c:v>
                </c:pt>
                <c:pt idx="2426">
                  <c:v>103.784381</c:v>
                </c:pt>
                <c:pt idx="2427">
                  <c:v>103.78325100000001</c:v>
                </c:pt>
                <c:pt idx="2428">
                  <c:v>103.782121</c:v>
                </c:pt>
                <c:pt idx="2429">
                  <c:v>103.780991</c:v>
                </c:pt>
                <c:pt idx="2430">
                  <c:v>103.779861</c:v>
                </c:pt>
                <c:pt idx="2431">
                  <c:v>103.77873100000001</c:v>
                </c:pt>
                <c:pt idx="2432">
                  <c:v>103.777601</c:v>
                </c:pt>
                <c:pt idx="2433">
                  <c:v>103.776471</c:v>
                </c:pt>
                <c:pt idx="2434">
                  <c:v>103.775341</c:v>
                </c:pt>
                <c:pt idx="2435">
                  <c:v>103.77421100000001</c:v>
                </c:pt>
                <c:pt idx="2436">
                  <c:v>103.773081</c:v>
                </c:pt>
                <c:pt idx="2437">
                  <c:v>103.771951</c:v>
                </c:pt>
                <c:pt idx="2438">
                  <c:v>103.770821</c:v>
                </c:pt>
                <c:pt idx="2439">
                  <c:v>103.76969100000001</c:v>
                </c:pt>
                <c:pt idx="2440">
                  <c:v>103.76856100000001</c:v>
                </c:pt>
                <c:pt idx="2441">
                  <c:v>103.767431</c:v>
                </c:pt>
                <c:pt idx="2442">
                  <c:v>103.766301</c:v>
                </c:pt>
                <c:pt idx="2443">
                  <c:v>103.76517100000001</c:v>
                </c:pt>
                <c:pt idx="2444">
                  <c:v>103.76404100000001</c:v>
                </c:pt>
                <c:pt idx="2445">
                  <c:v>103.762911</c:v>
                </c:pt>
                <c:pt idx="2446">
                  <c:v>103.761781</c:v>
                </c:pt>
                <c:pt idx="2447">
                  <c:v>103.760651</c:v>
                </c:pt>
                <c:pt idx="2448">
                  <c:v>103.75952100000001</c:v>
                </c:pt>
                <c:pt idx="2449">
                  <c:v>103.758391</c:v>
                </c:pt>
                <c:pt idx="2450">
                  <c:v>103.757261</c:v>
                </c:pt>
                <c:pt idx="2451">
                  <c:v>103.756131</c:v>
                </c:pt>
                <c:pt idx="2452">
                  <c:v>103.75500100000001</c:v>
                </c:pt>
                <c:pt idx="2453">
                  <c:v>103.753871</c:v>
                </c:pt>
                <c:pt idx="2454">
                  <c:v>103.752741</c:v>
                </c:pt>
                <c:pt idx="2455">
                  <c:v>103.751611</c:v>
                </c:pt>
                <c:pt idx="2456">
                  <c:v>103.75048100000001</c:v>
                </c:pt>
                <c:pt idx="2457">
                  <c:v>103.749351</c:v>
                </c:pt>
                <c:pt idx="2458">
                  <c:v>103.748221</c:v>
                </c:pt>
                <c:pt idx="2459">
                  <c:v>103.747091</c:v>
                </c:pt>
                <c:pt idx="2460">
                  <c:v>103.74596100000001</c:v>
                </c:pt>
                <c:pt idx="2461">
                  <c:v>103.744831</c:v>
                </c:pt>
                <c:pt idx="2462">
                  <c:v>103.743701</c:v>
                </c:pt>
                <c:pt idx="2463">
                  <c:v>103.742571</c:v>
                </c:pt>
                <c:pt idx="2464">
                  <c:v>103.74144100000001</c:v>
                </c:pt>
                <c:pt idx="2465">
                  <c:v>103.74031100000001</c:v>
                </c:pt>
                <c:pt idx="2466">
                  <c:v>103.739181</c:v>
                </c:pt>
                <c:pt idx="2467">
                  <c:v>103.738051</c:v>
                </c:pt>
                <c:pt idx="2468">
                  <c:v>103.73692100000001</c:v>
                </c:pt>
                <c:pt idx="2469">
                  <c:v>103.73579100000001</c:v>
                </c:pt>
                <c:pt idx="2470">
                  <c:v>103.734661</c:v>
                </c:pt>
                <c:pt idx="2471">
                  <c:v>103.733531</c:v>
                </c:pt>
                <c:pt idx="2472">
                  <c:v>103.73240100000001</c:v>
                </c:pt>
                <c:pt idx="2473">
                  <c:v>103.73127100000001</c:v>
                </c:pt>
                <c:pt idx="2474">
                  <c:v>103.730141</c:v>
                </c:pt>
                <c:pt idx="2475">
                  <c:v>103.729011</c:v>
                </c:pt>
                <c:pt idx="2476">
                  <c:v>103.727881</c:v>
                </c:pt>
                <c:pt idx="2477">
                  <c:v>103.72675100000001</c:v>
                </c:pt>
                <c:pt idx="2478">
                  <c:v>103.725621</c:v>
                </c:pt>
                <c:pt idx="2479">
                  <c:v>103.724491</c:v>
                </c:pt>
                <c:pt idx="2480">
                  <c:v>103.723361</c:v>
                </c:pt>
                <c:pt idx="2481">
                  <c:v>103.72223100000001</c:v>
                </c:pt>
                <c:pt idx="2482">
                  <c:v>103.721101</c:v>
                </c:pt>
                <c:pt idx="2483">
                  <c:v>103.719971</c:v>
                </c:pt>
                <c:pt idx="2484">
                  <c:v>103.718841</c:v>
                </c:pt>
                <c:pt idx="2485">
                  <c:v>103.71771100000001</c:v>
                </c:pt>
                <c:pt idx="2486">
                  <c:v>103.71658100000001</c:v>
                </c:pt>
                <c:pt idx="2487">
                  <c:v>103.715451</c:v>
                </c:pt>
                <c:pt idx="2488">
                  <c:v>103.714321</c:v>
                </c:pt>
                <c:pt idx="2489">
                  <c:v>103.71319100000001</c:v>
                </c:pt>
                <c:pt idx="2490">
                  <c:v>103.71206100000001</c:v>
                </c:pt>
                <c:pt idx="2491">
                  <c:v>103.710931</c:v>
                </c:pt>
                <c:pt idx="2492">
                  <c:v>103.709801</c:v>
                </c:pt>
                <c:pt idx="2493">
                  <c:v>103.70867100000001</c:v>
                </c:pt>
                <c:pt idx="2494">
                  <c:v>103.70754100000001</c:v>
                </c:pt>
                <c:pt idx="2495">
                  <c:v>103.706411</c:v>
                </c:pt>
                <c:pt idx="2496">
                  <c:v>103.705281</c:v>
                </c:pt>
                <c:pt idx="2497">
                  <c:v>103.704151</c:v>
                </c:pt>
                <c:pt idx="2498">
                  <c:v>103.70302100000001</c:v>
                </c:pt>
                <c:pt idx="2499">
                  <c:v>103.701891</c:v>
                </c:pt>
                <c:pt idx="2500">
                  <c:v>103.700761</c:v>
                </c:pt>
                <c:pt idx="2501">
                  <c:v>103.699631</c:v>
                </c:pt>
                <c:pt idx="2502">
                  <c:v>103.69850100000001</c:v>
                </c:pt>
                <c:pt idx="2503">
                  <c:v>103.697371</c:v>
                </c:pt>
                <c:pt idx="2504">
                  <c:v>103.696241</c:v>
                </c:pt>
                <c:pt idx="2505">
                  <c:v>103.695111</c:v>
                </c:pt>
                <c:pt idx="2506">
                  <c:v>103.69398100000001</c:v>
                </c:pt>
                <c:pt idx="2507">
                  <c:v>103.692851</c:v>
                </c:pt>
                <c:pt idx="2508">
                  <c:v>103.691721</c:v>
                </c:pt>
                <c:pt idx="2509">
                  <c:v>103.690591</c:v>
                </c:pt>
                <c:pt idx="2510">
                  <c:v>103.68946100000001</c:v>
                </c:pt>
                <c:pt idx="2511">
                  <c:v>103.68833100000001</c:v>
                </c:pt>
                <c:pt idx="2512">
                  <c:v>103.687201</c:v>
                </c:pt>
                <c:pt idx="2513">
                  <c:v>103.686071</c:v>
                </c:pt>
                <c:pt idx="2514">
                  <c:v>103.68494100000001</c:v>
                </c:pt>
                <c:pt idx="2515">
                  <c:v>103.68381100000001</c:v>
                </c:pt>
                <c:pt idx="2516">
                  <c:v>103.682681</c:v>
                </c:pt>
                <c:pt idx="2517">
                  <c:v>103.681551</c:v>
                </c:pt>
                <c:pt idx="2518">
                  <c:v>103.68042100000001</c:v>
                </c:pt>
                <c:pt idx="2519">
                  <c:v>103.67929100000001</c:v>
                </c:pt>
                <c:pt idx="2520">
                  <c:v>103.678161</c:v>
                </c:pt>
                <c:pt idx="2521">
                  <c:v>103.677031</c:v>
                </c:pt>
                <c:pt idx="2522">
                  <c:v>103.675901</c:v>
                </c:pt>
                <c:pt idx="2523">
                  <c:v>103.67477100000001</c:v>
                </c:pt>
                <c:pt idx="2524">
                  <c:v>103.673641</c:v>
                </c:pt>
                <c:pt idx="2525">
                  <c:v>103.672511</c:v>
                </c:pt>
                <c:pt idx="2526">
                  <c:v>103.671381</c:v>
                </c:pt>
                <c:pt idx="2527">
                  <c:v>103.67025100000001</c:v>
                </c:pt>
                <c:pt idx="2528">
                  <c:v>103.669121</c:v>
                </c:pt>
                <c:pt idx="2529">
                  <c:v>103.667991</c:v>
                </c:pt>
                <c:pt idx="2530">
                  <c:v>103.666861</c:v>
                </c:pt>
                <c:pt idx="2531">
                  <c:v>103.66573100000001</c:v>
                </c:pt>
                <c:pt idx="2532">
                  <c:v>103.664601</c:v>
                </c:pt>
                <c:pt idx="2533">
                  <c:v>103.663471</c:v>
                </c:pt>
                <c:pt idx="2534">
                  <c:v>103.662341</c:v>
                </c:pt>
                <c:pt idx="2535">
                  <c:v>103.66121100000001</c:v>
                </c:pt>
                <c:pt idx="2536">
                  <c:v>103.66008100000001</c:v>
                </c:pt>
                <c:pt idx="2537">
                  <c:v>103.658951</c:v>
                </c:pt>
                <c:pt idx="2538">
                  <c:v>103.657821</c:v>
                </c:pt>
                <c:pt idx="2539">
                  <c:v>103.65669100000001</c:v>
                </c:pt>
                <c:pt idx="2540">
                  <c:v>103.65556100000001</c:v>
                </c:pt>
                <c:pt idx="2541">
                  <c:v>103.654431</c:v>
                </c:pt>
                <c:pt idx="2542">
                  <c:v>103.653301</c:v>
                </c:pt>
                <c:pt idx="2543">
                  <c:v>103.65217100000001</c:v>
                </c:pt>
                <c:pt idx="2544">
                  <c:v>103.65104100000001</c:v>
                </c:pt>
                <c:pt idx="2545">
                  <c:v>103.649911</c:v>
                </c:pt>
                <c:pt idx="2546">
                  <c:v>103.648781</c:v>
                </c:pt>
                <c:pt idx="2547">
                  <c:v>103.647651</c:v>
                </c:pt>
                <c:pt idx="2548">
                  <c:v>103.64652100000001</c:v>
                </c:pt>
                <c:pt idx="2549">
                  <c:v>103.645391</c:v>
                </c:pt>
                <c:pt idx="2550">
                  <c:v>103.644261</c:v>
                </c:pt>
                <c:pt idx="2551">
                  <c:v>103.643131</c:v>
                </c:pt>
                <c:pt idx="2552">
                  <c:v>103.64200100000001</c:v>
                </c:pt>
                <c:pt idx="2553">
                  <c:v>103.640871</c:v>
                </c:pt>
                <c:pt idx="2554">
                  <c:v>103.639741</c:v>
                </c:pt>
                <c:pt idx="2555">
                  <c:v>103.638611</c:v>
                </c:pt>
                <c:pt idx="2556">
                  <c:v>103.63748100000001</c:v>
                </c:pt>
                <c:pt idx="2557">
                  <c:v>103.636351</c:v>
                </c:pt>
                <c:pt idx="2558">
                  <c:v>103.635221</c:v>
                </c:pt>
                <c:pt idx="2559">
                  <c:v>103.634091</c:v>
                </c:pt>
                <c:pt idx="2560">
                  <c:v>103.63296100000001</c:v>
                </c:pt>
                <c:pt idx="2561">
                  <c:v>103.63183100000001</c:v>
                </c:pt>
                <c:pt idx="2562">
                  <c:v>103.630701</c:v>
                </c:pt>
                <c:pt idx="2563">
                  <c:v>103.629571</c:v>
                </c:pt>
                <c:pt idx="2564">
                  <c:v>103.62844100000001</c:v>
                </c:pt>
                <c:pt idx="2565">
                  <c:v>103.62731100000001</c:v>
                </c:pt>
                <c:pt idx="2566">
                  <c:v>103.626181</c:v>
                </c:pt>
                <c:pt idx="2567">
                  <c:v>103.625051</c:v>
                </c:pt>
                <c:pt idx="2568">
                  <c:v>103.623921</c:v>
                </c:pt>
                <c:pt idx="2569">
                  <c:v>103.62279100000001</c:v>
                </c:pt>
                <c:pt idx="2570">
                  <c:v>103.621661</c:v>
                </c:pt>
                <c:pt idx="2571">
                  <c:v>103.620531</c:v>
                </c:pt>
                <c:pt idx="2572">
                  <c:v>103.619401</c:v>
                </c:pt>
                <c:pt idx="2573">
                  <c:v>103.61827100000001</c:v>
                </c:pt>
                <c:pt idx="2574">
                  <c:v>103.617141</c:v>
                </c:pt>
                <c:pt idx="2575">
                  <c:v>103.616011</c:v>
                </c:pt>
                <c:pt idx="2576">
                  <c:v>103.614881</c:v>
                </c:pt>
                <c:pt idx="2577">
                  <c:v>103.61375100000001</c:v>
                </c:pt>
                <c:pt idx="2578">
                  <c:v>103.612621</c:v>
                </c:pt>
                <c:pt idx="2579">
                  <c:v>103.611491</c:v>
                </c:pt>
                <c:pt idx="2580">
                  <c:v>103.610361</c:v>
                </c:pt>
                <c:pt idx="2581">
                  <c:v>103.60923100000001</c:v>
                </c:pt>
                <c:pt idx="2582">
                  <c:v>103.608101</c:v>
                </c:pt>
                <c:pt idx="2583">
                  <c:v>103.606971</c:v>
                </c:pt>
                <c:pt idx="2584">
                  <c:v>103.605841</c:v>
                </c:pt>
                <c:pt idx="2585">
                  <c:v>103.60471100000001</c:v>
                </c:pt>
                <c:pt idx="2586">
                  <c:v>103.60358100000001</c:v>
                </c:pt>
                <c:pt idx="2587">
                  <c:v>103.602451</c:v>
                </c:pt>
                <c:pt idx="2588">
                  <c:v>103.601321</c:v>
                </c:pt>
                <c:pt idx="2589">
                  <c:v>103.60019100000001</c:v>
                </c:pt>
                <c:pt idx="2590">
                  <c:v>103.59906100000001</c:v>
                </c:pt>
                <c:pt idx="2591">
                  <c:v>103.597931</c:v>
                </c:pt>
                <c:pt idx="2592">
                  <c:v>103.596801</c:v>
                </c:pt>
                <c:pt idx="2593">
                  <c:v>103.59567100000001</c:v>
                </c:pt>
                <c:pt idx="2594">
                  <c:v>103.59454100000001</c:v>
                </c:pt>
                <c:pt idx="2595">
                  <c:v>103.593411</c:v>
                </c:pt>
                <c:pt idx="2596">
                  <c:v>103.592281</c:v>
                </c:pt>
                <c:pt idx="2597">
                  <c:v>103.591151</c:v>
                </c:pt>
                <c:pt idx="2598">
                  <c:v>103.59002100000001</c:v>
                </c:pt>
                <c:pt idx="2599">
                  <c:v>103.588891</c:v>
                </c:pt>
                <c:pt idx="2600">
                  <c:v>103.587761</c:v>
                </c:pt>
                <c:pt idx="2601">
                  <c:v>103.586631</c:v>
                </c:pt>
                <c:pt idx="2602">
                  <c:v>103.58550100000001</c:v>
                </c:pt>
                <c:pt idx="2603">
                  <c:v>103.584371</c:v>
                </c:pt>
                <c:pt idx="2604">
                  <c:v>103.583241</c:v>
                </c:pt>
                <c:pt idx="2605">
                  <c:v>103.582111</c:v>
                </c:pt>
                <c:pt idx="2606">
                  <c:v>103.58098100000001</c:v>
                </c:pt>
                <c:pt idx="2607">
                  <c:v>103.57985100000001</c:v>
                </c:pt>
                <c:pt idx="2608">
                  <c:v>103.578721</c:v>
                </c:pt>
                <c:pt idx="2609">
                  <c:v>103.577591</c:v>
                </c:pt>
                <c:pt idx="2610">
                  <c:v>103.57646100000001</c:v>
                </c:pt>
                <c:pt idx="2611">
                  <c:v>103.57533100000001</c:v>
                </c:pt>
                <c:pt idx="2612">
                  <c:v>103.574201</c:v>
                </c:pt>
                <c:pt idx="2613">
                  <c:v>103.573071</c:v>
                </c:pt>
                <c:pt idx="2614">
                  <c:v>103.57194100000001</c:v>
                </c:pt>
                <c:pt idx="2615">
                  <c:v>103.57081100000001</c:v>
                </c:pt>
                <c:pt idx="2616">
                  <c:v>103.569681</c:v>
                </c:pt>
                <c:pt idx="2617">
                  <c:v>103.568551</c:v>
                </c:pt>
                <c:pt idx="2618">
                  <c:v>103.567421</c:v>
                </c:pt>
                <c:pt idx="2619">
                  <c:v>103.56629100000001</c:v>
                </c:pt>
                <c:pt idx="2620">
                  <c:v>103.565161</c:v>
                </c:pt>
                <c:pt idx="2621">
                  <c:v>103.564031</c:v>
                </c:pt>
                <c:pt idx="2622">
                  <c:v>103.562901</c:v>
                </c:pt>
                <c:pt idx="2623">
                  <c:v>103.56177100000001</c:v>
                </c:pt>
                <c:pt idx="2624">
                  <c:v>103.560641</c:v>
                </c:pt>
                <c:pt idx="2625">
                  <c:v>103.559511</c:v>
                </c:pt>
                <c:pt idx="2626">
                  <c:v>103.558381</c:v>
                </c:pt>
                <c:pt idx="2627">
                  <c:v>103.55725100000001</c:v>
                </c:pt>
                <c:pt idx="2628">
                  <c:v>103.556121</c:v>
                </c:pt>
                <c:pt idx="2629">
                  <c:v>103.554991</c:v>
                </c:pt>
                <c:pt idx="2630">
                  <c:v>103.553861</c:v>
                </c:pt>
                <c:pt idx="2631">
                  <c:v>103.55273100000001</c:v>
                </c:pt>
                <c:pt idx="2632">
                  <c:v>103.55160100000001</c:v>
                </c:pt>
                <c:pt idx="2633">
                  <c:v>103.550471</c:v>
                </c:pt>
                <c:pt idx="2634">
                  <c:v>103.549341</c:v>
                </c:pt>
                <c:pt idx="2635">
                  <c:v>103.54821100000001</c:v>
                </c:pt>
                <c:pt idx="2636">
                  <c:v>103.54708100000001</c:v>
                </c:pt>
                <c:pt idx="2637">
                  <c:v>103.545951</c:v>
                </c:pt>
                <c:pt idx="2638">
                  <c:v>103.544821</c:v>
                </c:pt>
                <c:pt idx="2639">
                  <c:v>103.54369100000001</c:v>
                </c:pt>
                <c:pt idx="2640">
                  <c:v>103.54256100000001</c:v>
                </c:pt>
                <c:pt idx="2641">
                  <c:v>103.541431</c:v>
                </c:pt>
                <c:pt idx="2642">
                  <c:v>103.540301</c:v>
                </c:pt>
                <c:pt idx="2643">
                  <c:v>103.539171</c:v>
                </c:pt>
                <c:pt idx="2644">
                  <c:v>103.53804100000001</c:v>
                </c:pt>
                <c:pt idx="2645">
                  <c:v>103.536911</c:v>
                </c:pt>
                <c:pt idx="2646">
                  <c:v>103.535781</c:v>
                </c:pt>
                <c:pt idx="2647">
                  <c:v>103.534651</c:v>
                </c:pt>
                <c:pt idx="2648">
                  <c:v>103.53352100000001</c:v>
                </c:pt>
                <c:pt idx="2649">
                  <c:v>103.532391</c:v>
                </c:pt>
                <c:pt idx="2650">
                  <c:v>103.531261</c:v>
                </c:pt>
                <c:pt idx="2651">
                  <c:v>103.530131</c:v>
                </c:pt>
                <c:pt idx="2652">
                  <c:v>103.52900100000001</c:v>
                </c:pt>
                <c:pt idx="2653">
                  <c:v>103.527871</c:v>
                </c:pt>
                <c:pt idx="2654">
                  <c:v>103.526741</c:v>
                </c:pt>
                <c:pt idx="2655">
                  <c:v>103.525611</c:v>
                </c:pt>
                <c:pt idx="2656">
                  <c:v>103.52448100000001</c:v>
                </c:pt>
                <c:pt idx="2657">
                  <c:v>103.52335100000001</c:v>
                </c:pt>
                <c:pt idx="2658">
                  <c:v>103.522221</c:v>
                </c:pt>
                <c:pt idx="2659">
                  <c:v>103.521091</c:v>
                </c:pt>
                <c:pt idx="2660">
                  <c:v>103.51996100000001</c:v>
                </c:pt>
                <c:pt idx="2661">
                  <c:v>103.51883100000001</c:v>
                </c:pt>
                <c:pt idx="2662">
                  <c:v>103.517701</c:v>
                </c:pt>
                <c:pt idx="2663">
                  <c:v>103.516571</c:v>
                </c:pt>
                <c:pt idx="2664">
                  <c:v>103.51544100000001</c:v>
                </c:pt>
                <c:pt idx="2665">
                  <c:v>103.51431100000001</c:v>
                </c:pt>
                <c:pt idx="2666">
                  <c:v>103.513181</c:v>
                </c:pt>
                <c:pt idx="2667">
                  <c:v>103.512051</c:v>
                </c:pt>
                <c:pt idx="2668">
                  <c:v>103.510921</c:v>
                </c:pt>
                <c:pt idx="2669">
                  <c:v>103.50979100000001</c:v>
                </c:pt>
                <c:pt idx="2670">
                  <c:v>103.508661</c:v>
                </c:pt>
                <c:pt idx="2671">
                  <c:v>103.507531</c:v>
                </c:pt>
                <c:pt idx="2672">
                  <c:v>103.506401</c:v>
                </c:pt>
                <c:pt idx="2673">
                  <c:v>103.50527100000001</c:v>
                </c:pt>
                <c:pt idx="2674">
                  <c:v>103.504141</c:v>
                </c:pt>
                <c:pt idx="2675">
                  <c:v>103.503011</c:v>
                </c:pt>
                <c:pt idx="2676">
                  <c:v>103.501881</c:v>
                </c:pt>
                <c:pt idx="2677">
                  <c:v>103.50075100000001</c:v>
                </c:pt>
                <c:pt idx="2678">
                  <c:v>103.499621</c:v>
                </c:pt>
                <c:pt idx="2679">
                  <c:v>103.498491</c:v>
                </c:pt>
                <c:pt idx="2680">
                  <c:v>103.497361</c:v>
                </c:pt>
                <c:pt idx="2681">
                  <c:v>103.49623100000001</c:v>
                </c:pt>
                <c:pt idx="2682">
                  <c:v>103.49510100000001</c:v>
                </c:pt>
                <c:pt idx="2683">
                  <c:v>103.493971</c:v>
                </c:pt>
                <c:pt idx="2684">
                  <c:v>103.492841</c:v>
                </c:pt>
                <c:pt idx="2685">
                  <c:v>103.49171100000001</c:v>
                </c:pt>
                <c:pt idx="2686">
                  <c:v>103.49058100000001</c:v>
                </c:pt>
                <c:pt idx="2687">
                  <c:v>103.489451</c:v>
                </c:pt>
                <c:pt idx="2688">
                  <c:v>103.488321</c:v>
                </c:pt>
                <c:pt idx="2689">
                  <c:v>103.487191</c:v>
                </c:pt>
                <c:pt idx="2690">
                  <c:v>103.48606100000001</c:v>
                </c:pt>
                <c:pt idx="2691">
                  <c:v>103.484931</c:v>
                </c:pt>
                <c:pt idx="2692">
                  <c:v>103.483801</c:v>
                </c:pt>
                <c:pt idx="2693">
                  <c:v>103.482671</c:v>
                </c:pt>
                <c:pt idx="2694">
                  <c:v>103.48154100000001</c:v>
                </c:pt>
                <c:pt idx="2695">
                  <c:v>103.480411</c:v>
                </c:pt>
                <c:pt idx="2696">
                  <c:v>103.479281</c:v>
                </c:pt>
                <c:pt idx="2697">
                  <c:v>103.478151</c:v>
                </c:pt>
                <c:pt idx="2698">
                  <c:v>103.47702100000001</c:v>
                </c:pt>
                <c:pt idx="2699">
                  <c:v>103.475891</c:v>
                </c:pt>
                <c:pt idx="2700">
                  <c:v>103.474761</c:v>
                </c:pt>
                <c:pt idx="2701">
                  <c:v>103.473631</c:v>
                </c:pt>
                <c:pt idx="2702">
                  <c:v>103.47250100000001</c:v>
                </c:pt>
                <c:pt idx="2703">
                  <c:v>103.471371</c:v>
                </c:pt>
                <c:pt idx="2704">
                  <c:v>103.470241</c:v>
                </c:pt>
                <c:pt idx="2705">
                  <c:v>103.469111</c:v>
                </c:pt>
                <c:pt idx="2706">
                  <c:v>103.46798100000001</c:v>
                </c:pt>
                <c:pt idx="2707">
                  <c:v>103.46685100000001</c:v>
                </c:pt>
                <c:pt idx="2708">
                  <c:v>103.465721</c:v>
                </c:pt>
                <c:pt idx="2709">
                  <c:v>103.464591</c:v>
                </c:pt>
                <c:pt idx="2710">
                  <c:v>103.46346100000001</c:v>
                </c:pt>
                <c:pt idx="2711">
                  <c:v>103.46233100000001</c:v>
                </c:pt>
                <c:pt idx="2712">
                  <c:v>103.461201</c:v>
                </c:pt>
                <c:pt idx="2713">
                  <c:v>103.460071</c:v>
                </c:pt>
                <c:pt idx="2714">
                  <c:v>103.45894100000001</c:v>
                </c:pt>
                <c:pt idx="2715">
                  <c:v>103.45781100000001</c:v>
                </c:pt>
                <c:pt idx="2716">
                  <c:v>103.456681</c:v>
                </c:pt>
                <c:pt idx="2717">
                  <c:v>103.455551</c:v>
                </c:pt>
                <c:pt idx="2718">
                  <c:v>103.454421</c:v>
                </c:pt>
                <c:pt idx="2719">
                  <c:v>103.45329100000001</c:v>
                </c:pt>
                <c:pt idx="2720">
                  <c:v>103.452161</c:v>
                </c:pt>
                <c:pt idx="2721">
                  <c:v>103.451031</c:v>
                </c:pt>
                <c:pt idx="2722">
                  <c:v>103.449901</c:v>
                </c:pt>
                <c:pt idx="2723">
                  <c:v>103.44877100000001</c:v>
                </c:pt>
                <c:pt idx="2724">
                  <c:v>103.447641</c:v>
                </c:pt>
                <c:pt idx="2725">
                  <c:v>103.446511</c:v>
                </c:pt>
                <c:pt idx="2726">
                  <c:v>103.445381</c:v>
                </c:pt>
                <c:pt idx="2727">
                  <c:v>103.44425100000001</c:v>
                </c:pt>
                <c:pt idx="2728">
                  <c:v>103.443121</c:v>
                </c:pt>
                <c:pt idx="2729">
                  <c:v>103.441991</c:v>
                </c:pt>
                <c:pt idx="2730">
                  <c:v>103.440861</c:v>
                </c:pt>
                <c:pt idx="2731">
                  <c:v>103.43973100000001</c:v>
                </c:pt>
                <c:pt idx="2732">
                  <c:v>103.43860100000001</c:v>
                </c:pt>
                <c:pt idx="2733">
                  <c:v>103.437471</c:v>
                </c:pt>
                <c:pt idx="2734">
                  <c:v>103.436341</c:v>
                </c:pt>
                <c:pt idx="2735">
                  <c:v>103.43521100000001</c:v>
                </c:pt>
                <c:pt idx="2736">
                  <c:v>103.43408100000001</c:v>
                </c:pt>
                <c:pt idx="2737">
                  <c:v>103.432951</c:v>
                </c:pt>
                <c:pt idx="2738">
                  <c:v>103.431821</c:v>
                </c:pt>
                <c:pt idx="2739">
                  <c:v>103.430691</c:v>
                </c:pt>
                <c:pt idx="2740">
                  <c:v>103.42956100000001</c:v>
                </c:pt>
                <c:pt idx="2741">
                  <c:v>103.428431</c:v>
                </c:pt>
                <c:pt idx="2742">
                  <c:v>103.427301</c:v>
                </c:pt>
                <c:pt idx="2743">
                  <c:v>103.426171</c:v>
                </c:pt>
                <c:pt idx="2744">
                  <c:v>103.42504100000001</c:v>
                </c:pt>
                <c:pt idx="2745">
                  <c:v>103.423911</c:v>
                </c:pt>
                <c:pt idx="2746">
                  <c:v>103.422781</c:v>
                </c:pt>
                <c:pt idx="2747">
                  <c:v>103.421651</c:v>
                </c:pt>
                <c:pt idx="2748">
                  <c:v>103.42052100000001</c:v>
                </c:pt>
                <c:pt idx="2749">
                  <c:v>103.419391</c:v>
                </c:pt>
                <c:pt idx="2750">
                  <c:v>103.418261</c:v>
                </c:pt>
                <c:pt idx="2751">
                  <c:v>103.417131</c:v>
                </c:pt>
                <c:pt idx="2752">
                  <c:v>103.41600100000001</c:v>
                </c:pt>
                <c:pt idx="2753">
                  <c:v>103.41487100000001</c:v>
                </c:pt>
                <c:pt idx="2754">
                  <c:v>103.413741</c:v>
                </c:pt>
                <c:pt idx="2755">
                  <c:v>103.412611</c:v>
                </c:pt>
                <c:pt idx="2756">
                  <c:v>103.41148100000001</c:v>
                </c:pt>
                <c:pt idx="2757">
                  <c:v>103.41035100000001</c:v>
                </c:pt>
                <c:pt idx="2758">
                  <c:v>103.409221</c:v>
                </c:pt>
                <c:pt idx="2759">
                  <c:v>103.408091</c:v>
                </c:pt>
                <c:pt idx="2760">
                  <c:v>103.40696100000001</c:v>
                </c:pt>
                <c:pt idx="2761">
                  <c:v>103.40583100000001</c:v>
                </c:pt>
                <c:pt idx="2762">
                  <c:v>103.404701</c:v>
                </c:pt>
                <c:pt idx="2763">
                  <c:v>103.403571</c:v>
                </c:pt>
                <c:pt idx="2764">
                  <c:v>103.402441</c:v>
                </c:pt>
                <c:pt idx="2765">
                  <c:v>103.40131100000001</c:v>
                </c:pt>
                <c:pt idx="2766">
                  <c:v>103.400181</c:v>
                </c:pt>
                <c:pt idx="2767">
                  <c:v>103.399051</c:v>
                </c:pt>
                <c:pt idx="2768">
                  <c:v>103.397921</c:v>
                </c:pt>
                <c:pt idx="2769">
                  <c:v>103.39679100000001</c:v>
                </c:pt>
                <c:pt idx="2770">
                  <c:v>103.395661</c:v>
                </c:pt>
                <c:pt idx="2771">
                  <c:v>103.394531</c:v>
                </c:pt>
                <c:pt idx="2772">
                  <c:v>103.393401</c:v>
                </c:pt>
                <c:pt idx="2773">
                  <c:v>103.39227100000001</c:v>
                </c:pt>
                <c:pt idx="2774">
                  <c:v>103.391141</c:v>
                </c:pt>
                <c:pt idx="2775">
                  <c:v>103.390011</c:v>
                </c:pt>
                <c:pt idx="2776">
                  <c:v>103.388881</c:v>
                </c:pt>
                <c:pt idx="2777">
                  <c:v>103.38775100000001</c:v>
                </c:pt>
                <c:pt idx="2778">
                  <c:v>103.38662100000001</c:v>
                </c:pt>
                <c:pt idx="2779">
                  <c:v>103.385491</c:v>
                </c:pt>
                <c:pt idx="2780">
                  <c:v>103.384361</c:v>
                </c:pt>
                <c:pt idx="2781">
                  <c:v>103.38323100000001</c:v>
                </c:pt>
                <c:pt idx="2782">
                  <c:v>103.38210100000001</c:v>
                </c:pt>
                <c:pt idx="2783">
                  <c:v>103.380971</c:v>
                </c:pt>
                <c:pt idx="2784">
                  <c:v>103.379841</c:v>
                </c:pt>
                <c:pt idx="2785">
                  <c:v>103.37871100000001</c:v>
                </c:pt>
                <c:pt idx="2786">
                  <c:v>103.37758100000001</c:v>
                </c:pt>
                <c:pt idx="2787">
                  <c:v>103.376451</c:v>
                </c:pt>
                <c:pt idx="2788">
                  <c:v>103.375321</c:v>
                </c:pt>
                <c:pt idx="2789">
                  <c:v>103.374191</c:v>
                </c:pt>
                <c:pt idx="2790">
                  <c:v>103.37306100000001</c:v>
                </c:pt>
                <c:pt idx="2791">
                  <c:v>103.371931</c:v>
                </c:pt>
                <c:pt idx="2792">
                  <c:v>103.370801</c:v>
                </c:pt>
                <c:pt idx="2793">
                  <c:v>103.369671</c:v>
                </c:pt>
                <c:pt idx="2794">
                  <c:v>103.36854100000001</c:v>
                </c:pt>
                <c:pt idx="2795">
                  <c:v>103.367411</c:v>
                </c:pt>
                <c:pt idx="2796">
                  <c:v>103.366281</c:v>
                </c:pt>
                <c:pt idx="2797">
                  <c:v>103.365151</c:v>
                </c:pt>
                <c:pt idx="2798">
                  <c:v>103.36402100000001</c:v>
                </c:pt>
                <c:pt idx="2799">
                  <c:v>103.362891</c:v>
                </c:pt>
                <c:pt idx="2800">
                  <c:v>103.361761</c:v>
                </c:pt>
                <c:pt idx="2801">
                  <c:v>103.360631</c:v>
                </c:pt>
                <c:pt idx="2802">
                  <c:v>103.35950100000001</c:v>
                </c:pt>
                <c:pt idx="2803">
                  <c:v>103.35837100000001</c:v>
                </c:pt>
                <c:pt idx="2804">
                  <c:v>103.357241</c:v>
                </c:pt>
                <c:pt idx="2805">
                  <c:v>103.356111</c:v>
                </c:pt>
                <c:pt idx="2806">
                  <c:v>103.35498100000001</c:v>
                </c:pt>
                <c:pt idx="2807">
                  <c:v>103.35385100000001</c:v>
                </c:pt>
                <c:pt idx="2808">
                  <c:v>103.352721</c:v>
                </c:pt>
                <c:pt idx="2809">
                  <c:v>103.351591</c:v>
                </c:pt>
                <c:pt idx="2810">
                  <c:v>103.350461</c:v>
                </c:pt>
                <c:pt idx="2811">
                  <c:v>103.34933100000001</c:v>
                </c:pt>
                <c:pt idx="2812">
                  <c:v>103.348201</c:v>
                </c:pt>
                <c:pt idx="2813">
                  <c:v>103.347071</c:v>
                </c:pt>
                <c:pt idx="2814">
                  <c:v>103.345941</c:v>
                </c:pt>
                <c:pt idx="2815">
                  <c:v>103.34481100000001</c:v>
                </c:pt>
                <c:pt idx="2816">
                  <c:v>103.343681</c:v>
                </c:pt>
                <c:pt idx="2817">
                  <c:v>103.342551</c:v>
                </c:pt>
                <c:pt idx="2818">
                  <c:v>103.341421</c:v>
                </c:pt>
                <c:pt idx="2819">
                  <c:v>103.34029100000001</c:v>
                </c:pt>
                <c:pt idx="2820">
                  <c:v>103.339161</c:v>
                </c:pt>
                <c:pt idx="2821">
                  <c:v>103.338031</c:v>
                </c:pt>
                <c:pt idx="2822">
                  <c:v>103.336901</c:v>
                </c:pt>
                <c:pt idx="2823">
                  <c:v>103.33577100000001</c:v>
                </c:pt>
                <c:pt idx="2824">
                  <c:v>103.334641</c:v>
                </c:pt>
                <c:pt idx="2825">
                  <c:v>103.333511</c:v>
                </c:pt>
                <c:pt idx="2826">
                  <c:v>103.332381</c:v>
                </c:pt>
                <c:pt idx="2827">
                  <c:v>103.33125100000001</c:v>
                </c:pt>
                <c:pt idx="2828">
                  <c:v>103.33012100000001</c:v>
                </c:pt>
                <c:pt idx="2829">
                  <c:v>103.328991</c:v>
                </c:pt>
                <c:pt idx="2830">
                  <c:v>103.327861</c:v>
                </c:pt>
                <c:pt idx="2831">
                  <c:v>103.32673100000001</c:v>
                </c:pt>
                <c:pt idx="2832">
                  <c:v>103.32560100000001</c:v>
                </c:pt>
                <c:pt idx="2833">
                  <c:v>103.324471</c:v>
                </c:pt>
                <c:pt idx="2834">
                  <c:v>103.323341</c:v>
                </c:pt>
                <c:pt idx="2835">
                  <c:v>103.32221100000001</c:v>
                </c:pt>
                <c:pt idx="2836">
                  <c:v>103.32108100000001</c:v>
                </c:pt>
                <c:pt idx="2837">
                  <c:v>103.319951</c:v>
                </c:pt>
                <c:pt idx="2838">
                  <c:v>103.318821</c:v>
                </c:pt>
                <c:pt idx="2839">
                  <c:v>103.317691</c:v>
                </c:pt>
                <c:pt idx="2840">
                  <c:v>103.31656100000001</c:v>
                </c:pt>
                <c:pt idx="2841">
                  <c:v>103.315431</c:v>
                </c:pt>
                <c:pt idx="2842">
                  <c:v>103.314301</c:v>
                </c:pt>
                <c:pt idx="2843">
                  <c:v>103.313171</c:v>
                </c:pt>
                <c:pt idx="2844">
                  <c:v>103.31204100000001</c:v>
                </c:pt>
                <c:pt idx="2845">
                  <c:v>103.310911</c:v>
                </c:pt>
                <c:pt idx="2846">
                  <c:v>103.309781</c:v>
                </c:pt>
                <c:pt idx="2847">
                  <c:v>103.308651</c:v>
                </c:pt>
                <c:pt idx="2848">
                  <c:v>103.30752100000001</c:v>
                </c:pt>
                <c:pt idx="2849">
                  <c:v>103.306391</c:v>
                </c:pt>
                <c:pt idx="2850">
                  <c:v>103.305261</c:v>
                </c:pt>
                <c:pt idx="2851">
                  <c:v>103.304131</c:v>
                </c:pt>
                <c:pt idx="2852">
                  <c:v>103.30300100000001</c:v>
                </c:pt>
                <c:pt idx="2853">
                  <c:v>103.30187100000001</c:v>
                </c:pt>
                <c:pt idx="2854">
                  <c:v>103.300741</c:v>
                </c:pt>
                <c:pt idx="2855">
                  <c:v>103.299611</c:v>
                </c:pt>
                <c:pt idx="2856">
                  <c:v>103.29848100000001</c:v>
                </c:pt>
                <c:pt idx="2857">
                  <c:v>103.29735100000001</c:v>
                </c:pt>
                <c:pt idx="2858">
                  <c:v>103.296221</c:v>
                </c:pt>
                <c:pt idx="2859">
                  <c:v>103.295091</c:v>
                </c:pt>
                <c:pt idx="2860">
                  <c:v>103.293961</c:v>
                </c:pt>
                <c:pt idx="2861">
                  <c:v>103.29283100000001</c:v>
                </c:pt>
                <c:pt idx="2862">
                  <c:v>103.291701</c:v>
                </c:pt>
                <c:pt idx="2863">
                  <c:v>103.290571</c:v>
                </c:pt>
                <c:pt idx="2864">
                  <c:v>103.289441</c:v>
                </c:pt>
                <c:pt idx="2865">
                  <c:v>103.28831100000001</c:v>
                </c:pt>
                <c:pt idx="2866">
                  <c:v>103.287181</c:v>
                </c:pt>
                <c:pt idx="2867">
                  <c:v>103.286051</c:v>
                </c:pt>
                <c:pt idx="2868">
                  <c:v>103.284921</c:v>
                </c:pt>
                <c:pt idx="2869">
                  <c:v>103.28379100000001</c:v>
                </c:pt>
                <c:pt idx="2870">
                  <c:v>103.282661</c:v>
                </c:pt>
                <c:pt idx="2871">
                  <c:v>103.281531</c:v>
                </c:pt>
                <c:pt idx="2872">
                  <c:v>103.280401</c:v>
                </c:pt>
                <c:pt idx="2873">
                  <c:v>103.27927100000001</c:v>
                </c:pt>
                <c:pt idx="2874">
                  <c:v>103.27814100000001</c:v>
                </c:pt>
                <c:pt idx="2875">
                  <c:v>103.277011</c:v>
                </c:pt>
                <c:pt idx="2876">
                  <c:v>103.275881</c:v>
                </c:pt>
                <c:pt idx="2877">
                  <c:v>103.27475100000001</c:v>
                </c:pt>
                <c:pt idx="2878">
                  <c:v>103.27362100000001</c:v>
                </c:pt>
                <c:pt idx="2879">
                  <c:v>103.272491</c:v>
                </c:pt>
                <c:pt idx="2880">
                  <c:v>103.271361</c:v>
                </c:pt>
                <c:pt idx="2881">
                  <c:v>103.27023100000001</c:v>
                </c:pt>
                <c:pt idx="2882">
                  <c:v>103.26910100000001</c:v>
                </c:pt>
                <c:pt idx="2883">
                  <c:v>103.267971</c:v>
                </c:pt>
                <c:pt idx="2884">
                  <c:v>103.266841</c:v>
                </c:pt>
                <c:pt idx="2885">
                  <c:v>103.26571100000001</c:v>
                </c:pt>
                <c:pt idx="2886">
                  <c:v>103.26458100000001</c:v>
                </c:pt>
                <c:pt idx="2887">
                  <c:v>103.263451</c:v>
                </c:pt>
                <c:pt idx="2888">
                  <c:v>103.262321</c:v>
                </c:pt>
                <c:pt idx="2889">
                  <c:v>103.261191</c:v>
                </c:pt>
                <c:pt idx="2890">
                  <c:v>103.26006100000001</c:v>
                </c:pt>
                <c:pt idx="2891">
                  <c:v>103.258931</c:v>
                </c:pt>
                <c:pt idx="2892">
                  <c:v>103.257801</c:v>
                </c:pt>
                <c:pt idx="2893">
                  <c:v>103.256671</c:v>
                </c:pt>
                <c:pt idx="2894">
                  <c:v>103.25554100000001</c:v>
                </c:pt>
                <c:pt idx="2895">
                  <c:v>103.254411</c:v>
                </c:pt>
                <c:pt idx="2896">
                  <c:v>103.253281</c:v>
                </c:pt>
                <c:pt idx="2897">
                  <c:v>103.252151</c:v>
                </c:pt>
                <c:pt idx="2898">
                  <c:v>103.25102100000001</c:v>
                </c:pt>
                <c:pt idx="2899">
                  <c:v>103.24989100000001</c:v>
                </c:pt>
                <c:pt idx="2900">
                  <c:v>103.248761</c:v>
                </c:pt>
                <c:pt idx="2901">
                  <c:v>103.247631</c:v>
                </c:pt>
                <c:pt idx="2902">
                  <c:v>103.24650100000001</c:v>
                </c:pt>
                <c:pt idx="2903">
                  <c:v>103.24537100000001</c:v>
                </c:pt>
                <c:pt idx="2904">
                  <c:v>103.244241</c:v>
                </c:pt>
                <c:pt idx="2905">
                  <c:v>103.243111</c:v>
                </c:pt>
                <c:pt idx="2906">
                  <c:v>103.24198100000001</c:v>
                </c:pt>
                <c:pt idx="2907">
                  <c:v>103.24085100000001</c:v>
                </c:pt>
                <c:pt idx="2908">
                  <c:v>103.239721</c:v>
                </c:pt>
                <c:pt idx="2909">
                  <c:v>103.238591</c:v>
                </c:pt>
                <c:pt idx="2910">
                  <c:v>103.237461</c:v>
                </c:pt>
                <c:pt idx="2911">
                  <c:v>103.23633100000001</c:v>
                </c:pt>
                <c:pt idx="2912">
                  <c:v>103.235201</c:v>
                </c:pt>
                <c:pt idx="2913">
                  <c:v>103.234071</c:v>
                </c:pt>
                <c:pt idx="2914">
                  <c:v>103.232941</c:v>
                </c:pt>
                <c:pt idx="2915">
                  <c:v>103.23181100000001</c:v>
                </c:pt>
                <c:pt idx="2916">
                  <c:v>103.230681</c:v>
                </c:pt>
                <c:pt idx="2917">
                  <c:v>103.229551</c:v>
                </c:pt>
                <c:pt idx="2918">
                  <c:v>103.228421</c:v>
                </c:pt>
                <c:pt idx="2919">
                  <c:v>103.22729100000001</c:v>
                </c:pt>
                <c:pt idx="2920">
                  <c:v>103.226161</c:v>
                </c:pt>
                <c:pt idx="2921">
                  <c:v>103.225031</c:v>
                </c:pt>
                <c:pt idx="2922">
                  <c:v>103.223901</c:v>
                </c:pt>
                <c:pt idx="2923">
                  <c:v>103.22277100000001</c:v>
                </c:pt>
                <c:pt idx="2924">
                  <c:v>103.22164100000001</c:v>
                </c:pt>
                <c:pt idx="2925">
                  <c:v>103.220511</c:v>
                </c:pt>
                <c:pt idx="2926">
                  <c:v>103.219381</c:v>
                </c:pt>
                <c:pt idx="2927">
                  <c:v>103.21825100000001</c:v>
                </c:pt>
                <c:pt idx="2928">
                  <c:v>103.21712100000001</c:v>
                </c:pt>
                <c:pt idx="2929">
                  <c:v>103.215991</c:v>
                </c:pt>
                <c:pt idx="2930">
                  <c:v>103.214861</c:v>
                </c:pt>
                <c:pt idx="2931">
                  <c:v>103.213731</c:v>
                </c:pt>
                <c:pt idx="2932">
                  <c:v>103.21260100000001</c:v>
                </c:pt>
                <c:pt idx="2933">
                  <c:v>103.211471</c:v>
                </c:pt>
                <c:pt idx="2934">
                  <c:v>103.210341</c:v>
                </c:pt>
                <c:pt idx="2935">
                  <c:v>103.209211</c:v>
                </c:pt>
                <c:pt idx="2936">
                  <c:v>103.20808100000001</c:v>
                </c:pt>
                <c:pt idx="2937">
                  <c:v>103.206951</c:v>
                </c:pt>
                <c:pt idx="2938">
                  <c:v>103.205821</c:v>
                </c:pt>
                <c:pt idx="2939">
                  <c:v>103.204691</c:v>
                </c:pt>
                <c:pt idx="2940">
                  <c:v>103.20356100000001</c:v>
                </c:pt>
                <c:pt idx="2941">
                  <c:v>103.202431</c:v>
                </c:pt>
                <c:pt idx="2942">
                  <c:v>103.201301</c:v>
                </c:pt>
                <c:pt idx="2943">
                  <c:v>103.200171</c:v>
                </c:pt>
                <c:pt idx="2944">
                  <c:v>103.19904100000001</c:v>
                </c:pt>
                <c:pt idx="2945">
                  <c:v>103.197911</c:v>
                </c:pt>
                <c:pt idx="2946">
                  <c:v>103.196781</c:v>
                </c:pt>
                <c:pt idx="2947">
                  <c:v>103.195651</c:v>
                </c:pt>
                <c:pt idx="2948">
                  <c:v>103.19452100000001</c:v>
                </c:pt>
                <c:pt idx="2949">
                  <c:v>103.19339100000001</c:v>
                </c:pt>
                <c:pt idx="2950">
                  <c:v>103.192261</c:v>
                </c:pt>
                <c:pt idx="2951">
                  <c:v>103.191131</c:v>
                </c:pt>
                <c:pt idx="2952">
                  <c:v>103.19000100000001</c:v>
                </c:pt>
                <c:pt idx="2953">
                  <c:v>103.18887100000001</c:v>
                </c:pt>
                <c:pt idx="2954">
                  <c:v>103.187741</c:v>
                </c:pt>
                <c:pt idx="2955">
                  <c:v>103.186611</c:v>
                </c:pt>
                <c:pt idx="2956">
                  <c:v>103.18548100000001</c:v>
                </c:pt>
                <c:pt idx="2957">
                  <c:v>103.18435100000001</c:v>
                </c:pt>
                <c:pt idx="2958">
                  <c:v>103.183221</c:v>
                </c:pt>
                <c:pt idx="2959">
                  <c:v>103.182091</c:v>
                </c:pt>
                <c:pt idx="2960">
                  <c:v>103.180961</c:v>
                </c:pt>
                <c:pt idx="2961">
                  <c:v>103.17983100000001</c:v>
                </c:pt>
                <c:pt idx="2962">
                  <c:v>103.178701</c:v>
                </c:pt>
                <c:pt idx="2963">
                  <c:v>103.177571</c:v>
                </c:pt>
                <c:pt idx="2964">
                  <c:v>103.176441</c:v>
                </c:pt>
                <c:pt idx="2965">
                  <c:v>103.17531100000001</c:v>
                </c:pt>
                <c:pt idx="2966">
                  <c:v>103.174181</c:v>
                </c:pt>
                <c:pt idx="2967">
                  <c:v>103.173051</c:v>
                </c:pt>
                <c:pt idx="2968">
                  <c:v>103.171921</c:v>
                </c:pt>
                <c:pt idx="2969">
                  <c:v>103.17079100000001</c:v>
                </c:pt>
                <c:pt idx="2970">
                  <c:v>103.169661</c:v>
                </c:pt>
                <c:pt idx="2971">
                  <c:v>103.168531</c:v>
                </c:pt>
                <c:pt idx="2972">
                  <c:v>103.167401</c:v>
                </c:pt>
                <c:pt idx="2973">
                  <c:v>103.16627100000001</c:v>
                </c:pt>
                <c:pt idx="2974">
                  <c:v>103.16514100000001</c:v>
                </c:pt>
                <c:pt idx="2975">
                  <c:v>103.164011</c:v>
                </c:pt>
                <c:pt idx="2976">
                  <c:v>103.162881</c:v>
                </c:pt>
                <c:pt idx="2977">
                  <c:v>103.16175100000001</c:v>
                </c:pt>
                <c:pt idx="2978">
                  <c:v>103.16062100000001</c:v>
                </c:pt>
                <c:pt idx="2979">
                  <c:v>103.159491</c:v>
                </c:pt>
                <c:pt idx="2980">
                  <c:v>103.158361</c:v>
                </c:pt>
                <c:pt idx="2981">
                  <c:v>103.157231</c:v>
                </c:pt>
                <c:pt idx="2982">
                  <c:v>103.15610100000001</c:v>
                </c:pt>
                <c:pt idx="2983">
                  <c:v>103.154971</c:v>
                </c:pt>
                <c:pt idx="2984">
                  <c:v>103.153841</c:v>
                </c:pt>
                <c:pt idx="2985">
                  <c:v>103.152711</c:v>
                </c:pt>
                <c:pt idx="2986">
                  <c:v>103.15158100000001</c:v>
                </c:pt>
                <c:pt idx="2987">
                  <c:v>103.150451</c:v>
                </c:pt>
                <c:pt idx="2988">
                  <c:v>103.149321</c:v>
                </c:pt>
                <c:pt idx="2989">
                  <c:v>103.148191</c:v>
                </c:pt>
                <c:pt idx="2990">
                  <c:v>103.14706100000001</c:v>
                </c:pt>
                <c:pt idx="2991">
                  <c:v>103.145931</c:v>
                </c:pt>
                <c:pt idx="2992">
                  <c:v>103.144801</c:v>
                </c:pt>
                <c:pt idx="2993">
                  <c:v>103.143671</c:v>
                </c:pt>
                <c:pt idx="2994">
                  <c:v>103.14254100000001</c:v>
                </c:pt>
                <c:pt idx="2995">
                  <c:v>103.14141100000001</c:v>
                </c:pt>
                <c:pt idx="2996">
                  <c:v>103.140281</c:v>
                </c:pt>
                <c:pt idx="2997">
                  <c:v>103.139151</c:v>
                </c:pt>
                <c:pt idx="2998">
                  <c:v>103.13802100000001</c:v>
                </c:pt>
                <c:pt idx="2999">
                  <c:v>103.13689100000001</c:v>
                </c:pt>
                <c:pt idx="3000">
                  <c:v>103.135761</c:v>
                </c:pt>
                <c:pt idx="3001">
                  <c:v>103.134631</c:v>
                </c:pt>
                <c:pt idx="3002">
                  <c:v>103.13350100000001</c:v>
                </c:pt>
                <c:pt idx="3003">
                  <c:v>103.13237100000001</c:v>
                </c:pt>
                <c:pt idx="3004">
                  <c:v>103.131241</c:v>
                </c:pt>
                <c:pt idx="3005">
                  <c:v>103.130111</c:v>
                </c:pt>
                <c:pt idx="3006">
                  <c:v>103.12898100000001</c:v>
                </c:pt>
                <c:pt idx="3007">
                  <c:v>103.12785100000001</c:v>
                </c:pt>
                <c:pt idx="3008">
                  <c:v>103.126721</c:v>
                </c:pt>
                <c:pt idx="3009">
                  <c:v>103.125591</c:v>
                </c:pt>
                <c:pt idx="3010">
                  <c:v>103.124461</c:v>
                </c:pt>
                <c:pt idx="3011">
                  <c:v>103.12333100000001</c:v>
                </c:pt>
                <c:pt idx="3012">
                  <c:v>103.122201</c:v>
                </c:pt>
                <c:pt idx="3013">
                  <c:v>103.121071</c:v>
                </c:pt>
                <c:pt idx="3014">
                  <c:v>103.119941</c:v>
                </c:pt>
                <c:pt idx="3015">
                  <c:v>103.11881100000001</c:v>
                </c:pt>
                <c:pt idx="3016">
                  <c:v>103.117681</c:v>
                </c:pt>
                <c:pt idx="3017">
                  <c:v>103.116551</c:v>
                </c:pt>
                <c:pt idx="3018">
                  <c:v>103.115421</c:v>
                </c:pt>
                <c:pt idx="3019">
                  <c:v>103.11429100000001</c:v>
                </c:pt>
                <c:pt idx="3020">
                  <c:v>103.11316100000001</c:v>
                </c:pt>
                <c:pt idx="3021">
                  <c:v>103.112031</c:v>
                </c:pt>
                <c:pt idx="3022">
                  <c:v>103.110901</c:v>
                </c:pt>
                <c:pt idx="3023">
                  <c:v>103.10977100000001</c:v>
                </c:pt>
                <c:pt idx="3024">
                  <c:v>103.10864100000001</c:v>
                </c:pt>
                <c:pt idx="3025">
                  <c:v>103.107511</c:v>
                </c:pt>
                <c:pt idx="3026">
                  <c:v>103.106381</c:v>
                </c:pt>
                <c:pt idx="3027">
                  <c:v>103.10525100000001</c:v>
                </c:pt>
                <c:pt idx="3028">
                  <c:v>103.10412100000001</c:v>
                </c:pt>
                <c:pt idx="3029">
                  <c:v>103.102991</c:v>
                </c:pt>
                <c:pt idx="3030">
                  <c:v>103.101861</c:v>
                </c:pt>
                <c:pt idx="3031">
                  <c:v>103.100731</c:v>
                </c:pt>
                <c:pt idx="3032">
                  <c:v>103.09960100000001</c:v>
                </c:pt>
                <c:pt idx="3033">
                  <c:v>103.098471</c:v>
                </c:pt>
                <c:pt idx="3034">
                  <c:v>103.097341</c:v>
                </c:pt>
                <c:pt idx="3035">
                  <c:v>103.096211</c:v>
                </c:pt>
                <c:pt idx="3036">
                  <c:v>103.09508100000001</c:v>
                </c:pt>
                <c:pt idx="3037">
                  <c:v>103.093951</c:v>
                </c:pt>
                <c:pt idx="3038">
                  <c:v>103.092821</c:v>
                </c:pt>
                <c:pt idx="3039">
                  <c:v>103.091691</c:v>
                </c:pt>
                <c:pt idx="3040">
                  <c:v>103.09056100000001</c:v>
                </c:pt>
                <c:pt idx="3041">
                  <c:v>103.089431</c:v>
                </c:pt>
                <c:pt idx="3042">
                  <c:v>103.088301</c:v>
                </c:pt>
                <c:pt idx="3043">
                  <c:v>103.087171</c:v>
                </c:pt>
                <c:pt idx="3044">
                  <c:v>103.08604100000001</c:v>
                </c:pt>
                <c:pt idx="3045">
                  <c:v>103.08491100000001</c:v>
                </c:pt>
                <c:pt idx="3046">
                  <c:v>103.083781</c:v>
                </c:pt>
                <c:pt idx="3047">
                  <c:v>103.082651</c:v>
                </c:pt>
                <c:pt idx="3048">
                  <c:v>103.08152100000001</c:v>
                </c:pt>
                <c:pt idx="3049">
                  <c:v>103.08039100000001</c:v>
                </c:pt>
                <c:pt idx="3050">
                  <c:v>103.079261</c:v>
                </c:pt>
                <c:pt idx="3051">
                  <c:v>103.078131</c:v>
                </c:pt>
                <c:pt idx="3052">
                  <c:v>103.077001</c:v>
                </c:pt>
                <c:pt idx="3053">
                  <c:v>103.07587100000001</c:v>
                </c:pt>
                <c:pt idx="3054">
                  <c:v>103.074741</c:v>
                </c:pt>
                <c:pt idx="3055">
                  <c:v>103.073611</c:v>
                </c:pt>
                <c:pt idx="3056">
                  <c:v>103.072481</c:v>
                </c:pt>
                <c:pt idx="3057">
                  <c:v>103.07135100000001</c:v>
                </c:pt>
                <c:pt idx="3058">
                  <c:v>103.070221</c:v>
                </c:pt>
                <c:pt idx="3059">
                  <c:v>103.069091</c:v>
                </c:pt>
                <c:pt idx="3060">
                  <c:v>103.067961</c:v>
                </c:pt>
                <c:pt idx="3061">
                  <c:v>103.06683100000001</c:v>
                </c:pt>
                <c:pt idx="3062">
                  <c:v>103.065701</c:v>
                </c:pt>
                <c:pt idx="3063">
                  <c:v>103.064571</c:v>
                </c:pt>
                <c:pt idx="3064">
                  <c:v>103.063441</c:v>
                </c:pt>
                <c:pt idx="3065">
                  <c:v>103.06231100000001</c:v>
                </c:pt>
                <c:pt idx="3066">
                  <c:v>103.061181</c:v>
                </c:pt>
                <c:pt idx="3067">
                  <c:v>103.060051</c:v>
                </c:pt>
                <c:pt idx="3068">
                  <c:v>103.058921</c:v>
                </c:pt>
                <c:pt idx="3069">
                  <c:v>103.05779100000001</c:v>
                </c:pt>
                <c:pt idx="3070">
                  <c:v>103.05666100000001</c:v>
                </c:pt>
                <c:pt idx="3071">
                  <c:v>103.055531</c:v>
                </c:pt>
                <c:pt idx="3072">
                  <c:v>103.054401</c:v>
                </c:pt>
                <c:pt idx="3073">
                  <c:v>103.05327100000001</c:v>
                </c:pt>
                <c:pt idx="3074">
                  <c:v>103.05214100000001</c:v>
                </c:pt>
                <c:pt idx="3075">
                  <c:v>103.051011</c:v>
                </c:pt>
                <c:pt idx="3076">
                  <c:v>103.049881</c:v>
                </c:pt>
                <c:pt idx="3077">
                  <c:v>103.04875100000001</c:v>
                </c:pt>
                <c:pt idx="3078">
                  <c:v>103.04762100000001</c:v>
                </c:pt>
                <c:pt idx="3079">
                  <c:v>103.046491</c:v>
                </c:pt>
                <c:pt idx="3080">
                  <c:v>103.045361</c:v>
                </c:pt>
                <c:pt idx="3081">
                  <c:v>103.044231</c:v>
                </c:pt>
                <c:pt idx="3082">
                  <c:v>103.04310100000001</c:v>
                </c:pt>
                <c:pt idx="3083">
                  <c:v>103.041971</c:v>
                </c:pt>
                <c:pt idx="3084">
                  <c:v>103.040841</c:v>
                </c:pt>
                <c:pt idx="3085">
                  <c:v>103.039711</c:v>
                </c:pt>
                <c:pt idx="3086">
                  <c:v>103.03858100000001</c:v>
                </c:pt>
                <c:pt idx="3087">
                  <c:v>103.037451</c:v>
                </c:pt>
                <c:pt idx="3088">
                  <c:v>103.036321</c:v>
                </c:pt>
                <c:pt idx="3089">
                  <c:v>103.035191</c:v>
                </c:pt>
                <c:pt idx="3090">
                  <c:v>103.03406100000001</c:v>
                </c:pt>
                <c:pt idx="3091">
                  <c:v>103.032931</c:v>
                </c:pt>
                <c:pt idx="3092">
                  <c:v>103.031801</c:v>
                </c:pt>
                <c:pt idx="3093">
                  <c:v>103.030671</c:v>
                </c:pt>
                <c:pt idx="3094">
                  <c:v>103.02954100000001</c:v>
                </c:pt>
                <c:pt idx="3095">
                  <c:v>103.02841100000001</c:v>
                </c:pt>
                <c:pt idx="3096">
                  <c:v>103.027281</c:v>
                </c:pt>
                <c:pt idx="3097">
                  <c:v>103.026151</c:v>
                </c:pt>
                <c:pt idx="3098">
                  <c:v>103.02502100000001</c:v>
                </c:pt>
                <c:pt idx="3099">
                  <c:v>103.02389100000001</c:v>
                </c:pt>
                <c:pt idx="3100">
                  <c:v>103.022761</c:v>
                </c:pt>
                <c:pt idx="3101">
                  <c:v>103.021631</c:v>
                </c:pt>
                <c:pt idx="3102">
                  <c:v>103.020501</c:v>
                </c:pt>
                <c:pt idx="3103">
                  <c:v>103.01937100000001</c:v>
                </c:pt>
                <c:pt idx="3104">
                  <c:v>103.018241</c:v>
                </c:pt>
                <c:pt idx="3105">
                  <c:v>103.017111</c:v>
                </c:pt>
                <c:pt idx="3106">
                  <c:v>103.015981</c:v>
                </c:pt>
                <c:pt idx="3107">
                  <c:v>103.01485100000001</c:v>
                </c:pt>
                <c:pt idx="3108">
                  <c:v>103.013721</c:v>
                </c:pt>
                <c:pt idx="3109">
                  <c:v>103.012591</c:v>
                </c:pt>
                <c:pt idx="3110">
                  <c:v>103.011461</c:v>
                </c:pt>
                <c:pt idx="3111">
                  <c:v>103.01033100000001</c:v>
                </c:pt>
                <c:pt idx="3112">
                  <c:v>103.009201</c:v>
                </c:pt>
                <c:pt idx="3113">
                  <c:v>103.008071</c:v>
                </c:pt>
                <c:pt idx="3114">
                  <c:v>103.006941</c:v>
                </c:pt>
                <c:pt idx="3115">
                  <c:v>103.00581100000001</c:v>
                </c:pt>
                <c:pt idx="3116">
                  <c:v>103.00468100000001</c:v>
                </c:pt>
                <c:pt idx="3117">
                  <c:v>103.003551</c:v>
                </c:pt>
                <c:pt idx="3118">
                  <c:v>103.002421</c:v>
                </c:pt>
                <c:pt idx="3119">
                  <c:v>103.00129100000001</c:v>
                </c:pt>
                <c:pt idx="3120">
                  <c:v>103.00016100000001</c:v>
                </c:pt>
                <c:pt idx="3121">
                  <c:v>102.999031</c:v>
                </c:pt>
                <c:pt idx="3122">
                  <c:v>102.997901</c:v>
                </c:pt>
                <c:pt idx="3123">
                  <c:v>102.99677100000001</c:v>
                </c:pt>
                <c:pt idx="3124">
                  <c:v>102.99564100000001</c:v>
                </c:pt>
                <c:pt idx="3125">
                  <c:v>102.994511</c:v>
                </c:pt>
                <c:pt idx="3126">
                  <c:v>102.993381</c:v>
                </c:pt>
                <c:pt idx="3127">
                  <c:v>102.99225100000001</c:v>
                </c:pt>
                <c:pt idx="3128">
                  <c:v>102.99112100000001</c:v>
                </c:pt>
                <c:pt idx="3129">
                  <c:v>102.989991</c:v>
                </c:pt>
                <c:pt idx="3130">
                  <c:v>102.988861</c:v>
                </c:pt>
                <c:pt idx="3131">
                  <c:v>102.987731</c:v>
                </c:pt>
                <c:pt idx="3132">
                  <c:v>102.98660100000001</c:v>
                </c:pt>
                <c:pt idx="3133">
                  <c:v>102.985471</c:v>
                </c:pt>
                <c:pt idx="3134">
                  <c:v>102.984341</c:v>
                </c:pt>
                <c:pt idx="3135">
                  <c:v>102.983211</c:v>
                </c:pt>
                <c:pt idx="3136">
                  <c:v>102.98208100000001</c:v>
                </c:pt>
                <c:pt idx="3137">
                  <c:v>102.980951</c:v>
                </c:pt>
                <c:pt idx="3138">
                  <c:v>102.979821</c:v>
                </c:pt>
                <c:pt idx="3139">
                  <c:v>102.978691</c:v>
                </c:pt>
                <c:pt idx="3140">
                  <c:v>102.97756100000001</c:v>
                </c:pt>
                <c:pt idx="3141">
                  <c:v>102.97643100000001</c:v>
                </c:pt>
                <c:pt idx="3142">
                  <c:v>102.975301</c:v>
                </c:pt>
                <c:pt idx="3143">
                  <c:v>102.974171</c:v>
                </c:pt>
                <c:pt idx="3144">
                  <c:v>102.97304100000001</c:v>
                </c:pt>
                <c:pt idx="3145">
                  <c:v>102.97191100000001</c:v>
                </c:pt>
                <c:pt idx="3146">
                  <c:v>102.970781</c:v>
                </c:pt>
                <c:pt idx="3147">
                  <c:v>102.969651</c:v>
                </c:pt>
                <c:pt idx="3148">
                  <c:v>102.96852100000001</c:v>
                </c:pt>
                <c:pt idx="3149">
                  <c:v>102.96739100000001</c:v>
                </c:pt>
                <c:pt idx="3150">
                  <c:v>102.966261</c:v>
                </c:pt>
                <c:pt idx="3151">
                  <c:v>102.965131</c:v>
                </c:pt>
                <c:pt idx="3152">
                  <c:v>102.964001</c:v>
                </c:pt>
                <c:pt idx="3153">
                  <c:v>102.96287100000001</c:v>
                </c:pt>
                <c:pt idx="3154">
                  <c:v>102.961741</c:v>
                </c:pt>
                <c:pt idx="3155">
                  <c:v>102.960611</c:v>
                </c:pt>
                <c:pt idx="3156">
                  <c:v>102.959481</c:v>
                </c:pt>
                <c:pt idx="3157">
                  <c:v>102.95835100000001</c:v>
                </c:pt>
                <c:pt idx="3158">
                  <c:v>102.957221</c:v>
                </c:pt>
                <c:pt idx="3159">
                  <c:v>102.956091</c:v>
                </c:pt>
                <c:pt idx="3160">
                  <c:v>102.954961</c:v>
                </c:pt>
                <c:pt idx="3161">
                  <c:v>102.95383100000001</c:v>
                </c:pt>
                <c:pt idx="3162">
                  <c:v>102.952701</c:v>
                </c:pt>
                <c:pt idx="3163">
                  <c:v>102.951571</c:v>
                </c:pt>
                <c:pt idx="3164">
                  <c:v>102.950441</c:v>
                </c:pt>
                <c:pt idx="3165">
                  <c:v>102.94931100000001</c:v>
                </c:pt>
                <c:pt idx="3166">
                  <c:v>102.94818100000001</c:v>
                </c:pt>
                <c:pt idx="3167">
                  <c:v>102.947051</c:v>
                </c:pt>
                <c:pt idx="3168">
                  <c:v>102.945921</c:v>
                </c:pt>
                <c:pt idx="3169">
                  <c:v>102.94479100000001</c:v>
                </c:pt>
                <c:pt idx="3170">
                  <c:v>102.94366100000001</c:v>
                </c:pt>
                <c:pt idx="3171">
                  <c:v>102.942531</c:v>
                </c:pt>
                <c:pt idx="3172">
                  <c:v>102.941401</c:v>
                </c:pt>
                <c:pt idx="3173">
                  <c:v>102.940271</c:v>
                </c:pt>
                <c:pt idx="3174">
                  <c:v>102.93914100000001</c:v>
                </c:pt>
                <c:pt idx="3175">
                  <c:v>102.938011</c:v>
                </c:pt>
                <c:pt idx="3176">
                  <c:v>102.936881</c:v>
                </c:pt>
                <c:pt idx="3177">
                  <c:v>102.935751</c:v>
                </c:pt>
                <c:pt idx="3178">
                  <c:v>102.93462100000001</c:v>
                </c:pt>
                <c:pt idx="3179">
                  <c:v>102.933491</c:v>
                </c:pt>
                <c:pt idx="3180">
                  <c:v>102.932361</c:v>
                </c:pt>
                <c:pt idx="3181">
                  <c:v>102.931231</c:v>
                </c:pt>
                <c:pt idx="3182">
                  <c:v>102.93010100000001</c:v>
                </c:pt>
                <c:pt idx="3183">
                  <c:v>102.928971</c:v>
                </c:pt>
                <c:pt idx="3184">
                  <c:v>102.927841</c:v>
                </c:pt>
                <c:pt idx="3185">
                  <c:v>102.926711</c:v>
                </c:pt>
                <c:pt idx="3186">
                  <c:v>102.92558100000001</c:v>
                </c:pt>
                <c:pt idx="3187">
                  <c:v>102.924451</c:v>
                </c:pt>
                <c:pt idx="3188">
                  <c:v>102.923321</c:v>
                </c:pt>
                <c:pt idx="3189">
                  <c:v>102.922191</c:v>
                </c:pt>
                <c:pt idx="3190">
                  <c:v>102.92106100000001</c:v>
                </c:pt>
                <c:pt idx="3191">
                  <c:v>102.91993100000001</c:v>
                </c:pt>
                <c:pt idx="3192">
                  <c:v>102.918801</c:v>
                </c:pt>
                <c:pt idx="3193">
                  <c:v>102.917671</c:v>
                </c:pt>
                <c:pt idx="3194">
                  <c:v>102.91654100000001</c:v>
                </c:pt>
                <c:pt idx="3195">
                  <c:v>102.91541100000001</c:v>
                </c:pt>
                <c:pt idx="3196">
                  <c:v>102.914281</c:v>
                </c:pt>
                <c:pt idx="3197">
                  <c:v>102.913151</c:v>
                </c:pt>
                <c:pt idx="3198">
                  <c:v>102.91202100000001</c:v>
                </c:pt>
                <c:pt idx="3199">
                  <c:v>102.91089100000001</c:v>
                </c:pt>
                <c:pt idx="3200">
                  <c:v>102.909761</c:v>
                </c:pt>
                <c:pt idx="3201">
                  <c:v>102.908631</c:v>
                </c:pt>
                <c:pt idx="3202">
                  <c:v>102.907501</c:v>
                </c:pt>
                <c:pt idx="3203">
                  <c:v>102.90637100000001</c:v>
                </c:pt>
                <c:pt idx="3204">
                  <c:v>102.905241</c:v>
                </c:pt>
                <c:pt idx="3205">
                  <c:v>102.904111</c:v>
                </c:pt>
                <c:pt idx="3206">
                  <c:v>102.902981</c:v>
                </c:pt>
                <c:pt idx="3207">
                  <c:v>102.90185100000001</c:v>
                </c:pt>
                <c:pt idx="3208">
                  <c:v>102.900721</c:v>
                </c:pt>
                <c:pt idx="3209">
                  <c:v>102.899591</c:v>
                </c:pt>
                <c:pt idx="3210">
                  <c:v>102.898461</c:v>
                </c:pt>
                <c:pt idx="3211">
                  <c:v>102.89733100000001</c:v>
                </c:pt>
                <c:pt idx="3212">
                  <c:v>102.896201</c:v>
                </c:pt>
                <c:pt idx="3213">
                  <c:v>102.895071</c:v>
                </c:pt>
                <c:pt idx="3214">
                  <c:v>102.893941</c:v>
                </c:pt>
                <c:pt idx="3215">
                  <c:v>102.89281100000001</c:v>
                </c:pt>
                <c:pt idx="3216">
                  <c:v>102.89168100000001</c:v>
                </c:pt>
                <c:pt idx="3217">
                  <c:v>102.890551</c:v>
                </c:pt>
                <c:pt idx="3218">
                  <c:v>102.889421</c:v>
                </c:pt>
                <c:pt idx="3219">
                  <c:v>102.88829100000001</c:v>
                </c:pt>
                <c:pt idx="3220">
                  <c:v>102.88716100000001</c:v>
                </c:pt>
                <c:pt idx="3221">
                  <c:v>102.886031</c:v>
                </c:pt>
                <c:pt idx="3222">
                  <c:v>102.884901</c:v>
                </c:pt>
                <c:pt idx="3223">
                  <c:v>102.883771</c:v>
                </c:pt>
                <c:pt idx="3224">
                  <c:v>102.88264100000001</c:v>
                </c:pt>
                <c:pt idx="3225">
                  <c:v>102.881511</c:v>
                </c:pt>
                <c:pt idx="3226">
                  <c:v>102.880381</c:v>
                </c:pt>
                <c:pt idx="3227">
                  <c:v>102.879251</c:v>
                </c:pt>
                <c:pt idx="3228">
                  <c:v>102.87812100000001</c:v>
                </c:pt>
                <c:pt idx="3229">
                  <c:v>102.876991</c:v>
                </c:pt>
                <c:pt idx="3230">
                  <c:v>102.875861</c:v>
                </c:pt>
                <c:pt idx="3231">
                  <c:v>102.874731</c:v>
                </c:pt>
                <c:pt idx="3232">
                  <c:v>102.87360100000001</c:v>
                </c:pt>
                <c:pt idx="3233">
                  <c:v>102.872471</c:v>
                </c:pt>
                <c:pt idx="3234">
                  <c:v>102.871341</c:v>
                </c:pt>
                <c:pt idx="3235">
                  <c:v>102.870211</c:v>
                </c:pt>
                <c:pt idx="3236">
                  <c:v>102.86908100000001</c:v>
                </c:pt>
                <c:pt idx="3237">
                  <c:v>102.86795100000001</c:v>
                </c:pt>
                <c:pt idx="3238">
                  <c:v>102.866821</c:v>
                </c:pt>
                <c:pt idx="3239">
                  <c:v>102.865691</c:v>
                </c:pt>
                <c:pt idx="3240">
                  <c:v>102.86456100000001</c:v>
                </c:pt>
                <c:pt idx="3241">
                  <c:v>102.86343100000001</c:v>
                </c:pt>
                <c:pt idx="3242">
                  <c:v>102.862301</c:v>
                </c:pt>
                <c:pt idx="3243">
                  <c:v>102.861171</c:v>
                </c:pt>
                <c:pt idx="3244">
                  <c:v>102.86004100000001</c:v>
                </c:pt>
                <c:pt idx="3245">
                  <c:v>102.85891100000001</c:v>
                </c:pt>
                <c:pt idx="3246">
                  <c:v>102.857781</c:v>
                </c:pt>
                <c:pt idx="3247">
                  <c:v>102.856651</c:v>
                </c:pt>
                <c:pt idx="3248">
                  <c:v>102.85552100000001</c:v>
                </c:pt>
                <c:pt idx="3249">
                  <c:v>102.85439100000001</c:v>
                </c:pt>
                <c:pt idx="3250">
                  <c:v>102.853261</c:v>
                </c:pt>
                <c:pt idx="3251">
                  <c:v>102.852131</c:v>
                </c:pt>
                <c:pt idx="3252">
                  <c:v>102.851001</c:v>
                </c:pt>
                <c:pt idx="3253">
                  <c:v>102.84987100000001</c:v>
                </c:pt>
                <c:pt idx="3254">
                  <c:v>102.848741</c:v>
                </c:pt>
                <c:pt idx="3255">
                  <c:v>102.847611</c:v>
                </c:pt>
                <c:pt idx="3256">
                  <c:v>102.846481</c:v>
                </c:pt>
                <c:pt idx="3257">
                  <c:v>102.84535100000001</c:v>
                </c:pt>
                <c:pt idx="3258">
                  <c:v>102.844221</c:v>
                </c:pt>
                <c:pt idx="3259">
                  <c:v>102.843091</c:v>
                </c:pt>
                <c:pt idx="3260">
                  <c:v>102.841961</c:v>
                </c:pt>
                <c:pt idx="3261">
                  <c:v>102.84083100000001</c:v>
                </c:pt>
                <c:pt idx="3262">
                  <c:v>102.83970100000001</c:v>
                </c:pt>
                <c:pt idx="3263">
                  <c:v>102.838571</c:v>
                </c:pt>
                <c:pt idx="3264">
                  <c:v>102.837441</c:v>
                </c:pt>
                <c:pt idx="3265">
                  <c:v>102.83631100000001</c:v>
                </c:pt>
                <c:pt idx="3266">
                  <c:v>102.83518100000001</c:v>
                </c:pt>
                <c:pt idx="3267">
                  <c:v>102.834051</c:v>
                </c:pt>
                <c:pt idx="3268">
                  <c:v>102.832921</c:v>
                </c:pt>
                <c:pt idx="3269">
                  <c:v>102.83179100000001</c:v>
                </c:pt>
                <c:pt idx="3270">
                  <c:v>102.83066100000001</c:v>
                </c:pt>
                <c:pt idx="3271">
                  <c:v>102.829531</c:v>
                </c:pt>
                <c:pt idx="3272">
                  <c:v>102.828401</c:v>
                </c:pt>
                <c:pt idx="3273">
                  <c:v>102.827271</c:v>
                </c:pt>
                <c:pt idx="3274">
                  <c:v>102.82614100000001</c:v>
                </c:pt>
                <c:pt idx="3275">
                  <c:v>102.825011</c:v>
                </c:pt>
                <c:pt idx="3276">
                  <c:v>102.823881</c:v>
                </c:pt>
                <c:pt idx="3277">
                  <c:v>102.822751</c:v>
                </c:pt>
                <c:pt idx="3278">
                  <c:v>102.82162100000001</c:v>
                </c:pt>
                <c:pt idx="3279">
                  <c:v>102.820491</c:v>
                </c:pt>
                <c:pt idx="3280">
                  <c:v>102.819361</c:v>
                </c:pt>
                <c:pt idx="3281">
                  <c:v>102.818231</c:v>
                </c:pt>
                <c:pt idx="3282">
                  <c:v>102.81710100000001</c:v>
                </c:pt>
                <c:pt idx="3283">
                  <c:v>102.815971</c:v>
                </c:pt>
                <c:pt idx="3284">
                  <c:v>102.814841</c:v>
                </c:pt>
                <c:pt idx="3285">
                  <c:v>102.813711</c:v>
                </c:pt>
                <c:pt idx="3286">
                  <c:v>102.81258100000001</c:v>
                </c:pt>
                <c:pt idx="3287">
                  <c:v>102.81145100000001</c:v>
                </c:pt>
                <c:pt idx="3288">
                  <c:v>102.810321</c:v>
                </c:pt>
                <c:pt idx="3289">
                  <c:v>102.809191</c:v>
                </c:pt>
                <c:pt idx="3290">
                  <c:v>102.80806100000001</c:v>
                </c:pt>
                <c:pt idx="3291">
                  <c:v>102.80693100000001</c:v>
                </c:pt>
                <c:pt idx="3292">
                  <c:v>102.805801</c:v>
                </c:pt>
                <c:pt idx="3293">
                  <c:v>102.804671</c:v>
                </c:pt>
                <c:pt idx="3294">
                  <c:v>102.80354100000001</c:v>
                </c:pt>
                <c:pt idx="3295">
                  <c:v>102.80241100000001</c:v>
                </c:pt>
                <c:pt idx="3296">
                  <c:v>102.801281</c:v>
                </c:pt>
                <c:pt idx="3297">
                  <c:v>102.800151</c:v>
                </c:pt>
                <c:pt idx="3298">
                  <c:v>102.799021</c:v>
                </c:pt>
                <c:pt idx="3299">
                  <c:v>102.79789100000001</c:v>
                </c:pt>
                <c:pt idx="3300">
                  <c:v>102.796761</c:v>
                </c:pt>
                <c:pt idx="3301">
                  <c:v>102.795631</c:v>
                </c:pt>
                <c:pt idx="3302">
                  <c:v>102.794501</c:v>
                </c:pt>
                <c:pt idx="3303">
                  <c:v>102.79337100000001</c:v>
                </c:pt>
                <c:pt idx="3304">
                  <c:v>102.792241</c:v>
                </c:pt>
                <c:pt idx="3305">
                  <c:v>102.791111</c:v>
                </c:pt>
                <c:pt idx="3306">
                  <c:v>102.789981</c:v>
                </c:pt>
                <c:pt idx="3307">
                  <c:v>102.78885100000001</c:v>
                </c:pt>
                <c:pt idx="3308">
                  <c:v>102.787721</c:v>
                </c:pt>
                <c:pt idx="3309">
                  <c:v>102.786591</c:v>
                </c:pt>
                <c:pt idx="3310">
                  <c:v>102.785461</c:v>
                </c:pt>
                <c:pt idx="3311">
                  <c:v>102.78433100000001</c:v>
                </c:pt>
                <c:pt idx="3312">
                  <c:v>102.78320100000001</c:v>
                </c:pt>
                <c:pt idx="3313">
                  <c:v>102.782071</c:v>
                </c:pt>
                <c:pt idx="3314">
                  <c:v>102.780941</c:v>
                </c:pt>
                <c:pt idx="3315">
                  <c:v>102.77981100000001</c:v>
                </c:pt>
                <c:pt idx="3316">
                  <c:v>102.77868100000001</c:v>
                </c:pt>
                <c:pt idx="3317">
                  <c:v>102.777551</c:v>
                </c:pt>
                <c:pt idx="3318">
                  <c:v>102.776421</c:v>
                </c:pt>
                <c:pt idx="3319">
                  <c:v>102.77529100000001</c:v>
                </c:pt>
                <c:pt idx="3320">
                  <c:v>102.77416100000001</c:v>
                </c:pt>
                <c:pt idx="3321">
                  <c:v>102.773031</c:v>
                </c:pt>
                <c:pt idx="3322">
                  <c:v>102.771901</c:v>
                </c:pt>
                <c:pt idx="3323">
                  <c:v>102.770771</c:v>
                </c:pt>
                <c:pt idx="3324">
                  <c:v>102.76964100000001</c:v>
                </c:pt>
                <c:pt idx="3325">
                  <c:v>102.768511</c:v>
                </c:pt>
                <c:pt idx="3326">
                  <c:v>102.767381</c:v>
                </c:pt>
                <c:pt idx="3327">
                  <c:v>102.766251</c:v>
                </c:pt>
                <c:pt idx="3328">
                  <c:v>102.76512100000001</c:v>
                </c:pt>
                <c:pt idx="3329">
                  <c:v>102.763991</c:v>
                </c:pt>
                <c:pt idx="3330">
                  <c:v>102.762861</c:v>
                </c:pt>
                <c:pt idx="3331">
                  <c:v>102.761731</c:v>
                </c:pt>
                <c:pt idx="3332">
                  <c:v>102.76060100000001</c:v>
                </c:pt>
                <c:pt idx="3333">
                  <c:v>102.759471</c:v>
                </c:pt>
                <c:pt idx="3334">
                  <c:v>102.758341</c:v>
                </c:pt>
                <c:pt idx="3335">
                  <c:v>102.757211</c:v>
                </c:pt>
                <c:pt idx="3336">
                  <c:v>102.75608100000001</c:v>
                </c:pt>
                <c:pt idx="3337">
                  <c:v>102.75495100000001</c:v>
                </c:pt>
                <c:pt idx="3338">
                  <c:v>102.753821</c:v>
                </c:pt>
                <c:pt idx="3339">
                  <c:v>102.752691</c:v>
                </c:pt>
                <c:pt idx="3340">
                  <c:v>102.75156100000001</c:v>
                </c:pt>
                <c:pt idx="3341">
                  <c:v>102.75043100000001</c:v>
                </c:pt>
                <c:pt idx="3342">
                  <c:v>102.749301</c:v>
                </c:pt>
                <c:pt idx="3343">
                  <c:v>102.748171</c:v>
                </c:pt>
                <c:pt idx="3344">
                  <c:v>102.747041</c:v>
                </c:pt>
                <c:pt idx="3345">
                  <c:v>102.74591100000001</c:v>
                </c:pt>
                <c:pt idx="3346">
                  <c:v>102.744781</c:v>
                </c:pt>
                <c:pt idx="3347">
                  <c:v>102.743651</c:v>
                </c:pt>
                <c:pt idx="3348">
                  <c:v>102.742521</c:v>
                </c:pt>
                <c:pt idx="3349">
                  <c:v>102.74139100000001</c:v>
                </c:pt>
                <c:pt idx="3350">
                  <c:v>102.740261</c:v>
                </c:pt>
                <c:pt idx="3351">
                  <c:v>102.739131</c:v>
                </c:pt>
                <c:pt idx="3352">
                  <c:v>102.738001</c:v>
                </c:pt>
                <c:pt idx="3353">
                  <c:v>102.73687100000001</c:v>
                </c:pt>
                <c:pt idx="3354">
                  <c:v>102.735741</c:v>
                </c:pt>
                <c:pt idx="3355">
                  <c:v>102.734611</c:v>
                </c:pt>
                <c:pt idx="3356">
                  <c:v>102.733481</c:v>
                </c:pt>
                <c:pt idx="3357">
                  <c:v>102.73235100000001</c:v>
                </c:pt>
                <c:pt idx="3358">
                  <c:v>102.73122100000001</c:v>
                </c:pt>
                <c:pt idx="3359">
                  <c:v>102.730091</c:v>
                </c:pt>
                <c:pt idx="3360">
                  <c:v>102.728961</c:v>
                </c:pt>
                <c:pt idx="3361">
                  <c:v>102.72783100000001</c:v>
                </c:pt>
                <c:pt idx="3362">
                  <c:v>102.72670100000001</c:v>
                </c:pt>
                <c:pt idx="3363">
                  <c:v>102.725571</c:v>
                </c:pt>
                <c:pt idx="3364">
                  <c:v>102.724441</c:v>
                </c:pt>
                <c:pt idx="3365">
                  <c:v>102.72331100000001</c:v>
                </c:pt>
                <c:pt idx="3366">
                  <c:v>102.72218100000001</c:v>
                </c:pt>
                <c:pt idx="3367">
                  <c:v>102.721051</c:v>
                </c:pt>
                <c:pt idx="3368">
                  <c:v>102.719921</c:v>
                </c:pt>
                <c:pt idx="3369">
                  <c:v>102.71879100000001</c:v>
                </c:pt>
                <c:pt idx="3370">
                  <c:v>102.71766100000001</c:v>
                </c:pt>
                <c:pt idx="3371">
                  <c:v>102.716531</c:v>
                </c:pt>
                <c:pt idx="3372">
                  <c:v>102.715401</c:v>
                </c:pt>
                <c:pt idx="3373">
                  <c:v>102.714271</c:v>
                </c:pt>
                <c:pt idx="3374">
                  <c:v>102.71314100000001</c:v>
                </c:pt>
                <c:pt idx="3375">
                  <c:v>102.712011</c:v>
                </c:pt>
                <c:pt idx="3376">
                  <c:v>102.710881</c:v>
                </c:pt>
                <c:pt idx="3377">
                  <c:v>102.709751</c:v>
                </c:pt>
                <c:pt idx="3378">
                  <c:v>102.70862100000001</c:v>
                </c:pt>
                <c:pt idx="3379">
                  <c:v>102.707491</c:v>
                </c:pt>
                <c:pt idx="3380">
                  <c:v>102.706361</c:v>
                </c:pt>
                <c:pt idx="3381">
                  <c:v>102.705231</c:v>
                </c:pt>
                <c:pt idx="3382">
                  <c:v>102.70410100000001</c:v>
                </c:pt>
                <c:pt idx="3383">
                  <c:v>102.70297100000001</c:v>
                </c:pt>
                <c:pt idx="3384">
                  <c:v>102.701841</c:v>
                </c:pt>
                <c:pt idx="3385">
                  <c:v>102.700711</c:v>
                </c:pt>
                <c:pt idx="3386">
                  <c:v>102.69958100000001</c:v>
                </c:pt>
                <c:pt idx="3387">
                  <c:v>102.69845100000001</c:v>
                </c:pt>
                <c:pt idx="3388">
                  <c:v>102.697321</c:v>
                </c:pt>
                <c:pt idx="3389">
                  <c:v>102.696191</c:v>
                </c:pt>
                <c:pt idx="3390">
                  <c:v>102.69506100000001</c:v>
                </c:pt>
                <c:pt idx="3391">
                  <c:v>102.69393100000001</c:v>
                </c:pt>
                <c:pt idx="3392">
                  <c:v>102.692801</c:v>
                </c:pt>
                <c:pt idx="3393">
                  <c:v>102.691671</c:v>
                </c:pt>
                <c:pt idx="3394">
                  <c:v>102.690541</c:v>
                </c:pt>
                <c:pt idx="3395">
                  <c:v>102.68941100000001</c:v>
                </c:pt>
                <c:pt idx="3396">
                  <c:v>102.688281</c:v>
                </c:pt>
                <c:pt idx="3397">
                  <c:v>102.687151</c:v>
                </c:pt>
                <c:pt idx="3398">
                  <c:v>102.686021</c:v>
                </c:pt>
                <c:pt idx="3399">
                  <c:v>102.68489100000001</c:v>
                </c:pt>
                <c:pt idx="3400">
                  <c:v>102.683761</c:v>
                </c:pt>
                <c:pt idx="3401">
                  <c:v>102.682631</c:v>
                </c:pt>
                <c:pt idx="3402">
                  <c:v>102.681501</c:v>
                </c:pt>
                <c:pt idx="3403">
                  <c:v>102.68037100000001</c:v>
                </c:pt>
                <c:pt idx="3404">
                  <c:v>102.679241</c:v>
                </c:pt>
                <c:pt idx="3405">
                  <c:v>102.678111</c:v>
                </c:pt>
                <c:pt idx="3406">
                  <c:v>102.676981</c:v>
                </c:pt>
                <c:pt idx="3407">
                  <c:v>102.67585100000001</c:v>
                </c:pt>
                <c:pt idx="3408">
                  <c:v>102.67472100000001</c:v>
                </c:pt>
                <c:pt idx="3409">
                  <c:v>102.673591</c:v>
                </c:pt>
                <c:pt idx="3410">
                  <c:v>102.672461</c:v>
                </c:pt>
                <c:pt idx="3411">
                  <c:v>102.67133100000001</c:v>
                </c:pt>
                <c:pt idx="3412">
                  <c:v>102.67020100000001</c:v>
                </c:pt>
                <c:pt idx="3413">
                  <c:v>102.669071</c:v>
                </c:pt>
                <c:pt idx="3414">
                  <c:v>102.667941</c:v>
                </c:pt>
                <c:pt idx="3415">
                  <c:v>102.66681100000001</c:v>
                </c:pt>
                <c:pt idx="3416">
                  <c:v>102.66568100000001</c:v>
                </c:pt>
                <c:pt idx="3417">
                  <c:v>102.664551</c:v>
                </c:pt>
                <c:pt idx="3418">
                  <c:v>102.663421</c:v>
                </c:pt>
                <c:pt idx="3419">
                  <c:v>102.662291</c:v>
                </c:pt>
                <c:pt idx="3420">
                  <c:v>102.66116100000001</c:v>
                </c:pt>
                <c:pt idx="3421">
                  <c:v>102.660031</c:v>
                </c:pt>
                <c:pt idx="3422">
                  <c:v>102.658901</c:v>
                </c:pt>
                <c:pt idx="3423">
                  <c:v>102.657771</c:v>
                </c:pt>
                <c:pt idx="3424">
                  <c:v>102.65664100000001</c:v>
                </c:pt>
                <c:pt idx="3425">
                  <c:v>102.655511</c:v>
                </c:pt>
                <c:pt idx="3426">
                  <c:v>102.654381</c:v>
                </c:pt>
                <c:pt idx="3427">
                  <c:v>102.653251</c:v>
                </c:pt>
                <c:pt idx="3428">
                  <c:v>102.65212100000001</c:v>
                </c:pt>
                <c:pt idx="3429">
                  <c:v>102.650991</c:v>
                </c:pt>
                <c:pt idx="3430">
                  <c:v>102.649861</c:v>
                </c:pt>
                <c:pt idx="3431">
                  <c:v>102.648731</c:v>
                </c:pt>
                <c:pt idx="3432">
                  <c:v>102.64760100000001</c:v>
                </c:pt>
                <c:pt idx="3433">
                  <c:v>102.64647100000001</c:v>
                </c:pt>
                <c:pt idx="3434">
                  <c:v>102.645341</c:v>
                </c:pt>
                <c:pt idx="3435">
                  <c:v>102.644211</c:v>
                </c:pt>
                <c:pt idx="3436">
                  <c:v>102.64308100000001</c:v>
                </c:pt>
                <c:pt idx="3437">
                  <c:v>102.64195100000001</c:v>
                </c:pt>
                <c:pt idx="3438">
                  <c:v>102.640821</c:v>
                </c:pt>
                <c:pt idx="3439">
                  <c:v>102.639691</c:v>
                </c:pt>
                <c:pt idx="3440">
                  <c:v>102.63856100000001</c:v>
                </c:pt>
                <c:pt idx="3441">
                  <c:v>102.63743100000001</c:v>
                </c:pt>
                <c:pt idx="3442">
                  <c:v>102.636301</c:v>
                </c:pt>
                <c:pt idx="3443">
                  <c:v>102.635171</c:v>
                </c:pt>
                <c:pt idx="3444">
                  <c:v>102.634041</c:v>
                </c:pt>
                <c:pt idx="3445">
                  <c:v>102.63291100000001</c:v>
                </c:pt>
                <c:pt idx="3446">
                  <c:v>102.631781</c:v>
                </c:pt>
                <c:pt idx="3447">
                  <c:v>102.630651</c:v>
                </c:pt>
                <c:pt idx="3448">
                  <c:v>102.629521</c:v>
                </c:pt>
                <c:pt idx="3449">
                  <c:v>102.62839100000001</c:v>
                </c:pt>
                <c:pt idx="3450">
                  <c:v>102.627261</c:v>
                </c:pt>
                <c:pt idx="3451">
                  <c:v>102.626131</c:v>
                </c:pt>
                <c:pt idx="3452">
                  <c:v>102.625001</c:v>
                </c:pt>
                <c:pt idx="3453">
                  <c:v>102.62387100000001</c:v>
                </c:pt>
                <c:pt idx="3454">
                  <c:v>102.622741</c:v>
                </c:pt>
                <c:pt idx="3455">
                  <c:v>102.621611</c:v>
                </c:pt>
                <c:pt idx="3456">
                  <c:v>102.620481</c:v>
                </c:pt>
                <c:pt idx="3457">
                  <c:v>102.61935100000001</c:v>
                </c:pt>
                <c:pt idx="3458">
                  <c:v>102.61822100000001</c:v>
                </c:pt>
                <c:pt idx="3459">
                  <c:v>102.617091</c:v>
                </c:pt>
                <c:pt idx="3460">
                  <c:v>102.615961</c:v>
                </c:pt>
                <c:pt idx="3461">
                  <c:v>102.61483100000001</c:v>
                </c:pt>
                <c:pt idx="3462">
                  <c:v>102.61370100000001</c:v>
                </c:pt>
                <c:pt idx="3463">
                  <c:v>102.612571</c:v>
                </c:pt>
                <c:pt idx="3464">
                  <c:v>102.611441</c:v>
                </c:pt>
                <c:pt idx="3465">
                  <c:v>102.610311</c:v>
                </c:pt>
                <c:pt idx="3466">
                  <c:v>102.60918100000001</c:v>
                </c:pt>
                <c:pt idx="3467">
                  <c:v>102.608051</c:v>
                </c:pt>
                <c:pt idx="3468">
                  <c:v>102.606921</c:v>
                </c:pt>
                <c:pt idx="3469">
                  <c:v>102.605791</c:v>
                </c:pt>
                <c:pt idx="3470">
                  <c:v>102.60466100000001</c:v>
                </c:pt>
                <c:pt idx="3471">
                  <c:v>102.603531</c:v>
                </c:pt>
                <c:pt idx="3472">
                  <c:v>102.602401</c:v>
                </c:pt>
                <c:pt idx="3473">
                  <c:v>102.601271</c:v>
                </c:pt>
                <c:pt idx="3474">
                  <c:v>102.60014100000001</c:v>
                </c:pt>
                <c:pt idx="3475">
                  <c:v>102.599011</c:v>
                </c:pt>
                <c:pt idx="3476">
                  <c:v>102.597881</c:v>
                </c:pt>
                <c:pt idx="3477">
                  <c:v>102.596751</c:v>
                </c:pt>
                <c:pt idx="3478">
                  <c:v>102.59562100000001</c:v>
                </c:pt>
                <c:pt idx="3479">
                  <c:v>102.594491</c:v>
                </c:pt>
                <c:pt idx="3480">
                  <c:v>102.593361</c:v>
                </c:pt>
                <c:pt idx="3481">
                  <c:v>102.592231</c:v>
                </c:pt>
                <c:pt idx="3482">
                  <c:v>102.59110100000001</c:v>
                </c:pt>
                <c:pt idx="3483">
                  <c:v>102.58997100000001</c:v>
                </c:pt>
                <c:pt idx="3484">
                  <c:v>102.588841</c:v>
                </c:pt>
                <c:pt idx="3485">
                  <c:v>102.587711</c:v>
                </c:pt>
                <c:pt idx="3486">
                  <c:v>102.58658100000001</c:v>
                </c:pt>
                <c:pt idx="3487">
                  <c:v>102.58545100000001</c:v>
                </c:pt>
                <c:pt idx="3488">
                  <c:v>102.584321</c:v>
                </c:pt>
                <c:pt idx="3489">
                  <c:v>102.583191</c:v>
                </c:pt>
                <c:pt idx="3490">
                  <c:v>102.58206100000001</c:v>
                </c:pt>
                <c:pt idx="3491">
                  <c:v>102.58093100000001</c:v>
                </c:pt>
                <c:pt idx="3492">
                  <c:v>102.579801</c:v>
                </c:pt>
                <c:pt idx="3493">
                  <c:v>102.578671</c:v>
                </c:pt>
                <c:pt idx="3494">
                  <c:v>102.577541</c:v>
                </c:pt>
                <c:pt idx="3495">
                  <c:v>102.57641100000001</c:v>
                </c:pt>
                <c:pt idx="3496">
                  <c:v>102.575281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C17-4C96-8D5F-E79A62565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044335"/>
        <c:axId val="183493681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[1]geomorph!$C$1</c15:sqref>
                        </c15:formulaRef>
                      </c:ext>
                    </c:extLst>
                    <c:strCache>
                      <c:ptCount val="1"/>
                      <c:pt idx="0">
                        <c:v>open-water profile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[1]geomorph!$A$2:$A$3499</c15:sqref>
                        </c15:formulaRef>
                      </c:ext>
                    </c:extLst>
                    <c:numCache>
                      <c:formatCode>General</c:formatCode>
                      <c:ptCount val="3498"/>
                      <c:pt idx="0">
                        <c:v>0</c:v>
                      </c:pt>
                      <c:pt idx="1">
                        <c:v>10</c:v>
                      </c:pt>
                      <c:pt idx="2">
                        <c:v>20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50</c:v>
                      </c:pt>
                      <c:pt idx="6">
                        <c:v>60</c:v>
                      </c:pt>
                      <c:pt idx="7">
                        <c:v>70</c:v>
                      </c:pt>
                      <c:pt idx="8">
                        <c:v>80</c:v>
                      </c:pt>
                      <c:pt idx="9">
                        <c:v>90</c:v>
                      </c:pt>
                      <c:pt idx="10">
                        <c:v>100</c:v>
                      </c:pt>
                      <c:pt idx="11">
                        <c:v>110</c:v>
                      </c:pt>
                      <c:pt idx="12">
                        <c:v>120</c:v>
                      </c:pt>
                      <c:pt idx="13">
                        <c:v>130</c:v>
                      </c:pt>
                      <c:pt idx="14">
                        <c:v>140</c:v>
                      </c:pt>
                      <c:pt idx="15">
                        <c:v>150</c:v>
                      </c:pt>
                      <c:pt idx="16">
                        <c:v>160</c:v>
                      </c:pt>
                      <c:pt idx="17">
                        <c:v>170</c:v>
                      </c:pt>
                      <c:pt idx="18">
                        <c:v>180</c:v>
                      </c:pt>
                      <c:pt idx="19">
                        <c:v>190</c:v>
                      </c:pt>
                      <c:pt idx="20">
                        <c:v>200</c:v>
                      </c:pt>
                      <c:pt idx="21">
                        <c:v>210</c:v>
                      </c:pt>
                      <c:pt idx="22">
                        <c:v>220</c:v>
                      </c:pt>
                      <c:pt idx="23">
                        <c:v>230</c:v>
                      </c:pt>
                      <c:pt idx="24">
                        <c:v>240</c:v>
                      </c:pt>
                      <c:pt idx="25">
                        <c:v>250</c:v>
                      </c:pt>
                      <c:pt idx="26">
                        <c:v>260</c:v>
                      </c:pt>
                      <c:pt idx="27">
                        <c:v>270</c:v>
                      </c:pt>
                      <c:pt idx="28">
                        <c:v>280</c:v>
                      </c:pt>
                      <c:pt idx="29">
                        <c:v>290</c:v>
                      </c:pt>
                      <c:pt idx="30">
                        <c:v>300</c:v>
                      </c:pt>
                      <c:pt idx="31">
                        <c:v>310</c:v>
                      </c:pt>
                      <c:pt idx="32">
                        <c:v>320</c:v>
                      </c:pt>
                      <c:pt idx="33">
                        <c:v>330</c:v>
                      </c:pt>
                      <c:pt idx="34">
                        <c:v>340</c:v>
                      </c:pt>
                      <c:pt idx="35">
                        <c:v>350</c:v>
                      </c:pt>
                      <c:pt idx="36">
                        <c:v>360</c:v>
                      </c:pt>
                      <c:pt idx="37">
                        <c:v>370</c:v>
                      </c:pt>
                      <c:pt idx="38">
                        <c:v>380</c:v>
                      </c:pt>
                      <c:pt idx="39">
                        <c:v>390</c:v>
                      </c:pt>
                      <c:pt idx="40">
                        <c:v>400</c:v>
                      </c:pt>
                      <c:pt idx="41">
                        <c:v>410</c:v>
                      </c:pt>
                      <c:pt idx="42">
                        <c:v>420</c:v>
                      </c:pt>
                      <c:pt idx="43">
                        <c:v>430</c:v>
                      </c:pt>
                      <c:pt idx="44">
                        <c:v>440</c:v>
                      </c:pt>
                      <c:pt idx="45">
                        <c:v>450</c:v>
                      </c:pt>
                      <c:pt idx="46">
                        <c:v>460</c:v>
                      </c:pt>
                      <c:pt idx="47">
                        <c:v>470</c:v>
                      </c:pt>
                      <c:pt idx="48">
                        <c:v>480</c:v>
                      </c:pt>
                      <c:pt idx="49">
                        <c:v>490</c:v>
                      </c:pt>
                      <c:pt idx="50">
                        <c:v>500</c:v>
                      </c:pt>
                      <c:pt idx="51">
                        <c:v>510</c:v>
                      </c:pt>
                      <c:pt idx="52">
                        <c:v>520</c:v>
                      </c:pt>
                      <c:pt idx="53">
                        <c:v>530</c:v>
                      </c:pt>
                      <c:pt idx="54">
                        <c:v>540</c:v>
                      </c:pt>
                      <c:pt idx="55">
                        <c:v>550</c:v>
                      </c:pt>
                      <c:pt idx="56">
                        <c:v>560</c:v>
                      </c:pt>
                      <c:pt idx="57">
                        <c:v>570</c:v>
                      </c:pt>
                      <c:pt idx="58">
                        <c:v>580</c:v>
                      </c:pt>
                      <c:pt idx="59">
                        <c:v>590</c:v>
                      </c:pt>
                      <c:pt idx="60">
                        <c:v>600</c:v>
                      </c:pt>
                      <c:pt idx="61">
                        <c:v>610</c:v>
                      </c:pt>
                      <c:pt idx="62">
                        <c:v>620</c:v>
                      </c:pt>
                      <c:pt idx="63">
                        <c:v>630</c:v>
                      </c:pt>
                      <c:pt idx="64">
                        <c:v>640</c:v>
                      </c:pt>
                      <c:pt idx="65">
                        <c:v>650</c:v>
                      </c:pt>
                      <c:pt idx="66">
                        <c:v>660</c:v>
                      </c:pt>
                      <c:pt idx="67">
                        <c:v>670</c:v>
                      </c:pt>
                      <c:pt idx="68">
                        <c:v>680</c:v>
                      </c:pt>
                      <c:pt idx="69">
                        <c:v>690</c:v>
                      </c:pt>
                      <c:pt idx="70">
                        <c:v>700</c:v>
                      </c:pt>
                      <c:pt idx="71">
                        <c:v>710</c:v>
                      </c:pt>
                      <c:pt idx="72">
                        <c:v>720</c:v>
                      </c:pt>
                      <c:pt idx="73">
                        <c:v>730</c:v>
                      </c:pt>
                      <c:pt idx="74">
                        <c:v>740</c:v>
                      </c:pt>
                      <c:pt idx="75">
                        <c:v>750</c:v>
                      </c:pt>
                      <c:pt idx="76">
                        <c:v>760</c:v>
                      </c:pt>
                      <c:pt idx="77">
                        <c:v>770</c:v>
                      </c:pt>
                      <c:pt idx="78">
                        <c:v>780</c:v>
                      </c:pt>
                      <c:pt idx="79">
                        <c:v>790</c:v>
                      </c:pt>
                      <c:pt idx="80">
                        <c:v>800</c:v>
                      </c:pt>
                      <c:pt idx="81">
                        <c:v>810</c:v>
                      </c:pt>
                      <c:pt idx="82">
                        <c:v>820</c:v>
                      </c:pt>
                      <c:pt idx="83">
                        <c:v>830</c:v>
                      </c:pt>
                      <c:pt idx="84">
                        <c:v>840</c:v>
                      </c:pt>
                      <c:pt idx="85">
                        <c:v>850</c:v>
                      </c:pt>
                      <c:pt idx="86">
                        <c:v>860</c:v>
                      </c:pt>
                      <c:pt idx="87">
                        <c:v>870</c:v>
                      </c:pt>
                      <c:pt idx="88">
                        <c:v>880</c:v>
                      </c:pt>
                      <c:pt idx="89">
                        <c:v>890</c:v>
                      </c:pt>
                      <c:pt idx="90">
                        <c:v>900</c:v>
                      </c:pt>
                      <c:pt idx="91">
                        <c:v>910</c:v>
                      </c:pt>
                      <c:pt idx="92">
                        <c:v>920</c:v>
                      </c:pt>
                      <c:pt idx="93">
                        <c:v>930</c:v>
                      </c:pt>
                      <c:pt idx="94">
                        <c:v>940</c:v>
                      </c:pt>
                      <c:pt idx="95">
                        <c:v>950</c:v>
                      </c:pt>
                      <c:pt idx="96">
                        <c:v>960</c:v>
                      </c:pt>
                      <c:pt idx="97">
                        <c:v>970</c:v>
                      </c:pt>
                      <c:pt idx="98">
                        <c:v>980</c:v>
                      </c:pt>
                      <c:pt idx="99">
                        <c:v>990</c:v>
                      </c:pt>
                      <c:pt idx="100">
                        <c:v>1000</c:v>
                      </c:pt>
                      <c:pt idx="101">
                        <c:v>1010</c:v>
                      </c:pt>
                      <c:pt idx="102">
                        <c:v>1020</c:v>
                      </c:pt>
                      <c:pt idx="103">
                        <c:v>1030</c:v>
                      </c:pt>
                      <c:pt idx="104">
                        <c:v>1040</c:v>
                      </c:pt>
                      <c:pt idx="105">
                        <c:v>1050</c:v>
                      </c:pt>
                      <c:pt idx="106">
                        <c:v>1060</c:v>
                      </c:pt>
                      <c:pt idx="107">
                        <c:v>1070</c:v>
                      </c:pt>
                      <c:pt idx="108">
                        <c:v>1080</c:v>
                      </c:pt>
                      <c:pt idx="109">
                        <c:v>1090</c:v>
                      </c:pt>
                      <c:pt idx="110">
                        <c:v>1100</c:v>
                      </c:pt>
                      <c:pt idx="111">
                        <c:v>1110</c:v>
                      </c:pt>
                      <c:pt idx="112">
                        <c:v>1120</c:v>
                      </c:pt>
                      <c:pt idx="113">
                        <c:v>1130</c:v>
                      </c:pt>
                      <c:pt idx="114">
                        <c:v>1140</c:v>
                      </c:pt>
                      <c:pt idx="115">
                        <c:v>1150</c:v>
                      </c:pt>
                      <c:pt idx="116">
                        <c:v>1160</c:v>
                      </c:pt>
                      <c:pt idx="117">
                        <c:v>1170</c:v>
                      </c:pt>
                      <c:pt idx="118">
                        <c:v>1180</c:v>
                      </c:pt>
                      <c:pt idx="119">
                        <c:v>1190</c:v>
                      </c:pt>
                      <c:pt idx="120">
                        <c:v>1200</c:v>
                      </c:pt>
                      <c:pt idx="121">
                        <c:v>1210</c:v>
                      </c:pt>
                      <c:pt idx="122">
                        <c:v>1220</c:v>
                      </c:pt>
                      <c:pt idx="123">
                        <c:v>1230</c:v>
                      </c:pt>
                      <c:pt idx="124">
                        <c:v>1240</c:v>
                      </c:pt>
                      <c:pt idx="125">
                        <c:v>1250</c:v>
                      </c:pt>
                      <c:pt idx="126">
                        <c:v>1260</c:v>
                      </c:pt>
                      <c:pt idx="127">
                        <c:v>1270</c:v>
                      </c:pt>
                      <c:pt idx="128">
                        <c:v>1280</c:v>
                      </c:pt>
                      <c:pt idx="129">
                        <c:v>1290</c:v>
                      </c:pt>
                      <c:pt idx="130">
                        <c:v>1300</c:v>
                      </c:pt>
                      <c:pt idx="131">
                        <c:v>1310</c:v>
                      </c:pt>
                      <c:pt idx="132">
                        <c:v>1320</c:v>
                      </c:pt>
                      <c:pt idx="133">
                        <c:v>1330</c:v>
                      </c:pt>
                      <c:pt idx="134">
                        <c:v>1340</c:v>
                      </c:pt>
                      <c:pt idx="135">
                        <c:v>1350</c:v>
                      </c:pt>
                      <c:pt idx="136">
                        <c:v>1360</c:v>
                      </c:pt>
                      <c:pt idx="137">
                        <c:v>1370</c:v>
                      </c:pt>
                      <c:pt idx="138">
                        <c:v>1380</c:v>
                      </c:pt>
                      <c:pt idx="139">
                        <c:v>1390</c:v>
                      </c:pt>
                      <c:pt idx="140">
                        <c:v>1400</c:v>
                      </c:pt>
                      <c:pt idx="141">
                        <c:v>1410</c:v>
                      </c:pt>
                      <c:pt idx="142">
                        <c:v>1420</c:v>
                      </c:pt>
                      <c:pt idx="143">
                        <c:v>1430</c:v>
                      </c:pt>
                      <c:pt idx="144">
                        <c:v>1440</c:v>
                      </c:pt>
                      <c:pt idx="145">
                        <c:v>1450</c:v>
                      </c:pt>
                      <c:pt idx="146">
                        <c:v>1460</c:v>
                      </c:pt>
                      <c:pt idx="147">
                        <c:v>1470</c:v>
                      </c:pt>
                      <c:pt idx="148">
                        <c:v>1480</c:v>
                      </c:pt>
                      <c:pt idx="149">
                        <c:v>1490</c:v>
                      </c:pt>
                      <c:pt idx="150">
                        <c:v>1500</c:v>
                      </c:pt>
                      <c:pt idx="151">
                        <c:v>1510</c:v>
                      </c:pt>
                      <c:pt idx="152">
                        <c:v>1520</c:v>
                      </c:pt>
                      <c:pt idx="153">
                        <c:v>1530</c:v>
                      </c:pt>
                      <c:pt idx="154">
                        <c:v>1540</c:v>
                      </c:pt>
                      <c:pt idx="155">
                        <c:v>1550</c:v>
                      </c:pt>
                      <c:pt idx="156">
                        <c:v>1560</c:v>
                      </c:pt>
                      <c:pt idx="157">
                        <c:v>1570</c:v>
                      </c:pt>
                      <c:pt idx="158">
                        <c:v>1580</c:v>
                      </c:pt>
                      <c:pt idx="159">
                        <c:v>1590</c:v>
                      </c:pt>
                      <c:pt idx="160">
                        <c:v>1600</c:v>
                      </c:pt>
                      <c:pt idx="161">
                        <c:v>1610</c:v>
                      </c:pt>
                      <c:pt idx="162">
                        <c:v>1620</c:v>
                      </c:pt>
                      <c:pt idx="163">
                        <c:v>1630</c:v>
                      </c:pt>
                      <c:pt idx="164">
                        <c:v>1640</c:v>
                      </c:pt>
                      <c:pt idx="165">
                        <c:v>1650</c:v>
                      </c:pt>
                      <c:pt idx="166">
                        <c:v>1660</c:v>
                      </c:pt>
                      <c:pt idx="167">
                        <c:v>1670</c:v>
                      </c:pt>
                      <c:pt idx="168">
                        <c:v>1680</c:v>
                      </c:pt>
                      <c:pt idx="169">
                        <c:v>1690</c:v>
                      </c:pt>
                      <c:pt idx="170">
                        <c:v>1700</c:v>
                      </c:pt>
                      <c:pt idx="171">
                        <c:v>1710</c:v>
                      </c:pt>
                      <c:pt idx="172">
                        <c:v>1720</c:v>
                      </c:pt>
                      <c:pt idx="173">
                        <c:v>1730</c:v>
                      </c:pt>
                      <c:pt idx="174">
                        <c:v>1740</c:v>
                      </c:pt>
                      <c:pt idx="175">
                        <c:v>1750</c:v>
                      </c:pt>
                      <c:pt idx="176">
                        <c:v>1760</c:v>
                      </c:pt>
                      <c:pt idx="177">
                        <c:v>1770</c:v>
                      </c:pt>
                      <c:pt idx="178">
                        <c:v>1780</c:v>
                      </c:pt>
                      <c:pt idx="179">
                        <c:v>1790</c:v>
                      </c:pt>
                      <c:pt idx="180">
                        <c:v>1800</c:v>
                      </c:pt>
                      <c:pt idx="181">
                        <c:v>1810</c:v>
                      </c:pt>
                      <c:pt idx="182">
                        <c:v>1820</c:v>
                      </c:pt>
                      <c:pt idx="183">
                        <c:v>1830</c:v>
                      </c:pt>
                      <c:pt idx="184">
                        <c:v>1840</c:v>
                      </c:pt>
                      <c:pt idx="185">
                        <c:v>1850</c:v>
                      </c:pt>
                      <c:pt idx="186">
                        <c:v>1860</c:v>
                      </c:pt>
                      <c:pt idx="187">
                        <c:v>1870</c:v>
                      </c:pt>
                      <c:pt idx="188">
                        <c:v>1880</c:v>
                      </c:pt>
                      <c:pt idx="189">
                        <c:v>1890</c:v>
                      </c:pt>
                      <c:pt idx="190">
                        <c:v>1900</c:v>
                      </c:pt>
                      <c:pt idx="191">
                        <c:v>1910</c:v>
                      </c:pt>
                      <c:pt idx="192">
                        <c:v>1920</c:v>
                      </c:pt>
                      <c:pt idx="193">
                        <c:v>1930</c:v>
                      </c:pt>
                      <c:pt idx="194">
                        <c:v>1940</c:v>
                      </c:pt>
                      <c:pt idx="195">
                        <c:v>1950</c:v>
                      </c:pt>
                      <c:pt idx="196">
                        <c:v>1960</c:v>
                      </c:pt>
                      <c:pt idx="197">
                        <c:v>1970</c:v>
                      </c:pt>
                      <c:pt idx="198">
                        <c:v>1980</c:v>
                      </c:pt>
                      <c:pt idx="199">
                        <c:v>1990</c:v>
                      </c:pt>
                      <c:pt idx="200">
                        <c:v>2000</c:v>
                      </c:pt>
                      <c:pt idx="201">
                        <c:v>2010</c:v>
                      </c:pt>
                      <c:pt idx="202">
                        <c:v>2020</c:v>
                      </c:pt>
                      <c:pt idx="203">
                        <c:v>2030</c:v>
                      </c:pt>
                      <c:pt idx="204">
                        <c:v>2040</c:v>
                      </c:pt>
                      <c:pt idx="205">
                        <c:v>2050</c:v>
                      </c:pt>
                      <c:pt idx="206">
                        <c:v>2060</c:v>
                      </c:pt>
                      <c:pt idx="207">
                        <c:v>2070</c:v>
                      </c:pt>
                      <c:pt idx="208">
                        <c:v>2080</c:v>
                      </c:pt>
                      <c:pt idx="209">
                        <c:v>2090</c:v>
                      </c:pt>
                      <c:pt idx="210">
                        <c:v>2100</c:v>
                      </c:pt>
                      <c:pt idx="211">
                        <c:v>2110</c:v>
                      </c:pt>
                      <c:pt idx="212">
                        <c:v>2120</c:v>
                      </c:pt>
                      <c:pt idx="213">
                        <c:v>2130</c:v>
                      </c:pt>
                      <c:pt idx="214">
                        <c:v>2140</c:v>
                      </c:pt>
                      <c:pt idx="215">
                        <c:v>2150</c:v>
                      </c:pt>
                      <c:pt idx="216">
                        <c:v>2160</c:v>
                      </c:pt>
                      <c:pt idx="217">
                        <c:v>2170</c:v>
                      </c:pt>
                      <c:pt idx="218">
                        <c:v>2180</c:v>
                      </c:pt>
                      <c:pt idx="219">
                        <c:v>2190</c:v>
                      </c:pt>
                      <c:pt idx="220">
                        <c:v>2200</c:v>
                      </c:pt>
                      <c:pt idx="221">
                        <c:v>2210</c:v>
                      </c:pt>
                      <c:pt idx="222">
                        <c:v>2220</c:v>
                      </c:pt>
                      <c:pt idx="223">
                        <c:v>2230</c:v>
                      </c:pt>
                      <c:pt idx="224">
                        <c:v>2240</c:v>
                      </c:pt>
                      <c:pt idx="225">
                        <c:v>2250</c:v>
                      </c:pt>
                      <c:pt idx="226">
                        <c:v>2260</c:v>
                      </c:pt>
                      <c:pt idx="227">
                        <c:v>2270</c:v>
                      </c:pt>
                      <c:pt idx="228">
                        <c:v>2280</c:v>
                      </c:pt>
                      <c:pt idx="229">
                        <c:v>2290</c:v>
                      </c:pt>
                      <c:pt idx="230">
                        <c:v>2300</c:v>
                      </c:pt>
                      <c:pt idx="231">
                        <c:v>2310</c:v>
                      </c:pt>
                      <c:pt idx="232">
                        <c:v>2320</c:v>
                      </c:pt>
                      <c:pt idx="233">
                        <c:v>2330</c:v>
                      </c:pt>
                      <c:pt idx="234">
                        <c:v>2340</c:v>
                      </c:pt>
                      <c:pt idx="235">
                        <c:v>2350</c:v>
                      </c:pt>
                      <c:pt idx="236">
                        <c:v>2360</c:v>
                      </c:pt>
                      <c:pt idx="237">
                        <c:v>2370</c:v>
                      </c:pt>
                      <c:pt idx="238">
                        <c:v>2380</c:v>
                      </c:pt>
                      <c:pt idx="239">
                        <c:v>2390</c:v>
                      </c:pt>
                      <c:pt idx="240">
                        <c:v>2400</c:v>
                      </c:pt>
                      <c:pt idx="241">
                        <c:v>2410</c:v>
                      </c:pt>
                      <c:pt idx="242">
                        <c:v>2420</c:v>
                      </c:pt>
                      <c:pt idx="243">
                        <c:v>2430</c:v>
                      </c:pt>
                      <c:pt idx="244">
                        <c:v>2440</c:v>
                      </c:pt>
                      <c:pt idx="245">
                        <c:v>2450</c:v>
                      </c:pt>
                      <c:pt idx="246">
                        <c:v>2460</c:v>
                      </c:pt>
                      <c:pt idx="247">
                        <c:v>2470</c:v>
                      </c:pt>
                      <c:pt idx="248">
                        <c:v>2480</c:v>
                      </c:pt>
                      <c:pt idx="249">
                        <c:v>2490</c:v>
                      </c:pt>
                      <c:pt idx="250">
                        <c:v>2500</c:v>
                      </c:pt>
                      <c:pt idx="251">
                        <c:v>2510</c:v>
                      </c:pt>
                      <c:pt idx="252">
                        <c:v>2520</c:v>
                      </c:pt>
                      <c:pt idx="253">
                        <c:v>2530</c:v>
                      </c:pt>
                      <c:pt idx="254">
                        <c:v>2540</c:v>
                      </c:pt>
                      <c:pt idx="255">
                        <c:v>2550</c:v>
                      </c:pt>
                      <c:pt idx="256">
                        <c:v>2560</c:v>
                      </c:pt>
                      <c:pt idx="257">
                        <c:v>2570</c:v>
                      </c:pt>
                      <c:pt idx="258">
                        <c:v>2580</c:v>
                      </c:pt>
                      <c:pt idx="259">
                        <c:v>2590</c:v>
                      </c:pt>
                      <c:pt idx="260">
                        <c:v>2600</c:v>
                      </c:pt>
                      <c:pt idx="261">
                        <c:v>2610</c:v>
                      </c:pt>
                      <c:pt idx="262">
                        <c:v>2620</c:v>
                      </c:pt>
                      <c:pt idx="263">
                        <c:v>2630</c:v>
                      </c:pt>
                      <c:pt idx="264">
                        <c:v>2640</c:v>
                      </c:pt>
                      <c:pt idx="265">
                        <c:v>2650</c:v>
                      </c:pt>
                      <c:pt idx="266">
                        <c:v>2660</c:v>
                      </c:pt>
                      <c:pt idx="267">
                        <c:v>2670</c:v>
                      </c:pt>
                      <c:pt idx="268">
                        <c:v>2680</c:v>
                      </c:pt>
                      <c:pt idx="269">
                        <c:v>2690</c:v>
                      </c:pt>
                      <c:pt idx="270">
                        <c:v>2700</c:v>
                      </c:pt>
                      <c:pt idx="271">
                        <c:v>2710</c:v>
                      </c:pt>
                      <c:pt idx="272">
                        <c:v>2720</c:v>
                      </c:pt>
                      <c:pt idx="273">
                        <c:v>2730</c:v>
                      </c:pt>
                      <c:pt idx="274">
                        <c:v>2740</c:v>
                      </c:pt>
                      <c:pt idx="275">
                        <c:v>2750</c:v>
                      </c:pt>
                      <c:pt idx="276">
                        <c:v>2760</c:v>
                      </c:pt>
                      <c:pt idx="277">
                        <c:v>2770</c:v>
                      </c:pt>
                      <c:pt idx="278">
                        <c:v>2780</c:v>
                      </c:pt>
                      <c:pt idx="279">
                        <c:v>2790</c:v>
                      </c:pt>
                      <c:pt idx="280">
                        <c:v>2800</c:v>
                      </c:pt>
                      <c:pt idx="281">
                        <c:v>2810</c:v>
                      </c:pt>
                      <c:pt idx="282">
                        <c:v>2820</c:v>
                      </c:pt>
                      <c:pt idx="283">
                        <c:v>2830</c:v>
                      </c:pt>
                      <c:pt idx="284">
                        <c:v>2840</c:v>
                      </c:pt>
                      <c:pt idx="285">
                        <c:v>2850</c:v>
                      </c:pt>
                      <c:pt idx="286">
                        <c:v>2860</c:v>
                      </c:pt>
                      <c:pt idx="287">
                        <c:v>2870</c:v>
                      </c:pt>
                      <c:pt idx="288">
                        <c:v>2880</c:v>
                      </c:pt>
                      <c:pt idx="289">
                        <c:v>2890</c:v>
                      </c:pt>
                      <c:pt idx="290">
                        <c:v>2900</c:v>
                      </c:pt>
                      <c:pt idx="291">
                        <c:v>2910</c:v>
                      </c:pt>
                      <c:pt idx="292">
                        <c:v>2920</c:v>
                      </c:pt>
                      <c:pt idx="293">
                        <c:v>2930</c:v>
                      </c:pt>
                      <c:pt idx="294">
                        <c:v>2940</c:v>
                      </c:pt>
                      <c:pt idx="295">
                        <c:v>2950</c:v>
                      </c:pt>
                      <c:pt idx="296">
                        <c:v>2960</c:v>
                      </c:pt>
                      <c:pt idx="297">
                        <c:v>2970</c:v>
                      </c:pt>
                      <c:pt idx="298">
                        <c:v>2980</c:v>
                      </c:pt>
                      <c:pt idx="299">
                        <c:v>2990</c:v>
                      </c:pt>
                      <c:pt idx="300">
                        <c:v>3000</c:v>
                      </c:pt>
                      <c:pt idx="301">
                        <c:v>3010</c:v>
                      </c:pt>
                      <c:pt idx="302">
                        <c:v>3020</c:v>
                      </c:pt>
                      <c:pt idx="303">
                        <c:v>3030</c:v>
                      </c:pt>
                      <c:pt idx="304">
                        <c:v>3040</c:v>
                      </c:pt>
                      <c:pt idx="305">
                        <c:v>3050</c:v>
                      </c:pt>
                      <c:pt idx="306">
                        <c:v>3060</c:v>
                      </c:pt>
                      <c:pt idx="307">
                        <c:v>3070</c:v>
                      </c:pt>
                      <c:pt idx="308">
                        <c:v>3080</c:v>
                      </c:pt>
                      <c:pt idx="309">
                        <c:v>3090</c:v>
                      </c:pt>
                      <c:pt idx="310">
                        <c:v>3100</c:v>
                      </c:pt>
                      <c:pt idx="311">
                        <c:v>3110</c:v>
                      </c:pt>
                      <c:pt idx="312">
                        <c:v>3120</c:v>
                      </c:pt>
                      <c:pt idx="313">
                        <c:v>3130</c:v>
                      </c:pt>
                      <c:pt idx="314">
                        <c:v>3140</c:v>
                      </c:pt>
                      <c:pt idx="315">
                        <c:v>3150</c:v>
                      </c:pt>
                      <c:pt idx="316">
                        <c:v>3160</c:v>
                      </c:pt>
                      <c:pt idx="317">
                        <c:v>3170</c:v>
                      </c:pt>
                      <c:pt idx="318">
                        <c:v>3180</c:v>
                      </c:pt>
                      <c:pt idx="319">
                        <c:v>3190</c:v>
                      </c:pt>
                      <c:pt idx="320">
                        <c:v>3200</c:v>
                      </c:pt>
                      <c:pt idx="321">
                        <c:v>3210</c:v>
                      </c:pt>
                      <c:pt idx="322">
                        <c:v>3220</c:v>
                      </c:pt>
                      <c:pt idx="323">
                        <c:v>3230</c:v>
                      </c:pt>
                      <c:pt idx="324">
                        <c:v>3240</c:v>
                      </c:pt>
                      <c:pt idx="325">
                        <c:v>3250</c:v>
                      </c:pt>
                      <c:pt idx="326">
                        <c:v>3260</c:v>
                      </c:pt>
                      <c:pt idx="327">
                        <c:v>3270</c:v>
                      </c:pt>
                      <c:pt idx="328">
                        <c:v>3280</c:v>
                      </c:pt>
                      <c:pt idx="329">
                        <c:v>3290</c:v>
                      </c:pt>
                      <c:pt idx="330">
                        <c:v>3300</c:v>
                      </c:pt>
                      <c:pt idx="331">
                        <c:v>3310</c:v>
                      </c:pt>
                      <c:pt idx="332">
                        <c:v>3320</c:v>
                      </c:pt>
                      <c:pt idx="333">
                        <c:v>3330</c:v>
                      </c:pt>
                      <c:pt idx="334">
                        <c:v>3340</c:v>
                      </c:pt>
                      <c:pt idx="335">
                        <c:v>3350</c:v>
                      </c:pt>
                      <c:pt idx="336">
                        <c:v>3360</c:v>
                      </c:pt>
                      <c:pt idx="337">
                        <c:v>3370</c:v>
                      </c:pt>
                      <c:pt idx="338">
                        <c:v>3380</c:v>
                      </c:pt>
                      <c:pt idx="339">
                        <c:v>3390</c:v>
                      </c:pt>
                      <c:pt idx="340">
                        <c:v>3400</c:v>
                      </c:pt>
                      <c:pt idx="341">
                        <c:v>3410</c:v>
                      </c:pt>
                      <c:pt idx="342">
                        <c:v>3420</c:v>
                      </c:pt>
                      <c:pt idx="343">
                        <c:v>3430</c:v>
                      </c:pt>
                      <c:pt idx="344">
                        <c:v>3440</c:v>
                      </c:pt>
                      <c:pt idx="345">
                        <c:v>3450</c:v>
                      </c:pt>
                      <c:pt idx="346">
                        <c:v>3460</c:v>
                      </c:pt>
                      <c:pt idx="347">
                        <c:v>3470</c:v>
                      </c:pt>
                      <c:pt idx="348">
                        <c:v>3480</c:v>
                      </c:pt>
                      <c:pt idx="349">
                        <c:v>3490</c:v>
                      </c:pt>
                      <c:pt idx="350">
                        <c:v>3500</c:v>
                      </c:pt>
                      <c:pt idx="351">
                        <c:v>3510</c:v>
                      </c:pt>
                      <c:pt idx="352">
                        <c:v>3520</c:v>
                      </c:pt>
                      <c:pt idx="353">
                        <c:v>3530</c:v>
                      </c:pt>
                      <c:pt idx="354">
                        <c:v>3540</c:v>
                      </c:pt>
                      <c:pt idx="355">
                        <c:v>3550</c:v>
                      </c:pt>
                      <c:pt idx="356">
                        <c:v>3560</c:v>
                      </c:pt>
                      <c:pt idx="357">
                        <c:v>3570</c:v>
                      </c:pt>
                      <c:pt idx="358">
                        <c:v>3580</c:v>
                      </c:pt>
                      <c:pt idx="359">
                        <c:v>3590</c:v>
                      </c:pt>
                      <c:pt idx="360">
                        <c:v>3600</c:v>
                      </c:pt>
                      <c:pt idx="361">
                        <c:v>3610</c:v>
                      </c:pt>
                      <c:pt idx="362">
                        <c:v>3620</c:v>
                      </c:pt>
                      <c:pt idx="363">
                        <c:v>3630</c:v>
                      </c:pt>
                      <c:pt idx="364">
                        <c:v>3640</c:v>
                      </c:pt>
                      <c:pt idx="365">
                        <c:v>3650</c:v>
                      </c:pt>
                      <c:pt idx="366">
                        <c:v>3660</c:v>
                      </c:pt>
                      <c:pt idx="367">
                        <c:v>3670</c:v>
                      </c:pt>
                      <c:pt idx="368">
                        <c:v>3680</c:v>
                      </c:pt>
                      <c:pt idx="369">
                        <c:v>3690</c:v>
                      </c:pt>
                      <c:pt idx="370">
                        <c:v>3700</c:v>
                      </c:pt>
                      <c:pt idx="371">
                        <c:v>3710</c:v>
                      </c:pt>
                      <c:pt idx="372">
                        <c:v>3720</c:v>
                      </c:pt>
                      <c:pt idx="373">
                        <c:v>3730</c:v>
                      </c:pt>
                      <c:pt idx="374">
                        <c:v>3740</c:v>
                      </c:pt>
                      <c:pt idx="375">
                        <c:v>3750</c:v>
                      </c:pt>
                      <c:pt idx="376">
                        <c:v>3760</c:v>
                      </c:pt>
                      <c:pt idx="377">
                        <c:v>3770</c:v>
                      </c:pt>
                      <c:pt idx="378">
                        <c:v>3780</c:v>
                      </c:pt>
                      <c:pt idx="379">
                        <c:v>3790</c:v>
                      </c:pt>
                      <c:pt idx="380">
                        <c:v>3800</c:v>
                      </c:pt>
                      <c:pt idx="381">
                        <c:v>3810</c:v>
                      </c:pt>
                      <c:pt idx="382">
                        <c:v>3820</c:v>
                      </c:pt>
                      <c:pt idx="383">
                        <c:v>3830</c:v>
                      </c:pt>
                      <c:pt idx="384">
                        <c:v>3840</c:v>
                      </c:pt>
                      <c:pt idx="385">
                        <c:v>3850</c:v>
                      </c:pt>
                      <c:pt idx="386">
                        <c:v>3860</c:v>
                      </c:pt>
                      <c:pt idx="387">
                        <c:v>3870</c:v>
                      </c:pt>
                      <c:pt idx="388">
                        <c:v>3880</c:v>
                      </c:pt>
                      <c:pt idx="389">
                        <c:v>3890</c:v>
                      </c:pt>
                      <c:pt idx="390">
                        <c:v>3900</c:v>
                      </c:pt>
                      <c:pt idx="391">
                        <c:v>3910</c:v>
                      </c:pt>
                      <c:pt idx="392">
                        <c:v>3920</c:v>
                      </c:pt>
                      <c:pt idx="393">
                        <c:v>3930</c:v>
                      </c:pt>
                      <c:pt idx="394">
                        <c:v>3940</c:v>
                      </c:pt>
                      <c:pt idx="395">
                        <c:v>3950</c:v>
                      </c:pt>
                      <c:pt idx="396">
                        <c:v>3960</c:v>
                      </c:pt>
                      <c:pt idx="397">
                        <c:v>3970</c:v>
                      </c:pt>
                      <c:pt idx="398">
                        <c:v>3980</c:v>
                      </c:pt>
                      <c:pt idx="399">
                        <c:v>3990</c:v>
                      </c:pt>
                      <c:pt idx="400">
                        <c:v>4000</c:v>
                      </c:pt>
                      <c:pt idx="401">
                        <c:v>4010</c:v>
                      </c:pt>
                      <c:pt idx="402">
                        <c:v>4020</c:v>
                      </c:pt>
                      <c:pt idx="403">
                        <c:v>4030</c:v>
                      </c:pt>
                      <c:pt idx="404">
                        <c:v>4040</c:v>
                      </c:pt>
                      <c:pt idx="405">
                        <c:v>4050</c:v>
                      </c:pt>
                      <c:pt idx="406">
                        <c:v>4060</c:v>
                      </c:pt>
                      <c:pt idx="407">
                        <c:v>4070</c:v>
                      </c:pt>
                      <c:pt idx="408">
                        <c:v>4080</c:v>
                      </c:pt>
                      <c:pt idx="409">
                        <c:v>4090</c:v>
                      </c:pt>
                      <c:pt idx="410">
                        <c:v>4100</c:v>
                      </c:pt>
                      <c:pt idx="411">
                        <c:v>4110</c:v>
                      </c:pt>
                      <c:pt idx="412">
                        <c:v>4120</c:v>
                      </c:pt>
                      <c:pt idx="413">
                        <c:v>4130</c:v>
                      </c:pt>
                      <c:pt idx="414">
                        <c:v>4140</c:v>
                      </c:pt>
                      <c:pt idx="415">
                        <c:v>4150</c:v>
                      </c:pt>
                      <c:pt idx="416">
                        <c:v>4160</c:v>
                      </c:pt>
                      <c:pt idx="417">
                        <c:v>4170</c:v>
                      </c:pt>
                      <c:pt idx="418">
                        <c:v>4180</c:v>
                      </c:pt>
                      <c:pt idx="419">
                        <c:v>4190</c:v>
                      </c:pt>
                      <c:pt idx="420">
                        <c:v>4200</c:v>
                      </c:pt>
                      <c:pt idx="421">
                        <c:v>4210</c:v>
                      </c:pt>
                      <c:pt idx="422">
                        <c:v>4220</c:v>
                      </c:pt>
                      <c:pt idx="423">
                        <c:v>4230</c:v>
                      </c:pt>
                      <c:pt idx="424">
                        <c:v>4240</c:v>
                      </c:pt>
                      <c:pt idx="425">
                        <c:v>4250</c:v>
                      </c:pt>
                      <c:pt idx="426">
                        <c:v>4260</c:v>
                      </c:pt>
                      <c:pt idx="427">
                        <c:v>4270</c:v>
                      </c:pt>
                      <c:pt idx="428">
                        <c:v>4280</c:v>
                      </c:pt>
                      <c:pt idx="429">
                        <c:v>4290</c:v>
                      </c:pt>
                      <c:pt idx="430">
                        <c:v>4300</c:v>
                      </c:pt>
                      <c:pt idx="431">
                        <c:v>4310</c:v>
                      </c:pt>
                      <c:pt idx="432">
                        <c:v>4320</c:v>
                      </c:pt>
                      <c:pt idx="433">
                        <c:v>4330</c:v>
                      </c:pt>
                      <c:pt idx="434">
                        <c:v>4340</c:v>
                      </c:pt>
                      <c:pt idx="435">
                        <c:v>4350</c:v>
                      </c:pt>
                      <c:pt idx="436">
                        <c:v>4360</c:v>
                      </c:pt>
                      <c:pt idx="437">
                        <c:v>4370</c:v>
                      </c:pt>
                      <c:pt idx="438">
                        <c:v>4380</c:v>
                      </c:pt>
                      <c:pt idx="439">
                        <c:v>4390</c:v>
                      </c:pt>
                      <c:pt idx="440">
                        <c:v>4400</c:v>
                      </c:pt>
                      <c:pt idx="441">
                        <c:v>4410</c:v>
                      </c:pt>
                      <c:pt idx="442">
                        <c:v>4420</c:v>
                      </c:pt>
                      <c:pt idx="443">
                        <c:v>4430</c:v>
                      </c:pt>
                      <c:pt idx="444">
                        <c:v>4440</c:v>
                      </c:pt>
                      <c:pt idx="445">
                        <c:v>4450</c:v>
                      </c:pt>
                      <c:pt idx="446">
                        <c:v>4460</c:v>
                      </c:pt>
                      <c:pt idx="447">
                        <c:v>4470</c:v>
                      </c:pt>
                      <c:pt idx="448">
                        <c:v>4480</c:v>
                      </c:pt>
                      <c:pt idx="449">
                        <c:v>4490</c:v>
                      </c:pt>
                      <c:pt idx="450">
                        <c:v>4500</c:v>
                      </c:pt>
                      <c:pt idx="451">
                        <c:v>4510</c:v>
                      </c:pt>
                      <c:pt idx="452">
                        <c:v>4520</c:v>
                      </c:pt>
                      <c:pt idx="453">
                        <c:v>4530</c:v>
                      </c:pt>
                      <c:pt idx="454">
                        <c:v>4540</c:v>
                      </c:pt>
                      <c:pt idx="455">
                        <c:v>4550</c:v>
                      </c:pt>
                      <c:pt idx="456">
                        <c:v>4560</c:v>
                      </c:pt>
                      <c:pt idx="457">
                        <c:v>4570</c:v>
                      </c:pt>
                      <c:pt idx="458">
                        <c:v>4580</c:v>
                      </c:pt>
                      <c:pt idx="459">
                        <c:v>4590</c:v>
                      </c:pt>
                      <c:pt idx="460">
                        <c:v>4600</c:v>
                      </c:pt>
                      <c:pt idx="461">
                        <c:v>4610</c:v>
                      </c:pt>
                      <c:pt idx="462">
                        <c:v>4620</c:v>
                      </c:pt>
                      <c:pt idx="463">
                        <c:v>4630</c:v>
                      </c:pt>
                      <c:pt idx="464">
                        <c:v>4640</c:v>
                      </c:pt>
                      <c:pt idx="465">
                        <c:v>4650</c:v>
                      </c:pt>
                      <c:pt idx="466">
                        <c:v>4660</c:v>
                      </c:pt>
                      <c:pt idx="467">
                        <c:v>4670</c:v>
                      </c:pt>
                      <c:pt idx="468">
                        <c:v>4680</c:v>
                      </c:pt>
                      <c:pt idx="469">
                        <c:v>4690</c:v>
                      </c:pt>
                      <c:pt idx="470">
                        <c:v>4700</c:v>
                      </c:pt>
                      <c:pt idx="471">
                        <c:v>4710</c:v>
                      </c:pt>
                      <c:pt idx="472">
                        <c:v>4720</c:v>
                      </c:pt>
                      <c:pt idx="473">
                        <c:v>4730</c:v>
                      </c:pt>
                      <c:pt idx="474">
                        <c:v>4740</c:v>
                      </c:pt>
                      <c:pt idx="475">
                        <c:v>4750</c:v>
                      </c:pt>
                      <c:pt idx="476">
                        <c:v>4760</c:v>
                      </c:pt>
                      <c:pt idx="477">
                        <c:v>4770</c:v>
                      </c:pt>
                      <c:pt idx="478">
                        <c:v>4780</c:v>
                      </c:pt>
                      <c:pt idx="479">
                        <c:v>4790</c:v>
                      </c:pt>
                      <c:pt idx="480">
                        <c:v>4800</c:v>
                      </c:pt>
                      <c:pt idx="481">
                        <c:v>4810</c:v>
                      </c:pt>
                      <c:pt idx="482">
                        <c:v>4820</c:v>
                      </c:pt>
                      <c:pt idx="483">
                        <c:v>4830</c:v>
                      </c:pt>
                      <c:pt idx="484">
                        <c:v>4840</c:v>
                      </c:pt>
                      <c:pt idx="485">
                        <c:v>4850</c:v>
                      </c:pt>
                      <c:pt idx="486">
                        <c:v>4860</c:v>
                      </c:pt>
                      <c:pt idx="487">
                        <c:v>4870</c:v>
                      </c:pt>
                      <c:pt idx="488">
                        <c:v>4880</c:v>
                      </c:pt>
                      <c:pt idx="489">
                        <c:v>4890</c:v>
                      </c:pt>
                      <c:pt idx="490">
                        <c:v>4900</c:v>
                      </c:pt>
                      <c:pt idx="491">
                        <c:v>4910</c:v>
                      </c:pt>
                      <c:pt idx="492">
                        <c:v>4920</c:v>
                      </c:pt>
                      <c:pt idx="493">
                        <c:v>4930</c:v>
                      </c:pt>
                      <c:pt idx="494">
                        <c:v>4940</c:v>
                      </c:pt>
                      <c:pt idx="495">
                        <c:v>4950</c:v>
                      </c:pt>
                      <c:pt idx="496">
                        <c:v>4960</c:v>
                      </c:pt>
                      <c:pt idx="497">
                        <c:v>4970</c:v>
                      </c:pt>
                      <c:pt idx="498">
                        <c:v>4980</c:v>
                      </c:pt>
                      <c:pt idx="499">
                        <c:v>4990</c:v>
                      </c:pt>
                      <c:pt idx="500">
                        <c:v>5000</c:v>
                      </c:pt>
                      <c:pt idx="501">
                        <c:v>5010</c:v>
                      </c:pt>
                      <c:pt idx="502">
                        <c:v>5020</c:v>
                      </c:pt>
                      <c:pt idx="503">
                        <c:v>5030</c:v>
                      </c:pt>
                      <c:pt idx="504">
                        <c:v>5040</c:v>
                      </c:pt>
                      <c:pt idx="505">
                        <c:v>5050</c:v>
                      </c:pt>
                      <c:pt idx="506">
                        <c:v>5060</c:v>
                      </c:pt>
                      <c:pt idx="507">
                        <c:v>5070</c:v>
                      </c:pt>
                      <c:pt idx="508">
                        <c:v>5080</c:v>
                      </c:pt>
                      <c:pt idx="509">
                        <c:v>5090</c:v>
                      </c:pt>
                      <c:pt idx="510">
                        <c:v>5100</c:v>
                      </c:pt>
                      <c:pt idx="511">
                        <c:v>5110</c:v>
                      </c:pt>
                      <c:pt idx="512">
                        <c:v>5120</c:v>
                      </c:pt>
                      <c:pt idx="513">
                        <c:v>5130</c:v>
                      </c:pt>
                      <c:pt idx="514">
                        <c:v>5140</c:v>
                      </c:pt>
                      <c:pt idx="515">
                        <c:v>5150</c:v>
                      </c:pt>
                      <c:pt idx="516">
                        <c:v>5160</c:v>
                      </c:pt>
                      <c:pt idx="517">
                        <c:v>5170</c:v>
                      </c:pt>
                      <c:pt idx="518">
                        <c:v>5180</c:v>
                      </c:pt>
                      <c:pt idx="519">
                        <c:v>5190</c:v>
                      </c:pt>
                      <c:pt idx="520">
                        <c:v>5200</c:v>
                      </c:pt>
                      <c:pt idx="521">
                        <c:v>5210</c:v>
                      </c:pt>
                      <c:pt idx="522">
                        <c:v>5220</c:v>
                      </c:pt>
                      <c:pt idx="523">
                        <c:v>5230</c:v>
                      </c:pt>
                      <c:pt idx="524">
                        <c:v>5240</c:v>
                      </c:pt>
                      <c:pt idx="525">
                        <c:v>5250</c:v>
                      </c:pt>
                      <c:pt idx="526">
                        <c:v>5260</c:v>
                      </c:pt>
                      <c:pt idx="527">
                        <c:v>5270</c:v>
                      </c:pt>
                      <c:pt idx="528">
                        <c:v>5280</c:v>
                      </c:pt>
                      <c:pt idx="529">
                        <c:v>5290</c:v>
                      </c:pt>
                      <c:pt idx="530">
                        <c:v>5300</c:v>
                      </c:pt>
                      <c:pt idx="531">
                        <c:v>5310</c:v>
                      </c:pt>
                      <c:pt idx="532">
                        <c:v>5320</c:v>
                      </c:pt>
                      <c:pt idx="533">
                        <c:v>5330</c:v>
                      </c:pt>
                      <c:pt idx="534">
                        <c:v>5340</c:v>
                      </c:pt>
                      <c:pt idx="535">
                        <c:v>5350</c:v>
                      </c:pt>
                      <c:pt idx="536">
                        <c:v>5360</c:v>
                      </c:pt>
                      <c:pt idx="537">
                        <c:v>5370</c:v>
                      </c:pt>
                      <c:pt idx="538">
                        <c:v>5380</c:v>
                      </c:pt>
                      <c:pt idx="539">
                        <c:v>5390</c:v>
                      </c:pt>
                      <c:pt idx="540">
                        <c:v>5400</c:v>
                      </c:pt>
                      <c:pt idx="541">
                        <c:v>5410</c:v>
                      </c:pt>
                      <c:pt idx="542">
                        <c:v>5420</c:v>
                      </c:pt>
                      <c:pt idx="543">
                        <c:v>5430</c:v>
                      </c:pt>
                      <c:pt idx="544">
                        <c:v>5440</c:v>
                      </c:pt>
                      <c:pt idx="545">
                        <c:v>5450</c:v>
                      </c:pt>
                      <c:pt idx="546">
                        <c:v>5460</c:v>
                      </c:pt>
                      <c:pt idx="547">
                        <c:v>5470</c:v>
                      </c:pt>
                      <c:pt idx="548">
                        <c:v>5480</c:v>
                      </c:pt>
                      <c:pt idx="549">
                        <c:v>5490</c:v>
                      </c:pt>
                      <c:pt idx="550">
                        <c:v>5500</c:v>
                      </c:pt>
                      <c:pt idx="551">
                        <c:v>5510</c:v>
                      </c:pt>
                      <c:pt idx="552">
                        <c:v>5520</c:v>
                      </c:pt>
                      <c:pt idx="553">
                        <c:v>5530</c:v>
                      </c:pt>
                      <c:pt idx="554">
                        <c:v>5540</c:v>
                      </c:pt>
                      <c:pt idx="555">
                        <c:v>5550</c:v>
                      </c:pt>
                      <c:pt idx="556">
                        <c:v>5560</c:v>
                      </c:pt>
                      <c:pt idx="557">
                        <c:v>5570</c:v>
                      </c:pt>
                      <c:pt idx="558">
                        <c:v>5580</c:v>
                      </c:pt>
                      <c:pt idx="559">
                        <c:v>5590</c:v>
                      </c:pt>
                      <c:pt idx="560">
                        <c:v>5600</c:v>
                      </c:pt>
                      <c:pt idx="561">
                        <c:v>5610</c:v>
                      </c:pt>
                      <c:pt idx="562">
                        <c:v>5620</c:v>
                      </c:pt>
                      <c:pt idx="563">
                        <c:v>5630</c:v>
                      </c:pt>
                      <c:pt idx="564">
                        <c:v>5640</c:v>
                      </c:pt>
                      <c:pt idx="565">
                        <c:v>5650</c:v>
                      </c:pt>
                      <c:pt idx="566">
                        <c:v>5660</c:v>
                      </c:pt>
                      <c:pt idx="567">
                        <c:v>5670</c:v>
                      </c:pt>
                      <c:pt idx="568">
                        <c:v>5680</c:v>
                      </c:pt>
                      <c:pt idx="569">
                        <c:v>5690</c:v>
                      </c:pt>
                      <c:pt idx="570">
                        <c:v>5700</c:v>
                      </c:pt>
                      <c:pt idx="571">
                        <c:v>5710</c:v>
                      </c:pt>
                      <c:pt idx="572">
                        <c:v>5720</c:v>
                      </c:pt>
                      <c:pt idx="573">
                        <c:v>5730</c:v>
                      </c:pt>
                      <c:pt idx="574">
                        <c:v>5740</c:v>
                      </c:pt>
                      <c:pt idx="575">
                        <c:v>5750</c:v>
                      </c:pt>
                      <c:pt idx="576">
                        <c:v>5760</c:v>
                      </c:pt>
                      <c:pt idx="577">
                        <c:v>5770</c:v>
                      </c:pt>
                      <c:pt idx="578">
                        <c:v>5780</c:v>
                      </c:pt>
                      <c:pt idx="579">
                        <c:v>5790</c:v>
                      </c:pt>
                      <c:pt idx="580">
                        <c:v>5800</c:v>
                      </c:pt>
                      <c:pt idx="581">
                        <c:v>5810</c:v>
                      </c:pt>
                      <c:pt idx="582">
                        <c:v>5820</c:v>
                      </c:pt>
                      <c:pt idx="583">
                        <c:v>5830</c:v>
                      </c:pt>
                      <c:pt idx="584">
                        <c:v>5840</c:v>
                      </c:pt>
                      <c:pt idx="585">
                        <c:v>5850</c:v>
                      </c:pt>
                      <c:pt idx="586">
                        <c:v>5860</c:v>
                      </c:pt>
                      <c:pt idx="587">
                        <c:v>5870</c:v>
                      </c:pt>
                      <c:pt idx="588">
                        <c:v>5880</c:v>
                      </c:pt>
                      <c:pt idx="589">
                        <c:v>5890</c:v>
                      </c:pt>
                      <c:pt idx="590">
                        <c:v>5900</c:v>
                      </c:pt>
                      <c:pt idx="591">
                        <c:v>5910</c:v>
                      </c:pt>
                      <c:pt idx="592">
                        <c:v>5920</c:v>
                      </c:pt>
                      <c:pt idx="593">
                        <c:v>5930</c:v>
                      </c:pt>
                      <c:pt idx="594">
                        <c:v>5940</c:v>
                      </c:pt>
                      <c:pt idx="595">
                        <c:v>5950</c:v>
                      </c:pt>
                      <c:pt idx="596">
                        <c:v>5960</c:v>
                      </c:pt>
                      <c:pt idx="597">
                        <c:v>5970</c:v>
                      </c:pt>
                      <c:pt idx="598">
                        <c:v>5980</c:v>
                      </c:pt>
                      <c:pt idx="599">
                        <c:v>5990</c:v>
                      </c:pt>
                      <c:pt idx="600">
                        <c:v>6000</c:v>
                      </c:pt>
                      <c:pt idx="601">
                        <c:v>6010</c:v>
                      </c:pt>
                      <c:pt idx="602">
                        <c:v>6020</c:v>
                      </c:pt>
                      <c:pt idx="603">
                        <c:v>6030</c:v>
                      </c:pt>
                      <c:pt idx="604">
                        <c:v>6040</c:v>
                      </c:pt>
                      <c:pt idx="605">
                        <c:v>6050</c:v>
                      </c:pt>
                      <c:pt idx="606">
                        <c:v>6060</c:v>
                      </c:pt>
                      <c:pt idx="607">
                        <c:v>6070</c:v>
                      </c:pt>
                      <c:pt idx="608">
                        <c:v>6080</c:v>
                      </c:pt>
                      <c:pt idx="609">
                        <c:v>6090</c:v>
                      </c:pt>
                      <c:pt idx="610">
                        <c:v>6100</c:v>
                      </c:pt>
                      <c:pt idx="611">
                        <c:v>6110</c:v>
                      </c:pt>
                      <c:pt idx="612">
                        <c:v>6120</c:v>
                      </c:pt>
                      <c:pt idx="613">
                        <c:v>6130</c:v>
                      </c:pt>
                      <c:pt idx="614">
                        <c:v>6140</c:v>
                      </c:pt>
                      <c:pt idx="615">
                        <c:v>6150</c:v>
                      </c:pt>
                      <c:pt idx="616">
                        <c:v>6160</c:v>
                      </c:pt>
                      <c:pt idx="617">
                        <c:v>6170</c:v>
                      </c:pt>
                      <c:pt idx="618">
                        <c:v>6180</c:v>
                      </c:pt>
                      <c:pt idx="619">
                        <c:v>6190</c:v>
                      </c:pt>
                      <c:pt idx="620">
                        <c:v>6200</c:v>
                      </c:pt>
                      <c:pt idx="621">
                        <c:v>6210</c:v>
                      </c:pt>
                      <c:pt idx="622">
                        <c:v>6220</c:v>
                      </c:pt>
                      <c:pt idx="623">
                        <c:v>6230</c:v>
                      </c:pt>
                      <c:pt idx="624">
                        <c:v>6240</c:v>
                      </c:pt>
                      <c:pt idx="625">
                        <c:v>6250</c:v>
                      </c:pt>
                      <c:pt idx="626">
                        <c:v>6260</c:v>
                      </c:pt>
                      <c:pt idx="627">
                        <c:v>6270</c:v>
                      </c:pt>
                      <c:pt idx="628">
                        <c:v>6280</c:v>
                      </c:pt>
                      <c:pt idx="629">
                        <c:v>6290</c:v>
                      </c:pt>
                      <c:pt idx="630">
                        <c:v>6300</c:v>
                      </c:pt>
                      <c:pt idx="631">
                        <c:v>6310</c:v>
                      </c:pt>
                      <c:pt idx="632">
                        <c:v>6320</c:v>
                      </c:pt>
                      <c:pt idx="633">
                        <c:v>6330</c:v>
                      </c:pt>
                      <c:pt idx="634">
                        <c:v>6340</c:v>
                      </c:pt>
                      <c:pt idx="635">
                        <c:v>6350</c:v>
                      </c:pt>
                      <c:pt idx="636">
                        <c:v>6360</c:v>
                      </c:pt>
                      <c:pt idx="637">
                        <c:v>6370</c:v>
                      </c:pt>
                      <c:pt idx="638">
                        <c:v>6380</c:v>
                      </c:pt>
                      <c:pt idx="639">
                        <c:v>6390</c:v>
                      </c:pt>
                      <c:pt idx="640">
                        <c:v>6400</c:v>
                      </c:pt>
                      <c:pt idx="641">
                        <c:v>6410</c:v>
                      </c:pt>
                      <c:pt idx="642">
                        <c:v>6420</c:v>
                      </c:pt>
                      <c:pt idx="643">
                        <c:v>6430</c:v>
                      </c:pt>
                      <c:pt idx="644">
                        <c:v>6440</c:v>
                      </c:pt>
                      <c:pt idx="645">
                        <c:v>6450</c:v>
                      </c:pt>
                      <c:pt idx="646">
                        <c:v>6460</c:v>
                      </c:pt>
                      <c:pt idx="647">
                        <c:v>6470</c:v>
                      </c:pt>
                      <c:pt idx="648">
                        <c:v>6480</c:v>
                      </c:pt>
                      <c:pt idx="649">
                        <c:v>6490</c:v>
                      </c:pt>
                      <c:pt idx="650">
                        <c:v>6500</c:v>
                      </c:pt>
                      <c:pt idx="651">
                        <c:v>6510</c:v>
                      </c:pt>
                      <c:pt idx="652">
                        <c:v>6520</c:v>
                      </c:pt>
                      <c:pt idx="653">
                        <c:v>6530</c:v>
                      </c:pt>
                      <c:pt idx="654">
                        <c:v>6540</c:v>
                      </c:pt>
                      <c:pt idx="655">
                        <c:v>6550</c:v>
                      </c:pt>
                      <c:pt idx="656">
                        <c:v>6560</c:v>
                      </c:pt>
                      <c:pt idx="657">
                        <c:v>6570</c:v>
                      </c:pt>
                      <c:pt idx="658">
                        <c:v>6580</c:v>
                      </c:pt>
                      <c:pt idx="659">
                        <c:v>6590</c:v>
                      </c:pt>
                      <c:pt idx="660">
                        <c:v>6600</c:v>
                      </c:pt>
                      <c:pt idx="661">
                        <c:v>6610</c:v>
                      </c:pt>
                      <c:pt idx="662">
                        <c:v>6620</c:v>
                      </c:pt>
                      <c:pt idx="663">
                        <c:v>6630</c:v>
                      </c:pt>
                      <c:pt idx="664">
                        <c:v>6640</c:v>
                      </c:pt>
                      <c:pt idx="665">
                        <c:v>6650</c:v>
                      </c:pt>
                      <c:pt idx="666">
                        <c:v>6660</c:v>
                      </c:pt>
                      <c:pt idx="667">
                        <c:v>6670</c:v>
                      </c:pt>
                      <c:pt idx="668">
                        <c:v>6680</c:v>
                      </c:pt>
                      <c:pt idx="669">
                        <c:v>6690</c:v>
                      </c:pt>
                      <c:pt idx="670">
                        <c:v>6700</c:v>
                      </c:pt>
                      <c:pt idx="671">
                        <c:v>6710</c:v>
                      </c:pt>
                      <c:pt idx="672">
                        <c:v>6720</c:v>
                      </c:pt>
                      <c:pt idx="673">
                        <c:v>6730</c:v>
                      </c:pt>
                      <c:pt idx="674">
                        <c:v>6740</c:v>
                      </c:pt>
                      <c:pt idx="675">
                        <c:v>6750</c:v>
                      </c:pt>
                      <c:pt idx="676">
                        <c:v>6760</c:v>
                      </c:pt>
                      <c:pt idx="677">
                        <c:v>6770</c:v>
                      </c:pt>
                      <c:pt idx="678">
                        <c:v>6780</c:v>
                      </c:pt>
                      <c:pt idx="679">
                        <c:v>6790</c:v>
                      </c:pt>
                      <c:pt idx="680">
                        <c:v>6800</c:v>
                      </c:pt>
                      <c:pt idx="681">
                        <c:v>6810</c:v>
                      </c:pt>
                      <c:pt idx="682">
                        <c:v>6820</c:v>
                      </c:pt>
                      <c:pt idx="683">
                        <c:v>6830</c:v>
                      </c:pt>
                      <c:pt idx="684">
                        <c:v>6840</c:v>
                      </c:pt>
                      <c:pt idx="685">
                        <c:v>6850</c:v>
                      </c:pt>
                      <c:pt idx="686">
                        <c:v>6860</c:v>
                      </c:pt>
                      <c:pt idx="687">
                        <c:v>6870</c:v>
                      </c:pt>
                      <c:pt idx="688">
                        <c:v>6880</c:v>
                      </c:pt>
                      <c:pt idx="689">
                        <c:v>6890</c:v>
                      </c:pt>
                      <c:pt idx="690">
                        <c:v>6900</c:v>
                      </c:pt>
                      <c:pt idx="691">
                        <c:v>6910</c:v>
                      </c:pt>
                      <c:pt idx="692">
                        <c:v>6920</c:v>
                      </c:pt>
                      <c:pt idx="693">
                        <c:v>6930</c:v>
                      </c:pt>
                      <c:pt idx="694">
                        <c:v>6940</c:v>
                      </c:pt>
                      <c:pt idx="695">
                        <c:v>6950</c:v>
                      </c:pt>
                      <c:pt idx="696">
                        <c:v>6960</c:v>
                      </c:pt>
                      <c:pt idx="697">
                        <c:v>6970</c:v>
                      </c:pt>
                      <c:pt idx="698">
                        <c:v>6980</c:v>
                      </c:pt>
                      <c:pt idx="699">
                        <c:v>6990</c:v>
                      </c:pt>
                      <c:pt idx="700">
                        <c:v>7000</c:v>
                      </c:pt>
                      <c:pt idx="701">
                        <c:v>7010</c:v>
                      </c:pt>
                      <c:pt idx="702">
                        <c:v>7020</c:v>
                      </c:pt>
                      <c:pt idx="703">
                        <c:v>7030</c:v>
                      </c:pt>
                      <c:pt idx="704">
                        <c:v>7040</c:v>
                      </c:pt>
                      <c:pt idx="705">
                        <c:v>7050</c:v>
                      </c:pt>
                      <c:pt idx="706">
                        <c:v>7060</c:v>
                      </c:pt>
                      <c:pt idx="707">
                        <c:v>7070</c:v>
                      </c:pt>
                      <c:pt idx="708">
                        <c:v>7080</c:v>
                      </c:pt>
                      <c:pt idx="709">
                        <c:v>7090</c:v>
                      </c:pt>
                      <c:pt idx="710">
                        <c:v>7100</c:v>
                      </c:pt>
                      <c:pt idx="711">
                        <c:v>7110</c:v>
                      </c:pt>
                      <c:pt idx="712">
                        <c:v>7120</c:v>
                      </c:pt>
                      <c:pt idx="713">
                        <c:v>7130</c:v>
                      </c:pt>
                      <c:pt idx="714">
                        <c:v>7140</c:v>
                      </c:pt>
                      <c:pt idx="715">
                        <c:v>7150</c:v>
                      </c:pt>
                      <c:pt idx="716">
                        <c:v>7160</c:v>
                      </c:pt>
                      <c:pt idx="717">
                        <c:v>7170</c:v>
                      </c:pt>
                      <c:pt idx="718">
                        <c:v>7180</c:v>
                      </c:pt>
                      <c:pt idx="719">
                        <c:v>7190</c:v>
                      </c:pt>
                      <c:pt idx="720">
                        <c:v>7200</c:v>
                      </c:pt>
                      <c:pt idx="721">
                        <c:v>7210</c:v>
                      </c:pt>
                      <c:pt idx="722">
                        <c:v>7220</c:v>
                      </c:pt>
                      <c:pt idx="723">
                        <c:v>7230</c:v>
                      </c:pt>
                      <c:pt idx="724">
                        <c:v>7240</c:v>
                      </c:pt>
                      <c:pt idx="725">
                        <c:v>7250</c:v>
                      </c:pt>
                      <c:pt idx="726">
                        <c:v>7260</c:v>
                      </c:pt>
                      <c:pt idx="727">
                        <c:v>7270</c:v>
                      </c:pt>
                      <c:pt idx="728">
                        <c:v>7280</c:v>
                      </c:pt>
                      <c:pt idx="729">
                        <c:v>7290</c:v>
                      </c:pt>
                      <c:pt idx="730">
                        <c:v>7300</c:v>
                      </c:pt>
                      <c:pt idx="731">
                        <c:v>7310</c:v>
                      </c:pt>
                      <c:pt idx="732">
                        <c:v>7320</c:v>
                      </c:pt>
                      <c:pt idx="733">
                        <c:v>7330</c:v>
                      </c:pt>
                      <c:pt idx="734">
                        <c:v>7340</c:v>
                      </c:pt>
                      <c:pt idx="735">
                        <c:v>7350</c:v>
                      </c:pt>
                      <c:pt idx="736">
                        <c:v>7360</c:v>
                      </c:pt>
                      <c:pt idx="737">
                        <c:v>7370</c:v>
                      </c:pt>
                      <c:pt idx="738">
                        <c:v>7380</c:v>
                      </c:pt>
                      <c:pt idx="739">
                        <c:v>7390</c:v>
                      </c:pt>
                      <c:pt idx="740">
                        <c:v>7400</c:v>
                      </c:pt>
                      <c:pt idx="741">
                        <c:v>7410</c:v>
                      </c:pt>
                      <c:pt idx="742">
                        <c:v>7420</c:v>
                      </c:pt>
                      <c:pt idx="743">
                        <c:v>7430</c:v>
                      </c:pt>
                      <c:pt idx="744">
                        <c:v>7440</c:v>
                      </c:pt>
                      <c:pt idx="745">
                        <c:v>7450</c:v>
                      </c:pt>
                      <c:pt idx="746">
                        <c:v>7460</c:v>
                      </c:pt>
                      <c:pt idx="747">
                        <c:v>7470</c:v>
                      </c:pt>
                      <c:pt idx="748">
                        <c:v>7480</c:v>
                      </c:pt>
                      <c:pt idx="749">
                        <c:v>7490</c:v>
                      </c:pt>
                      <c:pt idx="750">
                        <c:v>7500</c:v>
                      </c:pt>
                      <c:pt idx="751">
                        <c:v>7510</c:v>
                      </c:pt>
                      <c:pt idx="752">
                        <c:v>7520</c:v>
                      </c:pt>
                      <c:pt idx="753">
                        <c:v>7530</c:v>
                      </c:pt>
                      <c:pt idx="754">
                        <c:v>7540</c:v>
                      </c:pt>
                      <c:pt idx="755">
                        <c:v>7550</c:v>
                      </c:pt>
                      <c:pt idx="756">
                        <c:v>7560</c:v>
                      </c:pt>
                      <c:pt idx="757">
                        <c:v>7570</c:v>
                      </c:pt>
                      <c:pt idx="758">
                        <c:v>7580</c:v>
                      </c:pt>
                      <c:pt idx="759">
                        <c:v>7590</c:v>
                      </c:pt>
                      <c:pt idx="760">
                        <c:v>7600</c:v>
                      </c:pt>
                      <c:pt idx="761">
                        <c:v>7610</c:v>
                      </c:pt>
                      <c:pt idx="762">
                        <c:v>7620</c:v>
                      </c:pt>
                      <c:pt idx="763">
                        <c:v>7630</c:v>
                      </c:pt>
                      <c:pt idx="764">
                        <c:v>7640</c:v>
                      </c:pt>
                      <c:pt idx="765">
                        <c:v>7650</c:v>
                      </c:pt>
                      <c:pt idx="766">
                        <c:v>7660</c:v>
                      </c:pt>
                      <c:pt idx="767">
                        <c:v>7670</c:v>
                      </c:pt>
                      <c:pt idx="768">
                        <c:v>7680</c:v>
                      </c:pt>
                      <c:pt idx="769">
                        <c:v>7690</c:v>
                      </c:pt>
                      <c:pt idx="770">
                        <c:v>7700</c:v>
                      </c:pt>
                      <c:pt idx="771">
                        <c:v>7710</c:v>
                      </c:pt>
                      <c:pt idx="772">
                        <c:v>7720</c:v>
                      </c:pt>
                      <c:pt idx="773">
                        <c:v>7730</c:v>
                      </c:pt>
                      <c:pt idx="774">
                        <c:v>7740</c:v>
                      </c:pt>
                      <c:pt idx="775">
                        <c:v>7750</c:v>
                      </c:pt>
                      <c:pt idx="776">
                        <c:v>7760</c:v>
                      </c:pt>
                      <c:pt idx="777">
                        <c:v>7770</c:v>
                      </c:pt>
                      <c:pt idx="778">
                        <c:v>7780</c:v>
                      </c:pt>
                      <c:pt idx="779">
                        <c:v>7790</c:v>
                      </c:pt>
                      <c:pt idx="780">
                        <c:v>7800</c:v>
                      </c:pt>
                      <c:pt idx="781">
                        <c:v>7810</c:v>
                      </c:pt>
                      <c:pt idx="782">
                        <c:v>7820</c:v>
                      </c:pt>
                      <c:pt idx="783">
                        <c:v>7830</c:v>
                      </c:pt>
                      <c:pt idx="784">
                        <c:v>7840</c:v>
                      </c:pt>
                      <c:pt idx="785">
                        <c:v>7850</c:v>
                      </c:pt>
                      <c:pt idx="786">
                        <c:v>7860</c:v>
                      </c:pt>
                      <c:pt idx="787">
                        <c:v>7870</c:v>
                      </c:pt>
                      <c:pt idx="788">
                        <c:v>7880</c:v>
                      </c:pt>
                      <c:pt idx="789">
                        <c:v>7890</c:v>
                      </c:pt>
                      <c:pt idx="790">
                        <c:v>7900</c:v>
                      </c:pt>
                      <c:pt idx="791">
                        <c:v>7910</c:v>
                      </c:pt>
                      <c:pt idx="792">
                        <c:v>7920</c:v>
                      </c:pt>
                      <c:pt idx="793">
                        <c:v>7930</c:v>
                      </c:pt>
                      <c:pt idx="794">
                        <c:v>7940</c:v>
                      </c:pt>
                      <c:pt idx="795">
                        <c:v>7950</c:v>
                      </c:pt>
                      <c:pt idx="796">
                        <c:v>7960</c:v>
                      </c:pt>
                      <c:pt idx="797">
                        <c:v>7970</c:v>
                      </c:pt>
                      <c:pt idx="798">
                        <c:v>7980</c:v>
                      </c:pt>
                      <c:pt idx="799">
                        <c:v>7990</c:v>
                      </c:pt>
                      <c:pt idx="800">
                        <c:v>8000</c:v>
                      </c:pt>
                      <c:pt idx="801">
                        <c:v>8010</c:v>
                      </c:pt>
                      <c:pt idx="802">
                        <c:v>8020</c:v>
                      </c:pt>
                      <c:pt idx="803">
                        <c:v>8030</c:v>
                      </c:pt>
                      <c:pt idx="804">
                        <c:v>8040</c:v>
                      </c:pt>
                      <c:pt idx="805">
                        <c:v>8050</c:v>
                      </c:pt>
                      <c:pt idx="806">
                        <c:v>8060</c:v>
                      </c:pt>
                      <c:pt idx="807">
                        <c:v>8070</c:v>
                      </c:pt>
                      <c:pt idx="808">
                        <c:v>8080</c:v>
                      </c:pt>
                      <c:pt idx="809">
                        <c:v>8090</c:v>
                      </c:pt>
                      <c:pt idx="810">
                        <c:v>8100</c:v>
                      </c:pt>
                      <c:pt idx="811">
                        <c:v>8110</c:v>
                      </c:pt>
                      <c:pt idx="812">
                        <c:v>8120</c:v>
                      </c:pt>
                      <c:pt idx="813">
                        <c:v>8130</c:v>
                      </c:pt>
                      <c:pt idx="814">
                        <c:v>8140</c:v>
                      </c:pt>
                      <c:pt idx="815">
                        <c:v>8150</c:v>
                      </c:pt>
                      <c:pt idx="816">
                        <c:v>8160</c:v>
                      </c:pt>
                      <c:pt idx="817">
                        <c:v>8170</c:v>
                      </c:pt>
                      <c:pt idx="818">
                        <c:v>8180</c:v>
                      </c:pt>
                      <c:pt idx="819">
                        <c:v>8190</c:v>
                      </c:pt>
                      <c:pt idx="820">
                        <c:v>8200</c:v>
                      </c:pt>
                      <c:pt idx="821">
                        <c:v>8210</c:v>
                      </c:pt>
                      <c:pt idx="822">
                        <c:v>8220</c:v>
                      </c:pt>
                      <c:pt idx="823">
                        <c:v>8230</c:v>
                      </c:pt>
                      <c:pt idx="824">
                        <c:v>8240</c:v>
                      </c:pt>
                      <c:pt idx="825">
                        <c:v>8250</c:v>
                      </c:pt>
                      <c:pt idx="826">
                        <c:v>8260</c:v>
                      </c:pt>
                      <c:pt idx="827">
                        <c:v>8270</c:v>
                      </c:pt>
                      <c:pt idx="828">
                        <c:v>8280</c:v>
                      </c:pt>
                      <c:pt idx="829">
                        <c:v>8290</c:v>
                      </c:pt>
                      <c:pt idx="830">
                        <c:v>8300</c:v>
                      </c:pt>
                      <c:pt idx="831">
                        <c:v>8310</c:v>
                      </c:pt>
                      <c:pt idx="832">
                        <c:v>8320</c:v>
                      </c:pt>
                      <c:pt idx="833">
                        <c:v>8330</c:v>
                      </c:pt>
                      <c:pt idx="834">
                        <c:v>8340</c:v>
                      </c:pt>
                      <c:pt idx="835">
                        <c:v>8350</c:v>
                      </c:pt>
                      <c:pt idx="836">
                        <c:v>8360</c:v>
                      </c:pt>
                      <c:pt idx="837">
                        <c:v>8370</c:v>
                      </c:pt>
                      <c:pt idx="838">
                        <c:v>8380</c:v>
                      </c:pt>
                      <c:pt idx="839">
                        <c:v>8390</c:v>
                      </c:pt>
                      <c:pt idx="840">
                        <c:v>8400</c:v>
                      </c:pt>
                      <c:pt idx="841">
                        <c:v>8410</c:v>
                      </c:pt>
                      <c:pt idx="842">
                        <c:v>8420</c:v>
                      </c:pt>
                      <c:pt idx="843">
                        <c:v>8430</c:v>
                      </c:pt>
                      <c:pt idx="844">
                        <c:v>8440</c:v>
                      </c:pt>
                      <c:pt idx="845">
                        <c:v>8450</c:v>
                      </c:pt>
                      <c:pt idx="846">
                        <c:v>8460</c:v>
                      </c:pt>
                      <c:pt idx="847">
                        <c:v>8470</c:v>
                      </c:pt>
                      <c:pt idx="848">
                        <c:v>8480</c:v>
                      </c:pt>
                      <c:pt idx="849">
                        <c:v>8490</c:v>
                      </c:pt>
                      <c:pt idx="850">
                        <c:v>8500</c:v>
                      </c:pt>
                      <c:pt idx="851">
                        <c:v>8510</c:v>
                      </c:pt>
                      <c:pt idx="852">
                        <c:v>8520</c:v>
                      </c:pt>
                      <c:pt idx="853">
                        <c:v>8530</c:v>
                      </c:pt>
                      <c:pt idx="854">
                        <c:v>8540</c:v>
                      </c:pt>
                      <c:pt idx="855">
                        <c:v>8550</c:v>
                      </c:pt>
                      <c:pt idx="856">
                        <c:v>8560</c:v>
                      </c:pt>
                      <c:pt idx="857">
                        <c:v>8570</c:v>
                      </c:pt>
                      <c:pt idx="858">
                        <c:v>8580</c:v>
                      </c:pt>
                      <c:pt idx="859">
                        <c:v>8590</c:v>
                      </c:pt>
                      <c:pt idx="860">
                        <c:v>8600</c:v>
                      </c:pt>
                      <c:pt idx="861">
                        <c:v>8610</c:v>
                      </c:pt>
                      <c:pt idx="862">
                        <c:v>8620</c:v>
                      </c:pt>
                      <c:pt idx="863">
                        <c:v>8630</c:v>
                      </c:pt>
                      <c:pt idx="864">
                        <c:v>8640</c:v>
                      </c:pt>
                      <c:pt idx="865">
                        <c:v>8650</c:v>
                      </c:pt>
                      <c:pt idx="866">
                        <c:v>8660</c:v>
                      </c:pt>
                      <c:pt idx="867">
                        <c:v>8670</c:v>
                      </c:pt>
                      <c:pt idx="868">
                        <c:v>8680</c:v>
                      </c:pt>
                      <c:pt idx="869">
                        <c:v>8690</c:v>
                      </c:pt>
                      <c:pt idx="870">
                        <c:v>8700</c:v>
                      </c:pt>
                      <c:pt idx="871">
                        <c:v>8710</c:v>
                      </c:pt>
                      <c:pt idx="872">
                        <c:v>8720</c:v>
                      </c:pt>
                      <c:pt idx="873">
                        <c:v>8730</c:v>
                      </c:pt>
                      <c:pt idx="874">
                        <c:v>8740</c:v>
                      </c:pt>
                      <c:pt idx="875">
                        <c:v>8750</c:v>
                      </c:pt>
                      <c:pt idx="876">
                        <c:v>8760</c:v>
                      </c:pt>
                      <c:pt idx="877">
                        <c:v>8770</c:v>
                      </c:pt>
                      <c:pt idx="878">
                        <c:v>8780</c:v>
                      </c:pt>
                      <c:pt idx="879">
                        <c:v>8790</c:v>
                      </c:pt>
                      <c:pt idx="880">
                        <c:v>8800</c:v>
                      </c:pt>
                      <c:pt idx="881">
                        <c:v>8810</c:v>
                      </c:pt>
                      <c:pt idx="882">
                        <c:v>8820</c:v>
                      </c:pt>
                      <c:pt idx="883">
                        <c:v>8830</c:v>
                      </c:pt>
                      <c:pt idx="884">
                        <c:v>8840</c:v>
                      </c:pt>
                      <c:pt idx="885">
                        <c:v>8850</c:v>
                      </c:pt>
                      <c:pt idx="886">
                        <c:v>8860</c:v>
                      </c:pt>
                      <c:pt idx="887">
                        <c:v>8870</c:v>
                      </c:pt>
                      <c:pt idx="888">
                        <c:v>8880</c:v>
                      </c:pt>
                      <c:pt idx="889">
                        <c:v>8890</c:v>
                      </c:pt>
                      <c:pt idx="890">
                        <c:v>8900</c:v>
                      </c:pt>
                      <c:pt idx="891">
                        <c:v>8910</c:v>
                      </c:pt>
                      <c:pt idx="892">
                        <c:v>8920</c:v>
                      </c:pt>
                      <c:pt idx="893">
                        <c:v>8930</c:v>
                      </c:pt>
                      <c:pt idx="894">
                        <c:v>8940</c:v>
                      </c:pt>
                      <c:pt idx="895">
                        <c:v>8950</c:v>
                      </c:pt>
                      <c:pt idx="896">
                        <c:v>8960</c:v>
                      </c:pt>
                      <c:pt idx="897">
                        <c:v>8970</c:v>
                      </c:pt>
                      <c:pt idx="898">
                        <c:v>8980</c:v>
                      </c:pt>
                      <c:pt idx="899">
                        <c:v>8990</c:v>
                      </c:pt>
                      <c:pt idx="900">
                        <c:v>9000</c:v>
                      </c:pt>
                      <c:pt idx="901">
                        <c:v>9010</c:v>
                      </c:pt>
                      <c:pt idx="902">
                        <c:v>9020</c:v>
                      </c:pt>
                      <c:pt idx="903">
                        <c:v>9030</c:v>
                      </c:pt>
                      <c:pt idx="904">
                        <c:v>9040</c:v>
                      </c:pt>
                      <c:pt idx="905">
                        <c:v>9050</c:v>
                      </c:pt>
                      <c:pt idx="906">
                        <c:v>9060</c:v>
                      </c:pt>
                      <c:pt idx="907">
                        <c:v>9070</c:v>
                      </c:pt>
                      <c:pt idx="908">
                        <c:v>9080</c:v>
                      </c:pt>
                      <c:pt idx="909">
                        <c:v>9090</c:v>
                      </c:pt>
                      <c:pt idx="910">
                        <c:v>9100</c:v>
                      </c:pt>
                      <c:pt idx="911">
                        <c:v>9110</c:v>
                      </c:pt>
                      <c:pt idx="912">
                        <c:v>9120</c:v>
                      </c:pt>
                      <c:pt idx="913">
                        <c:v>9130</c:v>
                      </c:pt>
                      <c:pt idx="914">
                        <c:v>9140</c:v>
                      </c:pt>
                      <c:pt idx="915">
                        <c:v>9150</c:v>
                      </c:pt>
                      <c:pt idx="916">
                        <c:v>9160</c:v>
                      </c:pt>
                      <c:pt idx="917">
                        <c:v>9170</c:v>
                      </c:pt>
                      <c:pt idx="918">
                        <c:v>9180</c:v>
                      </c:pt>
                      <c:pt idx="919">
                        <c:v>9190</c:v>
                      </c:pt>
                      <c:pt idx="920">
                        <c:v>9200</c:v>
                      </c:pt>
                      <c:pt idx="921">
                        <c:v>9210</c:v>
                      </c:pt>
                      <c:pt idx="922">
                        <c:v>9220</c:v>
                      </c:pt>
                      <c:pt idx="923">
                        <c:v>9230</c:v>
                      </c:pt>
                      <c:pt idx="924">
                        <c:v>9240</c:v>
                      </c:pt>
                      <c:pt idx="925">
                        <c:v>9250</c:v>
                      </c:pt>
                      <c:pt idx="926">
                        <c:v>9260</c:v>
                      </c:pt>
                      <c:pt idx="927">
                        <c:v>9270</c:v>
                      </c:pt>
                      <c:pt idx="928">
                        <c:v>9280</c:v>
                      </c:pt>
                      <c:pt idx="929">
                        <c:v>9290</c:v>
                      </c:pt>
                      <c:pt idx="930">
                        <c:v>9300</c:v>
                      </c:pt>
                      <c:pt idx="931">
                        <c:v>9310</c:v>
                      </c:pt>
                      <c:pt idx="932">
                        <c:v>9320</c:v>
                      </c:pt>
                      <c:pt idx="933">
                        <c:v>9330</c:v>
                      </c:pt>
                      <c:pt idx="934">
                        <c:v>9340</c:v>
                      </c:pt>
                      <c:pt idx="935">
                        <c:v>9350</c:v>
                      </c:pt>
                      <c:pt idx="936">
                        <c:v>9360</c:v>
                      </c:pt>
                      <c:pt idx="937">
                        <c:v>9370</c:v>
                      </c:pt>
                      <c:pt idx="938">
                        <c:v>9380</c:v>
                      </c:pt>
                      <c:pt idx="939">
                        <c:v>9390</c:v>
                      </c:pt>
                      <c:pt idx="940">
                        <c:v>9400</c:v>
                      </c:pt>
                      <c:pt idx="941">
                        <c:v>9410</c:v>
                      </c:pt>
                      <c:pt idx="942">
                        <c:v>9420</c:v>
                      </c:pt>
                      <c:pt idx="943">
                        <c:v>9430</c:v>
                      </c:pt>
                      <c:pt idx="944">
                        <c:v>9440</c:v>
                      </c:pt>
                      <c:pt idx="945">
                        <c:v>9450</c:v>
                      </c:pt>
                      <c:pt idx="946">
                        <c:v>9460</c:v>
                      </c:pt>
                      <c:pt idx="947">
                        <c:v>9470</c:v>
                      </c:pt>
                      <c:pt idx="948">
                        <c:v>9480</c:v>
                      </c:pt>
                      <c:pt idx="949">
                        <c:v>9490</c:v>
                      </c:pt>
                      <c:pt idx="950">
                        <c:v>9500</c:v>
                      </c:pt>
                      <c:pt idx="951">
                        <c:v>9510</c:v>
                      </c:pt>
                      <c:pt idx="952">
                        <c:v>9520</c:v>
                      </c:pt>
                      <c:pt idx="953">
                        <c:v>9530</c:v>
                      </c:pt>
                      <c:pt idx="954">
                        <c:v>9540</c:v>
                      </c:pt>
                      <c:pt idx="955">
                        <c:v>9550</c:v>
                      </c:pt>
                      <c:pt idx="956">
                        <c:v>9560</c:v>
                      </c:pt>
                      <c:pt idx="957">
                        <c:v>9570</c:v>
                      </c:pt>
                      <c:pt idx="958">
                        <c:v>9580</c:v>
                      </c:pt>
                      <c:pt idx="959">
                        <c:v>9590</c:v>
                      </c:pt>
                      <c:pt idx="960">
                        <c:v>9600</c:v>
                      </c:pt>
                      <c:pt idx="961">
                        <c:v>9610</c:v>
                      </c:pt>
                      <c:pt idx="962">
                        <c:v>9620</c:v>
                      </c:pt>
                      <c:pt idx="963">
                        <c:v>9630</c:v>
                      </c:pt>
                      <c:pt idx="964">
                        <c:v>9640</c:v>
                      </c:pt>
                      <c:pt idx="965">
                        <c:v>9650</c:v>
                      </c:pt>
                      <c:pt idx="966">
                        <c:v>9660</c:v>
                      </c:pt>
                      <c:pt idx="967">
                        <c:v>9670</c:v>
                      </c:pt>
                      <c:pt idx="968">
                        <c:v>9680</c:v>
                      </c:pt>
                      <c:pt idx="969">
                        <c:v>9690</c:v>
                      </c:pt>
                      <c:pt idx="970">
                        <c:v>9700</c:v>
                      </c:pt>
                      <c:pt idx="971">
                        <c:v>9710</c:v>
                      </c:pt>
                      <c:pt idx="972">
                        <c:v>9720</c:v>
                      </c:pt>
                      <c:pt idx="973">
                        <c:v>9730</c:v>
                      </c:pt>
                      <c:pt idx="974">
                        <c:v>9740</c:v>
                      </c:pt>
                      <c:pt idx="975">
                        <c:v>9750</c:v>
                      </c:pt>
                      <c:pt idx="976">
                        <c:v>9760</c:v>
                      </c:pt>
                      <c:pt idx="977">
                        <c:v>9770</c:v>
                      </c:pt>
                      <c:pt idx="978">
                        <c:v>9780</c:v>
                      </c:pt>
                      <c:pt idx="979">
                        <c:v>9790</c:v>
                      </c:pt>
                      <c:pt idx="980">
                        <c:v>9800</c:v>
                      </c:pt>
                      <c:pt idx="981">
                        <c:v>9810</c:v>
                      </c:pt>
                      <c:pt idx="982">
                        <c:v>9820</c:v>
                      </c:pt>
                      <c:pt idx="983">
                        <c:v>9830</c:v>
                      </c:pt>
                      <c:pt idx="984">
                        <c:v>9840</c:v>
                      </c:pt>
                      <c:pt idx="985">
                        <c:v>9850</c:v>
                      </c:pt>
                      <c:pt idx="986">
                        <c:v>9860</c:v>
                      </c:pt>
                      <c:pt idx="987">
                        <c:v>9870</c:v>
                      </c:pt>
                      <c:pt idx="988">
                        <c:v>9880</c:v>
                      </c:pt>
                      <c:pt idx="989">
                        <c:v>9890</c:v>
                      </c:pt>
                      <c:pt idx="990">
                        <c:v>9900</c:v>
                      </c:pt>
                      <c:pt idx="991">
                        <c:v>9910</c:v>
                      </c:pt>
                      <c:pt idx="992">
                        <c:v>9920</c:v>
                      </c:pt>
                      <c:pt idx="993">
                        <c:v>9930</c:v>
                      </c:pt>
                      <c:pt idx="994">
                        <c:v>9940</c:v>
                      </c:pt>
                      <c:pt idx="995">
                        <c:v>9950</c:v>
                      </c:pt>
                      <c:pt idx="996">
                        <c:v>9960</c:v>
                      </c:pt>
                      <c:pt idx="997">
                        <c:v>9970</c:v>
                      </c:pt>
                      <c:pt idx="998">
                        <c:v>9980</c:v>
                      </c:pt>
                      <c:pt idx="999">
                        <c:v>9990</c:v>
                      </c:pt>
                      <c:pt idx="1000">
                        <c:v>10000</c:v>
                      </c:pt>
                      <c:pt idx="1001">
                        <c:v>10010</c:v>
                      </c:pt>
                      <c:pt idx="1002">
                        <c:v>10020</c:v>
                      </c:pt>
                      <c:pt idx="1003">
                        <c:v>10030</c:v>
                      </c:pt>
                      <c:pt idx="1004">
                        <c:v>10040</c:v>
                      </c:pt>
                      <c:pt idx="1005">
                        <c:v>10050</c:v>
                      </c:pt>
                      <c:pt idx="1006">
                        <c:v>10060</c:v>
                      </c:pt>
                      <c:pt idx="1007">
                        <c:v>10070</c:v>
                      </c:pt>
                      <c:pt idx="1008">
                        <c:v>10080</c:v>
                      </c:pt>
                      <c:pt idx="1009">
                        <c:v>10090</c:v>
                      </c:pt>
                      <c:pt idx="1010">
                        <c:v>10100</c:v>
                      </c:pt>
                      <c:pt idx="1011">
                        <c:v>10110</c:v>
                      </c:pt>
                      <c:pt idx="1012">
                        <c:v>10120</c:v>
                      </c:pt>
                      <c:pt idx="1013">
                        <c:v>10130</c:v>
                      </c:pt>
                      <c:pt idx="1014">
                        <c:v>10140</c:v>
                      </c:pt>
                      <c:pt idx="1015">
                        <c:v>10150</c:v>
                      </c:pt>
                      <c:pt idx="1016">
                        <c:v>10160</c:v>
                      </c:pt>
                      <c:pt idx="1017">
                        <c:v>10170</c:v>
                      </c:pt>
                      <c:pt idx="1018">
                        <c:v>10180</c:v>
                      </c:pt>
                      <c:pt idx="1019">
                        <c:v>10190</c:v>
                      </c:pt>
                      <c:pt idx="1020">
                        <c:v>10200</c:v>
                      </c:pt>
                      <c:pt idx="1021">
                        <c:v>10210</c:v>
                      </c:pt>
                      <c:pt idx="1022">
                        <c:v>10220</c:v>
                      </c:pt>
                      <c:pt idx="1023">
                        <c:v>10230</c:v>
                      </c:pt>
                      <c:pt idx="1024">
                        <c:v>10240</c:v>
                      </c:pt>
                      <c:pt idx="1025">
                        <c:v>10250</c:v>
                      </c:pt>
                      <c:pt idx="1026">
                        <c:v>10260</c:v>
                      </c:pt>
                      <c:pt idx="1027">
                        <c:v>10270</c:v>
                      </c:pt>
                      <c:pt idx="1028">
                        <c:v>10280</c:v>
                      </c:pt>
                      <c:pt idx="1029">
                        <c:v>10290</c:v>
                      </c:pt>
                      <c:pt idx="1030">
                        <c:v>10300</c:v>
                      </c:pt>
                      <c:pt idx="1031">
                        <c:v>10310</c:v>
                      </c:pt>
                      <c:pt idx="1032">
                        <c:v>10320</c:v>
                      </c:pt>
                      <c:pt idx="1033">
                        <c:v>10330</c:v>
                      </c:pt>
                      <c:pt idx="1034">
                        <c:v>10340</c:v>
                      </c:pt>
                      <c:pt idx="1035">
                        <c:v>10350</c:v>
                      </c:pt>
                      <c:pt idx="1036">
                        <c:v>10360</c:v>
                      </c:pt>
                      <c:pt idx="1037">
                        <c:v>10370</c:v>
                      </c:pt>
                      <c:pt idx="1038">
                        <c:v>10380</c:v>
                      </c:pt>
                      <c:pt idx="1039">
                        <c:v>10390</c:v>
                      </c:pt>
                      <c:pt idx="1040">
                        <c:v>10400</c:v>
                      </c:pt>
                      <c:pt idx="1041">
                        <c:v>10410</c:v>
                      </c:pt>
                      <c:pt idx="1042">
                        <c:v>10420</c:v>
                      </c:pt>
                      <c:pt idx="1043">
                        <c:v>10430</c:v>
                      </c:pt>
                      <c:pt idx="1044">
                        <c:v>10440</c:v>
                      </c:pt>
                      <c:pt idx="1045">
                        <c:v>10450</c:v>
                      </c:pt>
                      <c:pt idx="1046">
                        <c:v>10460</c:v>
                      </c:pt>
                      <c:pt idx="1047">
                        <c:v>10470</c:v>
                      </c:pt>
                      <c:pt idx="1048">
                        <c:v>10480</c:v>
                      </c:pt>
                      <c:pt idx="1049">
                        <c:v>10490</c:v>
                      </c:pt>
                      <c:pt idx="1050">
                        <c:v>10500</c:v>
                      </c:pt>
                      <c:pt idx="1051">
                        <c:v>10510</c:v>
                      </c:pt>
                      <c:pt idx="1052">
                        <c:v>10520</c:v>
                      </c:pt>
                      <c:pt idx="1053">
                        <c:v>10530</c:v>
                      </c:pt>
                      <c:pt idx="1054">
                        <c:v>10540</c:v>
                      </c:pt>
                      <c:pt idx="1055">
                        <c:v>10550</c:v>
                      </c:pt>
                      <c:pt idx="1056">
                        <c:v>10560</c:v>
                      </c:pt>
                      <c:pt idx="1057">
                        <c:v>10570</c:v>
                      </c:pt>
                      <c:pt idx="1058">
                        <c:v>10580</c:v>
                      </c:pt>
                      <c:pt idx="1059">
                        <c:v>10590</c:v>
                      </c:pt>
                      <c:pt idx="1060">
                        <c:v>10600</c:v>
                      </c:pt>
                      <c:pt idx="1061">
                        <c:v>10610</c:v>
                      </c:pt>
                      <c:pt idx="1062">
                        <c:v>10620</c:v>
                      </c:pt>
                      <c:pt idx="1063">
                        <c:v>10630</c:v>
                      </c:pt>
                      <c:pt idx="1064">
                        <c:v>10640</c:v>
                      </c:pt>
                      <c:pt idx="1065">
                        <c:v>10650</c:v>
                      </c:pt>
                      <c:pt idx="1066">
                        <c:v>10660</c:v>
                      </c:pt>
                      <c:pt idx="1067">
                        <c:v>10670</c:v>
                      </c:pt>
                      <c:pt idx="1068">
                        <c:v>10680</c:v>
                      </c:pt>
                      <c:pt idx="1069">
                        <c:v>10690</c:v>
                      </c:pt>
                      <c:pt idx="1070">
                        <c:v>10700</c:v>
                      </c:pt>
                      <c:pt idx="1071">
                        <c:v>10710</c:v>
                      </c:pt>
                      <c:pt idx="1072">
                        <c:v>10720</c:v>
                      </c:pt>
                      <c:pt idx="1073">
                        <c:v>10730</c:v>
                      </c:pt>
                      <c:pt idx="1074">
                        <c:v>10740</c:v>
                      </c:pt>
                      <c:pt idx="1075">
                        <c:v>10750</c:v>
                      </c:pt>
                      <c:pt idx="1076">
                        <c:v>10760</c:v>
                      </c:pt>
                      <c:pt idx="1077">
                        <c:v>10770</c:v>
                      </c:pt>
                      <c:pt idx="1078">
                        <c:v>10780</c:v>
                      </c:pt>
                      <c:pt idx="1079">
                        <c:v>10790</c:v>
                      </c:pt>
                      <c:pt idx="1080">
                        <c:v>10800</c:v>
                      </c:pt>
                      <c:pt idx="1081">
                        <c:v>10810</c:v>
                      </c:pt>
                      <c:pt idx="1082">
                        <c:v>10820</c:v>
                      </c:pt>
                      <c:pt idx="1083">
                        <c:v>10830</c:v>
                      </c:pt>
                      <c:pt idx="1084">
                        <c:v>10840</c:v>
                      </c:pt>
                      <c:pt idx="1085">
                        <c:v>10850</c:v>
                      </c:pt>
                      <c:pt idx="1086">
                        <c:v>10860</c:v>
                      </c:pt>
                      <c:pt idx="1087">
                        <c:v>10870</c:v>
                      </c:pt>
                      <c:pt idx="1088">
                        <c:v>10880</c:v>
                      </c:pt>
                      <c:pt idx="1089">
                        <c:v>10890</c:v>
                      </c:pt>
                      <c:pt idx="1090">
                        <c:v>10900</c:v>
                      </c:pt>
                      <c:pt idx="1091">
                        <c:v>10910</c:v>
                      </c:pt>
                      <c:pt idx="1092">
                        <c:v>10920</c:v>
                      </c:pt>
                      <c:pt idx="1093">
                        <c:v>10930</c:v>
                      </c:pt>
                      <c:pt idx="1094">
                        <c:v>10940</c:v>
                      </c:pt>
                      <c:pt idx="1095">
                        <c:v>10950</c:v>
                      </c:pt>
                      <c:pt idx="1096">
                        <c:v>10960</c:v>
                      </c:pt>
                      <c:pt idx="1097">
                        <c:v>10970</c:v>
                      </c:pt>
                      <c:pt idx="1098">
                        <c:v>10980</c:v>
                      </c:pt>
                      <c:pt idx="1099">
                        <c:v>10990</c:v>
                      </c:pt>
                      <c:pt idx="1100">
                        <c:v>11000</c:v>
                      </c:pt>
                      <c:pt idx="1101">
                        <c:v>11010</c:v>
                      </c:pt>
                      <c:pt idx="1102">
                        <c:v>11020</c:v>
                      </c:pt>
                      <c:pt idx="1103">
                        <c:v>11030</c:v>
                      </c:pt>
                      <c:pt idx="1104">
                        <c:v>11040</c:v>
                      </c:pt>
                      <c:pt idx="1105">
                        <c:v>11050</c:v>
                      </c:pt>
                      <c:pt idx="1106">
                        <c:v>11060</c:v>
                      </c:pt>
                      <c:pt idx="1107">
                        <c:v>11070</c:v>
                      </c:pt>
                      <c:pt idx="1108">
                        <c:v>11080</c:v>
                      </c:pt>
                      <c:pt idx="1109">
                        <c:v>11090</c:v>
                      </c:pt>
                      <c:pt idx="1110">
                        <c:v>11100</c:v>
                      </c:pt>
                      <c:pt idx="1111">
                        <c:v>11110</c:v>
                      </c:pt>
                      <c:pt idx="1112">
                        <c:v>11120</c:v>
                      </c:pt>
                      <c:pt idx="1113">
                        <c:v>11130</c:v>
                      </c:pt>
                      <c:pt idx="1114">
                        <c:v>11140</c:v>
                      </c:pt>
                      <c:pt idx="1115">
                        <c:v>11150</c:v>
                      </c:pt>
                      <c:pt idx="1116">
                        <c:v>11160</c:v>
                      </c:pt>
                      <c:pt idx="1117">
                        <c:v>11170</c:v>
                      </c:pt>
                      <c:pt idx="1118">
                        <c:v>11180</c:v>
                      </c:pt>
                      <c:pt idx="1119">
                        <c:v>11190</c:v>
                      </c:pt>
                      <c:pt idx="1120">
                        <c:v>11200</c:v>
                      </c:pt>
                      <c:pt idx="1121">
                        <c:v>11210</c:v>
                      </c:pt>
                      <c:pt idx="1122">
                        <c:v>11220</c:v>
                      </c:pt>
                      <c:pt idx="1123">
                        <c:v>11230</c:v>
                      </c:pt>
                      <c:pt idx="1124">
                        <c:v>11240</c:v>
                      </c:pt>
                      <c:pt idx="1125">
                        <c:v>11250</c:v>
                      </c:pt>
                      <c:pt idx="1126">
                        <c:v>11260</c:v>
                      </c:pt>
                      <c:pt idx="1127">
                        <c:v>11270</c:v>
                      </c:pt>
                      <c:pt idx="1128">
                        <c:v>11280</c:v>
                      </c:pt>
                      <c:pt idx="1129">
                        <c:v>11290</c:v>
                      </c:pt>
                      <c:pt idx="1130">
                        <c:v>11300</c:v>
                      </c:pt>
                      <c:pt idx="1131">
                        <c:v>11310</c:v>
                      </c:pt>
                      <c:pt idx="1132">
                        <c:v>11320</c:v>
                      </c:pt>
                      <c:pt idx="1133">
                        <c:v>11330</c:v>
                      </c:pt>
                      <c:pt idx="1134">
                        <c:v>11340</c:v>
                      </c:pt>
                      <c:pt idx="1135">
                        <c:v>11350</c:v>
                      </c:pt>
                      <c:pt idx="1136">
                        <c:v>11360</c:v>
                      </c:pt>
                      <c:pt idx="1137">
                        <c:v>11370</c:v>
                      </c:pt>
                      <c:pt idx="1138">
                        <c:v>11380</c:v>
                      </c:pt>
                      <c:pt idx="1139">
                        <c:v>11390</c:v>
                      </c:pt>
                      <c:pt idx="1140">
                        <c:v>11400</c:v>
                      </c:pt>
                      <c:pt idx="1141">
                        <c:v>11410</c:v>
                      </c:pt>
                      <c:pt idx="1142">
                        <c:v>11420</c:v>
                      </c:pt>
                      <c:pt idx="1143">
                        <c:v>11430</c:v>
                      </c:pt>
                      <c:pt idx="1144">
                        <c:v>11440</c:v>
                      </c:pt>
                      <c:pt idx="1145">
                        <c:v>11450</c:v>
                      </c:pt>
                      <c:pt idx="1146">
                        <c:v>11460</c:v>
                      </c:pt>
                      <c:pt idx="1147">
                        <c:v>11470</c:v>
                      </c:pt>
                      <c:pt idx="1148">
                        <c:v>11480</c:v>
                      </c:pt>
                      <c:pt idx="1149">
                        <c:v>11490</c:v>
                      </c:pt>
                      <c:pt idx="1150">
                        <c:v>11500</c:v>
                      </c:pt>
                      <c:pt idx="1151">
                        <c:v>11510</c:v>
                      </c:pt>
                      <c:pt idx="1152">
                        <c:v>11520</c:v>
                      </c:pt>
                      <c:pt idx="1153">
                        <c:v>11530</c:v>
                      </c:pt>
                      <c:pt idx="1154">
                        <c:v>11540</c:v>
                      </c:pt>
                      <c:pt idx="1155">
                        <c:v>11550</c:v>
                      </c:pt>
                      <c:pt idx="1156">
                        <c:v>11560</c:v>
                      </c:pt>
                      <c:pt idx="1157">
                        <c:v>11570</c:v>
                      </c:pt>
                      <c:pt idx="1158">
                        <c:v>11580</c:v>
                      </c:pt>
                      <c:pt idx="1159">
                        <c:v>11590</c:v>
                      </c:pt>
                      <c:pt idx="1160">
                        <c:v>11600</c:v>
                      </c:pt>
                      <c:pt idx="1161">
                        <c:v>11610</c:v>
                      </c:pt>
                      <c:pt idx="1162">
                        <c:v>11620</c:v>
                      </c:pt>
                      <c:pt idx="1163">
                        <c:v>11630</c:v>
                      </c:pt>
                      <c:pt idx="1164">
                        <c:v>11640</c:v>
                      </c:pt>
                      <c:pt idx="1165">
                        <c:v>11650</c:v>
                      </c:pt>
                      <c:pt idx="1166">
                        <c:v>11660</c:v>
                      </c:pt>
                      <c:pt idx="1167">
                        <c:v>11670</c:v>
                      </c:pt>
                      <c:pt idx="1168">
                        <c:v>11680</c:v>
                      </c:pt>
                      <c:pt idx="1169">
                        <c:v>11690</c:v>
                      </c:pt>
                      <c:pt idx="1170">
                        <c:v>11700</c:v>
                      </c:pt>
                      <c:pt idx="1171">
                        <c:v>11710</c:v>
                      </c:pt>
                      <c:pt idx="1172">
                        <c:v>11720</c:v>
                      </c:pt>
                      <c:pt idx="1173">
                        <c:v>11730</c:v>
                      </c:pt>
                      <c:pt idx="1174">
                        <c:v>11740</c:v>
                      </c:pt>
                      <c:pt idx="1175">
                        <c:v>11750</c:v>
                      </c:pt>
                      <c:pt idx="1176">
                        <c:v>11760</c:v>
                      </c:pt>
                      <c:pt idx="1177">
                        <c:v>11770</c:v>
                      </c:pt>
                      <c:pt idx="1178">
                        <c:v>11780</c:v>
                      </c:pt>
                      <c:pt idx="1179">
                        <c:v>11790</c:v>
                      </c:pt>
                      <c:pt idx="1180">
                        <c:v>11800</c:v>
                      </c:pt>
                      <c:pt idx="1181">
                        <c:v>11810</c:v>
                      </c:pt>
                      <c:pt idx="1182">
                        <c:v>11820</c:v>
                      </c:pt>
                      <c:pt idx="1183">
                        <c:v>11830</c:v>
                      </c:pt>
                      <c:pt idx="1184">
                        <c:v>11840</c:v>
                      </c:pt>
                      <c:pt idx="1185">
                        <c:v>11850</c:v>
                      </c:pt>
                      <c:pt idx="1186">
                        <c:v>11860</c:v>
                      </c:pt>
                      <c:pt idx="1187">
                        <c:v>11870</c:v>
                      </c:pt>
                      <c:pt idx="1188">
                        <c:v>11880</c:v>
                      </c:pt>
                      <c:pt idx="1189">
                        <c:v>11890</c:v>
                      </c:pt>
                      <c:pt idx="1190">
                        <c:v>11900</c:v>
                      </c:pt>
                      <c:pt idx="1191">
                        <c:v>11910</c:v>
                      </c:pt>
                      <c:pt idx="1192">
                        <c:v>11920</c:v>
                      </c:pt>
                      <c:pt idx="1193">
                        <c:v>11930</c:v>
                      </c:pt>
                      <c:pt idx="1194">
                        <c:v>11940</c:v>
                      </c:pt>
                      <c:pt idx="1195">
                        <c:v>11950</c:v>
                      </c:pt>
                      <c:pt idx="1196">
                        <c:v>11960</c:v>
                      </c:pt>
                      <c:pt idx="1197">
                        <c:v>11970</c:v>
                      </c:pt>
                      <c:pt idx="1198">
                        <c:v>11980</c:v>
                      </c:pt>
                      <c:pt idx="1199">
                        <c:v>11990</c:v>
                      </c:pt>
                      <c:pt idx="1200">
                        <c:v>12000</c:v>
                      </c:pt>
                      <c:pt idx="1201">
                        <c:v>12010</c:v>
                      </c:pt>
                      <c:pt idx="1202">
                        <c:v>12020</c:v>
                      </c:pt>
                      <c:pt idx="1203">
                        <c:v>12030</c:v>
                      </c:pt>
                      <c:pt idx="1204">
                        <c:v>12040</c:v>
                      </c:pt>
                      <c:pt idx="1205">
                        <c:v>12050</c:v>
                      </c:pt>
                      <c:pt idx="1206">
                        <c:v>12060</c:v>
                      </c:pt>
                      <c:pt idx="1207">
                        <c:v>12070</c:v>
                      </c:pt>
                      <c:pt idx="1208">
                        <c:v>12080</c:v>
                      </c:pt>
                      <c:pt idx="1209">
                        <c:v>12090</c:v>
                      </c:pt>
                      <c:pt idx="1210">
                        <c:v>12100</c:v>
                      </c:pt>
                      <c:pt idx="1211">
                        <c:v>12110</c:v>
                      </c:pt>
                      <c:pt idx="1212">
                        <c:v>12120</c:v>
                      </c:pt>
                      <c:pt idx="1213">
                        <c:v>12130</c:v>
                      </c:pt>
                      <c:pt idx="1214">
                        <c:v>12140</c:v>
                      </c:pt>
                      <c:pt idx="1215">
                        <c:v>12150</c:v>
                      </c:pt>
                      <c:pt idx="1216">
                        <c:v>12160</c:v>
                      </c:pt>
                      <c:pt idx="1217">
                        <c:v>12170</c:v>
                      </c:pt>
                      <c:pt idx="1218">
                        <c:v>12180</c:v>
                      </c:pt>
                      <c:pt idx="1219">
                        <c:v>12190</c:v>
                      </c:pt>
                      <c:pt idx="1220">
                        <c:v>12200</c:v>
                      </c:pt>
                      <c:pt idx="1221">
                        <c:v>12210</c:v>
                      </c:pt>
                      <c:pt idx="1222">
                        <c:v>12220</c:v>
                      </c:pt>
                      <c:pt idx="1223">
                        <c:v>12230</c:v>
                      </c:pt>
                      <c:pt idx="1224">
                        <c:v>12240</c:v>
                      </c:pt>
                      <c:pt idx="1225">
                        <c:v>12250</c:v>
                      </c:pt>
                      <c:pt idx="1226">
                        <c:v>12260</c:v>
                      </c:pt>
                      <c:pt idx="1227">
                        <c:v>12270</c:v>
                      </c:pt>
                      <c:pt idx="1228">
                        <c:v>12280</c:v>
                      </c:pt>
                      <c:pt idx="1229">
                        <c:v>12290</c:v>
                      </c:pt>
                      <c:pt idx="1230">
                        <c:v>12300</c:v>
                      </c:pt>
                      <c:pt idx="1231">
                        <c:v>12310</c:v>
                      </c:pt>
                      <c:pt idx="1232">
                        <c:v>12320</c:v>
                      </c:pt>
                      <c:pt idx="1233">
                        <c:v>12330</c:v>
                      </c:pt>
                      <c:pt idx="1234">
                        <c:v>12340</c:v>
                      </c:pt>
                      <c:pt idx="1235">
                        <c:v>12350</c:v>
                      </c:pt>
                      <c:pt idx="1236">
                        <c:v>12360</c:v>
                      </c:pt>
                      <c:pt idx="1237">
                        <c:v>12370</c:v>
                      </c:pt>
                      <c:pt idx="1238">
                        <c:v>12380</c:v>
                      </c:pt>
                      <c:pt idx="1239">
                        <c:v>12390</c:v>
                      </c:pt>
                      <c:pt idx="1240">
                        <c:v>12400</c:v>
                      </c:pt>
                      <c:pt idx="1241">
                        <c:v>12410</c:v>
                      </c:pt>
                      <c:pt idx="1242">
                        <c:v>12420</c:v>
                      </c:pt>
                      <c:pt idx="1243">
                        <c:v>12430</c:v>
                      </c:pt>
                      <c:pt idx="1244">
                        <c:v>12440</c:v>
                      </c:pt>
                      <c:pt idx="1245">
                        <c:v>12450</c:v>
                      </c:pt>
                      <c:pt idx="1246">
                        <c:v>12460</c:v>
                      </c:pt>
                      <c:pt idx="1247">
                        <c:v>12470</c:v>
                      </c:pt>
                      <c:pt idx="1248">
                        <c:v>12480</c:v>
                      </c:pt>
                      <c:pt idx="1249">
                        <c:v>12490</c:v>
                      </c:pt>
                      <c:pt idx="1250">
                        <c:v>12500</c:v>
                      </c:pt>
                      <c:pt idx="1251">
                        <c:v>12510</c:v>
                      </c:pt>
                      <c:pt idx="1252">
                        <c:v>12520</c:v>
                      </c:pt>
                      <c:pt idx="1253">
                        <c:v>12530</c:v>
                      </c:pt>
                      <c:pt idx="1254">
                        <c:v>12540</c:v>
                      </c:pt>
                      <c:pt idx="1255">
                        <c:v>12550</c:v>
                      </c:pt>
                      <c:pt idx="1256">
                        <c:v>12560</c:v>
                      </c:pt>
                      <c:pt idx="1257">
                        <c:v>12570</c:v>
                      </c:pt>
                      <c:pt idx="1258">
                        <c:v>12580</c:v>
                      </c:pt>
                      <c:pt idx="1259">
                        <c:v>12590</c:v>
                      </c:pt>
                      <c:pt idx="1260">
                        <c:v>12600</c:v>
                      </c:pt>
                      <c:pt idx="1261">
                        <c:v>12610</c:v>
                      </c:pt>
                      <c:pt idx="1262">
                        <c:v>12620</c:v>
                      </c:pt>
                      <c:pt idx="1263">
                        <c:v>12630</c:v>
                      </c:pt>
                      <c:pt idx="1264">
                        <c:v>12640</c:v>
                      </c:pt>
                      <c:pt idx="1265">
                        <c:v>12650</c:v>
                      </c:pt>
                      <c:pt idx="1266">
                        <c:v>12660</c:v>
                      </c:pt>
                      <c:pt idx="1267">
                        <c:v>12670</c:v>
                      </c:pt>
                      <c:pt idx="1268">
                        <c:v>12680</c:v>
                      </c:pt>
                      <c:pt idx="1269">
                        <c:v>12690</c:v>
                      </c:pt>
                      <c:pt idx="1270">
                        <c:v>12700</c:v>
                      </c:pt>
                      <c:pt idx="1271">
                        <c:v>12710</c:v>
                      </c:pt>
                      <c:pt idx="1272">
                        <c:v>12720</c:v>
                      </c:pt>
                      <c:pt idx="1273">
                        <c:v>12730</c:v>
                      </c:pt>
                      <c:pt idx="1274">
                        <c:v>12740</c:v>
                      </c:pt>
                      <c:pt idx="1275">
                        <c:v>12750</c:v>
                      </c:pt>
                      <c:pt idx="1276">
                        <c:v>12760</c:v>
                      </c:pt>
                      <c:pt idx="1277">
                        <c:v>12770</c:v>
                      </c:pt>
                      <c:pt idx="1278">
                        <c:v>12780</c:v>
                      </c:pt>
                      <c:pt idx="1279">
                        <c:v>12790</c:v>
                      </c:pt>
                      <c:pt idx="1280">
                        <c:v>12800</c:v>
                      </c:pt>
                      <c:pt idx="1281">
                        <c:v>12810</c:v>
                      </c:pt>
                      <c:pt idx="1282">
                        <c:v>12820</c:v>
                      </c:pt>
                      <c:pt idx="1283">
                        <c:v>12830</c:v>
                      </c:pt>
                      <c:pt idx="1284">
                        <c:v>12840</c:v>
                      </c:pt>
                      <c:pt idx="1285">
                        <c:v>12850</c:v>
                      </c:pt>
                      <c:pt idx="1286">
                        <c:v>12860</c:v>
                      </c:pt>
                      <c:pt idx="1287">
                        <c:v>12870</c:v>
                      </c:pt>
                      <c:pt idx="1288">
                        <c:v>12880</c:v>
                      </c:pt>
                      <c:pt idx="1289">
                        <c:v>12890</c:v>
                      </c:pt>
                      <c:pt idx="1290">
                        <c:v>12900</c:v>
                      </c:pt>
                      <c:pt idx="1291">
                        <c:v>12910</c:v>
                      </c:pt>
                      <c:pt idx="1292">
                        <c:v>12920</c:v>
                      </c:pt>
                      <c:pt idx="1293">
                        <c:v>12930</c:v>
                      </c:pt>
                      <c:pt idx="1294">
                        <c:v>12940</c:v>
                      </c:pt>
                      <c:pt idx="1295">
                        <c:v>12950</c:v>
                      </c:pt>
                      <c:pt idx="1296">
                        <c:v>12960</c:v>
                      </c:pt>
                      <c:pt idx="1297">
                        <c:v>12970</c:v>
                      </c:pt>
                      <c:pt idx="1298">
                        <c:v>12980</c:v>
                      </c:pt>
                      <c:pt idx="1299">
                        <c:v>12990</c:v>
                      </c:pt>
                      <c:pt idx="1300">
                        <c:v>13000</c:v>
                      </c:pt>
                      <c:pt idx="1301">
                        <c:v>13010</c:v>
                      </c:pt>
                      <c:pt idx="1302">
                        <c:v>13020</c:v>
                      </c:pt>
                      <c:pt idx="1303">
                        <c:v>13030</c:v>
                      </c:pt>
                      <c:pt idx="1304">
                        <c:v>13040</c:v>
                      </c:pt>
                      <c:pt idx="1305">
                        <c:v>13050</c:v>
                      </c:pt>
                      <c:pt idx="1306">
                        <c:v>13060</c:v>
                      </c:pt>
                      <c:pt idx="1307">
                        <c:v>13070</c:v>
                      </c:pt>
                      <c:pt idx="1308">
                        <c:v>13080</c:v>
                      </c:pt>
                      <c:pt idx="1309">
                        <c:v>13090</c:v>
                      </c:pt>
                      <c:pt idx="1310">
                        <c:v>13100</c:v>
                      </c:pt>
                      <c:pt idx="1311">
                        <c:v>13110</c:v>
                      </c:pt>
                      <c:pt idx="1312">
                        <c:v>13120</c:v>
                      </c:pt>
                      <c:pt idx="1313">
                        <c:v>13130</c:v>
                      </c:pt>
                      <c:pt idx="1314">
                        <c:v>13140</c:v>
                      </c:pt>
                      <c:pt idx="1315">
                        <c:v>13150</c:v>
                      </c:pt>
                      <c:pt idx="1316">
                        <c:v>13160</c:v>
                      </c:pt>
                      <c:pt idx="1317">
                        <c:v>13170</c:v>
                      </c:pt>
                      <c:pt idx="1318">
                        <c:v>13180</c:v>
                      </c:pt>
                      <c:pt idx="1319">
                        <c:v>13190</c:v>
                      </c:pt>
                      <c:pt idx="1320">
                        <c:v>13200</c:v>
                      </c:pt>
                      <c:pt idx="1321">
                        <c:v>13210</c:v>
                      </c:pt>
                      <c:pt idx="1322">
                        <c:v>13220</c:v>
                      </c:pt>
                      <c:pt idx="1323">
                        <c:v>13230</c:v>
                      </c:pt>
                      <c:pt idx="1324">
                        <c:v>13240</c:v>
                      </c:pt>
                      <c:pt idx="1325">
                        <c:v>13250</c:v>
                      </c:pt>
                      <c:pt idx="1326">
                        <c:v>13260</c:v>
                      </c:pt>
                      <c:pt idx="1327">
                        <c:v>13270</c:v>
                      </c:pt>
                      <c:pt idx="1328">
                        <c:v>13280</c:v>
                      </c:pt>
                      <c:pt idx="1329">
                        <c:v>13290</c:v>
                      </c:pt>
                      <c:pt idx="1330">
                        <c:v>13300</c:v>
                      </c:pt>
                      <c:pt idx="1331">
                        <c:v>13310</c:v>
                      </c:pt>
                      <c:pt idx="1332">
                        <c:v>13320</c:v>
                      </c:pt>
                      <c:pt idx="1333">
                        <c:v>13330</c:v>
                      </c:pt>
                      <c:pt idx="1334">
                        <c:v>13340</c:v>
                      </c:pt>
                      <c:pt idx="1335">
                        <c:v>13350</c:v>
                      </c:pt>
                      <c:pt idx="1336">
                        <c:v>13360</c:v>
                      </c:pt>
                      <c:pt idx="1337">
                        <c:v>13370</c:v>
                      </c:pt>
                      <c:pt idx="1338">
                        <c:v>13380</c:v>
                      </c:pt>
                      <c:pt idx="1339">
                        <c:v>13390</c:v>
                      </c:pt>
                      <c:pt idx="1340">
                        <c:v>13400</c:v>
                      </c:pt>
                      <c:pt idx="1341">
                        <c:v>13410</c:v>
                      </c:pt>
                      <c:pt idx="1342">
                        <c:v>13420</c:v>
                      </c:pt>
                      <c:pt idx="1343">
                        <c:v>13430</c:v>
                      </c:pt>
                      <c:pt idx="1344">
                        <c:v>13440</c:v>
                      </c:pt>
                      <c:pt idx="1345">
                        <c:v>13450</c:v>
                      </c:pt>
                      <c:pt idx="1346">
                        <c:v>13460</c:v>
                      </c:pt>
                      <c:pt idx="1347">
                        <c:v>13470</c:v>
                      </c:pt>
                      <c:pt idx="1348">
                        <c:v>13480</c:v>
                      </c:pt>
                      <c:pt idx="1349">
                        <c:v>13490</c:v>
                      </c:pt>
                      <c:pt idx="1350">
                        <c:v>13500</c:v>
                      </c:pt>
                      <c:pt idx="1351">
                        <c:v>13510</c:v>
                      </c:pt>
                      <c:pt idx="1352">
                        <c:v>13520</c:v>
                      </c:pt>
                      <c:pt idx="1353">
                        <c:v>13530</c:v>
                      </c:pt>
                      <c:pt idx="1354">
                        <c:v>13540</c:v>
                      </c:pt>
                      <c:pt idx="1355">
                        <c:v>13550</c:v>
                      </c:pt>
                      <c:pt idx="1356">
                        <c:v>13560</c:v>
                      </c:pt>
                      <c:pt idx="1357">
                        <c:v>13570</c:v>
                      </c:pt>
                      <c:pt idx="1358">
                        <c:v>13580</c:v>
                      </c:pt>
                      <c:pt idx="1359">
                        <c:v>13590</c:v>
                      </c:pt>
                      <c:pt idx="1360">
                        <c:v>13600</c:v>
                      </c:pt>
                      <c:pt idx="1361">
                        <c:v>13610</c:v>
                      </c:pt>
                      <c:pt idx="1362">
                        <c:v>13620</c:v>
                      </c:pt>
                      <c:pt idx="1363">
                        <c:v>13630</c:v>
                      </c:pt>
                      <c:pt idx="1364">
                        <c:v>13640</c:v>
                      </c:pt>
                      <c:pt idx="1365">
                        <c:v>13650</c:v>
                      </c:pt>
                      <c:pt idx="1366">
                        <c:v>13660</c:v>
                      </c:pt>
                      <c:pt idx="1367">
                        <c:v>13670</c:v>
                      </c:pt>
                      <c:pt idx="1368">
                        <c:v>13680</c:v>
                      </c:pt>
                      <c:pt idx="1369">
                        <c:v>13690</c:v>
                      </c:pt>
                      <c:pt idx="1370">
                        <c:v>13700</c:v>
                      </c:pt>
                      <c:pt idx="1371">
                        <c:v>13710</c:v>
                      </c:pt>
                      <c:pt idx="1372">
                        <c:v>13720</c:v>
                      </c:pt>
                      <c:pt idx="1373">
                        <c:v>13730</c:v>
                      </c:pt>
                      <c:pt idx="1374">
                        <c:v>13740</c:v>
                      </c:pt>
                      <c:pt idx="1375">
                        <c:v>13750</c:v>
                      </c:pt>
                      <c:pt idx="1376">
                        <c:v>13760</c:v>
                      </c:pt>
                      <c:pt idx="1377">
                        <c:v>13770</c:v>
                      </c:pt>
                      <c:pt idx="1378">
                        <c:v>13780</c:v>
                      </c:pt>
                      <c:pt idx="1379">
                        <c:v>13790</c:v>
                      </c:pt>
                      <c:pt idx="1380">
                        <c:v>13800</c:v>
                      </c:pt>
                      <c:pt idx="1381">
                        <c:v>13810</c:v>
                      </c:pt>
                      <c:pt idx="1382">
                        <c:v>13820</c:v>
                      </c:pt>
                      <c:pt idx="1383">
                        <c:v>13830</c:v>
                      </c:pt>
                      <c:pt idx="1384">
                        <c:v>13840</c:v>
                      </c:pt>
                      <c:pt idx="1385">
                        <c:v>13850</c:v>
                      </c:pt>
                      <c:pt idx="1386">
                        <c:v>13860</c:v>
                      </c:pt>
                      <c:pt idx="1387">
                        <c:v>13870</c:v>
                      </c:pt>
                      <c:pt idx="1388">
                        <c:v>13880</c:v>
                      </c:pt>
                      <c:pt idx="1389">
                        <c:v>13890</c:v>
                      </c:pt>
                      <c:pt idx="1390">
                        <c:v>13900</c:v>
                      </c:pt>
                      <c:pt idx="1391">
                        <c:v>13910</c:v>
                      </c:pt>
                      <c:pt idx="1392">
                        <c:v>13920</c:v>
                      </c:pt>
                      <c:pt idx="1393">
                        <c:v>13930</c:v>
                      </c:pt>
                      <c:pt idx="1394">
                        <c:v>13940</c:v>
                      </c:pt>
                      <c:pt idx="1395">
                        <c:v>13950</c:v>
                      </c:pt>
                      <c:pt idx="1396">
                        <c:v>13960</c:v>
                      </c:pt>
                      <c:pt idx="1397">
                        <c:v>13970</c:v>
                      </c:pt>
                      <c:pt idx="1398">
                        <c:v>13980</c:v>
                      </c:pt>
                      <c:pt idx="1399">
                        <c:v>13990</c:v>
                      </c:pt>
                      <c:pt idx="1400">
                        <c:v>14000</c:v>
                      </c:pt>
                      <c:pt idx="1401">
                        <c:v>14010</c:v>
                      </c:pt>
                      <c:pt idx="1402">
                        <c:v>14020</c:v>
                      </c:pt>
                      <c:pt idx="1403">
                        <c:v>14030</c:v>
                      </c:pt>
                      <c:pt idx="1404">
                        <c:v>14040</c:v>
                      </c:pt>
                      <c:pt idx="1405">
                        <c:v>14050</c:v>
                      </c:pt>
                      <c:pt idx="1406">
                        <c:v>14060</c:v>
                      </c:pt>
                      <c:pt idx="1407">
                        <c:v>14070</c:v>
                      </c:pt>
                      <c:pt idx="1408">
                        <c:v>14080</c:v>
                      </c:pt>
                      <c:pt idx="1409">
                        <c:v>14090</c:v>
                      </c:pt>
                      <c:pt idx="1410">
                        <c:v>14100</c:v>
                      </c:pt>
                      <c:pt idx="1411">
                        <c:v>14110</c:v>
                      </c:pt>
                      <c:pt idx="1412">
                        <c:v>14120</c:v>
                      </c:pt>
                      <c:pt idx="1413">
                        <c:v>14130</c:v>
                      </c:pt>
                      <c:pt idx="1414">
                        <c:v>14140</c:v>
                      </c:pt>
                      <c:pt idx="1415">
                        <c:v>14150</c:v>
                      </c:pt>
                      <c:pt idx="1416">
                        <c:v>14160</c:v>
                      </c:pt>
                      <c:pt idx="1417">
                        <c:v>14170</c:v>
                      </c:pt>
                      <c:pt idx="1418">
                        <c:v>14180</c:v>
                      </c:pt>
                      <c:pt idx="1419">
                        <c:v>14190</c:v>
                      </c:pt>
                      <c:pt idx="1420">
                        <c:v>14200</c:v>
                      </c:pt>
                      <c:pt idx="1421">
                        <c:v>14210</c:v>
                      </c:pt>
                      <c:pt idx="1422">
                        <c:v>14220</c:v>
                      </c:pt>
                      <c:pt idx="1423">
                        <c:v>14230</c:v>
                      </c:pt>
                      <c:pt idx="1424">
                        <c:v>14240</c:v>
                      </c:pt>
                      <c:pt idx="1425">
                        <c:v>14250</c:v>
                      </c:pt>
                      <c:pt idx="1426">
                        <c:v>14260</c:v>
                      </c:pt>
                      <c:pt idx="1427">
                        <c:v>14270</c:v>
                      </c:pt>
                      <c:pt idx="1428">
                        <c:v>14280</c:v>
                      </c:pt>
                      <c:pt idx="1429">
                        <c:v>14290</c:v>
                      </c:pt>
                      <c:pt idx="1430">
                        <c:v>14300</c:v>
                      </c:pt>
                      <c:pt idx="1431">
                        <c:v>14310</c:v>
                      </c:pt>
                      <c:pt idx="1432">
                        <c:v>14320</c:v>
                      </c:pt>
                      <c:pt idx="1433">
                        <c:v>14330</c:v>
                      </c:pt>
                      <c:pt idx="1434">
                        <c:v>14340</c:v>
                      </c:pt>
                      <c:pt idx="1435">
                        <c:v>14350</c:v>
                      </c:pt>
                      <c:pt idx="1436">
                        <c:v>14360</c:v>
                      </c:pt>
                      <c:pt idx="1437">
                        <c:v>14370</c:v>
                      </c:pt>
                      <c:pt idx="1438">
                        <c:v>14380</c:v>
                      </c:pt>
                      <c:pt idx="1439">
                        <c:v>14390</c:v>
                      </c:pt>
                      <c:pt idx="1440">
                        <c:v>14400</c:v>
                      </c:pt>
                      <c:pt idx="1441">
                        <c:v>14410</c:v>
                      </c:pt>
                      <c:pt idx="1442">
                        <c:v>14420</c:v>
                      </c:pt>
                      <c:pt idx="1443">
                        <c:v>14430</c:v>
                      </c:pt>
                      <c:pt idx="1444">
                        <c:v>14440</c:v>
                      </c:pt>
                      <c:pt idx="1445">
                        <c:v>14450</c:v>
                      </c:pt>
                      <c:pt idx="1446">
                        <c:v>14460</c:v>
                      </c:pt>
                      <c:pt idx="1447">
                        <c:v>14470</c:v>
                      </c:pt>
                      <c:pt idx="1448">
                        <c:v>14480</c:v>
                      </c:pt>
                      <c:pt idx="1449">
                        <c:v>14490</c:v>
                      </c:pt>
                      <c:pt idx="1450">
                        <c:v>14500</c:v>
                      </c:pt>
                      <c:pt idx="1451">
                        <c:v>14510</c:v>
                      </c:pt>
                      <c:pt idx="1452">
                        <c:v>14520</c:v>
                      </c:pt>
                      <c:pt idx="1453">
                        <c:v>14530</c:v>
                      </c:pt>
                      <c:pt idx="1454">
                        <c:v>14540</c:v>
                      </c:pt>
                      <c:pt idx="1455">
                        <c:v>14550</c:v>
                      </c:pt>
                      <c:pt idx="1456">
                        <c:v>14560</c:v>
                      </c:pt>
                      <c:pt idx="1457">
                        <c:v>14570</c:v>
                      </c:pt>
                      <c:pt idx="1458">
                        <c:v>14580</c:v>
                      </c:pt>
                      <c:pt idx="1459">
                        <c:v>14590</c:v>
                      </c:pt>
                      <c:pt idx="1460">
                        <c:v>14600</c:v>
                      </c:pt>
                      <c:pt idx="1461">
                        <c:v>14610</c:v>
                      </c:pt>
                      <c:pt idx="1462">
                        <c:v>14620</c:v>
                      </c:pt>
                      <c:pt idx="1463">
                        <c:v>14630</c:v>
                      </c:pt>
                      <c:pt idx="1464">
                        <c:v>14640</c:v>
                      </c:pt>
                      <c:pt idx="1465">
                        <c:v>14650</c:v>
                      </c:pt>
                      <c:pt idx="1466">
                        <c:v>14660</c:v>
                      </c:pt>
                      <c:pt idx="1467">
                        <c:v>14670</c:v>
                      </c:pt>
                      <c:pt idx="1468">
                        <c:v>14680</c:v>
                      </c:pt>
                      <c:pt idx="1469">
                        <c:v>14690</c:v>
                      </c:pt>
                      <c:pt idx="1470">
                        <c:v>14700</c:v>
                      </c:pt>
                      <c:pt idx="1471">
                        <c:v>14710</c:v>
                      </c:pt>
                      <c:pt idx="1472">
                        <c:v>14720</c:v>
                      </c:pt>
                      <c:pt idx="1473">
                        <c:v>14730</c:v>
                      </c:pt>
                      <c:pt idx="1474">
                        <c:v>14740</c:v>
                      </c:pt>
                      <c:pt idx="1475">
                        <c:v>14750</c:v>
                      </c:pt>
                      <c:pt idx="1476">
                        <c:v>14760</c:v>
                      </c:pt>
                      <c:pt idx="1477">
                        <c:v>14770</c:v>
                      </c:pt>
                      <c:pt idx="1478">
                        <c:v>14780</c:v>
                      </c:pt>
                      <c:pt idx="1479">
                        <c:v>14790</c:v>
                      </c:pt>
                      <c:pt idx="1480">
                        <c:v>14800</c:v>
                      </c:pt>
                      <c:pt idx="1481">
                        <c:v>14810</c:v>
                      </c:pt>
                      <c:pt idx="1482">
                        <c:v>14820</c:v>
                      </c:pt>
                      <c:pt idx="1483">
                        <c:v>14830</c:v>
                      </c:pt>
                      <c:pt idx="1484">
                        <c:v>14840</c:v>
                      </c:pt>
                      <c:pt idx="1485">
                        <c:v>14850</c:v>
                      </c:pt>
                      <c:pt idx="1486">
                        <c:v>14860</c:v>
                      </c:pt>
                      <c:pt idx="1487">
                        <c:v>14870</c:v>
                      </c:pt>
                      <c:pt idx="1488">
                        <c:v>14880</c:v>
                      </c:pt>
                      <c:pt idx="1489">
                        <c:v>14890</c:v>
                      </c:pt>
                      <c:pt idx="1490">
                        <c:v>14900</c:v>
                      </c:pt>
                      <c:pt idx="1491">
                        <c:v>14910</c:v>
                      </c:pt>
                      <c:pt idx="1492">
                        <c:v>14920</c:v>
                      </c:pt>
                      <c:pt idx="1493">
                        <c:v>14930</c:v>
                      </c:pt>
                      <c:pt idx="1494">
                        <c:v>14940</c:v>
                      </c:pt>
                      <c:pt idx="1495">
                        <c:v>14950</c:v>
                      </c:pt>
                      <c:pt idx="1496">
                        <c:v>14960</c:v>
                      </c:pt>
                      <c:pt idx="1497">
                        <c:v>14970</c:v>
                      </c:pt>
                      <c:pt idx="1498">
                        <c:v>14980</c:v>
                      </c:pt>
                      <c:pt idx="1499">
                        <c:v>14990</c:v>
                      </c:pt>
                      <c:pt idx="1500">
                        <c:v>15000</c:v>
                      </c:pt>
                      <c:pt idx="1501">
                        <c:v>15010</c:v>
                      </c:pt>
                      <c:pt idx="1502">
                        <c:v>15020</c:v>
                      </c:pt>
                      <c:pt idx="1503">
                        <c:v>15030</c:v>
                      </c:pt>
                      <c:pt idx="1504">
                        <c:v>15040</c:v>
                      </c:pt>
                      <c:pt idx="1505">
                        <c:v>15050</c:v>
                      </c:pt>
                      <c:pt idx="1506">
                        <c:v>15060</c:v>
                      </c:pt>
                      <c:pt idx="1507">
                        <c:v>15070</c:v>
                      </c:pt>
                      <c:pt idx="1508">
                        <c:v>15080</c:v>
                      </c:pt>
                      <c:pt idx="1509">
                        <c:v>15090</c:v>
                      </c:pt>
                      <c:pt idx="1510">
                        <c:v>15100</c:v>
                      </c:pt>
                      <c:pt idx="1511">
                        <c:v>15110</c:v>
                      </c:pt>
                      <c:pt idx="1512">
                        <c:v>15120</c:v>
                      </c:pt>
                      <c:pt idx="1513">
                        <c:v>15130</c:v>
                      </c:pt>
                      <c:pt idx="1514">
                        <c:v>15140</c:v>
                      </c:pt>
                      <c:pt idx="1515">
                        <c:v>15150</c:v>
                      </c:pt>
                      <c:pt idx="1516">
                        <c:v>15160</c:v>
                      </c:pt>
                      <c:pt idx="1517">
                        <c:v>15170</c:v>
                      </c:pt>
                      <c:pt idx="1518">
                        <c:v>15180</c:v>
                      </c:pt>
                      <c:pt idx="1519">
                        <c:v>15190</c:v>
                      </c:pt>
                      <c:pt idx="1520">
                        <c:v>15200</c:v>
                      </c:pt>
                      <c:pt idx="1521">
                        <c:v>15210</c:v>
                      </c:pt>
                      <c:pt idx="1522">
                        <c:v>15220</c:v>
                      </c:pt>
                      <c:pt idx="1523">
                        <c:v>15230</c:v>
                      </c:pt>
                      <c:pt idx="1524">
                        <c:v>15240</c:v>
                      </c:pt>
                      <c:pt idx="1525">
                        <c:v>15250</c:v>
                      </c:pt>
                      <c:pt idx="1526">
                        <c:v>15260</c:v>
                      </c:pt>
                      <c:pt idx="1527">
                        <c:v>15270</c:v>
                      </c:pt>
                      <c:pt idx="1528">
                        <c:v>15280</c:v>
                      </c:pt>
                      <c:pt idx="1529">
                        <c:v>15290</c:v>
                      </c:pt>
                      <c:pt idx="1530">
                        <c:v>15300</c:v>
                      </c:pt>
                      <c:pt idx="1531">
                        <c:v>15310</c:v>
                      </c:pt>
                      <c:pt idx="1532">
                        <c:v>15320</c:v>
                      </c:pt>
                      <c:pt idx="1533">
                        <c:v>15330</c:v>
                      </c:pt>
                      <c:pt idx="1534">
                        <c:v>15340</c:v>
                      </c:pt>
                      <c:pt idx="1535">
                        <c:v>15350</c:v>
                      </c:pt>
                      <c:pt idx="1536">
                        <c:v>15360</c:v>
                      </c:pt>
                      <c:pt idx="1537">
                        <c:v>15370</c:v>
                      </c:pt>
                      <c:pt idx="1538">
                        <c:v>15380</c:v>
                      </c:pt>
                      <c:pt idx="1539">
                        <c:v>15390</c:v>
                      </c:pt>
                      <c:pt idx="1540">
                        <c:v>15400</c:v>
                      </c:pt>
                      <c:pt idx="1541">
                        <c:v>15410</c:v>
                      </c:pt>
                      <c:pt idx="1542">
                        <c:v>15420</c:v>
                      </c:pt>
                      <c:pt idx="1543">
                        <c:v>15430</c:v>
                      </c:pt>
                      <c:pt idx="1544">
                        <c:v>15440</c:v>
                      </c:pt>
                      <c:pt idx="1545">
                        <c:v>15450</c:v>
                      </c:pt>
                      <c:pt idx="1546">
                        <c:v>15460</c:v>
                      </c:pt>
                      <c:pt idx="1547">
                        <c:v>15470</c:v>
                      </c:pt>
                      <c:pt idx="1548">
                        <c:v>15480</c:v>
                      </c:pt>
                      <c:pt idx="1549">
                        <c:v>15490</c:v>
                      </c:pt>
                      <c:pt idx="1550">
                        <c:v>15500</c:v>
                      </c:pt>
                      <c:pt idx="1551">
                        <c:v>15510</c:v>
                      </c:pt>
                      <c:pt idx="1552">
                        <c:v>15520</c:v>
                      </c:pt>
                      <c:pt idx="1553">
                        <c:v>15530</c:v>
                      </c:pt>
                      <c:pt idx="1554">
                        <c:v>15540</c:v>
                      </c:pt>
                      <c:pt idx="1555">
                        <c:v>15550</c:v>
                      </c:pt>
                      <c:pt idx="1556">
                        <c:v>15560</c:v>
                      </c:pt>
                      <c:pt idx="1557">
                        <c:v>15570</c:v>
                      </c:pt>
                      <c:pt idx="1558">
                        <c:v>15580</c:v>
                      </c:pt>
                      <c:pt idx="1559">
                        <c:v>15590</c:v>
                      </c:pt>
                      <c:pt idx="1560">
                        <c:v>15600</c:v>
                      </c:pt>
                      <c:pt idx="1561">
                        <c:v>15610</c:v>
                      </c:pt>
                      <c:pt idx="1562">
                        <c:v>15620</c:v>
                      </c:pt>
                      <c:pt idx="1563">
                        <c:v>15630</c:v>
                      </c:pt>
                      <c:pt idx="1564">
                        <c:v>15640</c:v>
                      </c:pt>
                      <c:pt idx="1565">
                        <c:v>15650</c:v>
                      </c:pt>
                      <c:pt idx="1566">
                        <c:v>15660</c:v>
                      </c:pt>
                      <c:pt idx="1567">
                        <c:v>15670</c:v>
                      </c:pt>
                      <c:pt idx="1568">
                        <c:v>15680</c:v>
                      </c:pt>
                      <c:pt idx="1569">
                        <c:v>15690</c:v>
                      </c:pt>
                      <c:pt idx="1570">
                        <c:v>15700</c:v>
                      </c:pt>
                      <c:pt idx="1571">
                        <c:v>15710</c:v>
                      </c:pt>
                      <c:pt idx="1572">
                        <c:v>15720</c:v>
                      </c:pt>
                      <c:pt idx="1573">
                        <c:v>15730</c:v>
                      </c:pt>
                      <c:pt idx="1574">
                        <c:v>15740</c:v>
                      </c:pt>
                      <c:pt idx="1575">
                        <c:v>15750</c:v>
                      </c:pt>
                      <c:pt idx="1576">
                        <c:v>15760</c:v>
                      </c:pt>
                      <c:pt idx="1577">
                        <c:v>15770</c:v>
                      </c:pt>
                      <c:pt idx="1578">
                        <c:v>15780</c:v>
                      </c:pt>
                      <c:pt idx="1579">
                        <c:v>15790</c:v>
                      </c:pt>
                      <c:pt idx="1580">
                        <c:v>15800</c:v>
                      </c:pt>
                      <c:pt idx="1581">
                        <c:v>15810</c:v>
                      </c:pt>
                      <c:pt idx="1582">
                        <c:v>15820</c:v>
                      </c:pt>
                      <c:pt idx="1583">
                        <c:v>15830</c:v>
                      </c:pt>
                      <c:pt idx="1584">
                        <c:v>15840</c:v>
                      </c:pt>
                      <c:pt idx="1585">
                        <c:v>15850</c:v>
                      </c:pt>
                      <c:pt idx="1586">
                        <c:v>15860</c:v>
                      </c:pt>
                      <c:pt idx="1587">
                        <c:v>15870</c:v>
                      </c:pt>
                      <c:pt idx="1588">
                        <c:v>15880</c:v>
                      </c:pt>
                      <c:pt idx="1589">
                        <c:v>15890</c:v>
                      </c:pt>
                      <c:pt idx="1590">
                        <c:v>15900</c:v>
                      </c:pt>
                      <c:pt idx="1591">
                        <c:v>15910</c:v>
                      </c:pt>
                      <c:pt idx="1592">
                        <c:v>15920</c:v>
                      </c:pt>
                      <c:pt idx="1593">
                        <c:v>15930</c:v>
                      </c:pt>
                      <c:pt idx="1594">
                        <c:v>15940</c:v>
                      </c:pt>
                      <c:pt idx="1595">
                        <c:v>15950</c:v>
                      </c:pt>
                      <c:pt idx="1596">
                        <c:v>15960</c:v>
                      </c:pt>
                      <c:pt idx="1597">
                        <c:v>15970</c:v>
                      </c:pt>
                      <c:pt idx="1598">
                        <c:v>15980</c:v>
                      </c:pt>
                      <c:pt idx="1599">
                        <c:v>15990</c:v>
                      </c:pt>
                      <c:pt idx="1600">
                        <c:v>16000</c:v>
                      </c:pt>
                      <c:pt idx="1601">
                        <c:v>16010</c:v>
                      </c:pt>
                      <c:pt idx="1602">
                        <c:v>16020</c:v>
                      </c:pt>
                      <c:pt idx="1603">
                        <c:v>16030</c:v>
                      </c:pt>
                      <c:pt idx="1604">
                        <c:v>16040</c:v>
                      </c:pt>
                      <c:pt idx="1605">
                        <c:v>16050</c:v>
                      </c:pt>
                      <c:pt idx="1606">
                        <c:v>16060</c:v>
                      </c:pt>
                      <c:pt idx="1607">
                        <c:v>16070</c:v>
                      </c:pt>
                      <c:pt idx="1608">
                        <c:v>16080</c:v>
                      </c:pt>
                      <c:pt idx="1609">
                        <c:v>16090</c:v>
                      </c:pt>
                      <c:pt idx="1610">
                        <c:v>16100</c:v>
                      </c:pt>
                      <c:pt idx="1611">
                        <c:v>16110</c:v>
                      </c:pt>
                      <c:pt idx="1612">
                        <c:v>16120</c:v>
                      </c:pt>
                      <c:pt idx="1613">
                        <c:v>16130</c:v>
                      </c:pt>
                      <c:pt idx="1614">
                        <c:v>16140</c:v>
                      </c:pt>
                      <c:pt idx="1615">
                        <c:v>16150</c:v>
                      </c:pt>
                      <c:pt idx="1616">
                        <c:v>16160</c:v>
                      </c:pt>
                      <c:pt idx="1617">
                        <c:v>16170</c:v>
                      </c:pt>
                      <c:pt idx="1618">
                        <c:v>16180</c:v>
                      </c:pt>
                      <c:pt idx="1619">
                        <c:v>16190</c:v>
                      </c:pt>
                      <c:pt idx="1620">
                        <c:v>16200</c:v>
                      </c:pt>
                      <c:pt idx="1621">
                        <c:v>16210</c:v>
                      </c:pt>
                      <c:pt idx="1622">
                        <c:v>16220</c:v>
                      </c:pt>
                      <c:pt idx="1623">
                        <c:v>16230</c:v>
                      </c:pt>
                      <c:pt idx="1624">
                        <c:v>16240</c:v>
                      </c:pt>
                      <c:pt idx="1625">
                        <c:v>16250</c:v>
                      </c:pt>
                      <c:pt idx="1626">
                        <c:v>16260</c:v>
                      </c:pt>
                      <c:pt idx="1627">
                        <c:v>16270</c:v>
                      </c:pt>
                      <c:pt idx="1628">
                        <c:v>16280</c:v>
                      </c:pt>
                      <c:pt idx="1629">
                        <c:v>16290</c:v>
                      </c:pt>
                      <c:pt idx="1630">
                        <c:v>16300</c:v>
                      </c:pt>
                      <c:pt idx="1631">
                        <c:v>16310</c:v>
                      </c:pt>
                      <c:pt idx="1632">
                        <c:v>16320</c:v>
                      </c:pt>
                      <c:pt idx="1633">
                        <c:v>16330</c:v>
                      </c:pt>
                      <c:pt idx="1634">
                        <c:v>16340</c:v>
                      </c:pt>
                      <c:pt idx="1635">
                        <c:v>16350</c:v>
                      </c:pt>
                      <c:pt idx="1636">
                        <c:v>16360</c:v>
                      </c:pt>
                      <c:pt idx="1637">
                        <c:v>16370</c:v>
                      </c:pt>
                      <c:pt idx="1638">
                        <c:v>16380</c:v>
                      </c:pt>
                      <c:pt idx="1639">
                        <c:v>16390</c:v>
                      </c:pt>
                      <c:pt idx="1640">
                        <c:v>16400</c:v>
                      </c:pt>
                      <c:pt idx="1641">
                        <c:v>16410</c:v>
                      </c:pt>
                      <c:pt idx="1642">
                        <c:v>16420</c:v>
                      </c:pt>
                      <c:pt idx="1643">
                        <c:v>16430</c:v>
                      </c:pt>
                      <c:pt idx="1644">
                        <c:v>16440</c:v>
                      </c:pt>
                      <c:pt idx="1645">
                        <c:v>16450</c:v>
                      </c:pt>
                      <c:pt idx="1646">
                        <c:v>16460</c:v>
                      </c:pt>
                      <c:pt idx="1647">
                        <c:v>16470</c:v>
                      </c:pt>
                      <c:pt idx="1648">
                        <c:v>16480</c:v>
                      </c:pt>
                      <c:pt idx="1649">
                        <c:v>16490</c:v>
                      </c:pt>
                      <c:pt idx="1650">
                        <c:v>16500</c:v>
                      </c:pt>
                      <c:pt idx="1651">
                        <c:v>16510</c:v>
                      </c:pt>
                      <c:pt idx="1652">
                        <c:v>16520</c:v>
                      </c:pt>
                      <c:pt idx="1653">
                        <c:v>16530</c:v>
                      </c:pt>
                      <c:pt idx="1654">
                        <c:v>16540</c:v>
                      </c:pt>
                      <c:pt idx="1655">
                        <c:v>16550</c:v>
                      </c:pt>
                      <c:pt idx="1656">
                        <c:v>16560</c:v>
                      </c:pt>
                      <c:pt idx="1657">
                        <c:v>16570</c:v>
                      </c:pt>
                      <c:pt idx="1658">
                        <c:v>16580</c:v>
                      </c:pt>
                      <c:pt idx="1659">
                        <c:v>16590</c:v>
                      </c:pt>
                      <c:pt idx="1660">
                        <c:v>16600</c:v>
                      </c:pt>
                      <c:pt idx="1661">
                        <c:v>16610</c:v>
                      </c:pt>
                      <c:pt idx="1662">
                        <c:v>16620</c:v>
                      </c:pt>
                      <c:pt idx="1663">
                        <c:v>16630</c:v>
                      </c:pt>
                      <c:pt idx="1664">
                        <c:v>16640</c:v>
                      </c:pt>
                      <c:pt idx="1665">
                        <c:v>16650</c:v>
                      </c:pt>
                      <c:pt idx="1666">
                        <c:v>16660</c:v>
                      </c:pt>
                      <c:pt idx="1667">
                        <c:v>16670</c:v>
                      </c:pt>
                      <c:pt idx="1668">
                        <c:v>16680</c:v>
                      </c:pt>
                      <c:pt idx="1669">
                        <c:v>16690</c:v>
                      </c:pt>
                      <c:pt idx="1670">
                        <c:v>16700</c:v>
                      </c:pt>
                      <c:pt idx="1671">
                        <c:v>16710</c:v>
                      </c:pt>
                      <c:pt idx="1672">
                        <c:v>16720</c:v>
                      </c:pt>
                      <c:pt idx="1673">
                        <c:v>16730</c:v>
                      </c:pt>
                      <c:pt idx="1674">
                        <c:v>16740</c:v>
                      </c:pt>
                      <c:pt idx="1675">
                        <c:v>16750</c:v>
                      </c:pt>
                      <c:pt idx="1676">
                        <c:v>16760</c:v>
                      </c:pt>
                      <c:pt idx="1677">
                        <c:v>16770</c:v>
                      </c:pt>
                      <c:pt idx="1678">
                        <c:v>16780</c:v>
                      </c:pt>
                      <c:pt idx="1679">
                        <c:v>16790</c:v>
                      </c:pt>
                      <c:pt idx="1680">
                        <c:v>16800</c:v>
                      </c:pt>
                      <c:pt idx="1681">
                        <c:v>16810</c:v>
                      </c:pt>
                      <c:pt idx="1682">
                        <c:v>16820</c:v>
                      </c:pt>
                      <c:pt idx="1683">
                        <c:v>16830</c:v>
                      </c:pt>
                      <c:pt idx="1684">
                        <c:v>16840</c:v>
                      </c:pt>
                      <c:pt idx="1685">
                        <c:v>16850</c:v>
                      </c:pt>
                      <c:pt idx="1686">
                        <c:v>16860</c:v>
                      </c:pt>
                      <c:pt idx="1687">
                        <c:v>16870</c:v>
                      </c:pt>
                      <c:pt idx="1688">
                        <c:v>16880</c:v>
                      </c:pt>
                      <c:pt idx="1689">
                        <c:v>16890</c:v>
                      </c:pt>
                      <c:pt idx="1690">
                        <c:v>16900</c:v>
                      </c:pt>
                      <c:pt idx="1691">
                        <c:v>16910</c:v>
                      </c:pt>
                      <c:pt idx="1692">
                        <c:v>16920</c:v>
                      </c:pt>
                      <c:pt idx="1693">
                        <c:v>16930</c:v>
                      </c:pt>
                      <c:pt idx="1694">
                        <c:v>16940</c:v>
                      </c:pt>
                      <c:pt idx="1695">
                        <c:v>16950</c:v>
                      </c:pt>
                      <c:pt idx="1696">
                        <c:v>16960</c:v>
                      </c:pt>
                      <c:pt idx="1697">
                        <c:v>16970</c:v>
                      </c:pt>
                      <c:pt idx="1698">
                        <c:v>16980</c:v>
                      </c:pt>
                      <c:pt idx="1699">
                        <c:v>16990</c:v>
                      </c:pt>
                      <c:pt idx="1700">
                        <c:v>17000</c:v>
                      </c:pt>
                      <c:pt idx="1701">
                        <c:v>17010</c:v>
                      </c:pt>
                      <c:pt idx="1702">
                        <c:v>17020</c:v>
                      </c:pt>
                      <c:pt idx="1703">
                        <c:v>17030</c:v>
                      </c:pt>
                      <c:pt idx="1704">
                        <c:v>17040</c:v>
                      </c:pt>
                      <c:pt idx="1705">
                        <c:v>17050</c:v>
                      </c:pt>
                      <c:pt idx="1706">
                        <c:v>17060</c:v>
                      </c:pt>
                      <c:pt idx="1707">
                        <c:v>17070</c:v>
                      </c:pt>
                      <c:pt idx="1708">
                        <c:v>17080</c:v>
                      </c:pt>
                      <c:pt idx="1709">
                        <c:v>17090</c:v>
                      </c:pt>
                      <c:pt idx="1710">
                        <c:v>17100</c:v>
                      </c:pt>
                      <c:pt idx="1711">
                        <c:v>17110</c:v>
                      </c:pt>
                      <c:pt idx="1712">
                        <c:v>17120</c:v>
                      </c:pt>
                      <c:pt idx="1713">
                        <c:v>17130</c:v>
                      </c:pt>
                      <c:pt idx="1714">
                        <c:v>17140</c:v>
                      </c:pt>
                      <c:pt idx="1715">
                        <c:v>17150</c:v>
                      </c:pt>
                      <c:pt idx="1716">
                        <c:v>17160</c:v>
                      </c:pt>
                      <c:pt idx="1717">
                        <c:v>17170</c:v>
                      </c:pt>
                      <c:pt idx="1718">
                        <c:v>17180</c:v>
                      </c:pt>
                      <c:pt idx="1719">
                        <c:v>17190</c:v>
                      </c:pt>
                      <c:pt idx="1720">
                        <c:v>17200</c:v>
                      </c:pt>
                      <c:pt idx="1721">
                        <c:v>17210</c:v>
                      </c:pt>
                      <c:pt idx="1722">
                        <c:v>17220</c:v>
                      </c:pt>
                      <c:pt idx="1723">
                        <c:v>17230</c:v>
                      </c:pt>
                      <c:pt idx="1724">
                        <c:v>17240</c:v>
                      </c:pt>
                      <c:pt idx="1725">
                        <c:v>17250</c:v>
                      </c:pt>
                      <c:pt idx="1726">
                        <c:v>17260</c:v>
                      </c:pt>
                      <c:pt idx="1727">
                        <c:v>17270</c:v>
                      </c:pt>
                      <c:pt idx="1728">
                        <c:v>17280</c:v>
                      </c:pt>
                      <c:pt idx="1729">
                        <c:v>17290</c:v>
                      </c:pt>
                      <c:pt idx="1730">
                        <c:v>17300</c:v>
                      </c:pt>
                      <c:pt idx="1731">
                        <c:v>17310</c:v>
                      </c:pt>
                      <c:pt idx="1732">
                        <c:v>17320</c:v>
                      </c:pt>
                      <c:pt idx="1733">
                        <c:v>17330</c:v>
                      </c:pt>
                      <c:pt idx="1734">
                        <c:v>17340</c:v>
                      </c:pt>
                      <c:pt idx="1735">
                        <c:v>17350</c:v>
                      </c:pt>
                      <c:pt idx="1736">
                        <c:v>17360</c:v>
                      </c:pt>
                      <c:pt idx="1737">
                        <c:v>17370</c:v>
                      </c:pt>
                      <c:pt idx="1738">
                        <c:v>17380</c:v>
                      </c:pt>
                      <c:pt idx="1739">
                        <c:v>17390</c:v>
                      </c:pt>
                      <c:pt idx="1740">
                        <c:v>17400</c:v>
                      </c:pt>
                      <c:pt idx="1741">
                        <c:v>17410</c:v>
                      </c:pt>
                      <c:pt idx="1742">
                        <c:v>17420</c:v>
                      </c:pt>
                      <c:pt idx="1743">
                        <c:v>17430</c:v>
                      </c:pt>
                      <c:pt idx="1744">
                        <c:v>17440</c:v>
                      </c:pt>
                      <c:pt idx="1745">
                        <c:v>17450</c:v>
                      </c:pt>
                      <c:pt idx="1746">
                        <c:v>17460</c:v>
                      </c:pt>
                      <c:pt idx="1747">
                        <c:v>17470</c:v>
                      </c:pt>
                      <c:pt idx="1748">
                        <c:v>17480</c:v>
                      </c:pt>
                      <c:pt idx="1749">
                        <c:v>17490</c:v>
                      </c:pt>
                      <c:pt idx="1750">
                        <c:v>17500</c:v>
                      </c:pt>
                      <c:pt idx="1751">
                        <c:v>17510</c:v>
                      </c:pt>
                      <c:pt idx="1752">
                        <c:v>17520</c:v>
                      </c:pt>
                      <c:pt idx="1753">
                        <c:v>17530</c:v>
                      </c:pt>
                      <c:pt idx="1754">
                        <c:v>17540</c:v>
                      </c:pt>
                      <c:pt idx="1755">
                        <c:v>17550</c:v>
                      </c:pt>
                      <c:pt idx="1756">
                        <c:v>17560</c:v>
                      </c:pt>
                      <c:pt idx="1757">
                        <c:v>17570</c:v>
                      </c:pt>
                      <c:pt idx="1758">
                        <c:v>17580</c:v>
                      </c:pt>
                      <c:pt idx="1759">
                        <c:v>17590</c:v>
                      </c:pt>
                      <c:pt idx="1760">
                        <c:v>17600</c:v>
                      </c:pt>
                      <c:pt idx="1761">
                        <c:v>17610</c:v>
                      </c:pt>
                      <c:pt idx="1762">
                        <c:v>17620</c:v>
                      </c:pt>
                      <c:pt idx="1763">
                        <c:v>17630</c:v>
                      </c:pt>
                      <c:pt idx="1764">
                        <c:v>17640</c:v>
                      </c:pt>
                      <c:pt idx="1765">
                        <c:v>17650</c:v>
                      </c:pt>
                      <c:pt idx="1766">
                        <c:v>17660</c:v>
                      </c:pt>
                      <c:pt idx="1767">
                        <c:v>17670</c:v>
                      </c:pt>
                      <c:pt idx="1768">
                        <c:v>17680</c:v>
                      </c:pt>
                      <c:pt idx="1769">
                        <c:v>17690</c:v>
                      </c:pt>
                      <c:pt idx="1770">
                        <c:v>17700</c:v>
                      </c:pt>
                      <c:pt idx="1771">
                        <c:v>17710</c:v>
                      </c:pt>
                      <c:pt idx="1772">
                        <c:v>17720</c:v>
                      </c:pt>
                      <c:pt idx="1773">
                        <c:v>17730</c:v>
                      </c:pt>
                      <c:pt idx="1774">
                        <c:v>17740</c:v>
                      </c:pt>
                      <c:pt idx="1775">
                        <c:v>17750</c:v>
                      </c:pt>
                      <c:pt idx="1776">
                        <c:v>17760</c:v>
                      </c:pt>
                      <c:pt idx="1777">
                        <c:v>17770</c:v>
                      </c:pt>
                      <c:pt idx="1778">
                        <c:v>17780</c:v>
                      </c:pt>
                      <c:pt idx="1779">
                        <c:v>17790</c:v>
                      </c:pt>
                      <c:pt idx="1780">
                        <c:v>17800</c:v>
                      </c:pt>
                      <c:pt idx="1781">
                        <c:v>17810</c:v>
                      </c:pt>
                      <c:pt idx="1782">
                        <c:v>17820</c:v>
                      </c:pt>
                      <c:pt idx="1783">
                        <c:v>17830</c:v>
                      </c:pt>
                      <c:pt idx="1784">
                        <c:v>17840</c:v>
                      </c:pt>
                      <c:pt idx="1785">
                        <c:v>17850</c:v>
                      </c:pt>
                      <c:pt idx="1786">
                        <c:v>17860</c:v>
                      </c:pt>
                      <c:pt idx="1787">
                        <c:v>17870</c:v>
                      </c:pt>
                      <c:pt idx="1788">
                        <c:v>17880</c:v>
                      </c:pt>
                      <c:pt idx="1789">
                        <c:v>17890</c:v>
                      </c:pt>
                      <c:pt idx="1790">
                        <c:v>17900</c:v>
                      </c:pt>
                      <c:pt idx="1791">
                        <c:v>17910</c:v>
                      </c:pt>
                      <c:pt idx="1792">
                        <c:v>17920</c:v>
                      </c:pt>
                      <c:pt idx="1793">
                        <c:v>17930</c:v>
                      </c:pt>
                      <c:pt idx="1794">
                        <c:v>17940</c:v>
                      </c:pt>
                      <c:pt idx="1795">
                        <c:v>17950</c:v>
                      </c:pt>
                      <c:pt idx="1796">
                        <c:v>17960</c:v>
                      </c:pt>
                      <c:pt idx="1797">
                        <c:v>17970</c:v>
                      </c:pt>
                      <c:pt idx="1798">
                        <c:v>17980</c:v>
                      </c:pt>
                      <c:pt idx="1799">
                        <c:v>17990</c:v>
                      </c:pt>
                      <c:pt idx="1800">
                        <c:v>18000</c:v>
                      </c:pt>
                      <c:pt idx="1801">
                        <c:v>18010</c:v>
                      </c:pt>
                      <c:pt idx="1802">
                        <c:v>18020</c:v>
                      </c:pt>
                      <c:pt idx="1803">
                        <c:v>18030</c:v>
                      </c:pt>
                      <c:pt idx="1804">
                        <c:v>18040</c:v>
                      </c:pt>
                      <c:pt idx="1805">
                        <c:v>18050</c:v>
                      </c:pt>
                      <c:pt idx="1806">
                        <c:v>18060</c:v>
                      </c:pt>
                      <c:pt idx="1807">
                        <c:v>18070</c:v>
                      </c:pt>
                      <c:pt idx="1808">
                        <c:v>18080</c:v>
                      </c:pt>
                      <c:pt idx="1809">
                        <c:v>18090</c:v>
                      </c:pt>
                      <c:pt idx="1810">
                        <c:v>18100</c:v>
                      </c:pt>
                      <c:pt idx="1811">
                        <c:v>18110</c:v>
                      </c:pt>
                      <c:pt idx="1812">
                        <c:v>18120</c:v>
                      </c:pt>
                      <c:pt idx="1813">
                        <c:v>18130</c:v>
                      </c:pt>
                      <c:pt idx="1814">
                        <c:v>18140</c:v>
                      </c:pt>
                      <c:pt idx="1815">
                        <c:v>18150</c:v>
                      </c:pt>
                      <c:pt idx="1816">
                        <c:v>18160</c:v>
                      </c:pt>
                      <c:pt idx="1817">
                        <c:v>18170</c:v>
                      </c:pt>
                      <c:pt idx="1818">
                        <c:v>18180</c:v>
                      </c:pt>
                      <c:pt idx="1819">
                        <c:v>18190</c:v>
                      </c:pt>
                      <c:pt idx="1820">
                        <c:v>18200</c:v>
                      </c:pt>
                      <c:pt idx="1821">
                        <c:v>18210</c:v>
                      </c:pt>
                      <c:pt idx="1822">
                        <c:v>18220</c:v>
                      </c:pt>
                      <c:pt idx="1823">
                        <c:v>18230</c:v>
                      </c:pt>
                      <c:pt idx="1824">
                        <c:v>18240</c:v>
                      </c:pt>
                      <c:pt idx="1825">
                        <c:v>18250</c:v>
                      </c:pt>
                      <c:pt idx="1826">
                        <c:v>18260</c:v>
                      </c:pt>
                      <c:pt idx="1827">
                        <c:v>18270</c:v>
                      </c:pt>
                      <c:pt idx="1828">
                        <c:v>18280</c:v>
                      </c:pt>
                      <c:pt idx="1829">
                        <c:v>18290</c:v>
                      </c:pt>
                      <c:pt idx="1830">
                        <c:v>18300</c:v>
                      </c:pt>
                      <c:pt idx="1831">
                        <c:v>18310</c:v>
                      </c:pt>
                      <c:pt idx="1832">
                        <c:v>18320</c:v>
                      </c:pt>
                      <c:pt idx="1833">
                        <c:v>18330</c:v>
                      </c:pt>
                      <c:pt idx="1834">
                        <c:v>18340</c:v>
                      </c:pt>
                      <c:pt idx="1835">
                        <c:v>18350</c:v>
                      </c:pt>
                      <c:pt idx="1836">
                        <c:v>18360</c:v>
                      </c:pt>
                      <c:pt idx="1837">
                        <c:v>18370</c:v>
                      </c:pt>
                      <c:pt idx="1838">
                        <c:v>18380</c:v>
                      </c:pt>
                      <c:pt idx="1839">
                        <c:v>18390</c:v>
                      </c:pt>
                      <c:pt idx="1840">
                        <c:v>18400</c:v>
                      </c:pt>
                      <c:pt idx="1841">
                        <c:v>18410</c:v>
                      </c:pt>
                      <c:pt idx="1842">
                        <c:v>18420</c:v>
                      </c:pt>
                      <c:pt idx="1843">
                        <c:v>18430</c:v>
                      </c:pt>
                      <c:pt idx="1844">
                        <c:v>18440</c:v>
                      </c:pt>
                      <c:pt idx="1845">
                        <c:v>18450</c:v>
                      </c:pt>
                      <c:pt idx="1846">
                        <c:v>18460</c:v>
                      </c:pt>
                      <c:pt idx="1847">
                        <c:v>18470</c:v>
                      </c:pt>
                      <c:pt idx="1848">
                        <c:v>18480</c:v>
                      </c:pt>
                      <c:pt idx="1849">
                        <c:v>18490</c:v>
                      </c:pt>
                      <c:pt idx="1850">
                        <c:v>18500</c:v>
                      </c:pt>
                      <c:pt idx="1851">
                        <c:v>18510</c:v>
                      </c:pt>
                      <c:pt idx="1852">
                        <c:v>18520</c:v>
                      </c:pt>
                      <c:pt idx="1853">
                        <c:v>18530</c:v>
                      </c:pt>
                      <c:pt idx="1854">
                        <c:v>18540</c:v>
                      </c:pt>
                      <c:pt idx="1855">
                        <c:v>18550</c:v>
                      </c:pt>
                      <c:pt idx="1856">
                        <c:v>18560</c:v>
                      </c:pt>
                      <c:pt idx="1857">
                        <c:v>18570</c:v>
                      </c:pt>
                      <c:pt idx="1858">
                        <c:v>18580</c:v>
                      </c:pt>
                      <c:pt idx="1859">
                        <c:v>18590</c:v>
                      </c:pt>
                      <c:pt idx="1860">
                        <c:v>18600</c:v>
                      </c:pt>
                      <c:pt idx="1861">
                        <c:v>18610</c:v>
                      </c:pt>
                      <c:pt idx="1862">
                        <c:v>18620</c:v>
                      </c:pt>
                      <c:pt idx="1863">
                        <c:v>18630</c:v>
                      </c:pt>
                      <c:pt idx="1864">
                        <c:v>18640</c:v>
                      </c:pt>
                      <c:pt idx="1865">
                        <c:v>18650</c:v>
                      </c:pt>
                      <c:pt idx="1866">
                        <c:v>18660</c:v>
                      </c:pt>
                      <c:pt idx="1867">
                        <c:v>18670</c:v>
                      </c:pt>
                      <c:pt idx="1868">
                        <c:v>18680</c:v>
                      </c:pt>
                      <c:pt idx="1869">
                        <c:v>18690</c:v>
                      </c:pt>
                      <c:pt idx="1870">
                        <c:v>18700</c:v>
                      </c:pt>
                      <c:pt idx="1871">
                        <c:v>18710</c:v>
                      </c:pt>
                      <c:pt idx="1872">
                        <c:v>18720</c:v>
                      </c:pt>
                      <c:pt idx="1873">
                        <c:v>18730</c:v>
                      </c:pt>
                      <c:pt idx="1874">
                        <c:v>18740</c:v>
                      </c:pt>
                      <c:pt idx="1875">
                        <c:v>18750</c:v>
                      </c:pt>
                      <c:pt idx="1876">
                        <c:v>18760</c:v>
                      </c:pt>
                      <c:pt idx="1877">
                        <c:v>18770</c:v>
                      </c:pt>
                      <c:pt idx="1878">
                        <c:v>18780</c:v>
                      </c:pt>
                      <c:pt idx="1879">
                        <c:v>18790</c:v>
                      </c:pt>
                      <c:pt idx="1880">
                        <c:v>18800</c:v>
                      </c:pt>
                      <c:pt idx="1881">
                        <c:v>18810</c:v>
                      </c:pt>
                      <c:pt idx="1882">
                        <c:v>18820</c:v>
                      </c:pt>
                      <c:pt idx="1883">
                        <c:v>18830</c:v>
                      </c:pt>
                      <c:pt idx="1884">
                        <c:v>18840</c:v>
                      </c:pt>
                      <c:pt idx="1885">
                        <c:v>18850</c:v>
                      </c:pt>
                      <c:pt idx="1886">
                        <c:v>18860</c:v>
                      </c:pt>
                      <c:pt idx="1887">
                        <c:v>18870</c:v>
                      </c:pt>
                      <c:pt idx="1888">
                        <c:v>18880</c:v>
                      </c:pt>
                      <c:pt idx="1889">
                        <c:v>18890</c:v>
                      </c:pt>
                      <c:pt idx="1890">
                        <c:v>18900</c:v>
                      </c:pt>
                      <c:pt idx="1891">
                        <c:v>18910</c:v>
                      </c:pt>
                      <c:pt idx="1892">
                        <c:v>18920</c:v>
                      </c:pt>
                      <c:pt idx="1893">
                        <c:v>18930</c:v>
                      </c:pt>
                      <c:pt idx="1894">
                        <c:v>18940</c:v>
                      </c:pt>
                      <c:pt idx="1895">
                        <c:v>18950</c:v>
                      </c:pt>
                      <c:pt idx="1896">
                        <c:v>18960</c:v>
                      </c:pt>
                      <c:pt idx="1897">
                        <c:v>18970</c:v>
                      </c:pt>
                      <c:pt idx="1898">
                        <c:v>18980</c:v>
                      </c:pt>
                      <c:pt idx="1899">
                        <c:v>18990</c:v>
                      </c:pt>
                      <c:pt idx="1900">
                        <c:v>19000</c:v>
                      </c:pt>
                      <c:pt idx="1901">
                        <c:v>19010</c:v>
                      </c:pt>
                      <c:pt idx="1902">
                        <c:v>19020</c:v>
                      </c:pt>
                      <c:pt idx="1903">
                        <c:v>19030</c:v>
                      </c:pt>
                      <c:pt idx="1904">
                        <c:v>19040</c:v>
                      </c:pt>
                      <c:pt idx="1905">
                        <c:v>19050</c:v>
                      </c:pt>
                      <c:pt idx="1906">
                        <c:v>19060</c:v>
                      </c:pt>
                      <c:pt idx="1907">
                        <c:v>19070</c:v>
                      </c:pt>
                      <c:pt idx="1908">
                        <c:v>19080</c:v>
                      </c:pt>
                      <c:pt idx="1909">
                        <c:v>19090</c:v>
                      </c:pt>
                      <c:pt idx="1910">
                        <c:v>19100</c:v>
                      </c:pt>
                      <c:pt idx="1911">
                        <c:v>19110</c:v>
                      </c:pt>
                      <c:pt idx="1912">
                        <c:v>19120</c:v>
                      </c:pt>
                      <c:pt idx="1913">
                        <c:v>19130</c:v>
                      </c:pt>
                      <c:pt idx="1914">
                        <c:v>19140</c:v>
                      </c:pt>
                      <c:pt idx="1915">
                        <c:v>19150</c:v>
                      </c:pt>
                      <c:pt idx="1916">
                        <c:v>19160</c:v>
                      </c:pt>
                      <c:pt idx="1917">
                        <c:v>19170</c:v>
                      </c:pt>
                      <c:pt idx="1918">
                        <c:v>19180</c:v>
                      </c:pt>
                      <c:pt idx="1919">
                        <c:v>19190</c:v>
                      </c:pt>
                      <c:pt idx="1920">
                        <c:v>19200</c:v>
                      </c:pt>
                      <c:pt idx="1921">
                        <c:v>19210</c:v>
                      </c:pt>
                      <c:pt idx="1922">
                        <c:v>19220</c:v>
                      </c:pt>
                      <c:pt idx="1923">
                        <c:v>19230</c:v>
                      </c:pt>
                      <c:pt idx="1924">
                        <c:v>19240</c:v>
                      </c:pt>
                      <c:pt idx="1925">
                        <c:v>19250</c:v>
                      </c:pt>
                      <c:pt idx="1926">
                        <c:v>19260</c:v>
                      </c:pt>
                      <c:pt idx="1927">
                        <c:v>19270</c:v>
                      </c:pt>
                      <c:pt idx="1928">
                        <c:v>19280</c:v>
                      </c:pt>
                      <c:pt idx="1929">
                        <c:v>19290</c:v>
                      </c:pt>
                      <c:pt idx="1930">
                        <c:v>19300</c:v>
                      </c:pt>
                      <c:pt idx="1931">
                        <c:v>19310</c:v>
                      </c:pt>
                      <c:pt idx="1932">
                        <c:v>19320</c:v>
                      </c:pt>
                      <c:pt idx="1933">
                        <c:v>19330</c:v>
                      </c:pt>
                      <c:pt idx="1934">
                        <c:v>19340</c:v>
                      </c:pt>
                      <c:pt idx="1935">
                        <c:v>19350</c:v>
                      </c:pt>
                      <c:pt idx="1936">
                        <c:v>19360</c:v>
                      </c:pt>
                      <c:pt idx="1937">
                        <c:v>19370</c:v>
                      </c:pt>
                      <c:pt idx="1938">
                        <c:v>19380</c:v>
                      </c:pt>
                      <c:pt idx="1939">
                        <c:v>19390</c:v>
                      </c:pt>
                      <c:pt idx="1940">
                        <c:v>19400</c:v>
                      </c:pt>
                      <c:pt idx="1941">
                        <c:v>19410</c:v>
                      </c:pt>
                      <c:pt idx="1942">
                        <c:v>19420</c:v>
                      </c:pt>
                      <c:pt idx="1943">
                        <c:v>19430</c:v>
                      </c:pt>
                      <c:pt idx="1944">
                        <c:v>19440</c:v>
                      </c:pt>
                      <c:pt idx="1945">
                        <c:v>19450</c:v>
                      </c:pt>
                      <c:pt idx="1946">
                        <c:v>19460</c:v>
                      </c:pt>
                      <c:pt idx="1947">
                        <c:v>19470</c:v>
                      </c:pt>
                      <c:pt idx="1948">
                        <c:v>19480</c:v>
                      </c:pt>
                      <c:pt idx="1949">
                        <c:v>19490</c:v>
                      </c:pt>
                      <c:pt idx="1950">
                        <c:v>19500</c:v>
                      </c:pt>
                      <c:pt idx="1951">
                        <c:v>19510</c:v>
                      </c:pt>
                      <c:pt idx="1952">
                        <c:v>19520</c:v>
                      </c:pt>
                      <c:pt idx="1953">
                        <c:v>19530</c:v>
                      </c:pt>
                      <c:pt idx="1954">
                        <c:v>19540</c:v>
                      </c:pt>
                      <c:pt idx="1955">
                        <c:v>19550</c:v>
                      </c:pt>
                      <c:pt idx="1956">
                        <c:v>19560</c:v>
                      </c:pt>
                      <c:pt idx="1957">
                        <c:v>19570</c:v>
                      </c:pt>
                      <c:pt idx="1958">
                        <c:v>19580</c:v>
                      </c:pt>
                      <c:pt idx="1959">
                        <c:v>19590</c:v>
                      </c:pt>
                      <c:pt idx="1960">
                        <c:v>19600</c:v>
                      </c:pt>
                      <c:pt idx="1961">
                        <c:v>19610</c:v>
                      </c:pt>
                      <c:pt idx="1962">
                        <c:v>19620</c:v>
                      </c:pt>
                      <c:pt idx="1963">
                        <c:v>19630</c:v>
                      </c:pt>
                      <c:pt idx="1964">
                        <c:v>19640</c:v>
                      </c:pt>
                      <c:pt idx="1965">
                        <c:v>19650</c:v>
                      </c:pt>
                      <c:pt idx="1966">
                        <c:v>19660</c:v>
                      </c:pt>
                      <c:pt idx="1967">
                        <c:v>19670</c:v>
                      </c:pt>
                      <c:pt idx="1968">
                        <c:v>19680</c:v>
                      </c:pt>
                      <c:pt idx="1969">
                        <c:v>19690</c:v>
                      </c:pt>
                      <c:pt idx="1970">
                        <c:v>19700</c:v>
                      </c:pt>
                      <c:pt idx="1971">
                        <c:v>19710</c:v>
                      </c:pt>
                      <c:pt idx="1972">
                        <c:v>19720</c:v>
                      </c:pt>
                      <c:pt idx="1973">
                        <c:v>19730</c:v>
                      </c:pt>
                      <c:pt idx="1974">
                        <c:v>19740</c:v>
                      </c:pt>
                      <c:pt idx="1975">
                        <c:v>19750</c:v>
                      </c:pt>
                      <c:pt idx="1976">
                        <c:v>19760</c:v>
                      </c:pt>
                      <c:pt idx="1977">
                        <c:v>19770</c:v>
                      </c:pt>
                      <c:pt idx="1978">
                        <c:v>19780</c:v>
                      </c:pt>
                      <c:pt idx="1979">
                        <c:v>19790</c:v>
                      </c:pt>
                      <c:pt idx="1980">
                        <c:v>19800</c:v>
                      </c:pt>
                      <c:pt idx="1981">
                        <c:v>19810</c:v>
                      </c:pt>
                      <c:pt idx="1982">
                        <c:v>19820</c:v>
                      </c:pt>
                      <c:pt idx="1983">
                        <c:v>19830</c:v>
                      </c:pt>
                      <c:pt idx="1984">
                        <c:v>19840</c:v>
                      </c:pt>
                      <c:pt idx="1985">
                        <c:v>19850</c:v>
                      </c:pt>
                      <c:pt idx="1986">
                        <c:v>19860</c:v>
                      </c:pt>
                      <c:pt idx="1987">
                        <c:v>19870</c:v>
                      </c:pt>
                      <c:pt idx="1988">
                        <c:v>19880</c:v>
                      </c:pt>
                      <c:pt idx="1989">
                        <c:v>19890</c:v>
                      </c:pt>
                      <c:pt idx="1990">
                        <c:v>19900</c:v>
                      </c:pt>
                      <c:pt idx="1991">
                        <c:v>19910</c:v>
                      </c:pt>
                      <c:pt idx="1992">
                        <c:v>19920</c:v>
                      </c:pt>
                      <c:pt idx="1993">
                        <c:v>19930</c:v>
                      </c:pt>
                      <c:pt idx="1994">
                        <c:v>19940</c:v>
                      </c:pt>
                      <c:pt idx="1995">
                        <c:v>19950</c:v>
                      </c:pt>
                      <c:pt idx="1996">
                        <c:v>19960</c:v>
                      </c:pt>
                      <c:pt idx="1997">
                        <c:v>19970</c:v>
                      </c:pt>
                      <c:pt idx="1998">
                        <c:v>19980</c:v>
                      </c:pt>
                      <c:pt idx="1999">
                        <c:v>19990</c:v>
                      </c:pt>
                      <c:pt idx="2000">
                        <c:v>20000</c:v>
                      </c:pt>
                      <c:pt idx="2001">
                        <c:v>20010</c:v>
                      </c:pt>
                      <c:pt idx="2002">
                        <c:v>20020</c:v>
                      </c:pt>
                      <c:pt idx="2003">
                        <c:v>20030</c:v>
                      </c:pt>
                      <c:pt idx="2004">
                        <c:v>20040</c:v>
                      </c:pt>
                      <c:pt idx="2005">
                        <c:v>20050</c:v>
                      </c:pt>
                      <c:pt idx="2006">
                        <c:v>20060</c:v>
                      </c:pt>
                      <c:pt idx="2007">
                        <c:v>20070</c:v>
                      </c:pt>
                      <c:pt idx="2008">
                        <c:v>20080</c:v>
                      </c:pt>
                      <c:pt idx="2009">
                        <c:v>20090</c:v>
                      </c:pt>
                      <c:pt idx="2010">
                        <c:v>20100</c:v>
                      </c:pt>
                      <c:pt idx="2011">
                        <c:v>20110</c:v>
                      </c:pt>
                      <c:pt idx="2012">
                        <c:v>20120</c:v>
                      </c:pt>
                      <c:pt idx="2013">
                        <c:v>20130</c:v>
                      </c:pt>
                      <c:pt idx="2014">
                        <c:v>20140</c:v>
                      </c:pt>
                      <c:pt idx="2015">
                        <c:v>20150</c:v>
                      </c:pt>
                      <c:pt idx="2016">
                        <c:v>20160</c:v>
                      </c:pt>
                      <c:pt idx="2017">
                        <c:v>20170</c:v>
                      </c:pt>
                      <c:pt idx="2018">
                        <c:v>20180</c:v>
                      </c:pt>
                      <c:pt idx="2019">
                        <c:v>20190</c:v>
                      </c:pt>
                      <c:pt idx="2020">
                        <c:v>20200</c:v>
                      </c:pt>
                      <c:pt idx="2021">
                        <c:v>20210</c:v>
                      </c:pt>
                      <c:pt idx="2022">
                        <c:v>20220</c:v>
                      </c:pt>
                      <c:pt idx="2023">
                        <c:v>20230</c:v>
                      </c:pt>
                      <c:pt idx="2024">
                        <c:v>20240</c:v>
                      </c:pt>
                      <c:pt idx="2025">
                        <c:v>20250</c:v>
                      </c:pt>
                      <c:pt idx="2026">
                        <c:v>20260</c:v>
                      </c:pt>
                      <c:pt idx="2027">
                        <c:v>20270</c:v>
                      </c:pt>
                      <c:pt idx="2028">
                        <c:v>20280</c:v>
                      </c:pt>
                      <c:pt idx="2029">
                        <c:v>20290</c:v>
                      </c:pt>
                      <c:pt idx="2030">
                        <c:v>20300</c:v>
                      </c:pt>
                      <c:pt idx="2031">
                        <c:v>20310</c:v>
                      </c:pt>
                      <c:pt idx="2032">
                        <c:v>20320</c:v>
                      </c:pt>
                      <c:pt idx="2033">
                        <c:v>20330</c:v>
                      </c:pt>
                      <c:pt idx="2034">
                        <c:v>20340</c:v>
                      </c:pt>
                      <c:pt idx="2035">
                        <c:v>20350</c:v>
                      </c:pt>
                      <c:pt idx="2036">
                        <c:v>20360</c:v>
                      </c:pt>
                      <c:pt idx="2037">
                        <c:v>20370</c:v>
                      </c:pt>
                      <c:pt idx="2038">
                        <c:v>20380</c:v>
                      </c:pt>
                      <c:pt idx="2039">
                        <c:v>20390</c:v>
                      </c:pt>
                      <c:pt idx="2040">
                        <c:v>20400</c:v>
                      </c:pt>
                      <c:pt idx="2041">
                        <c:v>20410</c:v>
                      </c:pt>
                      <c:pt idx="2042">
                        <c:v>20420</c:v>
                      </c:pt>
                      <c:pt idx="2043">
                        <c:v>20430</c:v>
                      </c:pt>
                      <c:pt idx="2044">
                        <c:v>20440</c:v>
                      </c:pt>
                      <c:pt idx="2045">
                        <c:v>20450</c:v>
                      </c:pt>
                      <c:pt idx="2046">
                        <c:v>20460</c:v>
                      </c:pt>
                      <c:pt idx="2047">
                        <c:v>20470</c:v>
                      </c:pt>
                      <c:pt idx="2048">
                        <c:v>20480</c:v>
                      </c:pt>
                      <c:pt idx="2049">
                        <c:v>20490</c:v>
                      </c:pt>
                      <c:pt idx="2050">
                        <c:v>20500</c:v>
                      </c:pt>
                      <c:pt idx="2051">
                        <c:v>20510</c:v>
                      </c:pt>
                      <c:pt idx="2052">
                        <c:v>20520</c:v>
                      </c:pt>
                      <c:pt idx="2053">
                        <c:v>20530</c:v>
                      </c:pt>
                      <c:pt idx="2054">
                        <c:v>20540</c:v>
                      </c:pt>
                      <c:pt idx="2055">
                        <c:v>20550</c:v>
                      </c:pt>
                      <c:pt idx="2056">
                        <c:v>20560</c:v>
                      </c:pt>
                      <c:pt idx="2057">
                        <c:v>20570</c:v>
                      </c:pt>
                      <c:pt idx="2058">
                        <c:v>20580</c:v>
                      </c:pt>
                      <c:pt idx="2059">
                        <c:v>20590</c:v>
                      </c:pt>
                      <c:pt idx="2060">
                        <c:v>20600</c:v>
                      </c:pt>
                      <c:pt idx="2061">
                        <c:v>20610</c:v>
                      </c:pt>
                      <c:pt idx="2062">
                        <c:v>20620</c:v>
                      </c:pt>
                      <c:pt idx="2063">
                        <c:v>20630</c:v>
                      </c:pt>
                      <c:pt idx="2064">
                        <c:v>20640</c:v>
                      </c:pt>
                      <c:pt idx="2065">
                        <c:v>20650</c:v>
                      </c:pt>
                      <c:pt idx="2066">
                        <c:v>20660</c:v>
                      </c:pt>
                      <c:pt idx="2067">
                        <c:v>20670</c:v>
                      </c:pt>
                      <c:pt idx="2068">
                        <c:v>20680</c:v>
                      </c:pt>
                      <c:pt idx="2069">
                        <c:v>20690</c:v>
                      </c:pt>
                      <c:pt idx="2070">
                        <c:v>20700</c:v>
                      </c:pt>
                      <c:pt idx="2071">
                        <c:v>20710</c:v>
                      </c:pt>
                      <c:pt idx="2072">
                        <c:v>20720</c:v>
                      </c:pt>
                      <c:pt idx="2073">
                        <c:v>20730</c:v>
                      </c:pt>
                      <c:pt idx="2074">
                        <c:v>20740</c:v>
                      </c:pt>
                      <c:pt idx="2075">
                        <c:v>20750</c:v>
                      </c:pt>
                      <c:pt idx="2076">
                        <c:v>20760</c:v>
                      </c:pt>
                      <c:pt idx="2077">
                        <c:v>20770</c:v>
                      </c:pt>
                      <c:pt idx="2078">
                        <c:v>20780</c:v>
                      </c:pt>
                      <c:pt idx="2079">
                        <c:v>20790</c:v>
                      </c:pt>
                      <c:pt idx="2080">
                        <c:v>20800</c:v>
                      </c:pt>
                      <c:pt idx="2081">
                        <c:v>20810</c:v>
                      </c:pt>
                      <c:pt idx="2082">
                        <c:v>20820</c:v>
                      </c:pt>
                      <c:pt idx="2083">
                        <c:v>20830</c:v>
                      </c:pt>
                      <c:pt idx="2084">
                        <c:v>20840</c:v>
                      </c:pt>
                      <c:pt idx="2085">
                        <c:v>20850</c:v>
                      </c:pt>
                      <c:pt idx="2086">
                        <c:v>20860</c:v>
                      </c:pt>
                      <c:pt idx="2087">
                        <c:v>20870</c:v>
                      </c:pt>
                      <c:pt idx="2088">
                        <c:v>20880</c:v>
                      </c:pt>
                      <c:pt idx="2089">
                        <c:v>20890</c:v>
                      </c:pt>
                      <c:pt idx="2090">
                        <c:v>20900</c:v>
                      </c:pt>
                      <c:pt idx="2091">
                        <c:v>20910</c:v>
                      </c:pt>
                      <c:pt idx="2092">
                        <c:v>20920</c:v>
                      </c:pt>
                      <c:pt idx="2093">
                        <c:v>20930</c:v>
                      </c:pt>
                      <c:pt idx="2094">
                        <c:v>20940</c:v>
                      </c:pt>
                      <c:pt idx="2095">
                        <c:v>20950</c:v>
                      </c:pt>
                      <c:pt idx="2096">
                        <c:v>20960</c:v>
                      </c:pt>
                      <c:pt idx="2097">
                        <c:v>20970</c:v>
                      </c:pt>
                      <c:pt idx="2098">
                        <c:v>20980</c:v>
                      </c:pt>
                      <c:pt idx="2099">
                        <c:v>20990</c:v>
                      </c:pt>
                      <c:pt idx="2100">
                        <c:v>21000</c:v>
                      </c:pt>
                      <c:pt idx="2101">
                        <c:v>21010</c:v>
                      </c:pt>
                      <c:pt idx="2102">
                        <c:v>21020</c:v>
                      </c:pt>
                      <c:pt idx="2103">
                        <c:v>21030</c:v>
                      </c:pt>
                      <c:pt idx="2104">
                        <c:v>21040</c:v>
                      </c:pt>
                      <c:pt idx="2105">
                        <c:v>21050</c:v>
                      </c:pt>
                      <c:pt idx="2106">
                        <c:v>21060</c:v>
                      </c:pt>
                      <c:pt idx="2107">
                        <c:v>21070</c:v>
                      </c:pt>
                      <c:pt idx="2108">
                        <c:v>21080</c:v>
                      </c:pt>
                      <c:pt idx="2109">
                        <c:v>21090</c:v>
                      </c:pt>
                      <c:pt idx="2110">
                        <c:v>21100</c:v>
                      </c:pt>
                      <c:pt idx="2111">
                        <c:v>21110</c:v>
                      </c:pt>
                      <c:pt idx="2112">
                        <c:v>21120</c:v>
                      </c:pt>
                      <c:pt idx="2113">
                        <c:v>21130</c:v>
                      </c:pt>
                      <c:pt idx="2114">
                        <c:v>21140</c:v>
                      </c:pt>
                      <c:pt idx="2115">
                        <c:v>21150</c:v>
                      </c:pt>
                      <c:pt idx="2116">
                        <c:v>21160</c:v>
                      </c:pt>
                      <c:pt idx="2117">
                        <c:v>21170</c:v>
                      </c:pt>
                      <c:pt idx="2118">
                        <c:v>21180</c:v>
                      </c:pt>
                      <c:pt idx="2119">
                        <c:v>21190</c:v>
                      </c:pt>
                      <c:pt idx="2120">
                        <c:v>21200</c:v>
                      </c:pt>
                      <c:pt idx="2121">
                        <c:v>21210</c:v>
                      </c:pt>
                      <c:pt idx="2122">
                        <c:v>21220</c:v>
                      </c:pt>
                      <c:pt idx="2123">
                        <c:v>21230</c:v>
                      </c:pt>
                      <c:pt idx="2124">
                        <c:v>21240</c:v>
                      </c:pt>
                      <c:pt idx="2125">
                        <c:v>21250</c:v>
                      </c:pt>
                      <c:pt idx="2126">
                        <c:v>21260</c:v>
                      </c:pt>
                      <c:pt idx="2127">
                        <c:v>21270</c:v>
                      </c:pt>
                      <c:pt idx="2128">
                        <c:v>21280</c:v>
                      </c:pt>
                      <c:pt idx="2129">
                        <c:v>21290</c:v>
                      </c:pt>
                      <c:pt idx="2130">
                        <c:v>21300</c:v>
                      </c:pt>
                      <c:pt idx="2131">
                        <c:v>21310</c:v>
                      </c:pt>
                      <c:pt idx="2132">
                        <c:v>21320</c:v>
                      </c:pt>
                      <c:pt idx="2133">
                        <c:v>21330</c:v>
                      </c:pt>
                      <c:pt idx="2134">
                        <c:v>21340</c:v>
                      </c:pt>
                      <c:pt idx="2135">
                        <c:v>21350</c:v>
                      </c:pt>
                      <c:pt idx="2136">
                        <c:v>21360</c:v>
                      </c:pt>
                      <c:pt idx="2137">
                        <c:v>21370</c:v>
                      </c:pt>
                      <c:pt idx="2138">
                        <c:v>21380</c:v>
                      </c:pt>
                      <c:pt idx="2139">
                        <c:v>21390</c:v>
                      </c:pt>
                      <c:pt idx="2140">
                        <c:v>21400</c:v>
                      </c:pt>
                      <c:pt idx="2141">
                        <c:v>21410</c:v>
                      </c:pt>
                      <c:pt idx="2142">
                        <c:v>21420</c:v>
                      </c:pt>
                      <c:pt idx="2143">
                        <c:v>21430</c:v>
                      </c:pt>
                      <c:pt idx="2144">
                        <c:v>21440</c:v>
                      </c:pt>
                      <c:pt idx="2145">
                        <c:v>21450</c:v>
                      </c:pt>
                      <c:pt idx="2146">
                        <c:v>21460</c:v>
                      </c:pt>
                      <c:pt idx="2147">
                        <c:v>21470</c:v>
                      </c:pt>
                      <c:pt idx="2148">
                        <c:v>21480</c:v>
                      </c:pt>
                      <c:pt idx="2149">
                        <c:v>21490</c:v>
                      </c:pt>
                      <c:pt idx="2150">
                        <c:v>21500</c:v>
                      </c:pt>
                      <c:pt idx="2151">
                        <c:v>21510</c:v>
                      </c:pt>
                      <c:pt idx="2152">
                        <c:v>21520</c:v>
                      </c:pt>
                      <c:pt idx="2153">
                        <c:v>21530</c:v>
                      </c:pt>
                      <c:pt idx="2154">
                        <c:v>21540</c:v>
                      </c:pt>
                      <c:pt idx="2155">
                        <c:v>21550</c:v>
                      </c:pt>
                      <c:pt idx="2156">
                        <c:v>21560</c:v>
                      </c:pt>
                      <c:pt idx="2157">
                        <c:v>21570</c:v>
                      </c:pt>
                      <c:pt idx="2158">
                        <c:v>21580</c:v>
                      </c:pt>
                      <c:pt idx="2159">
                        <c:v>21590</c:v>
                      </c:pt>
                      <c:pt idx="2160">
                        <c:v>21600</c:v>
                      </c:pt>
                      <c:pt idx="2161">
                        <c:v>21610</c:v>
                      </c:pt>
                      <c:pt idx="2162">
                        <c:v>21620</c:v>
                      </c:pt>
                      <c:pt idx="2163">
                        <c:v>21630</c:v>
                      </c:pt>
                      <c:pt idx="2164">
                        <c:v>21640</c:v>
                      </c:pt>
                      <c:pt idx="2165">
                        <c:v>21650</c:v>
                      </c:pt>
                      <c:pt idx="2166">
                        <c:v>21660</c:v>
                      </c:pt>
                      <c:pt idx="2167">
                        <c:v>21670</c:v>
                      </c:pt>
                      <c:pt idx="2168">
                        <c:v>21680</c:v>
                      </c:pt>
                      <c:pt idx="2169">
                        <c:v>21690</c:v>
                      </c:pt>
                      <c:pt idx="2170">
                        <c:v>21700</c:v>
                      </c:pt>
                      <c:pt idx="2171">
                        <c:v>21710</c:v>
                      </c:pt>
                      <c:pt idx="2172">
                        <c:v>21720</c:v>
                      </c:pt>
                      <c:pt idx="2173">
                        <c:v>21730</c:v>
                      </c:pt>
                      <c:pt idx="2174">
                        <c:v>21740</c:v>
                      </c:pt>
                      <c:pt idx="2175">
                        <c:v>21750</c:v>
                      </c:pt>
                      <c:pt idx="2176">
                        <c:v>21760</c:v>
                      </c:pt>
                      <c:pt idx="2177">
                        <c:v>21770</c:v>
                      </c:pt>
                      <c:pt idx="2178">
                        <c:v>21780</c:v>
                      </c:pt>
                      <c:pt idx="2179">
                        <c:v>21790</c:v>
                      </c:pt>
                      <c:pt idx="2180">
                        <c:v>21800</c:v>
                      </c:pt>
                      <c:pt idx="2181">
                        <c:v>21810</c:v>
                      </c:pt>
                      <c:pt idx="2182">
                        <c:v>21820</c:v>
                      </c:pt>
                      <c:pt idx="2183">
                        <c:v>21830</c:v>
                      </c:pt>
                      <c:pt idx="2184">
                        <c:v>21840</c:v>
                      </c:pt>
                      <c:pt idx="2185">
                        <c:v>21850</c:v>
                      </c:pt>
                      <c:pt idx="2186">
                        <c:v>21860</c:v>
                      </c:pt>
                      <c:pt idx="2187">
                        <c:v>21870</c:v>
                      </c:pt>
                      <c:pt idx="2188">
                        <c:v>21880</c:v>
                      </c:pt>
                      <c:pt idx="2189">
                        <c:v>21890</c:v>
                      </c:pt>
                      <c:pt idx="2190">
                        <c:v>21900</c:v>
                      </c:pt>
                      <c:pt idx="2191">
                        <c:v>21910</c:v>
                      </c:pt>
                      <c:pt idx="2192">
                        <c:v>21920</c:v>
                      </c:pt>
                      <c:pt idx="2193">
                        <c:v>21930</c:v>
                      </c:pt>
                      <c:pt idx="2194">
                        <c:v>21940</c:v>
                      </c:pt>
                      <c:pt idx="2195">
                        <c:v>21950</c:v>
                      </c:pt>
                      <c:pt idx="2196">
                        <c:v>21960</c:v>
                      </c:pt>
                      <c:pt idx="2197">
                        <c:v>21970</c:v>
                      </c:pt>
                      <c:pt idx="2198">
                        <c:v>21980</c:v>
                      </c:pt>
                      <c:pt idx="2199">
                        <c:v>21990</c:v>
                      </c:pt>
                      <c:pt idx="2200">
                        <c:v>22000</c:v>
                      </c:pt>
                      <c:pt idx="2201">
                        <c:v>22010</c:v>
                      </c:pt>
                      <c:pt idx="2202">
                        <c:v>22020</c:v>
                      </c:pt>
                      <c:pt idx="2203">
                        <c:v>22030</c:v>
                      </c:pt>
                      <c:pt idx="2204">
                        <c:v>22040</c:v>
                      </c:pt>
                      <c:pt idx="2205">
                        <c:v>22050</c:v>
                      </c:pt>
                      <c:pt idx="2206">
                        <c:v>22060</c:v>
                      </c:pt>
                      <c:pt idx="2207">
                        <c:v>22070</c:v>
                      </c:pt>
                      <c:pt idx="2208">
                        <c:v>22080</c:v>
                      </c:pt>
                      <c:pt idx="2209">
                        <c:v>22090</c:v>
                      </c:pt>
                      <c:pt idx="2210">
                        <c:v>22100</c:v>
                      </c:pt>
                      <c:pt idx="2211">
                        <c:v>22110</c:v>
                      </c:pt>
                      <c:pt idx="2212">
                        <c:v>22120</c:v>
                      </c:pt>
                      <c:pt idx="2213">
                        <c:v>22130</c:v>
                      </c:pt>
                      <c:pt idx="2214">
                        <c:v>22140</c:v>
                      </c:pt>
                      <c:pt idx="2215">
                        <c:v>22150</c:v>
                      </c:pt>
                      <c:pt idx="2216">
                        <c:v>22160</c:v>
                      </c:pt>
                      <c:pt idx="2217">
                        <c:v>22170</c:v>
                      </c:pt>
                      <c:pt idx="2218">
                        <c:v>22180</c:v>
                      </c:pt>
                      <c:pt idx="2219">
                        <c:v>22190</c:v>
                      </c:pt>
                      <c:pt idx="2220">
                        <c:v>22200</c:v>
                      </c:pt>
                      <c:pt idx="2221">
                        <c:v>22210</c:v>
                      </c:pt>
                      <c:pt idx="2222">
                        <c:v>22220</c:v>
                      </c:pt>
                      <c:pt idx="2223">
                        <c:v>22230</c:v>
                      </c:pt>
                      <c:pt idx="2224">
                        <c:v>22240</c:v>
                      </c:pt>
                      <c:pt idx="2225">
                        <c:v>22250</c:v>
                      </c:pt>
                      <c:pt idx="2226">
                        <c:v>22260</c:v>
                      </c:pt>
                      <c:pt idx="2227">
                        <c:v>22270</c:v>
                      </c:pt>
                      <c:pt idx="2228">
                        <c:v>22280</c:v>
                      </c:pt>
                      <c:pt idx="2229">
                        <c:v>22290</c:v>
                      </c:pt>
                      <c:pt idx="2230">
                        <c:v>22300</c:v>
                      </c:pt>
                      <c:pt idx="2231">
                        <c:v>22310</c:v>
                      </c:pt>
                      <c:pt idx="2232">
                        <c:v>22320</c:v>
                      </c:pt>
                      <c:pt idx="2233">
                        <c:v>22330</c:v>
                      </c:pt>
                      <c:pt idx="2234">
                        <c:v>22340</c:v>
                      </c:pt>
                      <c:pt idx="2235">
                        <c:v>22350</c:v>
                      </c:pt>
                      <c:pt idx="2236">
                        <c:v>22360</c:v>
                      </c:pt>
                      <c:pt idx="2237">
                        <c:v>22370</c:v>
                      </c:pt>
                      <c:pt idx="2238">
                        <c:v>22380</c:v>
                      </c:pt>
                      <c:pt idx="2239">
                        <c:v>22390</c:v>
                      </c:pt>
                      <c:pt idx="2240">
                        <c:v>22400</c:v>
                      </c:pt>
                      <c:pt idx="2241">
                        <c:v>22410</c:v>
                      </c:pt>
                      <c:pt idx="2242">
                        <c:v>22420</c:v>
                      </c:pt>
                      <c:pt idx="2243">
                        <c:v>22430</c:v>
                      </c:pt>
                      <c:pt idx="2244">
                        <c:v>22440</c:v>
                      </c:pt>
                      <c:pt idx="2245">
                        <c:v>22450</c:v>
                      </c:pt>
                      <c:pt idx="2246">
                        <c:v>22460</c:v>
                      </c:pt>
                      <c:pt idx="2247">
                        <c:v>22470</c:v>
                      </c:pt>
                      <c:pt idx="2248">
                        <c:v>22480</c:v>
                      </c:pt>
                      <c:pt idx="2249">
                        <c:v>22490</c:v>
                      </c:pt>
                      <c:pt idx="2250">
                        <c:v>22500</c:v>
                      </c:pt>
                      <c:pt idx="2251">
                        <c:v>22510</c:v>
                      </c:pt>
                      <c:pt idx="2252">
                        <c:v>22520</c:v>
                      </c:pt>
                      <c:pt idx="2253">
                        <c:v>22530</c:v>
                      </c:pt>
                      <c:pt idx="2254">
                        <c:v>22540</c:v>
                      </c:pt>
                      <c:pt idx="2255">
                        <c:v>22550</c:v>
                      </c:pt>
                      <c:pt idx="2256">
                        <c:v>22560</c:v>
                      </c:pt>
                      <c:pt idx="2257">
                        <c:v>22570</c:v>
                      </c:pt>
                      <c:pt idx="2258">
                        <c:v>22580</c:v>
                      </c:pt>
                      <c:pt idx="2259">
                        <c:v>22590</c:v>
                      </c:pt>
                      <c:pt idx="2260">
                        <c:v>22600</c:v>
                      </c:pt>
                      <c:pt idx="2261">
                        <c:v>22610</c:v>
                      </c:pt>
                      <c:pt idx="2262">
                        <c:v>22620</c:v>
                      </c:pt>
                      <c:pt idx="2263">
                        <c:v>22630</c:v>
                      </c:pt>
                      <c:pt idx="2264">
                        <c:v>22640</c:v>
                      </c:pt>
                      <c:pt idx="2265">
                        <c:v>22650</c:v>
                      </c:pt>
                      <c:pt idx="2266">
                        <c:v>22660</c:v>
                      </c:pt>
                      <c:pt idx="2267">
                        <c:v>22670</c:v>
                      </c:pt>
                      <c:pt idx="2268">
                        <c:v>22680</c:v>
                      </c:pt>
                      <c:pt idx="2269">
                        <c:v>22690</c:v>
                      </c:pt>
                      <c:pt idx="2270">
                        <c:v>22700</c:v>
                      </c:pt>
                      <c:pt idx="2271">
                        <c:v>22710</c:v>
                      </c:pt>
                      <c:pt idx="2272">
                        <c:v>22720</c:v>
                      </c:pt>
                      <c:pt idx="2273">
                        <c:v>22730</c:v>
                      </c:pt>
                      <c:pt idx="2274">
                        <c:v>22740</c:v>
                      </c:pt>
                      <c:pt idx="2275">
                        <c:v>22750</c:v>
                      </c:pt>
                      <c:pt idx="2276">
                        <c:v>22760</c:v>
                      </c:pt>
                      <c:pt idx="2277">
                        <c:v>22770</c:v>
                      </c:pt>
                      <c:pt idx="2278">
                        <c:v>22780</c:v>
                      </c:pt>
                      <c:pt idx="2279">
                        <c:v>22790</c:v>
                      </c:pt>
                      <c:pt idx="2280">
                        <c:v>22800</c:v>
                      </c:pt>
                      <c:pt idx="2281">
                        <c:v>22810</c:v>
                      </c:pt>
                      <c:pt idx="2282">
                        <c:v>22820</c:v>
                      </c:pt>
                      <c:pt idx="2283">
                        <c:v>22830</c:v>
                      </c:pt>
                      <c:pt idx="2284">
                        <c:v>22840</c:v>
                      </c:pt>
                      <c:pt idx="2285">
                        <c:v>22850</c:v>
                      </c:pt>
                      <c:pt idx="2286">
                        <c:v>22860</c:v>
                      </c:pt>
                      <c:pt idx="2287">
                        <c:v>22870</c:v>
                      </c:pt>
                      <c:pt idx="2288">
                        <c:v>22880</c:v>
                      </c:pt>
                      <c:pt idx="2289">
                        <c:v>22890</c:v>
                      </c:pt>
                      <c:pt idx="2290">
                        <c:v>22900</c:v>
                      </c:pt>
                      <c:pt idx="2291">
                        <c:v>22910</c:v>
                      </c:pt>
                      <c:pt idx="2292">
                        <c:v>22920</c:v>
                      </c:pt>
                      <c:pt idx="2293">
                        <c:v>22930</c:v>
                      </c:pt>
                      <c:pt idx="2294">
                        <c:v>22940</c:v>
                      </c:pt>
                      <c:pt idx="2295">
                        <c:v>22950</c:v>
                      </c:pt>
                      <c:pt idx="2296">
                        <c:v>22960</c:v>
                      </c:pt>
                      <c:pt idx="2297">
                        <c:v>22970</c:v>
                      </c:pt>
                      <c:pt idx="2298">
                        <c:v>22980</c:v>
                      </c:pt>
                      <c:pt idx="2299">
                        <c:v>22990</c:v>
                      </c:pt>
                      <c:pt idx="2300">
                        <c:v>23000</c:v>
                      </c:pt>
                      <c:pt idx="2301">
                        <c:v>23010</c:v>
                      </c:pt>
                      <c:pt idx="2302">
                        <c:v>23020</c:v>
                      </c:pt>
                      <c:pt idx="2303">
                        <c:v>23030</c:v>
                      </c:pt>
                      <c:pt idx="2304">
                        <c:v>23040</c:v>
                      </c:pt>
                      <c:pt idx="2305">
                        <c:v>23050</c:v>
                      </c:pt>
                      <c:pt idx="2306">
                        <c:v>23060</c:v>
                      </c:pt>
                      <c:pt idx="2307">
                        <c:v>23070</c:v>
                      </c:pt>
                      <c:pt idx="2308">
                        <c:v>23080</c:v>
                      </c:pt>
                      <c:pt idx="2309">
                        <c:v>23090</c:v>
                      </c:pt>
                      <c:pt idx="2310">
                        <c:v>23100</c:v>
                      </c:pt>
                      <c:pt idx="2311">
                        <c:v>23110</c:v>
                      </c:pt>
                      <c:pt idx="2312">
                        <c:v>23120</c:v>
                      </c:pt>
                      <c:pt idx="2313">
                        <c:v>23130</c:v>
                      </c:pt>
                      <c:pt idx="2314">
                        <c:v>23140</c:v>
                      </c:pt>
                      <c:pt idx="2315">
                        <c:v>23150</c:v>
                      </c:pt>
                      <c:pt idx="2316">
                        <c:v>23160</c:v>
                      </c:pt>
                      <c:pt idx="2317">
                        <c:v>23170</c:v>
                      </c:pt>
                      <c:pt idx="2318">
                        <c:v>23180</c:v>
                      </c:pt>
                      <c:pt idx="2319">
                        <c:v>23190</c:v>
                      </c:pt>
                      <c:pt idx="2320">
                        <c:v>23200</c:v>
                      </c:pt>
                      <c:pt idx="2321">
                        <c:v>23210</c:v>
                      </c:pt>
                      <c:pt idx="2322">
                        <c:v>23220</c:v>
                      </c:pt>
                      <c:pt idx="2323">
                        <c:v>23230</c:v>
                      </c:pt>
                      <c:pt idx="2324">
                        <c:v>23240</c:v>
                      </c:pt>
                      <c:pt idx="2325">
                        <c:v>23250</c:v>
                      </c:pt>
                      <c:pt idx="2326">
                        <c:v>23260</c:v>
                      </c:pt>
                      <c:pt idx="2327">
                        <c:v>23270</c:v>
                      </c:pt>
                      <c:pt idx="2328">
                        <c:v>23280</c:v>
                      </c:pt>
                      <c:pt idx="2329">
                        <c:v>23290</c:v>
                      </c:pt>
                      <c:pt idx="2330">
                        <c:v>23300</c:v>
                      </c:pt>
                      <c:pt idx="2331">
                        <c:v>23310</c:v>
                      </c:pt>
                      <c:pt idx="2332">
                        <c:v>23320</c:v>
                      </c:pt>
                      <c:pt idx="2333">
                        <c:v>23330</c:v>
                      </c:pt>
                      <c:pt idx="2334">
                        <c:v>23340</c:v>
                      </c:pt>
                      <c:pt idx="2335">
                        <c:v>23350</c:v>
                      </c:pt>
                      <c:pt idx="2336">
                        <c:v>23360</c:v>
                      </c:pt>
                      <c:pt idx="2337">
                        <c:v>23370</c:v>
                      </c:pt>
                      <c:pt idx="2338">
                        <c:v>23380</c:v>
                      </c:pt>
                      <c:pt idx="2339">
                        <c:v>23390</c:v>
                      </c:pt>
                      <c:pt idx="2340">
                        <c:v>23400</c:v>
                      </c:pt>
                      <c:pt idx="2341">
                        <c:v>23410</c:v>
                      </c:pt>
                      <c:pt idx="2342">
                        <c:v>23420</c:v>
                      </c:pt>
                      <c:pt idx="2343">
                        <c:v>23430</c:v>
                      </c:pt>
                      <c:pt idx="2344">
                        <c:v>23440</c:v>
                      </c:pt>
                      <c:pt idx="2345">
                        <c:v>23450</c:v>
                      </c:pt>
                      <c:pt idx="2346">
                        <c:v>23460</c:v>
                      </c:pt>
                      <c:pt idx="2347">
                        <c:v>23470</c:v>
                      </c:pt>
                      <c:pt idx="2348">
                        <c:v>23480</c:v>
                      </c:pt>
                      <c:pt idx="2349">
                        <c:v>23490</c:v>
                      </c:pt>
                      <c:pt idx="2350">
                        <c:v>23500</c:v>
                      </c:pt>
                      <c:pt idx="2351">
                        <c:v>23510</c:v>
                      </c:pt>
                      <c:pt idx="2352">
                        <c:v>23520</c:v>
                      </c:pt>
                      <c:pt idx="2353">
                        <c:v>23530</c:v>
                      </c:pt>
                      <c:pt idx="2354">
                        <c:v>23540</c:v>
                      </c:pt>
                      <c:pt idx="2355">
                        <c:v>23550</c:v>
                      </c:pt>
                      <c:pt idx="2356">
                        <c:v>23560</c:v>
                      </c:pt>
                      <c:pt idx="2357">
                        <c:v>23570</c:v>
                      </c:pt>
                      <c:pt idx="2358">
                        <c:v>23580</c:v>
                      </c:pt>
                      <c:pt idx="2359">
                        <c:v>23590</c:v>
                      </c:pt>
                      <c:pt idx="2360">
                        <c:v>23600</c:v>
                      </c:pt>
                      <c:pt idx="2361">
                        <c:v>23610</c:v>
                      </c:pt>
                      <c:pt idx="2362">
                        <c:v>23620</c:v>
                      </c:pt>
                      <c:pt idx="2363">
                        <c:v>23630</c:v>
                      </c:pt>
                      <c:pt idx="2364">
                        <c:v>23640</c:v>
                      </c:pt>
                      <c:pt idx="2365">
                        <c:v>23650</c:v>
                      </c:pt>
                      <c:pt idx="2366">
                        <c:v>23660</c:v>
                      </c:pt>
                      <c:pt idx="2367">
                        <c:v>23670</c:v>
                      </c:pt>
                      <c:pt idx="2368">
                        <c:v>23680</c:v>
                      </c:pt>
                      <c:pt idx="2369">
                        <c:v>23690</c:v>
                      </c:pt>
                      <c:pt idx="2370">
                        <c:v>23700</c:v>
                      </c:pt>
                      <c:pt idx="2371">
                        <c:v>23710</c:v>
                      </c:pt>
                      <c:pt idx="2372">
                        <c:v>23720</c:v>
                      </c:pt>
                      <c:pt idx="2373">
                        <c:v>23730</c:v>
                      </c:pt>
                      <c:pt idx="2374">
                        <c:v>23740</c:v>
                      </c:pt>
                      <c:pt idx="2375">
                        <c:v>23750</c:v>
                      </c:pt>
                      <c:pt idx="2376">
                        <c:v>23760</c:v>
                      </c:pt>
                      <c:pt idx="2377">
                        <c:v>23770</c:v>
                      </c:pt>
                      <c:pt idx="2378">
                        <c:v>23780</c:v>
                      </c:pt>
                      <c:pt idx="2379">
                        <c:v>23790</c:v>
                      </c:pt>
                      <c:pt idx="2380">
                        <c:v>23800</c:v>
                      </c:pt>
                      <c:pt idx="2381">
                        <c:v>23810</c:v>
                      </c:pt>
                      <c:pt idx="2382">
                        <c:v>23820</c:v>
                      </c:pt>
                      <c:pt idx="2383">
                        <c:v>23830</c:v>
                      </c:pt>
                      <c:pt idx="2384">
                        <c:v>23840</c:v>
                      </c:pt>
                      <c:pt idx="2385">
                        <c:v>23850</c:v>
                      </c:pt>
                      <c:pt idx="2386">
                        <c:v>23860</c:v>
                      </c:pt>
                      <c:pt idx="2387">
                        <c:v>23870</c:v>
                      </c:pt>
                      <c:pt idx="2388">
                        <c:v>23880</c:v>
                      </c:pt>
                      <c:pt idx="2389">
                        <c:v>23890</c:v>
                      </c:pt>
                      <c:pt idx="2390">
                        <c:v>23900</c:v>
                      </c:pt>
                      <c:pt idx="2391">
                        <c:v>23910</c:v>
                      </c:pt>
                      <c:pt idx="2392">
                        <c:v>23920</c:v>
                      </c:pt>
                      <c:pt idx="2393">
                        <c:v>23930</c:v>
                      </c:pt>
                      <c:pt idx="2394">
                        <c:v>23940</c:v>
                      </c:pt>
                      <c:pt idx="2395">
                        <c:v>23950</c:v>
                      </c:pt>
                      <c:pt idx="2396">
                        <c:v>23960</c:v>
                      </c:pt>
                      <c:pt idx="2397">
                        <c:v>23970</c:v>
                      </c:pt>
                      <c:pt idx="2398">
                        <c:v>23980</c:v>
                      </c:pt>
                      <c:pt idx="2399">
                        <c:v>23990</c:v>
                      </c:pt>
                      <c:pt idx="2400">
                        <c:v>24000</c:v>
                      </c:pt>
                      <c:pt idx="2401">
                        <c:v>24010</c:v>
                      </c:pt>
                      <c:pt idx="2402">
                        <c:v>24020</c:v>
                      </c:pt>
                      <c:pt idx="2403">
                        <c:v>24030</c:v>
                      </c:pt>
                      <c:pt idx="2404">
                        <c:v>24040</c:v>
                      </c:pt>
                      <c:pt idx="2405">
                        <c:v>24050</c:v>
                      </c:pt>
                      <c:pt idx="2406">
                        <c:v>24060</c:v>
                      </c:pt>
                      <c:pt idx="2407">
                        <c:v>24070</c:v>
                      </c:pt>
                      <c:pt idx="2408">
                        <c:v>24080</c:v>
                      </c:pt>
                      <c:pt idx="2409">
                        <c:v>24090</c:v>
                      </c:pt>
                      <c:pt idx="2410">
                        <c:v>24100</c:v>
                      </c:pt>
                      <c:pt idx="2411">
                        <c:v>24110</c:v>
                      </c:pt>
                      <c:pt idx="2412">
                        <c:v>24120</c:v>
                      </c:pt>
                      <c:pt idx="2413">
                        <c:v>24130</c:v>
                      </c:pt>
                      <c:pt idx="2414">
                        <c:v>24140</c:v>
                      </c:pt>
                      <c:pt idx="2415">
                        <c:v>24150</c:v>
                      </c:pt>
                      <c:pt idx="2416">
                        <c:v>24160</c:v>
                      </c:pt>
                      <c:pt idx="2417">
                        <c:v>24170</c:v>
                      </c:pt>
                      <c:pt idx="2418">
                        <c:v>24180</c:v>
                      </c:pt>
                      <c:pt idx="2419">
                        <c:v>24190</c:v>
                      </c:pt>
                      <c:pt idx="2420">
                        <c:v>24200</c:v>
                      </c:pt>
                      <c:pt idx="2421">
                        <c:v>24210</c:v>
                      </c:pt>
                      <c:pt idx="2422">
                        <c:v>24220</c:v>
                      </c:pt>
                      <c:pt idx="2423">
                        <c:v>24230</c:v>
                      </c:pt>
                      <c:pt idx="2424">
                        <c:v>24240</c:v>
                      </c:pt>
                      <c:pt idx="2425">
                        <c:v>24250</c:v>
                      </c:pt>
                      <c:pt idx="2426">
                        <c:v>24260</c:v>
                      </c:pt>
                      <c:pt idx="2427">
                        <c:v>24270</c:v>
                      </c:pt>
                      <c:pt idx="2428">
                        <c:v>24280</c:v>
                      </c:pt>
                      <c:pt idx="2429">
                        <c:v>24290</c:v>
                      </c:pt>
                      <c:pt idx="2430">
                        <c:v>24300</c:v>
                      </c:pt>
                      <c:pt idx="2431">
                        <c:v>24310</c:v>
                      </c:pt>
                      <c:pt idx="2432">
                        <c:v>24320</c:v>
                      </c:pt>
                      <c:pt idx="2433">
                        <c:v>24330</c:v>
                      </c:pt>
                      <c:pt idx="2434">
                        <c:v>24340</c:v>
                      </c:pt>
                      <c:pt idx="2435">
                        <c:v>24350</c:v>
                      </c:pt>
                      <c:pt idx="2436">
                        <c:v>24360</c:v>
                      </c:pt>
                      <c:pt idx="2437">
                        <c:v>24370</c:v>
                      </c:pt>
                      <c:pt idx="2438">
                        <c:v>24380</c:v>
                      </c:pt>
                      <c:pt idx="2439">
                        <c:v>24390</c:v>
                      </c:pt>
                      <c:pt idx="2440">
                        <c:v>24400</c:v>
                      </c:pt>
                      <c:pt idx="2441">
                        <c:v>24410</c:v>
                      </c:pt>
                      <c:pt idx="2442">
                        <c:v>24420</c:v>
                      </c:pt>
                      <c:pt idx="2443">
                        <c:v>24430</c:v>
                      </c:pt>
                      <c:pt idx="2444">
                        <c:v>24440</c:v>
                      </c:pt>
                      <c:pt idx="2445">
                        <c:v>24450</c:v>
                      </c:pt>
                      <c:pt idx="2446">
                        <c:v>24460</c:v>
                      </c:pt>
                      <c:pt idx="2447">
                        <c:v>24470</c:v>
                      </c:pt>
                      <c:pt idx="2448">
                        <c:v>24480</c:v>
                      </c:pt>
                      <c:pt idx="2449">
                        <c:v>24490</c:v>
                      </c:pt>
                      <c:pt idx="2450">
                        <c:v>24500</c:v>
                      </c:pt>
                      <c:pt idx="2451">
                        <c:v>24510</c:v>
                      </c:pt>
                      <c:pt idx="2452">
                        <c:v>24520</c:v>
                      </c:pt>
                      <c:pt idx="2453">
                        <c:v>24530</c:v>
                      </c:pt>
                      <c:pt idx="2454">
                        <c:v>24540</c:v>
                      </c:pt>
                      <c:pt idx="2455">
                        <c:v>24550</c:v>
                      </c:pt>
                      <c:pt idx="2456">
                        <c:v>24560</c:v>
                      </c:pt>
                      <c:pt idx="2457">
                        <c:v>24570</c:v>
                      </c:pt>
                      <c:pt idx="2458">
                        <c:v>24580</c:v>
                      </c:pt>
                      <c:pt idx="2459">
                        <c:v>24590</c:v>
                      </c:pt>
                      <c:pt idx="2460">
                        <c:v>24600</c:v>
                      </c:pt>
                      <c:pt idx="2461">
                        <c:v>24610</c:v>
                      </c:pt>
                      <c:pt idx="2462">
                        <c:v>24620</c:v>
                      </c:pt>
                      <c:pt idx="2463">
                        <c:v>24630</c:v>
                      </c:pt>
                      <c:pt idx="2464">
                        <c:v>24640</c:v>
                      </c:pt>
                      <c:pt idx="2465">
                        <c:v>24650</c:v>
                      </c:pt>
                      <c:pt idx="2466">
                        <c:v>24660</c:v>
                      </c:pt>
                      <c:pt idx="2467">
                        <c:v>24670</c:v>
                      </c:pt>
                      <c:pt idx="2468">
                        <c:v>24680</c:v>
                      </c:pt>
                      <c:pt idx="2469">
                        <c:v>24690</c:v>
                      </c:pt>
                      <c:pt idx="2470">
                        <c:v>24700</c:v>
                      </c:pt>
                      <c:pt idx="2471">
                        <c:v>24710</c:v>
                      </c:pt>
                      <c:pt idx="2472">
                        <c:v>24720</c:v>
                      </c:pt>
                      <c:pt idx="2473">
                        <c:v>24730</c:v>
                      </c:pt>
                      <c:pt idx="2474">
                        <c:v>24740</c:v>
                      </c:pt>
                      <c:pt idx="2475">
                        <c:v>24750</c:v>
                      </c:pt>
                      <c:pt idx="2476">
                        <c:v>24760</c:v>
                      </c:pt>
                      <c:pt idx="2477">
                        <c:v>24770</c:v>
                      </c:pt>
                      <c:pt idx="2478">
                        <c:v>24780</c:v>
                      </c:pt>
                      <c:pt idx="2479">
                        <c:v>24790</c:v>
                      </c:pt>
                      <c:pt idx="2480">
                        <c:v>24800</c:v>
                      </c:pt>
                      <c:pt idx="2481">
                        <c:v>24810</c:v>
                      </c:pt>
                      <c:pt idx="2482">
                        <c:v>24820</c:v>
                      </c:pt>
                      <c:pt idx="2483">
                        <c:v>24830</c:v>
                      </c:pt>
                      <c:pt idx="2484">
                        <c:v>24840</c:v>
                      </c:pt>
                      <c:pt idx="2485">
                        <c:v>24850</c:v>
                      </c:pt>
                      <c:pt idx="2486">
                        <c:v>24860</c:v>
                      </c:pt>
                      <c:pt idx="2487">
                        <c:v>24870</c:v>
                      </c:pt>
                      <c:pt idx="2488">
                        <c:v>24880</c:v>
                      </c:pt>
                      <c:pt idx="2489">
                        <c:v>24890</c:v>
                      </c:pt>
                      <c:pt idx="2490">
                        <c:v>24900</c:v>
                      </c:pt>
                      <c:pt idx="2491">
                        <c:v>24910</c:v>
                      </c:pt>
                      <c:pt idx="2492">
                        <c:v>24920</c:v>
                      </c:pt>
                      <c:pt idx="2493">
                        <c:v>24930</c:v>
                      </c:pt>
                      <c:pt idx="2494">
                        <c:v>24940</c:v>
                      </c:pt>
                      <c:pt idx="2495">
                        <c:v>24950</c:v>
                      </c:pt>
                      <c:pt idx="2496">
                        <c:v>24960</c:v>
                      </c:pt>
                      <c:pt idx="2497">
                        <c:v>24970</c:v>
                      </c:pt>
                      <c:pt idx="2498">
                        <c:v>24980</c:v>
                      </c:pt>
                      <c:pt idx="2499">
                        <c:v>24990</c:v>
                      </c:pt>
                      <c:pt idx="2500">
                        <c:v>25000</c:v>
                      </c:pt>
                      <c:pt idx="2501">
                        <c:v>25010</c:v>
                      </c:pt>
                      <c:pt idx="2502">
                        <c:v>25020</c:v>
                      </c:pt>
                      <c:pt idx="2503">
                        <c:v>25030</c:v>
                      </c:pt>
                      <c:pt idx="2504">
                        <c:v>25040</c:v>
                      </c:pt>
                      <c:pt idx="2505">
                        <c:v>25050</c:v>
                      </c:pt>
                      <c:pt idx="2506">
                        <c:v>25060</c:v>
                      </c:pt>
                      <c:pt idx="2507">
                        <c:v>25070</c:v>
                      </c:pt>
                      <c:pt idx="2508">
                        <c:v>25080</c:v>
                      </c:pt>
                      <c:pt idx="2509">
                        <c:v>25090</c:v>
                      </c:pt>
                      <c:pt idx="2510">
                        <c:v>25100</c:v>
                      </c:pt>
                      <c:pt idx="2511">
                        <c:v>25110</c:v>
                      </c:pt>
                      <c:pt idx="2512">
                        <c:v>25120</c:v>
                      </c:pt>
                      <c:pt idx="2513">
                        <c:v>25130</c:v>
                      </c:pt>
                      <c:pt idx="2514">
                        <c:v>25140</c:v>
                      </c:pt>
                      <c:pt idx="2515">
                        <c:v>25150</c:v>
                      </c:pt>
                      <c:pt idx="2516">
                        <c:v>25160</c:v>
                      </c:pt>
                      <c:pt idx="2517">
                        <c:v>25170</c:v>
                      </c:pt>
                      <c:pt idx="2518">
                        <c:v>25180</c:v>
                      </c:pt>
                      <c:pt idx="2519">
                        <c:v>25190</c:v>
                      </c:pt>
                      <c:pt idx="2520">
                        <c:v>25200</c:v>
                      </c:pt>
                      <c:pt idx="2521">
                        <c:v>25210</c:v>
                      </c:pt>
                      <c:pt idx="2522">
                        <c:v>25220</c:v>
                      </c:pt>
                      <c:pt idx="2523">
                        <c:v>25230</c:v>
                      </c:pt>
                      <c:pt idx="2524">
                        <c:v>25240</c:v>
                      </c:pt>
                      <c:pt idx="2525">
                        <c:v>25250</c:v>
                      </c:pt>
                      <c:pt idx="2526">
                        <c:v>25260</c:v>
                      </c:pt>
                      <c:pt idx="2527">
                        <c:v>25270</c:v>
                      </c:pt>
                      <c:pt idx="2528">
                        <c:v>25280</c:v>
                      </c:pt>
                      <c:pt idx="2529">
                        <c:v>25290</c:v>
                      </c:pt>
                      <c:pt idx="2530">
                        <c:v>25300</c:v>
                      </c:pt>
                      <c:pt idx="2531">
                        <c:v>25310</c:v>
                      </c:pt>
                      <c:pt idx="2532">
                        <c:v>25320</c:v>
                      </c:pt>
                      <c:pt idx="2533">
                        <c:v>25330</c:v>
                      </c:pt>
                      <c:pt idx="2534">
                        <c:v>25340</c:v>
                      </c:pt>
                      <c:pt idx="2535">
                        <c:v>25350</c:v>
                      </c:pt>
                      <c:pt idx="2536">
                        <c:v>25360</c:v>
                      </c:pt>
                      <c:pt idx="2537">
                        <c:v>25370</c:v>
                      </c:pt>
                      <c:pt idx="2538">
                        <c:v>25380</c:v>
                      </c:pt>
                      <c:pt idx="2539">
                        <c:v>25390</c:v>
                      </c:pt>
                      <c:pt idx="2540">
                        <c:v>25400</c:v>
                      </c:pt>
                      <c:pt idx="2541">
                        <c:v>25410</c:v>
                      </c:pt>
                      <c:pt idx="2542">
                        <c:v>25420</c:v>
                      </c:pt>
                      <c:pt idx="2543">
                        <c:v>25430</c:v>
                      </c:pt>
                      <c:pt idx="2544">
                        <c:v>25440</c:v>
                      </c:pt>
                      <c:pt idx="2545">
                        <c:v>25450</c:v>
                      </c:pt>
                      <c:pt idx="2546">
                        <c:v>25460</c:v>
                      </c:pt>
                      <c:pt idx="2547">
                        <c:v>25470</c:v>
                      </c:pt>
                      <c:pt idx="2548">
                        <c:v>25480</c:v>
                      </c:pt>
                      <c:pt idx="2549">
                        <c:v>25490</c:v>
                      </c:pt>
                      <c:pt idx="2550">
                        <c:v>25500</c:v>
                      </c:pt>
                      <c:pt idx="2551">
                        <c:v>25510</c:v>
                      </c:pt>
                      <c:pt idx="2552">
                        <c:v>25520</c:v>
                      </c:pt>
                      <c:pt idx="2553">
                        <c:v>25530</c:v>
                      </c:pt>
                      <c:pt idx="2554">
                        <c:v>25540</c:v>
                      </c:pt>
                      <c:pt idx="2555">
                        <c:v>25550</c:v>
                      </c:pt>
                      <c:pt idx="2556">
                        <c:v>25560</c:v>
                      </c:pt>
                      <c:pt idx="2557">
                        <c:v>25570</c:v>
                      </c:pt>
                      <c:pt idx="2558">
                        <c:v>25580</c:v>
                      </c:pt>
                      <c:pt idx="2559">
                        <c:v>25590</c:v>
                      </c:pt>
                      <c:pt idx="2560">
                        <c:v>25600</c:v>
                      </c:pt>
                      <c:pt idx="2561">
                        <c:v>25610</c:v>
                      </c:pt>
                      <c:pt idx="2562">
                        <c:v>25620</c:v>
                      </c:pt>
                      <c:pt idx="2563">
                        <c:v>25630</c:v>
                      </c:pt>
                      <c:pt idx="2564">
                        <c:v>25640</c:v>
                      </c:pt>
                      <c:pt idx="2565">
                        <c:v>25650</c:v>
                      </c:pt>
                      <c:pt idx="2566">
                        <c:v>25660</c:v>
                      </c:pt>
                      <c:pt idx="2567">
                        <c:v>25670</c:v>
                      </c:pt>
                      <c:pt idx="2568">
                        <c:v>25680</c:v>
                      </c:pt>
                      <c:pt idx="2569">
                        <c:v>25690</c:v>
                      </c:pt>
                      <c:pt idx="2570">
                        <c:v>25700</c:v>
                      </c:pt>
                      <c:pt idx="2571">
                        <c:v>25710</c:v>
                      </c:pt>
                      <c:pt idx="2572">
                        <c:v>25720</c:v>
                      </c:pt>
                      <c:pt idx="2573">
                        <c:v>25730</c:v>
                      </c:pt>
                      <c:pt idx="2574">
                        <c:v>25740</c:v>
                      </c:pt>
                      <c:pt idx="2575">
                        <c:v>25750</c:v>
                      </c:pt>
                      <c:pt idx="2576">
                        <c:v>25760</c:v>
                      </c:pt>
                      <c:pt idx="2577">
                        <c:v>25770</c:v>
                      </c:pt>
                      <c:pt idx="2578">
                        <c:v>25780</c:v>
                      </c:pt>
                      <c:pt idx="2579">
                        <c:v>25790</c:v>
                      </c:pt>
                      <c:pt idx="2580">
                        <c:v>25800</c:v>
                      </c:pt>
                      <c:pt idx="2581">
                        <c:v>25810</c:v>
                      </c:pt>
                      <c:pt idx="2582">
                        <c:v>25820</c:v>
                      </c:pt>
                      <c:pt idx="2583">
                        <c:v>25830</c:v>
                      </c:pt>
                      <c:pt idx="2584">
                        <c:v>25840</c:v>
                      </c:pt>
                      <c:pt idx="2585">
                        <c:v>25850</c:v>
                      </c:pt>
                      <c:pt idx="2586">
                        <c:v>25860</c:v>
                      </c:pt>
                      <c:pt idx="2587">
                        <c:v>25870</c:v>
                      </c:pt>
                      <c:pt idx="2588">
                        <c:v>25880</c:v>
                      </c:pt>
                      <c:pt idx="2589">
                        <c:v>25890</c:v>
                      </c:pt>
                      <c:pt idx="2590">
                        <c:v>25900</c:v>
                      </c:pt>
                      <c:pt idx="2591">
                        <c:v>25910</c:v>
                      </c:pt>
                      <c:pt idx="2592">
                        <c:v>25920</c:v>
                      </c:pt>
                      <c:pt idx="2593">
                        <c:v>25930</c:v>
                      </c:pt>
                      <c:pt idx="2594">
                        <c:v>25940</c:v>
                      </c:pt>
                      <c:pt idx="2595">
                        <c:v>25950</c:v>
                      </c:pt>
                      <c:pt idx="2596">
                        <c:v>25960</c:v>
                      </c:pt>
                      <c:pt idx="2597">
                        <c:v>25970</c:v>
                      </c:pt>
                      <c:pt idx="2598">
                        <c:v>25980</c:v>
                      </c:pt>
                      <c:pt idx="2599">
                        <c:v>25990</c:v>
                      </c:pt>
                      <c:pt idx="2600">
                        <c:v>26000</c:v>
                      </c:pt>
                      <c:pt idx="2601">
                        <c:v>26010</c:v>
                      </c:pt>
                      <c:pt idx="2602">
                        <c:v>26020</c:v>
                      </c:pt>
                      <c:pt idx="2603">
                        <c:v>26030</c:v>
                      </c:pt>
                      <c:pt idx="2604">
                        <c:v>26040</c:v>
                      </c:pt>
                      <c:pt idx="2605">
                        <c:v>26050</c:v>
                      </c:pt>
                      <c:pt idx="2606">
                        <c:v>26060</c:v>
                      </c:pt>
                      <c:pt idx="2607">
                        <c:v>26070</c:v>
                      </c:pt>
                      <c:pt idx="2608">
                        <c:v>26080</c:v>
                      </c:pt>
                      <c:pt idx="2609">
                        <c:v>26090</c:v>
                      </c:pt>
                      <c:pt idx="2610">
                        <c:v>26100</c:v>
                      </c:pt>
                      <c:pt idx="2611">
                        <c:v>26110</c:v>
                      </c:pt>
                      <c:pt idx="2612">
                        <c:v>26120</c:v>
                      </c:pt>
                      <c:pt idx="2613">
                        <c:v>26130</c:v>
                      </c:pt>
                      <c:pt idx="2614">
                        <c:v>26140</c:v>
                      </c:pt>
                      <c:pt idx="2615">
                        <c:v>26150</c:v>
                      </c:pt>
                      <c:pt idx="2616">
                        <c:v>26160</c:v>
                      </c:pt>
                      <c:pt idx="2617">
                        <c:v>26170</c:v>
                      </c:pt>
                      <c:pt idx="2618">
                        <c:v>26180</c:v>
                      </c:pt>
                      <c:pt idx="2619">
                        <c:v>26190</c:v>
                      </c:pt>
                      <c:pt idx="2620">
                        <c:v>26200</c:v>
                      </c:pt>
                      <c:pt idx="2621">
                        <c:v>26210</c:v>
                      </c:pt>
                      <c:pt idx="2622">
                        <c:v>26220</c:v>
                      </c:pt>
                      <c:pt idx="2623">
                        <c:v>26230</c:v>
                      </c:pt>
                      <c:pt idx="2624">
                        <c:v>26240</c:v>
                      </c:pt>
                      <c:pt idx="2625">
                        <c:v>26250</c:v>
                      </c:pt>
                      <c:pt idx="2626">
                        <c:v>26260</c:v>
                      </c:pt>
                      <c:pt idx="2627">
                        <c:v>26270</c:v>
                      </c:pt>
                      <c:pt idx="2628">
                        <c:v>26280</c:v>
                      </c:pt>
                      <c:pt idx="2629">
                        <c:v>26290</c:v>
                      </c:pt>
                      <c:pt idx="2630">
                        <c:v>26300</c:v>
                      </c:pt>
                      <c:pt idx="2631">
                        <c:v>26310</c:v>
                      </c:pt>
                      <c:pt idx="2632">
                        <c:v>26320</c:v>
                      </c:pt>
                      <c:pt idx="2633">
                        <c:v>26330</c:v>
                      </c:pt>
                      <c:pt idx="2634">
                        <c:v>26340</c:v>
                      </c:pt>
                      <c:pt idx="2635">
                        <c:v>26350</c:v>
                      </c:pt>
                      <c:pt idx="2636">
                        <c:v>26360</c:v>
                      </c:pt>
                      <c:pt idx="2637">
                        <c:v>26370</c:v>
                      </c:pt>
                      <c:pt idx="2638">
                        <c:v>26380</c:v>
                      </c:pt>
                      <c:pt idx="2639">
                        <c:v>26390</c:v>
                      </c:pt>
                      <c:pt idx="2640">
                        <c:v>26400</c:v>
                      </c:pt>
                      <c:pt idx="2641">
                        <c:v>26410</c:v>
                      </c:pt>
                      <c:pt idx="2642">
                        <c:v>26420</c:v>
                      </c:pt>
                      <c:pt idx="2643">
                        <c:v>26430</c:v>
                      </c:pt>
                      <c:pt idx="2644">
                        <c:v>26440</c:v>
                      </c:pt>
                      <c:pt idx="2645">
                        <c:v>26450</c:v>
                      </c:pt>
                      <c:pt idx="2646">
                        <c:v>26460</c:v>
                      </c:pt>
                      <c:pt idx="2647">
                        <c:v>26470</c:v>
                      </c:pt>
                      <c:pt idx="2648">
                        <c:v>26480</c:v>
                      </c:pt>
                      <c:pt idx="2649">
                        <c:v>26490</c:v>
                      </c:pt>
                      <c:pt idx="2650">
                        <c:v>26500</c:v>
                      </c:pt>
                      <c:pt idx="2651">
                        <c:v>26510</c:v>
                      </c:pt>
                      <c:pt idx="2652">
                        <c:v>26520</c:v>
                      </c:pt>
                      <c:pt idx="2653">
                        <c:v>26530</c:v>
                      </c:pt>
                      <c:pt idx="2654">
                        <c:v>26540</c:v>
                      </c:pt>
                      <c:pt idx="2655">
                        <c:v>26550</c:v>
                      </c:pt>
                      <c:pt idx="2656">
                        <c:v>26560</c:v>
                      </c:pt>
                      <c:pt idx="2657">
                        <c:v>26570</c:v>
                      </c:pt>
                      <c:pt idx="2658">
                        <c:v>26580</c:v>
                      </c:pt>
                      <c:pt idx="2659">
                        <c:v>26590</c:v>
                      </c:pt>
                      <c:pt idx="2660">
                        <c:v>26600</c:v>
                      </c:pt>
                      <c:pt idx="2661">
                        <c:v>26610</c:v>
                      </c:pt>
                      <c:pt idx="2662">
                        <c:v>26620</c:v>
                      </c:pt>
                      <c:pt idx="2663">
                        <c:v>26630</c:v>
                      </c:pt>
                      <c:pt idx="2664">
                        <c:v>26640</c:v>
                      </c:pt>
                      <c:pt idx="2665">
                        <c:v>26650</c:v>
                      </c:pt>
                      <c:pt idx="2666">
                        <c:v>26660</c:v>
                      </c:pt>
                      <c:pt idx="2667">
                        <c:v>26670</c:v>
                      </c:pt>
                      <c:pt idx="2668">
                        <c:v>26680</c:v>
                      </c:pt>
                      <c:pt idx="2669">
                        <c:v>26690</c:v>
                      </c:pt>
                      <c:pt idx="2670">
                        <c:v>26700</c:v>
                      </c:pt>
                      <c:pt idx="2671">
                        <c:v>26710</c:v>
                      </c:pt>
                      <c:pt idx="2672">
                        <c:v>26720</c:v>
                      </c:pt>
                      <c:pt idx="2673">
                        <c:v>26730</c:v>
                      </c:pt>
                      <c:pt idx="2674">
                        <c:v>26740</c:v>
                      </c:pt>
                      <c:pt idx="2675">
                        <c:v>26750</c:v>
                      </c:pt>
                      <c:pt idx="2676">
                        <c:v>26760</c:v>
                      </c:pt>
                      <c:pt idx="2677">
                        <c:v>26770</c:v>
                      </c:pt>
                      <c:pt idx="2678">
                        <c:v>26780</c:v>
                      </c:pt>
                      <c:pt idx="2679">
                        <c:v>26790</c:v>
                      </c:pt>
                      <c:pt idx="2680">
                        <c:v>26800</c:v>
                      </c:pt>
                      <c:pt idx="2681">
                        <c:v>26810</c:v>
                      </c:pt>
                      <c:pt idx="2682">
                        <c:v>26820</c:v>
                      </c:pt>
                      <c:pt idx="2683">
                        <c:v>26830</c:v>
                      </c:pt>
                      <c:pt idx="2684">
                        <c:v>26840</c:v>
                      </c:pt>
                      <c:pt idx="2685">
                        <c:v>26850</c:v>
                      </c:pt>
                      <c:pt idx="2686">
                        <c:v>26860</c:v>
                      </c:pt>
                      <c:pt idx="2687">
                        <c:v>26870</c:v>
                      </c:pt>
                      <c:pt idx="2688">
                        <c:v>26880</c:v>
                      </c:pt>
                      <c:pt idx="2689">
                        <c:v>26890</c:v>
                      </c:pt>
                      <c:pt idx="2690">
                        <c:v>26900</c:v>
                      </c:pt>
                      <c:pt idx="2691">
                        <c:v>26910</c:v>
                      </c:pt>
                      <c:pt idx="2692">
                        <c:v>26920</c:v>
                      </c:pt>
                      <c:pt idx="2693">
                        <c:v>26930</c:v>
                      </c:pt>
                      <c:pt idx="2694">
                        <c:v>26940</c:v>
                      </c:pt>
                      <c:pt idx="2695">
                        <c:v>26950</c:v>
                      </c:pt>
                      <c:pt idx="2696">
                        <c:v>26960</c:v>
                      </c:pt>
                      <c:pt idx="2697">
                        <c:v>26970</c:v>
                      </c:pt>
                      <c:pt idx="2698">
                        <c:v>26980</c:v>
                      </c:pt>
                      <c:pt idx="2699">
                        <c:v>26990</c:v>
                      </c:pt>
                      <c:pt idx="2700">
                        <c:v>27000</c:v>
                      </c:pt>
                      <c:pt idx="2701">
                        <c:v>27010</c:v>
                      </c:pt>
                      <c:pt idx="2702">
                        <c:v>27020</c:v>
                      </c:pt>
                      <c:pt idx="2703">
                        <c:v>27030</c:v>
                      </c:pt>
                      <c:pt idx="2704">
                        <c:v>27040</c:v>
                      </c:pt>
                      <c:pt idx="2705">
                        <c:v>27050</c:v>
                      </c:pt>
                      <c:pt idx="2706">
                        <c:v>27060</c:v>
                      </c:pt>
                      <c:pt idx="2707">
                        <c:v>27070</c:v>
                      </c:pt>
                      <c:pt idx="2708">
                        <c:v>27080</c:v>
                      </c:pt>
                      <c:pt idx="2709">
                        <c:v>27090</c:v>
                      </c:pt>
                      <c:pt idx="2710">
                        <c:v>27100</c:v>
                      </c:pt>
                      <c:pt idx="2711">
                        <c:v>27110</c:v>
                      </c:pt>
                      <c:pt idx="2712">
                        <c:v>27120</c:v>
                      </c:pt>
                      <c:pt idx="2713">
                        <c:v>27130</c:v>
                      </c:pt>
                      <c:pt idx="2714">
                        <c:v>27140</c:v>
                      </c:pt>
                      <c:pt idx="2715">
                        <c:v>27150</c:v>
                      </c:pt>
                      <c:pt idx="2716">
                        <c:v>27160</c:v>
                      </c:pt>
                      <c:pt idx="2717">
                        <c:v>27170</c:v>
                      </c:pt>
                      <c:pt idx="2718">
                        <c:v>27180</c:v>
                      </c:pt>
                      <c:pt idx="2719">
                        <c:v>27190</c:v>
                      </c:pt>
                      <c:pt idx="2720">
                        <c:v>27200</c:v>
                      </c:pt>
                      <c:pt idx="2721">
                        <c:v>27210</c:v>
                      </c:pt>
                      <c:pt idx="2722">
                        <c:v>27220</c:v>
                      </c:pt>
                      <c:pt idx="2723">
                        <c:v>27230</c:v>
                      </c:pt>
                      <c:pt idx="2724">
                        <c:v>27240</c:v>
                      </c:pt>
                      <c:pt idx="2725">
                        <c:v>27250</c:v>
                      </c:pt>
                      <c:pt idx="2726">
                        <c:v>27260</c:v>
                      </c:pt>
                      <c:pt idx="2727">
                        <c:v>27270</c:v>
                      </c:pt>
                      <c:pt idx="2728">
                        <c:v>27280</c:v>
                      </c:pt>
                      <c:pt idx="2729">
                        <c:v>27290</c:v>
                      </c:pt>
                      <c:pt idx="2730">
                        <c:v>27300</c:v>
                      </c:pt>
                      <c:pt idx="2731">
                        <c:v>27310</c:v>
                      </c:pt>
                      <c:pt idx="2732">
                        <c:v>27320</c:v>
                      </c:pt>
                      <c:pt idx="2733">
                        <c:v>27330</c:v>
                      </c:pt>
                      <c:pt idx="2734">
                        <c:v>27340</c:v>
                      </c:pt>
                      <c:pt idx="2735">
                        <c:v>27350</c:v>
                      </c:pt>
                      <c:pt idx="2736">
                        <c:v>27360</c:v>
                      </c:pt>
                      <c:pt idx="2737">
                        <c:v>27370</c:v>
                      </c:pt>
                      <c:pt idx="2738">
                        <c:v>27380</c:v>
                      </c:pt>
                      <c:pt idx="2739">
                        <c:v>27390</c:v>
                      </c:pt>
                      <c:pt idx="2740">
                        <c:v>27400</c:v>
                      </c:pt>
                      <c:pt idx="2741">
                        <c:v>27410</c:v>
                      </c:pt>
                      <c:pt idx="2742">
                        <c:v>27420</c:v>
                      </c:pt>
                      <c:pt idx="2743">
                        <c:v>27430</c:v>
                      </c:pt>
                      <c:pt idx="2744">
                        <c:v>27440</c:v>
                      </c:pt>
                      <c:pt idx="2745">
                        <c:v>27450</c:v>
                      </c:pt>
                      <c:pt idx="2746">
                        <c:v>27460</c:v>
                      </c:pt>
                      <c:pt idx="2747">
                        <c:v>27470</c:v>
                      </c:pt>
                      <c:pt idx="2748">
                        <c:v>27480</c:v>
                      </c:pt>
                      <c:pt idx="2749">
                        <c:v>27490</c:v>
                      </c:pt>
                      <c:pt idx="2750">
                        <c:v>27500</c:v>
                      </c:pt>
                      <c:pt idx="2751">
                        <c:v>27510</c:v>
                      </c:pt>
                      <c:pt idx="2752">
                        <c:v>27520</c:v>
                      </c:pt>
                      <c:pt idx="2753">
                        <c:v>27530</c:v>
                      </c:pt>
                      <c:pt idx="2754">
                        <c:v>27540</c:v>
                      </c:pt>
                      <c:pt idx="2755">
                        <c:v>27550</c:v>
                      </c:pt>
                      <c:pt idx="2756">
                        <c:v>27560</c:v>
                      </c:pt>
                      <c:pt idx="2757">
                        <c:v>27570</c:v>
                      </c:pt>
                      <c:pt idx="2758">
                        <c:v>27580</c:v>
                      </c:pt>
                      <c:pt idx="2759">
                        <c:v>27590</c:v>
                      </c:pt>
                      <c:pt idx="2760">
                        <c:v>27600</c:v>
                      </c:pt>
                      <c:pt idx="2761">
                        <c:v>27610</c:v>
                      </c:pt>
                      <c:pt idx="2762">
                        <c:v>27620</c:v>
                      </c:pt>
                      <c:pt idx="2763">
                        <c:v>27630</c:v>
                      </c:pt>
                      <c:pt idx="2764">
                        <c:v>27640</c:v>
                      </c:pt>
                      <c:pt idx="2765">
                        <c:v>27650</c:v>
                      </c:pt>
                      <c:pt idx="2766">
                        <c:v>27660</c:v>
                      </c:pt>
                      <c:pt idx="2767">
                        <c:v>27670</c:v>
                      </c:pt>
                      <c:pt idx="2768">
                        <c:v>27680</c:v>
                      </c:pt>
                      <c:pt idx="2769">
                        <c:v>27690</c:v>
                      </c:pt>
                      <c:pt idx="2770">
                        <c:v>27700</c:v>
                      </c:pt>
                      <c:pt idx="2771">
                        <c:v>27710</c:v>
                      </c:pt>
                      <c:pt idx="2772">
                        <c:v>27720</c:v>
                      </c:pt>
                      <c:pt idx="2773">
                        <c:v>27730</c:v>
                      </c:pt>
                      <c:pt idx="2774">
                        <c:v>27740</c:v>
                      </c:pt>
                      <c:pt idx="2775">
                        <c:v>27750</c:v>
                      </c:pt>
                      <c:pt idx="2776">
                        <c:v>27760</c:v>
                      </c:pt>
                      <c:pt idx="2777">
                        <c:v>27770</c:v>
                      </c:pt>
                      <c:pt idx="2778">
                        <c:v>27780</c:v>
                      </c:pt>
                      <c:pt idx="2779">
                        <c:v>27790</c:v>
                      </c:pt>
                      <c:pt idx="2780">
                        <c:v>27800</c:v>
                      </c:pt>
                      <c:pt idx="2781">
                        <c:v>27810</c:v>
                      </c:pt>
                      <c:pt idx="2782">
                        <c:v>27820</c:v>
                      </c:pt>
                      <c:pt idx="2783">
                        <c:v>27830</c:v>
                      </c:pt>
                      <c:pt idx="2784">
                        <c:v>27840</c:v>
                      </c:pt>
                      <c:pt idx="2785">
                        <c:v>27850</c:v>
                      </c:pt>
                      <c:pt idx="2786">
                        <c:v>27860</c:v>
                      </c:pt>
                      <c:pt idx="2787">
                        <c:v>27870</c:v>
                      </c:pt>
                      <c:pt idx="2788">
                        <c:v>27880</c:v>
                      </c:pt>
                      <c:pt idx="2789">
                        <c:v>27890</c:v>
                      </c:pt>
                      <c:pt idx="2790">
                        <c:v>27900</c:v>
                      </c:pt>
                      <c:pt idx="2791">
                        <c:v>27910</c:v>
                      </c:pt>
                      <c:pt idx="2792">
                        <c:v>27920</c:v>
                      </c:pt>
                      <c:pt idx="2793">
                        <c:v>27930</c:v>
                      </c:pt>
                      <c:pt idx="2794">
                        <c:v>27940</c:v>
                      </c:pt>
                      <c:pt idx="2795">
                        <c:v>27950</c:v>
                      </c:pt>
                      <c:pt idx="2796">
                        <c:v>27960</c:v>
                      </c:pt>
                      <c:pt idx="2797">
                        <c:v>27970</c:v>
                      </c:pt>
                      <c:pt idx="2798">
                        <c:v>27980</c:v>
                      </c:pt>
                      <c:pt idx="2799">
                        <c:v>27990</c:v>
                      </c:pt>
                      <c:pt idx="2800">
                        <c:v>28000</c:v>
                      </c:pt>
                      <c:pt idx="2801">
                        <c:v>28010</c:v>
                      </c:pt>
                      <c:pt idx="2802">
                        <c:v>28020</c:v>
                      </c:pt>
                      <c:pt idx="2803">
                        <c:v>28030</c:v>
                      </c:pt>
                      <c:pt idx="2804">
                        <c:v>28040</c:v>
                      </c:pt>
                      <c:pt idx="2805">
                        <c:v>28050</c:v>
                      </c:pt>
                      <c:pt idx="2806">
                        <c:v>28060</c:v>
                      </c:pt>
                      <c:pt idx="2807">
                        <c:v>28070</c:v>
                      </c:pt>
                      <c:pt idx="2808">
                        <c:v>28080</c:v>
                      </c:pt>
                      <c:pt idx="2809">
                        <c:v>28090</c:v>
                      </c:pt>
                      <c:pt idx="2810">
                        <c:v>28100</c:v>
                      </c:pt>
                      <c:pt idx="2811">
                        <c:v>28110</c:v>
                      </c:pt>
                      <c:pt idx="2812">
                        <c:v>28120</c:v>
                      </c:pt>
                      <c:pt idx="2813">
                        <c:v>28130</c:v>
                      </c:pt>
                      <c:pt idx="2814">
                        <c:v>28140</c:v>
                      </c:pt>
                      <c:pt idx="2815">
                        <c:v>28150</c:v>
                      </c:pt>
                      <c:pt idx="2816">
                        <c:v>28160</c:v>
                      </c:pt>
                      <c:pt idx="2817">
                        <c:v>28170</c:v>
                      </c:pt>
                      <c:pt idx="2818">
                        <c:v>28180</c:v>
                      </c:pt>
                      <c:pt idx="2819">
                        <c:v>28190</c:v>
                      </c:pt>
                      <c:pt idx="2820">
                        <c:v>28200</c:v>
                      </c:pt>
                      <c:pt idx="2821">
                        <c:v>28210</c:v>
                      </c:pt>
                      <c:pt idx="2822">
                        <c:v>28220</c:v>
                      </c:pt>
                      <c:pt idx="2823">
                        <c:v>28230</c:v>
                      </c:pt>
                      <c:pt idx="2824">
                        <c:v>28240</c:v>
                      </c:pt>
                      <c:pt idx="2825">
                        <c:v>28250</c:v>
                      </c:pt>
                      <c:pt idx="2826">
                        <c:v>28260</c:v>
                      </c:pt>
                      <c:pt idx="2827">
                        <c:v>28270</c:v>
                      </c:pt>
                      <c:pt idx="2828">
                        <c:v>28280</c:v>
                      </c:pt>
                      <c:pt idx="2829">
                        <c:v>28290</c:v>
                      </c:pt>
                      <c:pt idx="2830">
                        <c:v>28300</c:v>
                      </c:pt>
                      <c:pt idx="2831">
                        <c:v>28310</c:v>
                      </c:pt>
                      <c:pt idx="2832">
                        <c:v>28320</c:v>
                      </c:pt>
                      <c:pt idx="2833">
                        <c:v>28330</c:v>
                      </c:pt>
                      <c:pt idx="2834">
                        <c:v>28340</c:v>
                      </c:pt>
                      <c:pt idx="2835">
                        <c:v>28350</c:v>
                      </c:pt>
                      <c:pt idx="2836">
                        <c:v>28360</c:v>
                      </c:pt>
                      <c:pt idx="2837">
                        <c:v>28370</c:v>
                      </c:pt>
                      <c:pt idx="2838">
                        <c:v>28380</c:v>
                      </c:pt>
                      <c:pt idx="2839">
                        <c:v>28390</c:v>
                      </c:pt>
                      <c:pt idx="2840">
                        <c:v>28400</c:v>
                      </c:pt>
                      <c:pt idx="2841">
                        <c:v>28410</c:v>
                      </c:pt>
                      <c:pt idx="2842">
                        <c:v>28420</c:v>
                      </c:pt>
                      <c:pt idx="2843">
                        <c:v>28430</c:v>
                      </c:pt>
                      <c:pt idx="2844">
                        <c:v>28440</c:v>
                      </c:pt>
                      <c:pt idx="2845">
                        <c:v>28450</c:v>
                      </c:pt>
                      <c:pt idx="2846">
                        <c:v>28460</c:v>
                      </c:pt>
                      <c:pt idx="2847">
                        <c:v>28470</c:v>
                      </c:pt>
                      <c:pt idx="2848">
                        <c:v>28480</c:v>
                      </c:pt>
                      <c:pt idx="2849">
                        <c:v>28490</c:v>
                      </c:pt>
                      <c:pt idx="2850">
                        <c:v>28500</c:v>
                      </c:pt>
                      <c:pt idx="2851">
                        <c:v>28510</c:v>
                      </c:pt>
                      <c:pt idx="2852">
                        <c:v>28520</c:v>
                      </c:pt>
                      <c:pt idx="2853">
                        <c:v>28530</c:v>
                      </c:pt>
                      <c:pt idx="2854">
                        <c:v>28540</c:v>
                      </c:pt>
                      <c:pt idx="2855">
                        <c:v>28550</c:v>
                      </c:pt>
                      <c:pt idx="2856">
                        <c:v>28560</c:v>
                      </c:pt>
                      <c:pt idx="2857">
                        <c:v>28570</c:v>
                      </c:pt>
                      <c:pt idx="2858">
                        <c:v>28580</c:v>
                      </c:pt>
                      <c:pt idx="2859">
                        <c:v>28590</c:v>
                      </c:pt>
                      <c:pt idx="2860">
                        <c:v>28600</c:v>
                      </c:pt>
                      <c:pt idx="2861">
                        <c:v>28610</c:v>
                      </c:pt>
                      <c:pt idx="2862">
                        <c:v>28620</c:v>
                      </c:pt>
                      <c:pt idx="2863">
                        <c:v>28630</c:v>
                      </c:pt>
                      <c:pt idx="2864">
                        <c:v>28640</c:v>
                      </c:pt>
                      <c:pt idx="2865">
                        <c:v>28650</c:v>
                      </c:pt>
                      <c:pt idx="2866">
                        <c:v>28660</c:v>
                      </c:pt>
                      <c:pt idx="2867">
                        <c:v>28670</c:v>
                      </c:pt>
                      <c:pt idx="2868">
                        <c:v>28680</c:v>
                      </c:pt>
                      <c:pt idx="2869">
                        <c:v>28690</c:v>
                      </c:pt>
                      <c:pt idx="2870">
                        <c:v>28700</c:v>
                      </c:pt>
                      <c:pt idx="2871">
                        <c:v>28710</c:v>
                      </c:pt>
                      <c:pt idx="2872">
                        <c:v>28720</c:v>
                      </c:pt>
                      <c:pt idx="2873">
                        <c:v>28730</c:v>
                      </c:pt>
                      <c:pt idx="2874">
                        <c:v>28740</c:v>
                      </c:pt>
                      <c:pt idx="2875">
                        <c:v>28750</c:v>
                      </c:pt>
                      <c:pt idx="2876">
                        <c:v>28760</c:v>
                      </c:pt>
                      <c:pt idx="2877">
                        <c:v>28770</c:v>
                      </c:pt>
                      <c:pt idx="2878">
                        <c:v>28780</c:v>
                      </c:pt>
                      <c:pt idx="2879">
                        <c:v>28790</c:v>
                      </c:pt>
                      <c:pt idx="2880">
                        <c:v>28800</c:v>
                      </c:pt>
                      <c:pt idx="2881">
                        <c:v>28810</c:v>
                      </c:pt>
                      <c:pt idx="2882">
                        <c:v>28820</c:v>
                      </c:pt>
                      <c:pt idx="2883">
                        <c:v>28830</c:v>
                      </c:pt>
                      <c:pt idx="2884">
                        <c:v>28840</c:v>
                      </c:pt>
                      <c:pt idx="2885">
                        <c:v>28850</c:v>
                      </c:pt>
                      <c:pt idx="2886">
                        <c:v>28860</c:v>
                      </c:pt>
                      <c:pt idx="2887">
                        <c:v>28870</c:v>
                      </c:pt>
                      <c:pt idx="2888">
                        <c:v>28880</c:v>
                      </c:pt>
                      <c:pt idx="2889">
                        <c:v>28890</c:v>
                      </c:pt>
                      <c:pt idx="2890">
                        <c:v>28900</c:v>
                      </c:pt>
                      <c:pt idx="2891">
                        <c:v>28910</c:v>
                      </c:pt>
                      <c:pt idx="2892">
                        <c:v>28920</c:v>
                      </c:pt>
                      <c:pt idx="2893">
                        <c:v>28930</c:v>
                      </c:pt>
                      <c:pt idx="2894">
                        <c:v>28940</c:v>
                      </c:pt>
                      <c:pt idx="2895">
                        <c:v>28950</c:v>
                      </c:pt>
                      <c:pt idx="2896">
                        <c:v>28960</c:v>
                      </c:pt>
                      <c:pt idx="2897">
                        <c:v>28970</c:v>
                      </c:pt>
                      <c:pt idx="2898">
                        <c:v>28980</c:v>
                      </c:pt>
                      <c:pt idx="2899">
                        <c:v>28990</c:v>
                      </c:pt>
                      <c:pt idx="2900">
                        <c:v>29000</c:v>
                      </c:pt>
                      <c:pt idx="2901">
                        <c:v>29010</c:v>
                      </c:pt>
                      <c:pt idx="2902">
                        <c:v>29020</c:v>
                      </c:pt>
                      <c:pt idx="2903">
                        <c:v>29030</c:v>
                      </c:pt>
                      <c:pt idx="2904">
                        <c:v>29040</c:v>
                      </c:pt>
                      <c:pt idx="2905">
                        <c:v>29050</c:v>
                      </c:pt>
                      <c:pt idx="2906">
                        <c:v>29060</c:v>
                      </c:pt>
                      <c:pt idx="2907">
                        <c:v>29070</c:v>
                      </c:pt>
                      <c:pt idx="2908">
                        <c:v>29080</c:v>
                      </c:pt>
                      <c:pt idx="2909">
                        <c:v>29090</c:v>
                      </c:pt>
                      <c:pt idx="2910">
                        <c:v>29100</c:v>
                      </c:pt>
                      <c:pt idx="2911">
                        <c:v>29110</c:v>
                      </c:pt>
                      <c:pt idx="2912">
                        <c:v>29120</c:v>
                      </c:pt>
                      <c:pt idx="2913">
                        <c:v>29130</c:v>
                      </c:pt>
                      <c:pt idx="2914">
                        <c:v>29140</c:v>
                      </c:pt>
                      <c:pt idx="2915">
                        <c:v>29150</c:v>
                      </c:pt>
                      <c:pt idx="2916">
                        <c:v>29160</c:v>
                      </c:pt>
                      <c:pt idx="2917">
                        <c:v>29170</c:v>
                      </c:pt>
                      <c:pt idx="2918">
                        <c:v>29180</c:v>
                      </c:pt>
                      <c:pt idx="2919">
                        <c:v>29190</c:v>
                      </c:pt>
                      <c:pt idx="2920">
                        <c:v>29200</c:v>
                      </c:pt>
                      <c:pt idx="2921">
                        <c:v>29210</c:v>
                      </c:pt>
                      <c:pt idx="2922">
                        <c:v>29220</c:v>
                      </c:pt>
                      <c:pt idx="2923">
                        <c:v>29230</c:v>
                      </c:pt>
                      <c:pt idx="2924">
                        <c:v>29240</c:v>
                      </c:pt>
                      <c:pt idx="2925">
                        <c:v>29250</c:v>
                      </c:pt>
                      <c:pt idx="2926">
                        <c:v>29260</c:v>
                      </c:pt>
                      <c:pt idx="2927">
                        <c:v>29270</c:v>
                      </c:pt>
                      <c:pt idx="2928">
                        <c:v>29280</c:v>
                      </c:pt>
                      <c:pt idx="2929">
                        <c:v>29290</c:v>
                      </c:pt>
                      <c:pt idx="2930">
                        <c:v>29300</c:v>
                      </c:pt>
                      <c:pt idx="2931">
                        <c:v>29310</c:v>
                      </c:pt>
                      <c:pt idx="2932">
                        <c:v>29320</c:v>
                      </c:pt>
                      <c:pt idx="2933">
                        <c:v>29330</c:v>
                      </c:pt>
                      <c:pt idx="2934">
                        <c:v>29340</c:v>
                      </c:pt>
                      <c:pt idx="2935">
                        <c:v>29350</c:v>
                      </c:pt>
                      <c:pt idx="2936">
                        <c:v>29360</c:v>
                      </c:pt>
                      <c:pt idx="2937">
                        <c:v>29370</c:v>
                      </c:pt>
                      <c:pt idx="2938">
                        <c:v>29380</c:v>
                      </c:pt>
                      <c:pt idx="2939">
                        <c:v>29390</c:v>
                      </c:pt>
                      <c:pt idx="2940">
                        <c:v>29400</c:v>
                      </c:pt>
                      <c:pt idx="2941">
                        <c:v>29410</c:v>
                      </c:pt>
                      <c:pt idx="2942">
                        <c:v>29420</c:v>
                      </c:pt>
                      <c:pt idx="2943">
                        <c:v>29430</c:v>
                      </c:pt>
                      <c:pt idx="2944">
                        <c:v>29440</c:v>
                      </c:pt>
                      <c:pt idx="2945">
                        <c:v>29450</c:v>
                      </c:pt>
                      <c:pt idx="2946">
                        <c:v>29460</c:v>
                      </c:pt>
                      <c:pt idx="2947">
                        <c:v>29470</c:v>
                      </c:pt>
                      <c:pt idx="2948">
                        <c:v>29480</c:v>
                      </c:pt>
                      <c:pt idx="2949">
                        <c:v>29490</c:v>
                      </c:pt>
                      <c:pt idx="2950">
                        <c:v>29500</c:v>
                      </c:pt>
                      <c:pt idx="2951">
                        <c:v>29510</c:v>
                      </c:pt>
                      <c:pt idx="2952">
                        <c:v>29520</c:v>
                      </c:pt>
                      <c:pt idx="2953">
                        <c:v>29530</c:v>
                      </c:pt>
                      <c:pt idx="2954">
                        <c:v>29540</c:v>
                      </c:pt>
                      <c:pt idx="2955">
                        <c:v>29550</c:v>
                      </c:pt>
                      <c:pt idx="2956">
                        <c:v>29560</c:v>
                      </c:pt>
                      <c:pt idx="2957">
                        <c:v>29570</c:v>
                      </c:pt>
                      <c:pt idx="2958">
                        <c:v>29580</c:v>
                      </c:pt>
                      <c:pt idx="2959">
                        <c:v>29590</c:v>
                      </c:pt>
                      <c:pt idx="2960">
                        <c:v>29600</c:v>
                      </c:pt>
                      <c:pt idx="2961">
                        <c:v>29610</c:v>
                      </c:pt>
                      <c:pt idx="2962">
                        <c:v>29620</c:v>
                      </c:pt>
                      <c:pt idx="2963">
                        <c:v>29630</c:v>
                      </c:pt>
                      <c:pt idx="2964">
                        <c:v>29640</c:v>
                      </c:pt>
                      <c:pt idx="2965">
                        <c:v>29650</c:v>
                      </c:pt>
                      <c:pt idx="2966">
                        <c:v>29660</c:v>
                      </c:pt>
                      <c:pt idx="2967">
                        <c:v>29670</c:v>
                      </c:pt>
                      <c:pt idx="2968">
                        <c:v>29680</c:v>
                      </c:pt>
                      <c:pt idx="2969">
                        <c:v>29690</c:v>
                      </c:pt>
                      <c:pt idx="2970">
                        <c:v>29700</c:v>
                      </c:pt>
                      <c:pt idx="2971">
                        <c:v>29710</c:v>
                      </c:pt>
                      <c:pt idx="2972">
                        <c:v>29720</c:v>
                      </c:pt>
                      <c:pt idx="2973">
                        <c:v>29730</c:v>
                      </c:pt>
                      <c:pt idx="2974">
                        <c:v>29740</c:v>
                      </c:pt>
                      <c:pt idx="2975">
                        <c:v>29750</c:v>
                      </c:pt>
                      <c:pt idx="2976">
                        <c:v>29760</c:v>
                      </c:pt>
                      <c:pt idx="2977">
                        <c:v>29770</c:v>
                      </c:pt>
                      <c:pt idx="2978">
                        <c:v>29780</c:v>
                      </c:pt>
                      <c:pt idx="2979">
                        <c:v>29790</c:v>
                      </c:pt>
                      <c:pt idx="2980">
                        <c:v>29800</c:v>
                      </c:pt>
                      <c:pt idx="2981">
                        <c:v>29810</c:v>
                      </c:pt>
                      <c:pt idx="2982">
                        <c:v>29820</c:v>
                      </c:pt>
                      <c:pt idx="2983">
                        <c:v>29830</c:v>
                      </c:pt>
                      <c:pt idx="2984">
                        <c:v>29840</c:v>
                      </c:pt>
                      <c:pt idx="2985">
                        <c:v>29850</c:v>
                      </c:pt>
                      <c:pt idx="2986">
                        <c:v>29860</c:v>
                      </c:pt>
                      <c:pt idx="2987">
                        <c:v>29870</c:v>
                      </c:pt>
                      <c:pt idx="2988">
                        <c:v>29880</c:v>
                      </c:pt>
                      <c:pt idx="2989">
                        <c:v>29890</c:v>
                      </c:pt>
                      <c:pt idx="2990">
                        <c:v>29900</c:v>
                      </c:pt>
                      <c:pt idx="2991">
                        <c:v>29910</c:v>
                      </c:pt>
                      <c:pt idx="2992">
                        <c:v>29920</c:v>
                      </c:pt>
                      <c:pt idx="2993">
                        <c:v>29930</c:v>
                      </c:pt>
                      <c:pt idx="2994">
                        <c:v>29940</c:v>
                      </c:pt>
                      <c:pt idx="2995">
                        <c:v>29950</c:v>
                      </c:pt>
                      <c:pt idx="2996">
                        <c:v>29960</c:v>
                      </c:pt>
                      <c:pt idx="2997">
                        <c:v>29970</c:v>
                      </c:pt>
                      <c:pt idx="2998">
                        <c:v>29980</c:v>
                      </c:pt>
                      <c:pt idx="2999">
                        <c:v>29990</c:v>
                      </c:pt>
                      <c:pt idx="3000">
                        <c:v>30000</c:v>
                      </c:pt>
                      <c:pt idx="3001">
                        <c:v>30010</c:v>
                      </c:pt>
                      <c:pt idx="3002">
                        <c:v>30020</c:v>
                      </c:pt>
                      <c:pt idx="3003">
                        <c:v>30030</c:v>
                      </c:pt>
                      <c:pt idx="3004">
                        <c:v>30040</c:v>
                      </c:pt>
                      <c:pt idx="3005">
                        <c:v>30050</c:v>
                      </c:pt>
                      <c:pt idx="3006">
                        <c:v>30060</c:v>
                      </c:pt>
                      <c:pt idx="3007">
                        <c:v>30070</c:v>
                      </c:pt>
                      <c:pt idx="3008">
                        <c:v>30080</c:v>
                      </c:pt>
                      <c:pt idx="3009">
                        <c:v>30090</c:v>
                      </c:pt>
                      <c:pt idx="3010">
                        <c:v>30100</c:v>
                      </c:pt>
                      <c:pt idx="3011">
                        <c:v>30110</c:v>
                      </c:pt>
                      <c:pt idx="3012">
                        <c:v>30120</c:v>
                      </c:pt>
                      <c:pt idx="3013">
                        <c:v>30130</c:v>
                      </c:pt>
                      <c:pt idx="3014">
                        <c:v>30140</c:v>
                      </c:pt>
                      <c:pt idx="3015">
                        <c:v>30150</c:v>
                      </c:pt>
                      <c:pt idx="3016">
                        <c:v>30160</c:v>
                      </c:pt>
                      <c:pt idx="3017">
                        <c:v>30170</c:v>
                      </c:pt>
                      <c:pt idx="3018">
                        <c:v>30180</c:v>
                      </c:pt>
                      <c:pt idx="3019">
                        <c:v>30190</c:v>
                      </c:pt>
                      <c:pt idx="3020">
                        <c:v>30200</c:v>
                      </c:pt>
                      <c:pt idx="3021">
                        <c:v>30210</c:v>
                      </c:pt>
                      <c:pt idx="3022">
                        <c:v>30220</c:v>
                      </c:pt>
                      <c:pt idx="3023">
                        <c:v>30230</c:v>
                      </c:pt>
                      <c:pt idx="3024">
                        <c:v>30240</c:v>
                      </c:pt>
                      <c:pt idx="3025">
                        <c:v>30250</c:v>
                      </c:pt>
                      <c:pt idx="3026">
                        <c:v>30260</c:v>
                      </c:pt>
                      <c:pt idx="3027">
                        <c:v>30270</c:v>
                      </c:pt>
                      <c:pt idx="3028">
                        <c:v>30280</c:v>
                      </c:pt>
                      <c:pt idx="3029">
                        <c:v>30290</c:v>
                      </c:pt>
                      <c:pt idx="3030">
                        <c:v>30300</c:v>
                      </c:pt>
                      <c:pt idx="3031">
                        <c:v>30310</c:v>
                      </c:pt>
                      <c:pt idx="3032">
                        <c:v>30320</c:v>
                      </c:pt>
                      <c:pt idx="3033">
                        <c:v>30330</c:v>
                      </c:pt>
                      <c:pt idx="3034">
                        <c:v>30340</c:v>
                      </c:pt>
                      <c:pt idx="3035">
                        <c:v>30350</c:v>
                      </c:pt>
                      <c:pt idx="3036">
                        <c:v>30360</c:v>
                      </c:pt>
                      <c:pt idx="3037">
                        <c:v>30370</c:v>
                      </c:pt>
                      <c:pt idx="3038">
                        <c:v>30380</c:v>
                      </c:pt>
                      <c:pt idx="3039">
                        <c:v>30390</c:v>
                      </c:pt>
                      <c:pt idx="3040">
                        <c:v>30400</c:v>
                      </c:pt>
                      <c:pt idx="3041">
                        <c:v>30410</c:v>
                      </c:pt>
                      <c:pt idx="3042">
                        <c:v>30420</c:v>
                      </c:pt>
                      <c:pt idx="3043">
                        <c:v>30430</c:v>
                      </c:pt>
                      <c:pt idx="3044">
                        <c:v>30440</c:v>
                      </c:pt>
                      <c:pt idx="3045">
                        <c:v>30450</c:v>
                      </c:pt>
                      <c:pt idx="3046">
                        <c:v>30460</c:v>
                      </c:pt>
                      <c:pt idx="3047">
                        <c:v>30470</c:v>
                      </c:pt>
                      <c:pt idx="3048">
                        <c:v>30480</c:v>
                      </c:pt>
                      <c:pt idx="3049">
                        <c:v>30490</c:v>
                      </c:pt>
                      <c:pt idx="3050">
                        <c:v>30500</c:v>
                      </c:pt>
                      <c:pt idx="3051">
                        <c:v>30510</c:v>
                      </c:pt>
                      <c:pt idx="3052">
                        <c:v>30520</c:v>
                      </c:pt>
                      <c:pt idx="3053">
                        <c:v>30530</c:v>
                      </c:pt>
                      <c:pt idx="3054">
                        <c:v>30540</c:v>
                      </c:pt>
                      <c:pt idx="3055">
                        <c:v>30550</c:v>
                      </c:pt>
                      <c:pt idx="3056">
                        <c:v>30560</c:v>
                      </c:pt>
                      <c:pt idx="3057">
                        <c:v>30570</c:v>
                      </c:pt>
                      <c:pt idx="3058">
                        <c:v>30580</c:v>
                      </c:pt>
                      <c:pt idx="3059">
                        <c:v>30590</c:v>
                      </c:pt>
                      <c:pt idx="3060">
                        <c:v>30600</c:v>
                      </c:pt>
                      <c:pt idx="3061">
                        <c:v>30610</c:v>
                      </c:pt>
                      <c:pt idx="3062">
                        <c:v>30620</c:v>
                      </c:pt>
                      <c:pt idx="3063">
                        <c:v>30630</c:v>
                      </c:pt>
                      <c:pt idx="3064">
                        <c:v>30640</c:v>
                      </c:pt>
                      <c:pt idx="3065">
                        <c:v>30650</c:v>
                      </c:pt>
                      <c:pt idx="3066">
                        <c:v>30660</c:v>
                      </c:pt>
                      <c:pt idx="3067">
                        <c:v>30670</c:v>
                      </c:pt>
                      <c:pt idx="3068">
                        <c:v>30680</c:v>
                      </c:pt>
                      <c:pt idx="3069">
                        <c:v>30690</c:v>
                      </c:pt>
                      <c:pt idx="3070">
                        <c:v>30700</c:v>
                      </c:pt>
                      <c:pt idx="3071">
                        <c:v>30710</c:v>
                      </c:pt>
                      <c:pt idx="3072">
                        <c:v>30720</c:v>
                      </c:pt>
                      <c:pt idx="3073">
                        <c:v>30730</c:v>
                      </c:pt>
                      <c:pt idx="3074">
                        <c:v>30740</c:v>
                      </c:pt>
                      <c:pt idx="3075">
                        <c:v>30750</c:v>
                      </c:pt>
                      <c:pt idx="3076">
                        <c:v>30760</c:v>
                      </c:pt>
                      <c:pt idx="3077">
                        <c:v>30770</c:v>
                      </c:pt>
                      <c:pt idx="3078">
                        <c:v>30780</c:v>
                      </c:pt>
                      <c:pt idx="3079">
                        <c:v>30790</c:v>
                      </c:pt>
                      <c:pt idx="3080">
                        <c:v>30800</c:v>
                      </c:pt>
                      <c:pt idx="3081">
                        <c:v>30810</c:v>
                      </c:pt>
                      <c:pt idx="3082">
                        <c:v>30820</c:v>
                      </c:pt>
                      <c:pt idx="3083">
                        <c:v>30830</c:v>
                      </c:pt>
                      <c:pt idx="3084">
                        <c:v>30840</c:v>
                      </c:pt>
                      <c:pt idx="3085">
                        <c:v>30850</c:v>
                      </c:pt>
                      <c:pt idx="3086">
                        <c:v>30860</c:v>
                      </c:pt>
                      <c:pt idx="3087">
                        <c:v>30870</c:v>
                      </c:pt>
                      <c:pt idx="3088">
                        <c:v>30880</c:v>
                      </c:pt>
                      <c:pt idx="3089">
                        <c:v>30890</c:v>
                      </c:pt>
                      <c:pt idx="3090">
                        <c:v>30900</c:v>
                      </c:pt>
                      <c:pt idx="3091">
                        <c:v>30910</c:v>
                      </c:pt>
                      <c:pt idx="3092">
                        <c:v>30920</c:v>
                      </c:pt>
                      <c:pt idx="3093">
                        <c:v>30930</c:v>
                      </c:pt>
                      <c:pt idx="3094">
                        <c:v>30940</c:v>
                      </c:pt>
                      <c:pt idx="3095">
                        <c:v>30950</c:v>
                      </c:pt>
                      <c:pt idx="3096">
                        <c:v>30960</c:v>
                      </c:pt>
                      <c:pt idx="3097">
                        <c:v>30970</c:v>
                      </c:pt>
                      <c:pt idx="3098">
                        <c:v>30980</c:v>
                      </c:pt>
                      <c:pt idx="3099">
                        <c:v>30990</c:v>
                      </c:pt>
                      <c:pt idx="3100">
                        <c:v>31000</c:v>
                      </c:pt>
                      <c:pt idx="3101">
                        <c:v>31010</c:v>
                      </c:pt>
                      <c:pt idx="3102">
                        <c:v>31020</c:v>
                      </c:pt>
                      <c:pt idx="3103">
                        <c:v>31030</c:v>
                      </c:pt>
                      <c:pt idx="3104">
                        <c:v>31040</c:v>
                      </c:pt>
                      <c:pt idx="3105">
                        <c:v>31050</c:v>
                      </c:pt>
                      <c:pt idx="3106">
                        <c:v>31060</c:v>
                      </c:pt>
                      <c:pt idx="3107">
                        <c:v>31070</c:v>
                      </c:pt>
                      <c:pt idx="3108">
                        <c:v>31080</c:v>
                      </c:pt>
                      <c:pt idx="3109">
                        <c:v>31090</c:v>
                      </c:pt>
                      <c:pt idx="3110">
                        <c:v>31100</c:v>
                      </c:pt>
                      <c:pt idx="3111">
                        <c:v>31110</c:v>
                      </c:pt>
                      <c:pt idx="3112">
                        <c:v>31120</c:v>
                      </c:pt>
                      <c:pt idx="3113">
                        <c:v>31130</c:v>
                      </c:pt>
                      <c:pt idx="3114">
                        <c:v>31140</c:v>
                      </c:pt>
                      <c:pt idx="3115">
                        <c:v>31150</c:v>
                      </c:pt>
                      <c:pt idx="3116">
                        <c:v>31160</c:v>
                      </c:pt>
                      <c:pt idx="3117">
                        <c:v>31170</c:v>
                      </c:pt>
                      <c:pt idx="3118">
                        <c:v>31180</c:v>
                      </c:pt>
                      <c:pt idx="3119">
                        <c:v>31190</c:v>
                      </c:pt>
                      <c:pt idx="3120">
                        <c:v>31200</c:v>
                      </c:pt>
                      <c:pt idx="3121">
                        <c:v>31210</c:v>
                      </c:pt>
                      <c:pt idx="3122">
                        <c:v>31220</c:v>
                      </c:pt>
                      <c:pt idx="3123">
                        <c:v>31230</c:v>
                      </c:pt>
                      <c:pt idx="3124">
                        <c:v>31240</c:v>
                      </c:pt>
                      <c:pt idx="3125">
                        <c:v>31250</c:v>
                      </c:pt>
                      <c:pt idx="3126">
                        <c:v>31260</c:v>
                      </c:pt>
                      <c:pt idx="3127">
                        <c:v>31270</c:v>
                      </c:pt>
                      <c:pt idx="3128">
                        <c:v>31280</c:v>
                      </c:pt>
                      <c:pt idx="3129">
                        <c:v>31290</c:v>
                      </c:pt>
                      <c:pt idx="3130">
                        <c:v>31300</c:v>
                      </c:pt>
                      <c:pt idx="3131">
                        <c:v>31310</c:v>
                      </c:pt>
                      <c:pt idx="3132">
                        <c:v>31320</c:v>
                      </c:pt>
                      <c:pt idx="3133">
                        <c:v>31330</c:v>
                      </c:pt>
                      <c:pt idx="3134">
                        <c:v>31340</c:v>
                      </c:pt>
                      <c:pt idx="3135">
                        <c:v>31350</c:v>
                      </c:pt>
                      <c:pt idx="3136">
                        <c:v>31360</c:v>
                      </c:pt>
                      <c:pt idx="3137">
                        <c:v>31370</c:v>
                      </c:pt>
                      <c:pt idx="3138">
                        <c:v>31380</c:v>
                      </c:pt>
                      <c:pt idx="3139">
                        <c:v>31390</c:v>
                      </c:pt>
                      <c:pt idx="3140">
                        <c:v>31400</c:v>
                      </c:pt>
                      <c:pt idx="3141">
                        <c:v>31410</c:v>
                      </c:pt>
                      <c:pt idx="3142">
                        <c:v>31420</c:v>
                      </c:pt>
                      <c:pt idx="3143">
                        <c:v>31430</c:v>
                      </c:pt>
                      <c:pt idx="3144">
                        <c:v>31440</c:v>
                      </c:pt>
                      <c:pt idx="3145">
                        <c:v>31450</c:v>
                      </c:pt>
                      <c:pt idx="3146">
                        <c:v>31460</c:v>
                      </c:pt>
                      <c:pt idx="3147">
                        <c:v>31470</c:v>
                      </c:pt>
                      <c:pt idx="3148">
                        <c:v>31480</c:v>
                      </c:pt>
                      <c:pt idx="3149">
                        <c:v>31490</c:v>
                      </c:pt>
                      <c:pt idx="3150">
                        <c:v>31500</c:v>
                      </c:pt>
                      <c:pt idx="3151">
                        <c:v>31510</c:v>
                      </c:pt>
                      <c:pt idx="3152">
                        <c:v>31520</c:v>
                      </c:pt>
                      <c:pt idx="3153">
                        <c:v>31530</c:v>
                      </c:pt>
                      <c:pt idx="3154">
                        <c:v>31540</c:v>
                      </c:pt>
                      <c:pt idx="3155">
                        <c:v>31550</c:v>
                      </c:pt>
                      <c:pt idx="3156">
                        <c:v>31560</c:v>
                      </c:pt>
                      <c:pt idx="3157">
                        <c:v>31570</c:v>
                      </c:pt>
                      <c:pt idx="3158">
                        <c:v>31580</c:v>
                      </c:pt>
                      <c:pt idx="3159">
                        <c:v>31590</c:v>
                      </c:pt>
                      <c:pt idx="3160">
                        <c:v>31600</c:v>
                      </c:pt>
                      <c:pt idx="3161">
                        <c:v>31610</c:v>
                      </c:pt>
                      <c:pt idx="3162">
                        <c:v>31620</c:v>
                      </c:pt>
                      <c:pt idx="3163">
                        <c:v>31630</c:v>
                      </c:pt>
                      <c:pt idx="3164">
                        <c:v>31640</c:v>
                      </c:pt>
                      <c:pt idx="3165">
                        <c:v>31650</c:v>
                      </c:pt>
                      <c:pt idx="3166">
                        <c:v>31660</c:v>
                      </c:pt>
                      <c:pt idx="3167">
                        <c:v>31670</c:v>
                      </c:pt>
                      <c:pt idx="3168">
                        <c:v>31680</c:v>
                      </c:pt>
                      <c:pt idx="3169">
                        <c:v>31690</c:v>
                      </c:pt>
                      <c:pt idx="3170">
                        <c:v>31700</c:v>
                      </c:pt>
                      <c:pt idx="3171">
                        <c:v>31710</c:v>
                      </c:pt>
                      <c:pt idx="3172">
                        <c:v>31720</c:v>
                      </c:pt>
                      <c:pt idx="3173">
                        <c:v>31730</c:v>
                      </c:pt>
                      <c:pt idx="3174">
                        <c:v>31740</c:v>
                      </c:pt>
                      <c:pt idx="3175">
                        <c:v>31750</c:v>
                      </c:pt>
                      <c:pt idx="3176">
                        <c:v>31760</c:v>
                      </c:pt>
                      <c:pt idx="3177">
                        <c:v>31770</c:v>
                      </c:pt>
                      <c:pt idx="3178">
                        <c:v>31780</c:v>
                      </c:pt>
                      <c:pt idx="3179">
                        <c:v>31790</c:v>
                      </c:pt>
                      <c:pt idx="3180">
                        <c:v>31800</c:v>
                      </c:pt>
                      <c:pt idx="3181">
                        <c:v>31810</c:v>
                      </c:pt>
                      <c:pt idx="3182">
                        <c:v>31820</c:v>
                      </c:pt>
                      <c:pt idx="3183">
                        <c:v>31830</c:v>
                      </c:pt>
                      <c:pt idx="3184">
                        <c:v>31840</c:v>
                      </c:pt>
                      <c:pt idx="3185">
                        <c:v>31850</c:v>
                      </c:pt>
                      <c:pt idx="3186">
                        <c:v>31860</c:v>
                      </c:pt>
                      <c:pt idx="3187">
                        <c:v>31870</c:v>
                      </c:pt>
                      <c:pt idx="3188">
                        <c:v>31880</c:v>
                      </c:pt>
                      <c:pt idx="3189">
                        <c:v>31890</c:v>
                      </c:pt>
                      <c:pt idx="3190">
                        <c:v>31900</c:v>
                      </c:pt>
                      <c:pt idx="3191">
                        <c:v>31910</c:v>
                      </c:pt>
                      <c:pt idx="3192">
                        <c:v>31920</c:v>
                      </c:pt>
                      <c:pt idx="3193">
                        <c:v>31930</c:v>
                      </c:pt>
                      <c:pt idx="3194">
                        <c:v>31940</c:v>
                      </c:pt>
                      <c:pt idx="3195">
                        <c:v>31950</c:v>
                      </c:pt>
                      <c:pt idx="3196">
                        <c:v>31960</c:v>
                      </c:pt>
                      <c:pt idx="3197">
                        <c:v>31970</c:v>
                      </c:pt>
                      <c:pt idx="3198">
                        <c:v>31980</c:v>
                      </c:pt>
                      <c:pt idx="3199">
                        <c:v>31990</c:v>
                      </c:pt>
                      <c:pt idx="3200">
                        <c:v>32000</c:v>
                      </c:pt>
                      <c:pt idx="3201">
                        <c:v>32010</c:v>
                      </c:pt>
                      <c:pt idx="3202">
                        <c:v>32020</c:v>
                      </c:pt>
                      <c:pt idx="3203">
                        <c:v>32030</c:v>
                      </c:pt>
                      <c:pt idx="3204">
                        <c:v>32040</c:v>
                      </c:pt>
                      <c:pt idx="3205">
                        <c:v>32050</c:v>
                      </c:pt>
                      <c:pt idx="3206">
                        <c:v>32060</c:v>
                      </c:pt>
                      <c:pt idx="3207">
                        <c:v>32070</c:v>
                      </c:pt>
                      <c:pt idx="3208">
                        <c:v>32080</c:v>
                      </c:pt>
                      <c:pt idx="3209">
                        <c:v>32090</c:v>
                      </c:pt>
                      <c:pt idx="3210">
                        <c:v>32100</c:v>
                      </c:pt>
                      <c:pt idx="3211">
                        <c:v>32110</c:v>
                      </c:pt>
                      <c:pt idx="3212">
                        <c:v>32120</c:v>
                      </c:pt>
                      <c:pt idx="3213">
                        <c:v>32130</c:v>
                      </c:pt>
                      <c:pt idx="3214">
                        <c:v>32140</c:v>
                      </c:pt>
                      <c:pt idx="3215">
                        <c:v>32150</c:v>
                      </c:pt>
                      <c:pt idx="3216">
                        <c:v>32160</c:v>
                      </c:pt>
                      <c:pt idx="3217">
                        <c:v>32170</c:v>
                      </c:pt>
                      <c:pt idx="3218">
                        <c:v>32180</c:v>
                      </c:pt>
                      <c:pt idx="3219">
                        <c:v>32190</c:v>
                      </c:pt>
                      <c:pt idx="3220">
                        <c:v>32200</c:v>
                      </c:pt>
                      <c:pt idx="3221">
                        <c:v>32210</c:v>
                      </c:pt>
                      <c:pt idx="3222">
                        <c:v>32220</c:v>
                      </c:pt>
                      <c:pt idx="3223">
                        <c:v>32230</c:v>
                      </c:pt>
                      <c:pt idx="3224">
                        <c:v>32240</c:v>
                      </c:pt>
                      <c:pt idx="3225">
                        <c:v>32250</c:v>
                      </c:pt>
                      <c:pt idx="3226">
                        <c:v>32260</c:v>
                      </c:pt>
                      <c:pt idx="3227">
                        <c:v>32270</c:v>
                      </c:pt>
                      <c:pt idx="3228">
                        <c:v>32280</c:v>
                      </c:pt>
                      <c:pt idx="3229">
                        <c:v>32290</c:v>
                      </c:pt>
                      <c:pt idx="3230">
                        <c:v>32300</c:v>
                      </c:pt>
                      <c:pt idx="3231">
                        <c:v>32310</c:v>
                      </c:pt>
                      <c:pt idx="3232">
                        <c:v>32320</c:v>
                      </c:pt>
                      <c:pt idx="3233">
                        <c:v>32330</c:v>
                      </c:pt>
                      <c:pt idx="3234">
                        <c:v>32340</c:v>
                      </c:pt>
                      <c:pt idx="3235">
                        <c:v>32350</c:v>
                      </c:pt>
                      <c:pt idx="3236">
                        <c:v>32360</c:v>
                      </c:pt>
                      <c:pt idx="3237">
                        <c:v>32370</c:v>
                      </c:pt>
                      <c:pt idx="3238">
                        <c:v>32380</c:v>
                      </c:pt>
                      <c:pt idx="3239">
                        <c:v>32390</c:v>
                      </c:pt>
                      <c:pt idx="3240">
                        <c:v>32400</c:v>
                      </c:pt>
                      <c:pt idx="3241">
                        <c:v>32410</c:v>
                      </c:pt>
                      <c:pt idx="3242">
                        <c:v>32420</c:v>
                      </c:pt>
                      <c:pt idx="3243">
                        <c:v>32430</c:v>
                      </c:pt>
                      <c:pt idx="3244">
                        <c:v>32440</c:v>
                      </c:pt>
                      <c:pt idx="3245">
                        <c:v>32450</c:v>
                      </c:pt>
                      <c:pt idx="3246">
                        <c:v>32460</c:v>
                      </c:pt>
                      <c:pt idx="3247">
                        <c:v>32470</c:v>
                      </c:pt>
                      <c:pt idx="3248">
                        <c:v>32480</c:v>
                      </c:pt>
                      <c:pt idx="3249">
                        <c:v>32490</c:v>
                      </c:pt>
                      <c:pt idx="3250">
                        <c:v>32500</c:v>
                      </c:pt>
                      <c:pt idx="3251">
                        <c:v>32510</c:v>
                      </c:pt>
                      <c:pt idx="3252">
                        <c:v>32520</c:v>
                      </c:pt>
                      <c:pt idx="3253">
                        <c:v>32530</c:v>
                      </c:pt>
                      <c:pt idx="3254">
                        <c:v>32540</c:v>
                      </c:pt>
                      <c:pt idx="3255">
                        <c:v>32550</c:v>
                      </c:pt>
                      <c:pt idx="3256">
                        <c:v>32560</c:v>
                      </c:pt>
                      <c:pt idx="3257">
                        <c:v>32570</c:v>
                      </c:pt>
                      <c:pt idx="3258">
                        <c:v>32580</c:v>
                      </c:pt>
                      <c:pt idx="3259">
                        <c:v>32590</c:v>
                      </c:pt>
                      <c:pt idx="3260">
                        <c:v>32600</c:v>
                      </c:pt>
                      <c:pt idx="3261">
                        <c:v>32610</c:v>
                      </c:pt>
                      <c:pt idx="3262">
                        <c:v>32620</c:v>
                      </c:pt>
                      <c:pt idx="3263">
                        <c:v>32630</c:v>
                      </c:pt>
                      <c:pt idx="3264">
                        <c:v>32640</c:v>
                      </c:pt>
                      <c:pt idx="3265">
                        <c:v>32650</c:v>
                      </c:pt>
                      <c:pt idx="3266">
                        <c:v>32660</c:v>
                      </c:pt>
                      <c:pt idx="3267">
                        <c:v>32670</c:v>
                      </c:pt>
                      <c:pt idx="3268">
                        <c:v>32680</c:v>
                      </c:pt>
                      <c:pt idx="3269">
                        <c:v>32690</c:v>
                      </c:pt>
                      <c:pt idx="3270">
                        <c:v>32700</c:v>
                      </c:pt>
                      <c:pt idx="3271">
                        <c:v>32710</c:v>
                      </c:pt>
                      <c:pt idx="3272">
                        <c:v>32720</c:v>
                      </c:pt>
                      <c:pt idx="3273">
                        <c:v>32730</c:v>
                      </c:pt>
                      <c:pt idx="3274">
                        <c:v>32740</c:v>
                      </c:pt>
                      <c:pt idx="3275">
                        <c:v>32750</c:v>
                      </c:pt>
                      <c:pt idx="3276">
                        <c:v>32760</c:v>
                      </c:pt>
                      <c:pt idx="3277">
                        <c:v>32770</c:v>
                      </c:pt>
                      <c:pt idx="3278">
                        <c:v>32780</c:v>
                      </c:pt>
                      <c:pt idx="3279">
                        <c:v>32790</c:v>
                      </c:pt>
                      <c:pt idx="3280">
                        <c:v>32800</c:v>
                      </c:pt>
                      <c:pt idx="3281">
                        <c:v>32810</c:v>
                      </c:pt>
                      <c:pt idx="3282">
                        <c:v>32820</c:v>
                      </c:pt>
                      <c:pt idx="3283">
                        <c:v>32830</c:v>
                      </c:pt>
                      <c:pt idx="3284">
                        <c:v>32840</c:v>
                      </c:pt>
                      <c:pt idx="3285">
                        <c:v>32850</c:v>
                      </c:pt>
                      <c:pt idx="3286">
                        <c:v>32860</c:v>
                      </c:pt>
                      <c:pt idx="3287">
                        <c:v>32870</c:v>
                      </c:pt>
                      <c:pt idx="3288">
                        <c:v>32880</c:v>
                      </c:pt>
                      <c:pt idx="3289">
                        <c:v>32890</c:v>
                      </c:pt>
                      <c:pt idx="3290">
                        <c:v>32900</c:v>
                      </c:pt>
                      <c:pt idx="3291">
                        <c:v>32910</c:v>
                      </c:pt>
                      <c:pt idx="3292">
                        <c:v>32920</c:v>
                      </c:pt>
                      <c:pt idx="3293">
                        <c:v>32930</c:v>
                      </c:pt>
                      <c:pt idx="3294">
                        <c:v>32940</c:v>
                      </c:pt>
                      <c:pt idx="3295">
                        <c:v>32950</c:v>
                      </c:pt>
                      <c:pt idx="3296">
                        <c:v>32960</c:v>
                      </c:pt>
                      <c:pt idx="3297">
                        <c:v>32970</c:v>
                      </c:pt>
                      <c:pt idx="3298">
                        <c:v>32980</c:v>
                      </c:pt>
                      <c:pt idx="3299">
                        <c:v>32990</c:v>
                      </c:pt>
                      <c:pt idx="3300">
                        <c:v>33000</c:v>
                      </c:pt>
                      <c:pt idx="3301">
                        <c:v>33010</c:v>
                      </c:pt>
                      <c:pt idx="3302">
                        <c:v>33020</c:v>
                      </c:pt>
                      <c:pt idx="3303">
                        <c:v>33030</c:v>
                      </c:pt>
                      <c:pt idx="3304">
                        <c:v>33040</c:v>
                      </c:pt>
                      <c:pt idx="3305">
                        <c:v>33050</c:v>
                      </c:pt>
                      <c:pt idx="3306">
                        <c:v>33060</c:v>
                      </c:pt>
                      <c:pt idx="3307">
                        <c:v>33070</c:v>
                      </c:pt>
                      <c:pt idx="3308">
                        <c:v>33080</c:v>
                      </c:pt>
                      <c:pt idx="3309">
                        <c:v>33090</c:v>
                      </c:pt>
                      <c:pt idx="3310">
                        <c:v>33100</c:v>
                      </c:pt>
                      <c:pt idx="3311">
                        <c:v>33110</c:v>
                      </c:pt>
                      <c:pt idx="3312">
                        <c:v>33120</c:v>
                      </c:pt>
                      <c:pt idx="3313">
                        <c:v>33130</c:v>
                      </c:pt>
                      <c:pt idx="3314">
                        <c:v>33140</c:v>
                      </c:pt>
                      <c:pt idx="3315">
                        <c:v>33150</c:v>
                      </c:pt>
                      <c:pt idx="3316">
                        <c:v>33160</c:v>
                      </c:pt>
                      <c:pt idx="3317">
                        <c:v>33170</c:v>
                      </c:pt>
                      <c:pt idx="3318">
                        <c:v>33180</c:v>
                      </c:pt>
                      <c:pt idx="3319">
                        <c:v>33190</c:v>
                      </c:pt>
                      <c:pt idx="3320">
                        <c:v>33200</c:v>
                      </c:pt>
                      <c:pt idx="3321">
                        <c:v>33210</c:v>
                      </c:pt>
                      <c:pt idx="3322">
                        <c:v>33220</c:v>
                      </c:pt>
                      <c:pt idx="3323">
                        <c:v>33230</c:v>
                      </c:pt>
                      <c:pt idx="3324">
                        <c:v>33240</c:v>
                      </c:pt>
                      <c:pt idx="3325">
                        <c:v>33250</c:v>
                      </c:pt>
                      <c:pt idx="3326">
                        <c:v>33260</c:v>
                      </c:pt>
                      <c:pt idx="3327">
                        <c:v>33270</c:v>
                      </c:pt>
                      <c:pt idx="3328">
                        <c:v>33280</c:v>
                      </c:pt>
                      <c:pt idx="3329">
                        <c:v>33290</c:v>
                      </c:pt>
                      <c:pt idx="3330">
                        <c:v>33300</c:v>
                      </c:pt>
                      <c:pt idx="3331">
                        <c:v>33310</c:v>
                      </c:pt>
                      <c:pt idx="3332">
                        <c:v>33320</c:v>
                      </c:pt>
                      <c:pt idx="3333">
                        <c:v>33330</c:v>
                      </c:pt>
                      <c:pt idx="3334">
                        <c:v>33340</c:v>
                      </c:pt>
                      <c:pt idx="3335">
                        <c:v>33350</c:v>
                      </c:pt>
                      <c:pt idx="3336">
                        <c:v>33360</c:v>
                      </c:pt>
                      <c:pt idx="3337">
                        <c:v>33370</c:v>
                      </c:pt>
                      <c:pt idx="3338">
                        <c:v>33380</c:v>
                      </c:pt>
                      <c:pt idx="3339">
                        <c:v>33390</c:v>
                      </c:pt>
                      <c:pt idx="3340">
                        <c:v>33400</c:v>
                      </c:pt>
                      <c:pt idx="3341">
                        <c:v>33410</c:v>
                      </c:pt>
                      <c:pt idx="3342">
                        <c:v>33420</c:v>
                      </c:pt>
                      <c:pt idx="3343">
                        <c:v>33430</c:v>
                      </c:pt>
                      <c:pt idx="3344">
                        <c:v>33440</c:v>
                      </c:pt>
                      <c:pt idx="3345">
                        <c:v>33450</c:v>
                      </c:pt>
                      <c:pt idx="3346">
                        <c:v>33460</c:v>
                      </c:pt>
                      <c:pt idx="3347">
                        <c:v>33470</c:v>
                      </c:pt>
                      <c:pt idx="3348">
                        <c:v>33480</c:v>
                      </c:pt>
                      <c:pt idx="3349">
                        <c:v>33490</c:v>
                      </c:pt>
                      <c:pt idx="3350">
                        <c:v>33500</c:v>
                      </c:pt>
                      <c:pt idx="3351">
                        <c:v>33510</c:v>
                      </c:pt>
                      <c:pt idx="3352">
                        <c:v>33520</c:v>
                      </c:pt>
                      <c:pt idx="3353">
                        <c:v>33530</c:v>
                      </c:pt>
                      <c:pt idx="3354">
                        <c:v>33540</c:v>
                      </c:pt>
                      <c:pt idx="3355">
                        <c:v>33550</c:v>
                      </c:pt>
                      <c:pt idx="3356">
                        <c:v>33560</c:v>
                      </c:pt>
                      <c:pt idx="3357">
                        <c:v>33570</c:v>
                      </c:pt>
                      <c:pt idx="3358">
                        <c:v>33580</c:v>
                      </c:pt>
                      <c:pt idx="3359">
                        <c:v>33590</c:v>
                      </c:pt>
                      <c:pt idx="3360">
                        <c:v>33600</c:v>
                      </c:pt>
                      <c:pt idx="3361">
                        <c:v>33610</c:v>
                      </c:pt>
                      <c:pt idx="3362">
                        <c:v>33620</c:v>
                      </c:pt>
                      <c:pt idx="3363">
                        <c:v>33630</c:v>
                      </c:pt>
                      <c:pt idx="3364">
                        <c:v>33640</c:v>
                      </c:pt>
                      <c:pt idx="3365">
                        <c:v>33650</c:v>
                      </c:pt>
                      <c:pt idx="3366">
                        <c:v>33660</c:v>
                      </c:pt>
                      <c:pt idx="3367">
                        <c:v>33670</c:v>
                      </c:pt>
                      <c:pt idx="3368">
                        <c:v>33680</c:v>
                      </c:pt>
                      <c:pt idx="3369">
                        <c:v>33690</c:v>
                      </c:pt>
                      <c:pt idx="3370">
                        <c:v>33700</c:v>
                      </c:pt>
                      <c:pt idx="3371">
                        <c:v>33710</c:v>
                      </c:pt>
                      <c:pt idx="3372">
                        <c:v>33720</c:v>
                      </c:pt>
                      <c:pt idx="3373">
                        <c:v>33730</c:v>
                      </c:pt>
                      <c:pt idx="3374">
                        <c:v>33740</c:v>
                      </c:pt>
                      <c:pt idx="3375">
                        <c:v>33750</c:v>
                      </c:pt>
                      <c:pt idx="3376">
                        <c:v>33760</c:v>
                      </c:pt>
                      <c:pt idx="3377">
                        <c:v>33770</c:v>
                      </c:pt>
                      <c:pt idx="3378">
                        <c:v>33780</c:v>
                      </c:pt>
                      <c:pt idx="3379">
                        <c:v>33790</c:v>
                      </c:pt>
                      <c:pt idx="3380">
                        <c:v>33800</c:v>
                      </c:pt>
                      <c:pt idx="3381">
                        <c:v>33810</c:v>
                      </c:pt>
                      <c:pt idx="3382">
                        <c:v>33820</c:v>
                      </c:pt>
                      <c:pt idx="3383">
                        <c:v>33830</c:v>
                      </c:pt>
                      <c:pt idx="3384">
                        <c:v>33840</c:v>
                      </c:pt>
                      <c:pt idx="3385">
                        <c:v>33850</c:v>
                      </c:pt>
                      <c:pt idx="3386">
                        <c:v>33860</c:v>
                      </c:pt>
                      <c:pt idx="3387">
                        <c:v>33870</c:v>
                      </c:pt>
                      <c:pt idx="3388">
                        <c:v>33880</c:v>
                      </c:pt>
                      <c:pt idx="3389">
                        <c:v>33890</c:v>
                      </c:pt>
                      <c:pt idx="3390">
                        <c:v>33900</c:v>
                      </c:pt>
                      <c:pt idx="3391">
                        <c:v>33910</c:v>
                      </c:pt>
                      <c:pt idx="3392">
                        <c:v>33920</c:v>
                      </c:pt>
                      <c:pt idx="3393">
                        <c:v>33930</c:v>
                      </c:pt>
                      <c:pt idx="3394">
                        <c:v>33940</c:v>
                      </c:pt>
                      <c:pt idx="3395">
                        <c:v>33950</c:v>
                      </c:pt>
                      <c:pt idx="3396">
                        <c:v>33960</c:v>
                      </c:pt>
                      <c:pt idx="3397">
                        <c:v>33970</c:v>
                      </c:pt>
                      <c:pt idx="3398">
                        <c:v>33980</c:v>
                      </c:pt>
                      <c:pt idx="3399">
                        <c:v>33990</c:v>
                      </c:pt>
                      <c:pt idx="3400">
                        <c:v>34000</c:v>
                      </c:pt>
                      <c:pt idx="3401">
                        <c:v>34010</c:v>
                      </c:pt>
                      <c:pt idx="3402">
                        <c:v>34020</c:v>
                      </c:pt>
                      <c:pt idx="3403">
                        <c:v>34030</c:v>
                      </c:pt>
                      <c:pt idx="3404">
                        <c:v>34040</c:v>
                      </c:pt>
                      <c:pt idx="3405">
                        <c:v>34050</c:v>
                      </c:pt>
                      <c:pt idx="3406">
                        <c:v>34060</c:v>
                      </c:pt>
                      <c:pt idx="3407">
                        <c:v>34070</c:v>
                      </c:pt>
                      <c:pt idx="3408">
                        <c:v>34080</c:v>
                      </c:pt>
                      <c:pt idx="3409">
                        <c:v>34090</c:v>
                      </c:pt>
                      <c:pt idx="3410">
                        <c:v>34100</c:v>
                      </c:pt>
                      <c:pt idx="3411">
                        <c:v>34110</c:v>
                      </c:pt>
                      <c:pt idx="3412">
                        <c:v>34120</c:v>
                      </c:pt>
                      <c:pt idx="3413">
                        <c:v>34130</c:v>
                      </c:pt>
                      <c:pt idx="3414">
                        <c:v>34140</c:v>
                      </c:pt>
                      <c:pt idx="3415">
                        <c:v>34150</c:v>
                      </c:pt>
                      <c:pt idx="3416">
                        <c:v>34160</c:v>
                      </c:pt>
                      <c:pt idx="3417">
                        <c:v>34170</c:v>
                      </c:pt>
                      <c:pt idx="3418">
                        <c:v>34180</c:v>
                      </c:pt>
                      <c:pt idx="3419">
                        <c:v>34190</c:v>
                      </c:pt>
                      <c:pt idx="3420">
                        <c:v>34200</c:v>
                      </c:pt>
                      <c:pt idx="3421">
                        <c:v>34210</c:v>
                      </c:pt>
                      <c:pt idx="3422">
                        <c:v>34220</c:v>
                      </c:pt>
                      <c:pt idx="3423">
                        <c:v>34230</c:v>
                      </c:pt>
                      <c:pt idx="3424">
                        <c:v>34240</c:v>
                      </c:pt>
                      <c:pt idx="3425">
                        <c:v>34250</c:v>
                      </c:pt>
                      <c:pt idx="3426">
                        <c:v>34260</c:v>
                      </c:pt>
                      <c:pt idx="3427">
                        <c:v>34270</c:v>
                      </c:pt>
                      <c:pt idx="3428">
                        <c:v>34280</c:v>
                      </c:pt>
                      <c:pt idx="3429">
                        <c:v>34290</c:v>
                      </c:pt>
                      <c:pt idx="3430">
                        <c:v>34300</c:v>
                      </c:pt>
                      <c:pt idx="3431">
                        <c:v>34310</c:v>
                      </c:pt>
                      <c:pt idx="3432">
                        <c:v>34320</c:v>
                      </c:pt>
                      <c:pt idx="3433">
                        <c:v>34330</c:v>
                      </c:pt>
                      <c:pt idx="3434">
                        <c:v>34340</c:v>
                      </c:pt>
                      <c:pt idx="3435">
                        <c:v>34350</c:v>
                      </c:pt>
                      <c:pt idx="3436">
                        <c:v>34360</c:v>
                      </c:pt>
                      <c:pt idx="3437">
                        <c:v>34370</c:v>
                      </c:pt>
                      <c:pt idx="3438">
                        <c:v>34380</c:v>
                      </c:pt>
                      <c:pt idx="3439">
                        <c:v>34390</c:v>
                      </c:pt>
                      <c:pt idx="3440">
                        <c:v>34400</c:v>
                      </c:pt>
                      <c:pt idx="3441">
                        <c:v>34410</c:v>
                      </c:pt>
                      <c:pt idx="3442">
                        <c:v>34420</c:v>
                      </c:pt>
                      <c:pt idx="3443">
                        <c:v>34430</c:v>
                      </c:pt>
                      <c:pt idx="3444">
                        <c:v>34440</c:v>
                      </c:pt>
                      <c:pt idx="3445">
                        <c:v>34450</c:v>
                      </c:pt>
                      <c:pt idx="3446">
                        <c:v>34460</c:v>
                      </c:pt>
                      <c:pt idx="3447">
                        <c:v>34470</c:v>
                      </c:pt>
                      <c:pt idx="3448">
                        <c:v>34480</c:v>
                      </c:pt>
                      <c:pt idx="3449">
                        <c:v>34490</c:v>
                      </c:pt>
                      <c:pt idx="3450">
                        <c:v>34500</c:v>
                      </c:pt>
                      <c:pt idx="3451">
                        <c:v>34510</c:v>
                      </c:pt>
                      <c:pt idx="3452">
                        <c:v>34520</c:v>
                      </c:pt>
                      <c:pt idx="3453">
                        <c:v>34530</c:v>
                      </c:pt>
                      <c:pt idx="3454">
                        <c:v>34540</c:v>
                      </c:pt>
                      <c:pt idx="3455">
                        <c:v>34550</c:v>
                      </c:pt>
                      <c:pt idx="3456">
                        <c:v>34560</c:v>
                      </c:pt>
                      <c:pt idx="3457">
                        <c:v>34570</c:v>
                      </c:pt>
                      <c:pt idx="3458">
                        <c:v>34580</c:v>
                      </c:pt>
                      <c:pt idx="3459">
                        <c:v>34590</c:v>
                      </c:pt>
                      <c:pt idx="3460">
                        <c:v>34600</c:v>
                      </c:pt>
                      <c:pt idx="3461">
                        <c:v>34610</c:v>
                      </c:pt>
                      <c:pt idx="3462">
                        <c:v>34620</c:v>
                      </c:pt>
                      <c:pt idx="3463">
                        <c:v>34630</c:v>
                      </c:pt>
                      <c:pt idx="3464">
                        <c:v>34640</c:v>
                      </c:pt>
                      <c:pt idx="3465">
                        <c:v>34650</c:v>
                      </c:pt>
                      <c:pt idx="3466">
                        <c:v>34660</c:v>
                      </c:pt>
                      <c:pt idx="3467">
                        <c:v>34670</c:v>
                      </c:pt>
                      <c:pt idx="3468">
                        <c:v>34680</c:v>
                      </c:pt>
                      <c:pt idx="3469">
                        <c:v>34690</c:v>
                      </c:pt>
                      <c:pt idx="3470">
                        <c:v>34700</c:v>
                      </c:pt>
                      <c:pt idx="3471">
                        <c:v>34710</c:v>
                      </c:pt>
                      <c:pt idx="3472">
                        <c:v>34720</c:v>
                      </c:pt>
                      <c:pt idx="3473">
                        <c:v>34730</c:v>
                      </c:pt>
                      <c:pt idx="3474">
                        <c:v>34740</c:v>
                      </c:pt>
                      <c:pt idx="3475">
                        <c:v>34750</c:v>
                      </c:pt>
                      <c:pt idx="3476">
                        <c:v>34760</c:v>
                      </c:pt>
                      <c:pt idx="3477">
                        <c:v>34770</c:v>
                      </c:pt>
                      <c:pt idx="3478">
                        <c:v>34780</c:v>
                      </c:pt>
                      <c:pt idx="3479">
                        <c:v>34790</c:v>
                      </c:pt>
                      <c:pt idx="3480">
                        <c:v>34800</c:v>
                      </c:pt>
                      <c:pt idx="3481">
                        <c:v>34810</c:v>
                      </c:pt>
                      <c:pt idx="3482">
                        <c:v>34820</c:v>
                      </c:pt>
                      <c:pt idx="3483">
                        <c:v>34830</c:v>
                      </c:pt>
                      <c:pt idx="3484">
                        <c:v>34840</c:v>
                      </c:pt>
                      <c:pt idx="3485">
                        <c:v>34850</c:v>
                      </c:pt>
                      <c:pt idx="3486">
                        <c:v>34860</c:v>
                      </c:pt>
                      <c:pt idx="3487">
                        <c:v>34870</c:v>
                      </c:pt>
                      <c:pt idx="3488">
                        <c:v>34880</c:v>
                      </c:pt>
                      <c:pt idx="3489">
                        <c:v>34890</c:v>
                      </c:pt>
                      <c:pt idx="3490">
                        <c:v>34900</c:v>
                      </c:pt>
                      <c:pt idx="3491">
                        <c:v>34910</c:v>
                      </c:pt>
                      <c:pt idx="3492">
                        <c:v>34920</c:v>
                      </c:pt>
                      <c:pt idx="3493">
                        <c:v>34930</c:v>
                      </c:pt>
                      <c:pt idx="3494">
                        <c:v>34940</c:v>
                      </c:pt>
                      <c:pt idx="3495">
                        <c:v>34950</c:v>
                      </c:pt>
                      <c:pt idx="3496">
                        <c:v>34960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[1]geomorph!$C$2:$C$3499</c15:sqref>
                        </c15:formulaRef>
                      </c:ext>
                    </c:extLst>
                    <c:numCache>
                      <c:formatCode>General</c:formatCode>
                      <c:ptCount val="3498"/>
                      <c:pt idx="0">
                        <c:v>114.944</c:v>
                      </c:pt>
                      <c:pt idx="1">
                        <c:v>114.944</c:v>
                      </c:pt>
                      <c:pt idx="2">
                        <c:v>114.943</c:v>
                      </c:pt>
                      <c:pt idx="3">
                        <c:v>114.94199999999999</c:v>
                      </c:pt>
                      <c:pt idx="4">
                        <c:v>114.94199999999999</c:v>
                      </c:pt>
                      <c:pt idx="5">
                        <c:v>114.941</c:v>
                      </c:pt>
                      <c:pt idx="6">
                        <c:v>114.94</c:v>
                      </c:pt>
                      <c:pt idx="7">
                        <c:v>114.94</c:v>
                      </c:pt>
                      <c:pt idx="8">
                        <c:v>114.93899999999999</c:v>
                      </c:pt>
                      <c:pt idx="9">
                        <c:v>114.938</c:v>
                      </c:pt>
                      <c:pt idx="10">
                        <c:v>114.938</c:v>
                      </c:pt>
                      <c:pt idx="11">
                        <c:v>114.937</c:v>
                      </c:pt>
                      <c:pt idx="12">
                        <c:v>114.93600000000001</c:v>
                      </c:pt>
                      <c:pt idx="13">
                        <c:v>114.93600000000001</c:v>
                      </c:pt>
                      <c:pt idx="14">
                        <c:v>114.935</c:v>
                      </c:pt>
                      <c:pt idx="15">
                        <c:v>114.934</c:v>
                      </c:pt>
                      <c:pt idx="16">
                        <c:v>114.934</c:v>
                      </c:pt>
                      <c:pt idx="17">
                        <c:v>114.93300000000001</c:v>
                      </c:pt>
                      <c:pt idx="18">
                        <c:v>114.932</c:v>
                      </c:pt>
                      <c:pt idx="19">
                        <c:v>114.931</c:v>
                      </c:pt>
                      <c:pt idx="20">
                        <c:v>114.931</c:v>
                      </c:pt>
                      <c:pt idx="21">
                        <c:v>114.93</c:v>
                      </c:pt>
                      <c:pt idx="22">
                        <c:v>114.929</c:v>
                      </c:pt>
                      <c:pt idx="23">
                        <c:v>114.929</c:v>
                      </c:pt>
                      <c:pt idx="24">
                        <c:v>114.928</c:v>
                      </c:pt>
                      <c:pt idx="25">
                        <c:v>114.92700000000001</c:v>
                      </c:pt>
                      <c:pt idx="26">
                        <c:v>114.926</c:v>
                      </c:pt>
                      <c:pt idx="27">
                        <c:v>114.926</c:v>
                      </c:pt>
                      <c:pt idx="28">
                        <c:v>114.925</c:v>
                      </c:pt>
                      <c:pt idx="29">
                        <c:v>114.92400000000001</c:v>
                      </c:pt>
                      <c:pt idx="30">
                        <c:v>114.923</c:v>
                      </c:pt>
                      <c:pt idx="31">
                        <c:v>114.923</c:v>
                      </c:pt>
                      <c:pt idx="32">
                        <c:v>114.922</c:v>
                      </c:pt>
                      <c:pt idx="33">
                        <c:v>114.92100000000001</c:v>
                      </c:pt>
                      <c:pt idx="34">
                        <c:v>114.92</c:v>
                      </c:pt>
                      <c:pt idx="35">
                        <c:v>114.92</c:v>
                      </c:pt>
                      <c:pt idx="36">
                        <c:v>114.919</c:v>
                      </c:pt>
                      <c:pt idx="37">
                        <c:v>114.91800000000001</c:v>
                      </c:pt>
                      <c:pt idx="38">
                        <c:v>114.917</c:v>
                      </c:pt>
                      <c:pt idx="39">
                        <c:v>114.917</c:v>
                      </c:pt>
                      <c:pt idx="40">
                        <c:v>114.916</c:v>
                      </c:pt>
                      <c:pt idx="41">
                        <c:v>114.91500000000001</c:v>
                      </c:pt>
                      <c:pt idx="42">
                        <c:v>114.914</c:v>
                      </c:pt>
                      <c:pt idx="43">
                        <c:v>114.913</c:v>
                      </c:pt>
                      <c:pt idx="44">
                        <c:v>114.91200000000001</c:v>
                      </c:pt>
                      <c:pt idx="45">
                        <c:v>114.91200000000001</c:v>
                      </c:pt>
                      <c:pt idx="46">
                        <c:v>114.911</c:v>
                      </c:pt>
                      <c:pt idx="47">
                        <c:v>114.91</c:v>
                      </c:pt>
                      <c:pt idx="48">
                        <c:v>114.90900000000001</c:v>
                      </c:pt>
                      <c:pt idx="49">
                        <c:v>114.908</c:v>
                      </c:pt>
                      <c:pt idx="50">
                        <c:v>114.908</c:v>
                      </c:pt>
                      <c:pt idx="51">
                        <c:v>114.907</c:v>
                      </c:pt>
                      <c:pt idx="52">
                        <c:v>114.90600000000001</c:v>
                      </c:pt>
                      <c:pt idx="53">
                        <c:v>114.905</c:v>
                      </c:pt>
                      <c:pt idx="54">
                        <c:v>114.904</c:v>
                      </c:pt>
                      <c:pt idx="55">
                        <c:v>114.90300000000001</c:v>
                      </c:pt>
                      <c:pt idx="56">
                        <c:v>114.902</c:v>
                      </c:pt>
                      <c:pt idx="57">
                        <c:v>114.901</c:v>
                      </c:pt>
                      <c:pt idx="58">
                        <c:v>114.901</c:v>
                      </c:pt>
                      <c:pt idx="59">
                        <c:v>114.9</c:v>
                      </c:pt>
                      <c:pt idx="60">
                        <c:v>114.899</c:v>
                      </c:pt>
                      <c:pt idx="61">
                        <c:v>114.898</c:v>
                      </c:pt>
                      <c:pt idx="62">
                        <c:v>114.89700000000001</c:v>
                      </c:pt>
                      <c:pt idx="63">
                        <c:v>114.896</c:v>
                      </c:pt>
                      <c:pt idx="64">
                        <c:v>114.895</c:v>
                      </c:pt>
                      <c:pt idx="65">
                        <c:v>114.89400000000001</c:v>
                      </c:pt>
                      <c:pt idx="66">
                        <c:v>114.893</c:v>
                      </c:pt>
                      <c:pt idx="67">
                        <c:v>114.892</c:v>
                      </c:pt>
                      <c:pt idx="68">
                        <c:v>114.89100000000001</c:v>
                      </c:pt>
                      <c:pt idx="69">
                        <c:v>114.89</c:v>
                      </c:pt>
                      <c:pt idx="70">
                        <c:v>114.89</c:v>
                      </c:pt>
                      <c:pt idx="71">
                        <c:v>114.889</c:v>
                      </c:pt>
                      <c:pt idx="72">
                        <c:v>114.88800000000001</c:v>
                      </c:pt>
                      <c:pt idx="73">
                        <c:v>114.887</c:v>
                      </c:pt>
                      <c:pt idx="74">
                        <c:v>114.886</c:v>
                      </c:pt>
                      <c:pt idx="75">
                        <c:v>114.88500000000001</c:v>
                      </c:pt>
                      <c:pt idx="76">
                        <c:v>114.884</c:v>
                      </c:pt>
                      <c:pt idx="77">
                        <c:v>114.883</c:v>
                      </c:pt>
                      <c:pt idx="78">
                        <c:v>114.88200000000001</c:v>
                      </c:pt>
                      <c:pt idx="79">
                        <c:v>114.881</c:v>
                      </c:pt>
                      <c:pt idx="80">
                        <c:v>114.88</c:v>
                      </c:pt>
                      <c:pt idx="81">
                        <c:v>114.879</c:v>
                      </c:pt>
                      <c:pt idx="82">
                        <c:v>114.878</c:v>
                      </c:pt>
                      <c:pt idx="83">
                        <c:v>114.877</c:v>
                      </c:pt>
                      <c:pt idx="84">
                        <c:v>114.876</c:v>
                      </c:pt>
                      <c:pt idx="85">
                        <c:v>114.875</c:v>
                      </c:pt>
                      <c:pt idx="86">
                        <c:v>114.874</c:v>
                      </c:pt>
                      <c:pt idx="87">
                        <c:v>114.872</c:v>
                      </c:pt>
                      <c:pt idx="88">
                        <c:v>114.871</c:v>
                      </c:pt>
                      <c:pt idx="89">
                        <c:v>114.87</c:v>
                      </c:pt>
                      <c:pt idx="90">
                        <c:v>114.869</c:v>
                      </c:pt>
                      <c:pt idx="91">
                        <c:v>114.86799999999999</c:v>
                      </c:pt>
                      <c:pt idx="92">
                        <c:v>114.867</c:v>
                      </c:pt>
                      <c:pt idx="93">
                        <c:v>114.866</c:v>
                      </c:pt>
                      <c:pt idx="94">
                        <c:v>114.86499999999999</c:v>
                      </c:pt>
                      <c:pt idx="95">
                        <c:v>114.864</c:v>
                      </c:pt>
                      <c:pt idx="96">
                        <c:v>114.863</c:v>
                      </c:pt>
                      <c:pt idx="97">
                        <c:v>114.861</c:v>
                      </c:pt>
                      <c:pt idx="98">
                        <c:v>114.86</c:v>
                      </c:pt>
                      <c:pt idx="99">
                        <c:v>114.85899999999999</c:v>
                      </c:pt>
                      <c:pt idx="100">
                        <c:v>114.858</c:v>
                      </c:pt>
                      <c:pt idx="101">
                        <c:v>114.857</c:v>
                      </c:pt>
                      <c:pt idx="102">
                        <c:v>114.85599999999999</c:v>
                      </c:pt>
                      <c:pt idx="103">
                        <c:v>114.855</c:v>
                      </c:pt>
                      <c:pt idx="104">
                        <c:v>114.85299999999999</c:v>
                      </c:pt>
                      <c:pt idx="105">
                        <c:v>114.852</c:v>
                      </c:pt>
                      <c:pt idx="106">
                        <c:v>114.851</c:v>
                      </c:pt>
                      <c:pt idx="107">
                        <c:v>114.85</c:v>
                      </c:pt>
                      <c:pt idx="108">
                        <c:v>114.848</c:v>
                      </c:pt>
                      <c:pt idx="109">
                        <c:v>114.84699999999999</c:v>
                      </c:pt>
                      <c:pt idx="110">
                        <c:v>114.846</c:v>
                      </c:pt>
                      <c:pt idx="111">
                        <c:v>114.845</c:v>
                      </c:pt>
                      <c:pt idx="112">
                        <c:v>114.843</c:v>
                      </c:pt>
                      <c:pt idx="113">
                        <c:v>114.842</c:v>
                      </c:pt>
                      <c:pt idx="114">
                        <c:v>114.84099999999999</c:v>
                      </c:pt>
                      <c:pt idx="115">
                        <c:v>114.84</c:v>
                      </c:pt>
                      <c:pt idx="116">
                        <c:v>114.83799999999999</c:v>
                      </c:pt>
                      <c:pt idx="117">
                        <c:v>114.837</c:v>
                      </c:pt>
                      <c:pt idx="118">
                        <c:v>114.836</c:v>
                      </c:pt>
                      <c:pt idx="119">
                        <c:v>114.834</c:v>
                      </c:pt>
                      <c:pt idx="120">
                        <c:v>114.833</c:v>
                      </c:pt>
                      <c:pt idx="121">
                        <c:v>114.83199999999999</c:v>
                      </c:pt>
                      <c:pt idx="122">
                        <c:v>114.83</c:v>
                      </c:pt>
                      <c:pt idx="123">
                        <c:v>114.82899999999999</c:v>
                      </c:pt>
                      <c:pt idx="124">
                        <c:v>114.827</c:v>
                      </c:pt>
                      <c:pt idx="125">
                        <c:v>114.82599999999999</c:v>
                      </c:pt>
                      <c:pt idx="126">
                        <c:v>114.825</c:v>
                      </c:pt>
                      <c:pt idx="127">
                        <c:v>114.82299999999999</c:v>
                      </c:pt>
                      <c:pt idx="128">
                        <c:v>114.822</c:v>
                      </c:pt>
                      <c:pt idx="129">
                        <c:v>114.82</c:v>
                      </c:pt>
                      <c:pt idx="130">
                        <c:v>114.819</c:v>
                      </c:pt>
                      <c:pt idx="131">
                        <c:v>114.81699999999999</c:v>
                      </c:pt>
                      <c:pt idx="132">
                        <c:v>114.816</c:v>
                      </c:pt>
                      <c:pt idx="133">
                        <c:v>114.81399999999999</c:v>
                      </c:pt>
                      <c:pt idx="134">
                        <c:v>114.813</c:v>
                      </c:pt>
                      <c:pt idx="135">
                        <c:v>114.81100000000001</c:v>
                      </c:pt>
                      <c:pt idx="136">
                        <c:v>114.81</c:v>
                      </c:pt>
                      <c:pt idx="137">
                        <c:v>114.80800000000001</c:v>
                      </c:pt>
                      <c:pt idx="138">
                        <c:v>114.806</c:v>
                      </c:pt>
                      <c:pt idx="139">
                        <c:v>114.80500000000001</c:v>
                      </c:pt>
                      <c:pt idx="140">
                        <c:v>114.803</c:v>
                      </c:pt>
                      <c:pt idx="141">
                        <c:v>114.80200000000001</c:v>
                      </c:pt>
                      <c:pt idx="142">
                        <c:v>114.8</c:v>
                      </c:pt>
                      <c:pt idx="143">
                        <c:v>114.798</c:v>
                      </c:pt>
                      <c:pt idx="144">
                        <c:v>114.797</c:v>
                      </c:pt>
                      <c:pt idx="145">
                        <c:v>114.795</c:v>
                      </c:pt>
                      <c:pt idx="146">
                        <c:v>114.79300000000001</c:v>
                      </c:pt>
                      <c:pt idx="147">
                        <c:v>114.792</c:v>
                      </c:pt>
                      <c:pt idx="148">
                        <c:v>114.79</c:v>
                      </c:pt>
                      <c:pt idx="149">
                        <c:v>114.788</c:v>
                      </c:pt>
                      <c:pt idx="150">
                        <c:v>114.786</c:v>
                      </c:pt>
                      <c:pt idx="151">
                        <c:v>114.78400000000001</c:v>
                      </c:pt>
                      <c:pt idx="152">
                        <c:v>114.783</c:v>
                      </c:pt>
                      <c:pt idx="153">
                        <c:v>114.78100000000001</c:v>
                      </c:pt>
                      <c:pt idx="154">
                        <c:v>114.779</c:v>
                      </c:pt>
                      <c:pt idx="155">
                        <c:v>114.777</c:v>
                      </c:pt>
                      <c:pt idx="156">
                        <c:v>114.77500000000001</c:v>
                      </c:pt>
                      <c:pt idx="157">
                        <c:v>114.773</c:v>
                      </c:pt>
                      <c:pt idx="158">
                        <c:v>114.771</c:v>
                      </c:pt>
                      <c:pt idx="159">
                        <c:v>114.76900000000001</c:v>
                      </c:pt>
                      <c:pt idx="160">
                        <c:v>114.767</c:v>
                      </c:pt>
                      <c:pt idx="161">
                        <c:v>114.765</c:v>
                      </c:pt>
                      <c:pt idx="162">
                        <c:v>114.76300000000001</c:v>
                      </c:pt>
                      <c:pt idx="163">
                        <c:v>114.761</c:v>
                      </c:pt>
                      <c:pt idx="164">
                        <c:v>114.759</c:v>
                      </c:pt>
                      <c:pt idx="165">
                        <c:v>114.75700000000001</c:v>
                      </c:pt>
                      <c:pt idx="166">
                        <c:v>114.755</c:v>
                      </c:pt>
                      <c:pt idx="167">
                        <c:v>114.753</c:v>
                      </c:pt>
                      <c:pt idx="168">
                        <c:v>114.751</c:v>
                      </c:pt>
                      <c:pt idx="169">
                        <c:v>114.749</c:v>
                      </c:pt>
                      <c:pt idx="170">
                        <c:v>114.747</c:v>
                      </c:pt>
                      <c:pt idx="171">
                        <c:v>114.744</c:v>
                      </c:pt>
                      <c:pt idx="172">
                        <c:v>114.742</c:v>
                      </c:pt>
                      <c:pt idx="173">
                        <c:v>114.74</c:v>
                      </c:pt>
                      <c:pt idx="174">
                        <c:v>114.738</c:v>
                      </c:pt>
                      <c:pt idx="175">
                        <c:v>114.736</c:v>
                      </c:pt>
                      <c:pt idx="176">
                        <c:v>114.73399999999999</c:v>
                      </c:pt>
                      <c:pt idx="177">
                        <c:v>114.73099999999999</c:v>
                      </c:pt>
                      <c:pt idx="178">
                        <c:v>114.729</c:v>
                      </c:pt>
                      <c:pt idx="179">
                        <c:v>114.727</c:v>
                      </c:pt>
                      <c:pt idx="180">
                        <c:v>114.72499999999999</c:v>
                      </c:pt>
                      <c:pt idx="181">
                        <c:v>114.723</c:v>
                      </c:pt>
                      <c:pt idx="182">
                        <c:v>114.721</c:v>
                      </c:pt>
                      <c:pt idx="183">
                        <c:v>114.71899999999999</c:v>
                      </c:pt>
                      <c:pt idx="184">
                        <c:v>114.717</c:v>
                      </c:pt>
                      <c:pt idx="185">
                        <c:v>114.714</c:v>
                      </c:pt>
                      <c:pt idx="186">
                        <c:v>114.712</c:v>
                      </c:pt>
                      <c:pt idx="187">
                        <c:v>114.71</c:v>
                      </c:pt>
                      <c:pt idx="188">
                        <c:v>114.708</c:v>
                      </c:pt>
                      <c:pt idx="189">
                        <c:v>114.706</c:v>
                      </c:pt>
                      <c:pt idx="190">
                        <c:v>114.70399999999999</c:v>
                      </c:pt>
                      <c:pt idx="191">
                        <c:v>114.702</c:v>
                      </c:pt>
                      <c:pt idx="192">
                        <c:v>114.7</c:v>
                      </c:pt>
                      <c:pt idx="193">
                        <c:v>114.69799999999999</c:v>
                      </c:pt>
                      <c:pt idx="194">
                        <c:v>114.696</c:v>
                      </c:pt>
                      <c:pt idx="195">
                        <c:v>114.693</c:v>
                      </c:pt>
                      <c:pt idx="196">
                        <c:v>114.691</c:v>
                      </c:pt>
                      <c:pt idx="197">
                        <c:v>114.68899999999999</c:v>
                      </c:pt>
                      <c:pt idx="198">
                        <c:v>114.687</c:v>
                      </c:pt>
                      <c:pt idx="199">
                        <c:v>114.685</c:v>
                      </c:pt>
                      <c:pt idx="200">
                        <c:v>114.68300000000001</c:v>
                      </c:pt>
                      <c:pt idx="201">
                        <c:v>114.681</c:v>
                      </c:pt>
                      <c:pt idx="202">
                        <c:v>114.679</c:v>
                      </c:pt>
                      <c:pt idx="203">
                        <c:v>114.67700000000001</c:v>
                      </c:pt>
                      <c:pt idx="204">
                        <c:v>114.675</c:v>
                      </c:pt>
                      <c:pt idx="205">
                        <c:v>114.673</c:v>
                      </c:pt>
                      <c:pt idx="206">
                        <c:v>114.67100000000001</c:v>
                      </c:pt>
                      <c:pt idx="207">
                        <c:v>114.669</c:v>
                      </c:pt>
                      <c:pt idx="208">
                        <c:v>114.667</c:v>
                      </c:pt>
                      <c:pt idx="209">
                        <c:v>114.66500000000001</c:v>
                      </c:pt>
                      <c:pt idx="210">
                        <c:v>114.663</c:v>
                      </c:pt>
                      <c:pt idx="211">
                        <c:v>114.661</c:v>
                      </c:pt>
                      <c:pt idx="212">
                        <c:v>114.65900000000001</c:v>
                      </c:pt>
                      <c:pt idx="213">
                        <c:v>114.657</c:v>
                      </c:pt>
                      <c:pt idx="214">
                        <c:v>114.655</c:v>
                      </c:pt>
                      <c:pt idx="215">
                        <c:v>114.65300000000001</c:v>
                      </c:pt>
                      <c:pt idx="216">
                        <c:v>114.651</c:v>
                      </c:pt>
                      <c:pt idx="217">
                        <c:v>114.648</c:v>
                      </c:pt>
                      <c:pt idx="218">
                        <c:v>114.646</c:v>
                      </c:pt>
                      <c:pt idx="219">
                        <c:v>114.64400000000001</c:v>
                      </c:pt>
                      <c:pt idx="220">
                        <c:v>114.642</c:v>
                      </c:pt>
                      <c:pt idx="221">
                        <c:v>114.64</c:v>
                      </c:pt>
                      <c:pt idx="222">
                        <c:v>114.63800000000001</c:v>
                      </c:pt>
                      <c:pt idx="223">
                        <c:v>114.636</c:v>
                      </c:pt>
                      <c:pt idx="224">
                        <c:v>114.634</c:v>
                      </c:pt>
                      <c:pt idx="225">
                        <c:v>114.63200000000001</c:v>
                      </c:pt>
                      <c:pt idx="226">
                        <c:v>114.63</c:v>
                      </c:pt>
                      <c:pt idx="227">
                        <c:v>114.628</c:v>
                      </c:pt>
                      <c:pt idx="228">
                        <c:v>114.626</c:v>
                      </c:pt>
                      <c:pt idx="229">
                        <c:v>114.624</c:v>
                      </c:pt>
                      <c:pt idx="230">
                        <c:v>114.623</c:v>
                      </c:pt>
                      <c:pt idx="231">
                        <c:v>114.621</c:v>
                      </c:pt>
                      <c:pt idx="232">
                        <c:v>114.619</c:v>
                      </c:pt>
                      <c:pt idx="233">
                        <c:v>114.617</c:v>
                      </c:pt>
                      <c:pt idx="234">
                        <c:v>114.61499999999999</c:v>
                      </c:pt>
                      <c:pt idx="235">
                        <c:v>114.613</c:v>
                      </c:pt>
                      <c:pt idx="236">
                        <c:v>114.611</c:v>
                      </c:pt>
                      <c:pt idx="237">
                        <c:v>114.60899999999999</c:v>
                      </c:pt>
                      <c:pt idx="238">
                        <c:v>114.607</c:v>
                      </c:pt>
                      <c:pt idx="239">
                        <c:v>114.605</c:v>
                      </c:pt>
                      <c:pt idx="240">
                        <c:v>114.60299999999999</c:v>
                      </c:pt>
                      <c:pt idx="241">
                        <c:v>114.601</c:v>
                      </c:pt>
                      <c:pt idx="242">
                        <c:v>114.599</c:v>
                      </c:pt>
                      <c:pt idx="243">
                        <c:v>114.59699999999999</c:v>
                      </c:pt>
                      <c:pt idx="244">
                        <c:v>114.595</c:v>
                      </c:pt>
                      <c:pt idx="245">
                        <c:v>114.593</c:v>
                      </c:pt>
                      <c:pt idx="246">
                        <c:v>114.59099999999999</c:v>
                      </c:pt>
                      <c:pt idx="247">
                        <c:v>114.589</c:v>
                      </c:pt>
                      <c:pt idx="248">
                        <c:v>114.58799999999999</c:v>
                      </c:pt>
                      <c:pt idx="249">
                        <c:v>114.586</c:v>
                      </c:pt>
                      <c:pt idx="250">
                        <c:v>114.584</c:v>
                      </c:pt>
                      <c:pt idx="251">
                        <c:v>114.58199999999999</c:v>
                      </c:pt>
                      <c:pt idx="252">
                        <c:v>114.58</c:v>
                      </c:pt>
                      <c:pt idx="253">
                        <c:v>114.578</c:v>
                      </c:pt>
                      <c:pt idx="254">
                        <c:v>114.57599999999999</c:v>
                      </c:pt>
                      <c:pt idx="255">
                        <c:v>114.574</c:v>
                      </c:pt>
                      <c:pt idx="256">
                        <c:v>114.572</c:v>
                      </c:pt>
                      <c:pt idx="257">
                        <c:v>114.571</c:v>
                      </c:pt>
                      <c:pt idx="258">
                        <c:v>114.569</c:v>
                      </c:pt>
                      <c:pt idx="259">
                        <c:v>114.56699999999999</c:v>
                      </c:pt>
                      <c:pt idx="260">
                        <c:v>114.565</c:v>
                      </c:pt>
                      <c:pt idx="261">
                        <c:v>114.563</c:v>
                      </c:pt>
                      <c:pt idx="262">
                        <c:v>114.56100000000001</c:v>
                      </c:pt>
                      <c:pt idx="263">
                        <c:v>114.56</c:v>
                      </c:pt>
                      <c:pt idx="264">
                        <c:v>114.55800000000001</c:v>
                      </c:pt>
                      <c:pt idx="265">
                        <c:v>114.556</c:v>
                      </c:pt>
                      <c:pt idx="266">
                        <c:v>114.554</c:v>
                      </c:pt>
                      <c:pt idx="267">
                        <c:v>114.55200000000001</c:v>
                      </c:pt>
                      <c:pt idx="268">
                        <c:v>114.551</c:v>
                      </c:pt>
                      <c:pt idx="269">
                        <c:v>114.54900000000001</c:v>
                      </c:pt>
                      <c:pt idx="270">
                        <c:v>114.547</c:v>
                      </c:pt>
                      <c:pt idx="271">
                        <c:v>114.545</c:v>
                      </c:pt>
                      <c:pt idx="272">
                        <c:v>114.54300000000001</c:v>
                      </c:pt>
                      <c:pt idx="273">
                        <c:v>114.542</c:v>
                      </c:pt>
                      <c:pt idx="274">
                        <c:v>114.54</c:v>
                      </c:pt>
                      <c:pt idx="275">
                        <c:v>114.538</c:v>
                      </c:pt>
                      <c:pt idx="276">
                        <c:v>114.536</c:v>
                      </c:pt>
                      <c:pt idx="277">
                        <c:v>114.535</c:v>
                      </c:pt>
                      <c:pt idx="278">
                        <c:v>114.533</c:v>
                      </c:pt>
                      <c:pt idx="279">
                        <c:v>114.53100000000001</c:v>
                      </c:pt>
                      <c:pt idx="280">
                        <c:v>114.529</c:v>
                      </c:pt>
                      <c:pt idx="281">
                        <c:v>114.52800000000001</c:v>
                      </c:pt>
                      <c:pt idx="282">
                        <c:v>114.526</c:v>
                      </c:pt>
                      <c:pt idx="283">
                        <c:v>114.524</c:v>
                      </c:pt>
                      <c:pt idx="284">
                        <c:v>114.523</c:v>
                      </c:pt>
                      <c:pt idx="285">
                        <c:v>114.521</c:v>
                      </c:pt>
                      <c:pt idx="286">
                        <c:v>114.51900000000001</c:v>
                      </c:pt>
                      <c:pt idx="287">
                        <c:v>114.518</c:v>
                      </c:pt>
                      <c:pt idx="288">
                        <c:v>114.51600000000001</c:v>
                      </c:pt>
                      <c:pt idx="289">
                        <c:v>114.514</c:v>
                      </c:pt>
                      <c:pt idx="290">
                        <c:v>114.51300000000001</c:v>
                      </c:pt>
                      <c:pt idx="291">
                        <c:v>114.511</c:v>
                      </c:pt>
                      <c:pt idx="292">
                        <c:v>114.509</c:v>
                      </c:pt>
                      <c:pt idx="293">
                        <c:v>114.508</c:v>
                      </c:pt>
                      <c:pt idx="294">
                        <c:v>114.506</c:v>
                      </c:pt>
                      <c:pt idx="295">
                        <c:v>114.504</c:v>
                      </c:pt>
                      <c:pt idx="296">
                        <c:v>114.503</c:v>
                      </c:pt>
                      <c:pt idx="297">
                        <c:v>114.501</c:v>
                      </c:pt>
                      <c:pt idx="298">
                        <c:v>114.5</c:v>
                      </c:pt>
                      <c:pt idx="299">
                        <c:v>114.498</c:v>
                      </c:pt>
                      <c:pt idx="300">
                        <c:v>114.496</c:v>
                      </c:pt>
                      <c:pt idx="301">
                        <c:v>114.495</c:v>
                      </c:pt>
                      <c:pt idx="302">
                        <c:v>114.49299999999999</c:v>
                      </c:pt>
                      <c:pt idx="303">
                        <c:v>114.492</c:v>
                      </c:pt>
                      <c:pt idx="304">
                        <c:v>114.49</c:v>
                      </c:pt>
                      <c:pt idx="305">
                        <c:v>114.489</c:v>
                      </c:pt>
                      <c:pt idx="306">
                        <c:v>114.48699999999999</c:v>
                      </c:pt>
                      <c:pt idx="307">
                        <c:v>114.485</c:v>
                      </c:pt>
                      <c:pt idx="308">
                        <c:v>114.48399999999999</c:v>
                      </c:pt>
                      <c:pt idx="309">
                        <c:v>114.482</c:v>
                      </c:pt>
                      <c:pt idx="310">
                        <c:v>114.48099999999999</c:v>
                      </c:pt>
                      <c:pt idx="311">
                        <c:v>114.479</c:v>
                      </c:pt>
                      <c:pt idx="312">
                        <c:v>114.47799999999999</c:v>
                      </c:pt>
                      <c:pt idx="313">
                        <c:v>114.476</c:v>
                      </c:pt>
                      <c:pt idx="314">
                        <c:v>114.47499999999999</c:v>
                      </c:pt>
                      <c:pt idx="315">
                        <c:v>114.473</c:v>
                      </c:pt>
                      <c:pt idx="316">
                        <c:v>114.47199999999999</c:v>
                      </c:pt>
                      <c:pt idx="317">
                        <c:v>114.47</c:v>
                      </c:pt>
                      <c:pt idx="318">
                        <c:v>114.46899999999999</c:v>
                      </c:pt>
                      <c:pt idx="319">
                        <c:v>114.467</c:v>
                      </c:pt>
                      <c:pt idx="320">
                        <c:v>114.46599999999999</c:v>
                      </c:pt>
                      <c:pt idx="321">
                        <c:v>114.465</c:v>
                      </c:pt>
                      <c:pt idx="322">
                        <c:v>114.46299999999999</c:v>
                      </c:pt>
                      <c:pt idx="323">
                        <c:v>114.462</c:v>
                      </c:pt>
                      <c:pt idx="324">
                        <c:v>114.46</c:v>
                      </c:pt>
                      <c:pt idx="325">
                        <c:v>114.459</c:v>
                      </c:pt>
                      <c:pt idx="326">
                        <c:v>114.45699999999999</c:v>
                      </c:pt>
                      <c:pt idx="327">
                        <c:v>114.456</c:v>
                      </c:pt>
                      <c:pt idx="328">
                        <c:v>114.455</c:v>
                      </c:pt>
                      <c:pt idx="329">
                        <c:v>114.453</c:v>
                      </c:pt>
                      <c:pt idx="330">
                        <c:v>114.452</c:v>
                      </c:pt>
                      <c:pt idx="331">
                        <c:v>114.45099999999999</c:v>
                      </c:pt>
                      <c:pt idx="332">
                        <c:v>114.449</c:v>
                      </c:pt>
                      <c:pt idx="333">
                        <c:v>114.44799999999999</c:v>
                      </c:pt>
                      <c:pt idx="334">
                        <c:v>114.446</c:v>
                      </c:pt>
                      <c:pt idx="335">
                        <c:v>114.44499999999999</c:v>
                      </c:pt>
                      <c:pt idx="336">
                        <c:v>114.444</c:v>
                      </c:pt>
                      <c:pt idx="337">
                        <c:v>114.44199999999999</c:v>
                      </c:pt>
                      <c:pt idx="338">
                        <c:v>114.441</c:v>
                      </c:pt>
                      <c:pt idx="339">
                        <c:v>114.44</c:v>
                      </c:pt>
                      <c:pt idx="340">
                        <c:v>114.43899999999999</c:v>
                      </c:pt>
                      <c:pt idx="341">
                        <c:v>114.437</c:v>
                      </c:pt>
                      <c:pt idx="342">
                        <c:v>114.43600000000001</c:v>
                      </c:pt>
                      <c:pt idx="343">
                        <c:v>114.435</c:v>
                      </c:pt>
                      <c:pt idx="344">
                        <c:v>114.43300000000001</c:v>
                      </c:pt>
                      <c:pt idx="345">
                        <c:v>114.432</c:v>
                      </c:pt>
                      <c:pt idx="346">
                        <c:v>114.431</c:v>
                      </c:pt>
                      <c:pt idx="347">
                        <c:v>114.43</c:v>
                      </c:pt>
                      <c:pt idx="348">
                        <c:v>114.428</c:v>
                      </c:pt>
                      <c:pt idx="349">
                        <c:v>114.42700000000001</c:v>
                      </c:pt>
                      <c:pt idx="350">
                        <c:v>114.426</c:v>
                      </c:pt>
                      <c:pt idx="351">
                        <c:v>114.425</c:v>
                      </c:pt>
                      <c:pt idx="352">
                        <c:v>114.423</c:v>
                      </c:pt>
                      <c:pt idx="353">
                        <c:v>114.422</c:v>
                      </c:pt>
                      <c:pt idx="354">
                        <c:v>114.42100000000001</c:v>
                      </c:pt>
                      <c:pt idx="355">
                        <c:v>114.42</c:v>
                      </c:pt>
                      <c:pt idx="356">
                        <c:v>114.41800000000001</c:v>
                      </c:pt>
                      <c:pt idx="357">
                        <c:v>114.417</c:v>
                      </c:pt>
                      <c:pt idx="358">
                        <c:v>114.416</c:v>
                      </c:pt>
                      <c:pt idx="359">
                        <c:v>114.41500000000001</c:v>
                      </c:pt>
                      <c:pt idx="360">
                        <c:v>114.414</c:v>
                      </c:pt>
                      <c:pt idx="361">
                        <c:v>114.41200000000001</c:v>
                      </c:pt>
                      <c:pt idx="362">
                        <c:v>114.411</c:v>
                      </c:pt>
                      <c:pt idx="363">
                        <c:v>114.41</c:v>
                      </c:pt>
                      <c:pt idx="364">
                        <c:v>114.40900000000001</c:v>
                      </c:pt>
                      <c:pt idx="365">
                        <c:v>114.408</c:v>
                      </c:pt>
                      <c:pt idx="366">
                        <c:v>114.40600000000001</c:v>
                      </c:pt>
                      <c:pt idx="367">
                        <c:v>114.405</c:v>
                      </c:pt>
                      <c:pt idx="368">
                        <c:v>114.404</c:v>
                      </c:pt>
                      <c:pt idx="369">
                        <c:v>114.40300000000001</c:v>
                      </c:pt>
                      <c:pt idx="370">
                        <c:v>114.402</c:v>
                      </c:pt>
                      <c:pt idx="371">
                        <c:v>114.4</c:v>
                      </c:pt>
                      <c:pt idx="372">
                        <c:v>114.399</c:v>
                      </c:pt>
                      <c:pt idx="373">
                        <c:v>114.398</c:v>
                      </c:pt>
                      <c:pt idx="374">
                        <c:v>114.39700000000001</c:v>
                      </c:pt>
                      <c:pt idx="375">
                        <c:v>114.396</c:v>
                      </c:pt>
                      <c:pt idx="376">
                        <c:v>114.39400000000001</c:v>
                      </c:pt>
                      <c:pt idx="377">
                        <c:v>114.393</c:v>
                      </c:pt>
                      <c:pt idx="378">
                        <c:v>114.392</c:v>
                      </c:pt>
                      <c:pt idx="379">
                        <c:v>114.39100000000001</c:v>
                      </c:pt>
                      <c:pt idx="380">
                        <c:v>114.39</c:v>
                      </c:pt>
                      <c:pt idx="381">
                        <c:v>114.389</c:v>
                      </c:pt>
                      <c:pt idx="382">
                        <c:v>114.387</c:v>
                      </c:pt>
                      <c:pt idx="383">
                        <c:v>114.386</c:v>
                      </c:pt>
                      <c:pt idx="384">
                        <c:v>114.38500000000001</c:v>
                      </c:pt>
                      <c:pt idx="385">
                        <c:v>114.384</c:v>
                      </c:pt>
                      <c:pt idx="386">
                        <c:v>114.383</c:v>
                      </c:pt>
                      <c:pt idx="387">
                        <c:v>114.381</c:v>
                      </c:pt>
                      <c:pt idx="388">
                        <c:v>114.38</c:v>
                      </c:pt>
                      <c:pt idx="389">
                        <c:v>114.379</c:v>
                      </c:pt>
                      <c:pt idx="390">
                        <c:v>114.378</c:v>
                      </c:pt>
                      <c:pt idx="391">
                        <c:v>114.377</c:v>
                      </c:pt>
                      <c:pt idx="392">
                        <c:v>114.376</c:v>
                      </c:pt>
                      <c:pt idx="393">
                        <c:v>114.374</c:v>
                      </c:pt>
                      <c:pt idx="394">
                        <c:v>114.373</c:v>
                      </c:pt>
                      <c:pt idx="395">
                        <c:v>114.372</c:v>
                      </c:pt>
                      <c:pt idx="396">
                        <c:v>114.371</c:v>
                      </c:pt>
                      <c:pt idx="397">
                        <c:v>114.37</c:v>
                      </c:pt>
                      <c:pt idx="398">
                        <c:v>114.369</c:v>
                      </c:pt>
                      <c:pt idx="399">
                        <c:v>114.36799999999999</c:v>
                      </c:pt>
                      <c:pt idx="400">
                        <c:v>114.366</c:v>
                      </c:pt>
                      <c:pt idx="401">
                        <c:v>114.36499999999999</c:v>
                      </c:pt>
                      <c:pt idx="402">
                        <c:v>114.364</c:v>
                      </c:pt>
                      <c:pt idx="403">
                        <c:v>114.363</c:v>
                      </c:pt>
                      <c:pt idx="404">
                        <c:v>114.36199999999999</c:v>
                      </c:pt>
                      <c:pt idx="405">
                        <c:v>114.361</c:v>
                      </c:pt>
                      <c:pt idx="406">
                        <c:v>114.36</c:v>
                      </c:pt>
                      <c:pt idx="407">
                        <c:v>114.358</c:v>
                      </c:pt>
                      <c:pt idx="408">
                        <c:v>114.357</c:v>
                      </c:pt>
                      <c:pt idx="409">
                        <c:v>114.35599999999999</c:v>
                      </c:pt>
                      <c:pt idx="410">
                        <c:v>114.355</c:v>
                      </c:pt>
                      <c:pt idx="411">
                        <c:v>114.354</c:v>
                      </c:pt>
                      <c:pt idx="412">
                        <c:v>114.35299999999999</c:v>
                      </c:pt>
                      <c:pt idx="413">
                        <c:v>114.352</c:v>
                      </c:pt>
                      <c:pt idx="414">
                        <c:v>114.35</c:v>
                      </c:pt>
                      <c:pt idx="415">
                        <c:v>114.349</c:v>
                      </c:pt>
                      <c:pt idx="416">
                        <c:v>114.348</c:v>
                      </c:pt>
                      <c:pt idx="417">
                        <c:v>114.34699999999999</c:v>
                      </c:pt>
                      <c:pt idx="418">
                        <c:v>114.346</c:v>
                      </c:pt>
                      <c:pt idx="419">
                        <c:v>114.345</c:v>
                      </c:pt>
                      <c:pt idx="420">
                        <c:v>114.34399999999999</c:v>
                      </c:pt>
                      <c:pt idx="421">
                        <c:v>114.343</c:v>
                      </c:pt>
                      <c:pt idx="422">
                        <c:v>114.34099999999999</c:v>
                      </c:pt>
                      <c:pt idx="423">
                        <c:v>114.34</c:v>
                      </c:pt>
                      <c:pt idx="424">
                        <c:v>114.339</c:v>
                      </c:pt>
                      <c:pt idx="425">
                        <c:v>114.33799999999999</c:v>
                      </c:pt>
                      <c:pt idx="426">
                        <c:v>114.337</c:v>
                      </c:pt>
                      <c:pt idx="427">
                        <c:v>114.336</c:v>
                      </c:pt>
                      <c:pt idx="428">
                        <c:v>114.33499999999999</c:v>
                      </c:pt>
                      <c:pt idx="429">
                        <c:v>114.334</c:v>
                      </c:pt>
                      <c:pt idx="430">
                        <c:v>114.333</c:v>
                      </c:pt>
                      <c:pt idx="431">
                        <c:v>114.331</c:v>
                      </c:pt>
                      <c:pt idx="432">
                        <c:v>114.33</c:v>
                      </c:pt>
                      <c:pt idx="433">
                        <c:v>114.32899999999999</c:v>
                      </c:pt>
                      <c:pt idx="434">
                        <c:v>114.328</c:v>
                      </c:pt>
                      <c:pt idx="435">
                        <c:v>114.327</c:v>
                      </c:pt>
                      <c:pt idx="436">
                        <c:v>114.32599999999999</c:v>
                      </c:pt>
                      <c:pt idx="437">
                        <c:v>114.325</c:v>
                      </c:pt>
                      <c:pt idx="438">
                        <c:v>114.324</c:v>
                      </c:pt>
                      <c:pt idx="439">
                        <c:v>114.32299999999999</c:v>
                      </c:pt>
                      <c:pt idx="440">
                        <c:v>114.322</c:v>
                      </c:pt>
                      <c:pt idx="441">
                        <c:v>114.32</c:v>
                      </c:pt>
                      <c:pt idx="442">
                        <c:v>114.319</c:v>
                      </c:pt>
                      <c:pt idx="443">
                        <c:v>114.318</c:v>
                      </c:pt>
                      <c:pt idx="444">
                        <c:v>114.31699999999999</c:v>
                      </c:pt>
                      <c:pt idx="445">
                        <c:v>114.316</c:v>
                      </c:pt>
                      <c:pt idx="446">
                        <c:v>114.315</c:v>
                      </c:pt>
                      <c:pt idx="447">
                        <c:v>114.31399999999999</c:v>
                      </c:pt>
                      <c:pt idx="448">
                        <c:v>114.313</c:v>
                      </c:pt>
                      <c:pt idx="449">
                        <c:v>114.312</c:v>
                      </c:pt>
                      <c:pt idx="450">
                        <c:v>114.31100000000001</c:v>
                      </c:pt>
                      <c:pt idx="451">
                        <c:v>114.31</c:v>
                      </c:pt>
                      <c:pt idx="452">
                        <c:v>114.309</c:v>
                      </c:pt>
                      <c:pt idx="453">
                        <c:v>114.30800000000001</c:v>
                      </c:pt>
                      <c:pt idx="454">
                        <c:v>114.306</c:v>
                      </c:pt>
                      <c:pt idx="455">
                        <c:v>114.30500000000001</c:v>
                      </c:pt>
                      <c:pt idx="456">
                        <c:v>114.304</c:v>
                      </c:pt>
                      <c:pt idx="457">
                        <c:v>114.303</c:v>
                      </c:pt>
                      <c:pt idx="458">
                        <c:v>114.30200000000001</c:v>
                      </c:pt>
                      <c:pt idx="459">
                        <c:v>114.301</c:v>
                      </c:pt>
                      <c:pt idx="460">
                        <c:v>114.3</c:v>
                      </c:pt>
                      <c:pt idx="461">
                        <c:v>114.29900000000001</c:v>
                      </c:pt>
                      <c:pt idx="462">
                        <c:v>114.298</c:v>
                      </c:pt>
                      <c:pt idx="463">
                        <c:v>114.297</c:v>
                      </c:pt>
                      <c:pt idx="464">
                        <c:v>114.29600000000001</c:v>
                      </c:pt>
                      <c:pt idx="465">
                        <c:v>114.295</c:v>
                      </c:pt>
                      <c:pt idx="466">
                        <c:v>114.294</c:v>
                      </c:pt>
                      <c:pt idx="467">
                        <c:v>114.29300000000001</c:v>
                      </c:pt>
                      <c:pt idx="468">
                        <c:v>114.292</c:v>
                      </c:pt>
                      <c:pt idx="469">
                        <c:v>114.291</c:v>
                      </c:pt>
                      <c:pt idx="470">
                        <c:v>114.29</c:v>
                      </c:pt>
                      <c:pt idx="471">
                        <c:v>114.289</c:v>
                      </c:pt>
                      <c:pt idx="472">
                        <c:v>114.288</c:v>
                      </c:pt>
                      <c:pt idx="473">
                        <c:v>114.286</c:v>
                      </c:pt>
                      <c:pt idx="474">
                        <c:v>114.285</c:v>
                      </c:pt>
                      <c:pt idx="475">
                        <c:v>114.28400000000001</c:v>
                      </c:pt>
                      <c:pt idx="476">
                        <c:v>114.283</c:v>
                      </c:pt>
                      <c:pt idx="477">
                        <c:v>114.282</c:v>
                      </c:pt>
                      <c:pt idx="478">
                        <c:v>114.28100000000001</c:v>
                      </c:pt>
                      <c:pt idx="479">
                        <c:v>114.28</c:v>
                      </c:pt>
                      <c:pt idx="480">
                        <c:v>114.279</c:v>
                      </c:pt>
                      <c:pt idx="481">
                        <c:v>114.27800000000001</c:v>
                      </c:pt>
                      <c:pt idx="482">
                        <c:v>114.277</c:v>
                      </c:pt>
                      <c:pt idx="483">
                        <c:v>114.276</c:v>
                      </c:pt>
                      <c:pt idx="484">
                        <c:v>114.27500000000001</c:v>
                      </c:pt>
                      <c:pt idx="485">
                        <c:v>114.274</c:v>
                      </c:pt>
                      <c:pt idx="486">
                        <c:v>114.273</c:v>
                      </c:pt>
                      <c:pt idx="487">
                        <c:v>114.27200000000001</c:v>
                      </c:pt>
                      <c:pt idx="488">
                        <c:v>114.271</c:v>
                      </c:pt>
                      <c:pt idx="489">
                        <c:v>114.27</c:v>
                      </c:pt>
                      <c:pt idx="490">
                        <c:v>114.26900000000001</c:v>
                      </c:pt>
                      <c:pt idx="491">
                        <c:v>114.268</c:v>
                      </c:pt>
                      <c:pt idx="492">
                        <c:v>114.267</c:v>
                      </c:pt>
                      <c:pt idx="493">
                        <c:v>114.26600000000001</c:v>
                      </c:pt>
                      <c:pt idx="494">
                        <c:v>114.265</c:v>
                      </c:pt>
                      <c:pt idx="495">
                        <c:v>114.264</c:v>
                      </c:pt>
                      <c:pt idx="496">
                        <c:v>114.26300000000001</c:v>
                      </c:pt>
                      <c:pt idx="497">
                        <c:v>114.262</c:v>
                      </c:pt>
                      <c:pt idx="498">
                        <c:v>114.261</c:v>
                      </c:pt>
                      <c:pt idx="499">
                        <c:v>114.26</c:v>
                      </c:pt>
                      <c:pt idx="500">
                        <c:v>114.259</c:v>
                      </c:pt>
                      <c:pt idx="501">
                        <c:v>114.258</c:v>
                      </c:pt>
                      <c:pt idx="502">
                        <c:v>114.25700000000001</c:v>
                      </c:pt>
                      <c:pt idx="503">
                        <c:v>114.256</c:v>
                      </c:pt>
                      <c:pt idx="504">
                        <c:v>114.255</c:v>
                      </c:pt>
                      <c:pt idx="505">
                        <c:v>114.254</c:v>
                      </c:pt>
                      <c:pt idx="506">
                        <c:v>114.253</c:v>
                      </c:pt>
                      <c:pt idx="507">
                        <c:v>114.252</c:v>
                      </c:pt>
                      <c:pt idx="508">
                        <c:v>114.251</c:v>
                      </c:pt>
                      <c:pt idx="509">
                        <c:v>114.25</c:v>
                      </c:pt>
                      <c:pt idx="510">
                        <c:v>114.249</c:v>
                      </c:pt>
                      <c:pt idx="511">
                        <c:v>114.248</c:v>
                      </c:pt>
                      <c:pt idx="512">
                        <c:v>114.247</c:v>
                      </c:pt>
                      <c:pt idx="513">
                        <c:v>114.246</c:v>
                      </c:pt>
                      <c:pt idx="514">
                        <c:v>114.245</c:v>
                      </c:pt>
                      <c:pt idx="515">
                        <c:v>114.244</c:v>
                      </c:pt>
                      <c:pt idx="516">
                        <c:v>114.24299999999999</c:v>
                      </c:pt>
                      <c:pt idx="517">
                        <c:v>114.242</c:v>
                      </c:pt>
                      <c:pt idx="518">
                        <c:v>114.241</c:v>
                      </c:pt>
                      <c:pt idx="519">
                        <c:v>114.241</c:v>
                      </c:pt>
                      <c:pt idx="520">
                        <c:v>114.24</c:v>
                      </c:pt>
                      <c:pt idx="521">
                        <c:v>114.239</c:v>
                      </c:pt>
                      <c:pt idx="522">
                        <c:v>114.238</c:v>
                      </c:pt>
                      <c:pt idx="523">
                        <c:v>114.23699999999999</c:v>
                      </c:pt>
                      <c:pt idx="524">
                        <c:v>114.236</c:v>
                      </c:pt>
                      <c:pt idx="525">
                        <c:v>114.235</c:v>
                      </c:pt>
                      <c:pt idx="526">
                        <c:v>114.23399999999999</c:v>
                      </c:pt>
                      <c:pt idx="527">
                        <c:v>114.233</c:v>
                      </c:pt>
                      <c:pt idx="528">
                        <c:v>114.232</c:v>
                      </c:pt>
                      <c:pt idx="529">
                        <c:v>114.23099999999999</c:v>
                      </c:pt>
                      <c:pt idx="530">
                        <c:v>114.23</c:v>
                      </c:pt>
                      <c:pt idx="531">
                        <c:v>114.229</c:v>
                      </c:pt>
                      <c:pt idx="532">
                        <c:v>114.22799999999999</c:v>
                      </c:pt>
                      <c:pt idx="533">
                        <c:v>114.227</c:v>
                      </c:pt>
                      <c:pt idx="534">
                        <c:v>114.226</c:v>
                      </c:pt>
                      <c:pt idx="535">
                        <c:v>114.22499999999999</c:v>
                      </c:pt>
                      <c:pt idx="536">
                        <c:v>114.224</c:v>
                      </c:pt>
                      <c:pt idx="537">
                        <c:v>114.223</c:v>
                      </c:pt>
                      <c:pt idx="538">
                        <c:v>114.22199999999999</c:v>
                      </c:pt>
                      <c:pt idx="539">
                        <c:v>114.221</c:v>
                      </c:pt>
                      <c:pt idx="540">
                        <c:v>114.22</c:v>
                      </c:pt>
                      <c:pt idx="541">
                        <c:v>114.21899999999999</c:v>
                      </c:pt>
                      <c:pt idx="542">
                        <c:v>114.218</c:v>
                      </c:pt>
                      <c:pt idx="543">
                        <c:v>114.217</c:v>
                      </c:pt>
                      <c:pt idx="544">
                        <c:v>114.21599999999999</c:v>
                      </c:pt>
                      <c:pt idx="545">
                        <c:v>114.215</c:v>
                      </c:pt>
                      <c:pt idx="546">
                        <c:v>114.21299999999999</c:v>
                      </c:pt>
                      <c:pt idx="547">
                        <c:v>114.212</c:v>
                      </c:pt>
                      <c:pt idx="548">
                        <c:v>114.211</c:v>
                      </c:pt>
                      <c:pt idx="549">
                        <c:v>114.21</c:v>
                      </c:pt>
                      <c:pt idx="550">
                        <c:v>114.209</c:v>
                      </c:pt>
                      <c:pt idx="551">
                        <c:v>114.208</c:v>
                      </c:pt>
                      <c:pt idx="552">
                        <c:v>114.20699999999999</c:v>
                      </c:pt>
                      <c:pt idx="553">
                        <c:v>114.206</c:v>
                      </c:pt>
                      <c:pt idx="554">
                        <c:v>114.20399999999999</c:v>
                      </c:pt>
                      <c:pt idx="555">
                        <c:v>114.203</c:v>
                      </c:pt>
                      <c:pt idx="556">
                        <c:v>114.202</c:v>
                      </c:pt>
                      <c:pt idx="557">
                        <c:v>114.20099999999999</c:v>
                      </c:pt>
                      <c:pt idx="558">
                        <c:v>114.2</c:v>
                      </c:pt>
                      <c:pt idx="559">
                        <c:v>114.199</c:v>
                      </c:pt>
                      <c:pt idx="560">
                        <c:v>114.197</c:v>
                      </c:pt>
                      <c:pt idx="561">
                        <c:v>114.196</c:v>
                      </c:pt>
                      <c:pt idx="562">
                        <c:v>114.19499999999999</c:v>
                      </c:pt>
                      <c:pt idx="563">
                        <c:v>114.194</c:v>
                      </c:pt>
                      <c:pt idx="564">
                        <c:v>114.193</c:v>
                      </c:pt>
                      <c:pt idx="565">
                        <c:v>114.191</c:v>
                      </c:pt>
                      <c:pt idx="566">
                        <c:v>114.19</c:v>
                      </c:pt>
                      <c:pt idx="567">
                        <c:v>114.18899999999999</c:v>
                      </c:pt>
                      <c:pt idx="568">
                        <c:v>114.188</c:v>
                      </c:pt>
                      <c:pt idx="569">
                        <c:v>114.18600000000001</c:v>
                      </c:pt>
                      <c:pt idx="570">
                        <c:v>114.185</c:v>
                      </c:pt>
                      <c:pt idx="571">
                        <c:v>114.184</c:v>
                      </c:pt>
                      <c:pt idx="572">
                        <c:v>114.182</c:v>
                      </c:pt>
                      <c:pt idx="573">
                        <c:v>114.181</c:v>
                      </c:pt>
                      <c:pt idx="574">
                        <c:v>114.18</c:v>
                      </c:pt>
                      <c:pt idx="575">
                        <c:v>114.178</c:v>
                      </c:pt>
                      <c:pt idx="576">
                        <c:v>114.17700000000001</c:v>
                      </c:pt>
                      <c:pt idx="577">
                        <c:v>114.176</c:v>
                      </c:pt>
                      <c:pt idx="578">
                        <c:v>114.17400000000001</c:v>
                      </c:pt>
                      <c:pt idx="579">
                        <c:v>114.173</c:v>
                      </c:pt>
                      <c:pt idx="580">
                        <c:v>114.172</c:v>
                      </c:pt>
                      <c:pt idx="581">
                        <c:v>114.17</c:v>
                      </c:pt>
                      <c:pt idx="582">
                        <c:v>114.169</c:v>
                      </c:pt>
                      <c:pt idx="583">
                        <c:v>114.16800000000001</c:v>
                      </c:pt>
                      <c:pt idx="584">
                        <c:v>114.166</c:v>
                      </c:pt>
                      <c:pt idx="585">
                        <c:v>114.16500000000001</c:v>
                      </c:pt>
                      <c:pt idx="586">
                        <c:v>114.163</c:v>
                      </c:pt>
                      <c:pt idx="587">
                        <c:v>114.16200000000001</c:v>
                      </c:pt>
                      <c:pt idx="588">
                        <c:v>114.161</c:v>
                      </c:pt>
                      <c:pt idx="589">
                        <c:v>114.15900000000001</c:v>
                      </c:pt>
                      <c:pt idx="590">
                        <c:v>114.158</c:v>
                      </c:pt>
                      <c:pt idx="591">
                        <c:v>114.15600000000001</c:v>
                      </c:pt>
                      <c:pt idx="592">
                        <c:v>114.155</c:v>
                      </c:pt>
                      <c:pt idx="593">
                        <c:v>114.154</c:v>
                      </c:pt>
                      <c:pt idx="594">
                        <c:v>114.152</c:v>
                      </c:pt>
                      <c:pt idx="595">
                        <c:v>114.151</c:v>
                      </c:pt>
                      <c:pt idx="596">
                        <c:v>114.149</c:v>
                      </c:pt>
                      <c:pt idx="597">
                        <c:v>114.148</c:v>
                      </c:pt>
                      <c:pt idx="598">
                        <c:v>114.146</c:v>
                      </c:pt>
                      <c:pt idx="599">
                        <c:v>114.145</c:v>
                      </c:pt>
                      <c:pt idx="600">
                        <c:v>114.14400000000001</c:v>
                      </c:pt>
                      <c:pt idx="601">
                        <c:v>114.142</c:v>
                      </c:pt>
                      <c:pt idx="602">
                        <c:v>114.14100000000001</c:v>
                      </c:pt>
                      <c:pt idx="603">
                        <c:v>114.139</c:v>
                      </c:pt>
                      <c:pt idx="604">
                        <c:v>114.13800000000001</c:v>
                      </c:pt>
                      <c:pt idx="605">
                        <c:v>114.136</c:v>
                      </c:pt>
                      <c:pt idx="606">
                        <c:v>114.13500000000001</c:v>
                      </c:pt>
                      <c:pt idx="607">
                        <c:v>114.133</c:v>
                      </c:pt>
                      <c:pt idx="608">
                        <c:v>114.13200000000001</c:v>
                      </c:pt>
                      <c:pt idx="609">
                        <c:v>114.13</c:v>
                      </c:pt>
                      <c:pt idx="610">
                        <c:v>114.129</c:v>
                      </c:pt>
                      <c:pt idx="611">
                        <c:v>114.127</c:v>
                      </c:pt>
                      <c:pt idx="612">
                        <c:v>114.126</c:v>
                      </c:pt>
                      <c:pt idx="613">
                        <c:v>114.124</c:v>
                      </c:pt>
                      <c:pt idx="614">
                        <c:v>114.123</c:v>
                      </c:pt>
                      <c:pt idx="615">
                        <c:v>114.121</c:v>
                      </c:pt>
                      <c:pt idx="616">
                        <c:v>114.12</c:v>
                      </c:pt>
                      <c:pt idx="617">
                        <c:v>114.11799999999999</c:v>
                      </c:pt>
                      <c:pt idx="618">
                        <c:v>114.117</c:v>
                      </c:pt>
                      <c:pt idx="619">
                        <c:v>114.11499999999999</c:v>
                      </c:pt>
                      <c:pt idx="620">
                        <c:v>114.114</c:v>
                      </c:pt>
                      <c:pt idx="621">
                        <c:v>114.11199999999999</c:v>
                      </c:pt>
                      <c:pt idx="622">
                        <c:v>114.111</c:v>
                      </c:pt>
                      <c:pt idx="623">
                        <c:v>114.10899999999999</c:v>
                      </c:pt>
                      <c:pt idx="624">
                        <c:v>114.108</c:v>
                      </c:pt>
                      <c:pt idx="625">
                        <c:v>114.10599999999999</c:v>
                      </c:pt>
                      <c:pt idx="626">
                        <c:v>114.105</c:v>
                      </c:pt>
                      <c:pt idx="627">
                        <c:v>114.10299999999999</c:v>
                      </c:pt>
                      <c:pt idx="628">
                        <c:v>114.102</c:v>
                      </c:pt>
                      <c:pt idx="629">
                        <c:v>114.1</c:v>
                      </c:pt>
                      <c:pt idx="630">
                        <c:v>114.099</c:v>
                      </c:pt>
                      <c:pt idx="631">
                        <c:v>114.09699999999999</c:v>
                      </c:pt>
                      <c:pt idx="632">
                        <c:v>114.096</c:v>
                      </c:pt>
                      <c:pt idx="633">
                        <c:v>114.095</c:v>
                      </c:pt>
                      <c:pt idx="634">
                        <c:v>114.093</c:v>
                      </c:pt>
                      <c:pt idx="635">
                        <c:v>114.092</c:v>
                      </c:pt>
                      <c:pt idx="636">
                        <c:v>114.09</c:v>
                      </c:pt>
                      <c:pt idx="637">
                        <c:v>114.08799999999999</c:v>
                      </c:pt>
                      <c:pt idx="638">
                        <c:v>114.087</c:v>
                      </c:pt>
                      <c:pt idx="639">
                        <c:v>114.08499999999999</c:v>
                      </c:pt>
                      <c:pt idx="640">
                        <c:v>114.084</c:v>
                      </c:pt>
                      <c:pt idx="641">
                        <c:v>114.08199999999999</c:v>
                      </c:pt>
                      <c:pt idx="642">
                        <c:v>114.081</c:v>
                      </c:pt>
                      <c:pt idx="643">
                        <c:v>114.07899999999999</c:v>
                      </c:pt>
                      <c:pt idx="644">
                        <c:v>114.078</c:v>
                      </c:pt>
                      <c:pt idx="645">
                        <c:v>114.07599999999999</c:v>
                      </c:pt>
                      <c:pt idx="646">
                        <c:v>114.075</c:v>
                      </c:pt>
                      <c:pt idx="647">
                        <c:v>114.07299999999999</c:v>
                      </c:pt>
                      <c:pt idx="648">
                        <c:v>114.072</c:v>
                      </c:pt>
                      <c:pt idx="649">
                        <c:v>114.07</c:v>
                      </c:pt>
                      <c:pt idx="650">
                        <c:v>114.068</c:v>
                      </c:pt>
                      <c:pt idx="651">
                        <c:v>114.06699999999999</c:v>
                      </c:pt>
                      <c:pt idx="652">
                        <c:v>114.065</c:v>
                      </c:pt>
                      <c:pt idx="653">
                        <c:v>114.06399999999999</c:v>
                      </c:pt>
                      <c:pt idx="654">
                        <c:v>114.062</c:v>
                      </c:pt>
                      <c:pt idx="655">
                        <c:v>114.06100000000001</c:v>
                      </c:pt>
                      <c:pt idx="656">
                        <c:v>114.059</c:v>
                      </c:pt>
                      <c:pt idx="657">
                        <c:v>114.057</c:v>
                      </c:pt>
                      <c:pt idx="658">
                        <c:v>114.056</c:v>
                      </c:pt>
                      <c:pt idx="659">
                        <c:v>114.054</c:v>
                      </c:pt>
                      <c:pt idx="660">
                        <c:v>114.05200000000001</c:v>
                      </c:pt>
                      <c:pt idx="661">
                        <c:v>114.051</c:v>
                      </c:pt>
                      <c:pt idx="662">
                        <c:v>114.04900000000001</c:v>
                      </c:pt>
                      <c:pt idx="663">
                        <c:v>114.048</c:v>
                      </c:pt>
                      <c:pt idx="664">
                        <c:v>114.04600000000001</c:v>
                      </c:pt>
                      <c:pt idx="665">
                        <c:v>114.044</c:v>
                      </c:pt>
                      <c:pt idx="666">
                        <c:v>114.04300000000001</c:v>
                      </c:pt>
                      <c:pt idx="667">
                        <c:v>114.041</c:v>
                      </c:pt>
                      <c:pt idx="668">
                        <c:v>114.039</c:v>
                      </c:pt>
                      <c:pt idx="669">
                        <c:v>114.038</c:v>
                      </c:pt>
                      <c:pt idx="670">
                        <c:v>114.036</c:v>
                      </c:pt>
                      <c:pt idx="671">
                        <c:v>114.03400000000001</c:v>
                      </c:pt>
                      <c:pt idx="672">
                        <c:v>114.032</c:v>
                      </c:pt>
                      <c:pt idx="673">
                        <c:v>114.03100000000001</c:v>
                      </c:pt>
                      <c:pt idx="674">
                        <c:v>114.029</c:v>
                      </c:pt>
                      <c:pt idx="675">
                        <c:v>114.027</c:v>
                      </c:pt>
                      <c:pt idx="676">
                        <c:v>114.026</c:v>
                      </c:pt>
                      <c:pt idx="677">
                        <c:v>114.024</c:v>
                      </c:pt>
                      <c:pt idx="678">
                        <c:v>114.02200000000001</c:v>
                      </c:pt>
                      <c:pt idx="679">
                        <c:v>114.02</c:v>
                      </c:pt>
                      <c:pt idx="680">
                        <c:v>114.018</c:v>
                      </c:pt>
                      <c:pt idx="681">
                        <c:v>114.017</c:v>
                      </c:pt>
                      <c:pt idx="682">
                        <c:v>114.015</c:v>
                      </c:pt>
                      <c:pt idx="683">
                        <c:v>114.01300000000001</c:v>
                      </c:pt>
                      <c:pt idx="684">
                        <c:v>114.012</c:v>
                      </c:pt>
                      <c:pt idx="685">
                        <c:v>114.01</c:v>
                      </c:pt>
                      <c:pt idx="686">
                        <c:v>114.008</c:v>
                      </c:pt>
                      <c:pt idx="687">
                        <c:v>114.006</c:v>
                      </c:pt>
                      <c:pt idx="688">
                        <c:v>114.005</c:v>
                      </c:pt>
                      <c:pt idx="689">
                        <c:v>114.003</c:v>
                      </c:pt>
                      <c:pt idx="690">
                        <c:v>114.001</c:v>
                      </c:pt>
                      <c:pt idx="691">
                        <c:v>114</c:v>
                      </c:pt>
                      <c:pt idx="692">
                        <c:v>113.998</c:v>
                      </c:pt>
                      <c:pt idx="693">
                        <c:v>113.996</c:v>
                      </c:pt>
                      <c:pt idx="694">
                        <c:v>113.995</c:v>
                      </c:pt>
                      <c:pt idx="695">
                        <c:v>113.99299999999999</c:v>
                      </c:pt>
                      <c:pt idx="696">
                        <c:v>113.991</c:v>
                      </c:pt>
                      <c:pt idx="697">
                        <c:v>113.989</c:v>
                      </c:pt>
                      <c:pt idx="698">
                        <c:v>113.988</c:v>
                      </c:pt>
                      <c:pt idx="699">
                        <c:v>113.986</c:v>
                      </c:pt>
                      <c:pt idx="700">
                        <c:v>113.985</c:v>
                      </c:pt>
                      <c:pt idx="701">
                        <c:v>113.983</c:v>
                      </c:pt>
                      <c:pt idx="702">
                        <c:v>113.98099999999999</c:v>
                      </c:pt>
                      <c:pt idx="703">
                        <c:v>113.98</c:v>
                      </c:pt>
                      <c:pt idx="704">
                        <c:v>113.97799999999999</c:v>
                      </c:pt>
                      <c:pt idx="705">
                        <c:v>113.976</c:v>
                      </c:pt>
                      <c:pt idx="706">
                        <c:v>113.97499999999999</c:v>
                      </c:pt>
                      <c:pt idx="707">
                        <c:v>113.973</c:v>
                      </c:pt>
                      <c:pt idx="708">
                        <c:v>113.971</c:v>
                      </c:pt>
                      <c:pt idx="709">
                        <c:v>113.97</c:v>
                      </c:pt>
                      <c:pt idx="710">
                        <c:v>113.968</c:v>
                      </c:pt>
                      <c:pt idx="711">
                        <c:v>113.96599999999999</c:v>
                      </c:pt>
                      <c:pt idx="712">
                        <c:v>113.965</c:v>
                      </c:pt>
                      <c:pt idx="713">
                        <c:v>113.96299999999999</c:v>
                      </c:pt>
                      <c:pt idx="714">
                        <c:v>113.961</c:v>
                      </c:pt>
                      <c:pt idx="715">
                        <c:v>113.96</c:v>
                      </c:pt>
                      <c:pt idx="716">
                        <c:v>113.958</c:v>
                      </c:pt>
                      <c:pt idx="717">
                        <c:v>113.956</c:v>
                      </c:pt>
                      <c:pt idx="718">
                        <c:v>113.95399999999999</c:v>
                      </c:pt>
                      <c:pt idx="719">
                        <c:v>113.952</c:v>
                      </c:pt>
                      <c:pt idx="720">
                        <c:v>113.95</c:v>
                      </c:pt>
                      <c:pt idx="721">
                        <c:v>113.949</c:v>
                      </c:pt>
                      <c:pt idx="722">
                        <c:v>113.947</c:v>
                      </c:pt>
                      <c:pt idx="723">
                        <c:v>113.94499999999999</c:v>
                      </c:pt>
                      <c:pt idx="724">
                        <c:v>113.943</c:v>
                      </c:pt>
                      <c:pt idx="725">
                        <c:v>113.941</c:v>
                      </c:pt>
                      <c:pt idx="726">
                        <c:v>113.93899999999999</c:v>
                      </c:pt>
                      <c:pt idx="727">
                        <c:v>113.937</c:v>
                      </c:pt>
                      <c:pt idx="728">
                        <c:v>113.935</c:v>
                      </c:pt>
                      <c:pt idx="729">
                        <c:v>113.93300000000001</c:v>
                      </c:pt>
                      <c:pt idx="730">
                        <c:v>113.931</c:v>
                      </c:pt>
                      <c:pt idx="731">
                        <c:v>113.929</c:v>
                      </c:pt>
                      <c:pt idx="732">
                        <c:v>113.928</c:v>
                      </c:pt>
                      <c:pt idx="733">
                        <c:v>113.926</c:v>
                      </c:pt>
                      <c:pt idx="734">
                        <c:v>113.92400000000001</c:v>
                      </c:pt>
                      <c:pt idx="735">
                        <c:v>113.922</c:v>
                      </c:pt>
                      <c:pt idx="736">
                        <c:v>113.92</c:v>
                      </c:pt>
                      <c:pt idx="737">
                        <c:v>113.919</c:v>
                      </c:pt>
                      <c:pt idx="738">
                        <c:v>113.917</c:v>
                      </c:pt>
                      <c:pt idx="739">
                        <c:v>113.91500000000001</c:v>
                      </c:pt>
                      <c:pt idx="740">
                        <c:v>113.914</c:v>
                      </c:pt>
                      <c:pt idx="741">
                        <c:v>113.91200000000001</c:v>
                      </c:pt>
                      <c:pt idx="742">
                        <c:v>113.91</c:v>
                      </c:pt>
                      <c:pt idx="743">
                        <c:v>113.90900000000001</c:v>
                      </c:pt>
                      <c:pt idx="744">
                        <c:v>113.907</c:v>
                      </c:pt>
                      <c:pt idx="745">
                        <c:v>113.905</c:v>
                      </c:pt>
                      <c:pt idx="746">
                        <c:v>113.904</c:v>
                      </c:pt>
                      <c:pt idx="747">
                        <c:v>113.902</c:v>
                      </c:pt>
                      <c:pt idx="748">
                        <c:v>113.901</c:v>
                      </c:pt>
                      <c:pt idx="749">
                        <c:v>113.899</c:v>
                      </c:pt>
                      <c:pt idx="750">
                        <c:v>113.898</c:v>
                      </c:pt>
                      <c:pt idx="751">
                        <c:v>113.896</c:v>
                      </c:pt>
                      <c:pt idx="752">
                        <c:v>113.895</c:v>
                      </c:pt>
                      <c:pt idx="753">
                        <c:v>113.89400000000001</c:v>
                      </c:pt>
                      <c:pt idx="754">
                        <c:v>113.892</c:v>
                      </c:pt>
                      <c:pt idx="755">
                        <c:v>113.89100000000001</c:v>
                      </c:pt>
                      <c:pt idx="756">
                        <c:v>113.889</c:v>
                      </c:pt>
                      <c:pt idx="757">
                        <c:v>113.88800000000001</c:v>
                      </c:pt>
                      <c:pt idx="758">
                        <c:v>113.887</c:v>
                      </c:pt>
                      <c:pt idx="759">
                        <c:v>113.88500000000001</c:v>
                      </c:pt>
                      <c:pt idx="760">
                        <c:v>113.884</c:v>
                      </c:pt>
                      <c:pt idx="761">
                        <c:v>113.883</c:v>
                      </c:pt>
                      <c:pt idx="762">
                        <c:v>113.88200000000001</c:v>
                      </c:pt>
                      <c:pt idx="763">
                        <c:v>113.88</c:v>
                      </c:pt>
                      <c:pt idx="764">
                        <c:v>113.879</c:v>
                      </c:pt>
                      <c:pt idx="765">
                        <c:v>113.878</c:v>
                      </c:pt>
                      <c:pt idx="766">
                        <c:v>113.877</c:v>
                      </c:pt>
                      <c:pt idx="767">
                        <c:v>113.875</c:v>
                      </c:pt>
                      <c:pt idx="768">
                        <c:v>113.874</c:v>
                      </c:pt>
                      <c:pt idx="769">
                        <c:v>113.873</c:v>
                      </c:pt>
                      <c:pt idx="770">
                        <c:v>113.872</c:v>
                      </c:pt>
                      <c:pt idx="771">
                        <c:v>113.871</c:v>
                      </c:pt>
                      <c:pt idx="772">
                        <c:v>113.87</c:v>
                      </c:pt>
                      <c:pt idx="773">
                        <c:v>113.869</c:v>
                      </c:pt>
                      <c:pt idx="774">
                        <c:v>113.867</c:v>
                      </c:pt>
                      <c:pt idx="775">
                        <c:v>113.866</c:v>
                      </c:pt>
                      <c:pt idx="776">
                        <c:v>113.86499999999999</c:v>
                      </c:pt>
                      <c:pt idx="777">
                        <c:v>113.864</c:v>
                      </c:pt>
                      <c:pt idx="778">
                        <c:v>113.863</c:v>
                      </c:pt>
                      <c:pt idx="779">
                        <c:v>113.86199999999999</c:v>
                      </c:pt>
                      <c:pt idx="780">
                        <c:v>113.861</c:v>
                      </c:pt>
                      <c:pt idx="781">
                        <c:v>113.86</c:v>
                      </c:pt>
                      <c:pt idx="782">
                        <c:v>113.85899999999999</c:v>
                      </c:pt>
                      <c:pt idx="783">
                        <c:v>113.858</c:v>
                      </c:pt>
                      <c:pt idx="784">
                        <c:v>113.857</c:v>
                      </c:pt>
                      <c:pt idx="785">
                        <c:v>113.85599999999999</c:v>
                      </c:pt>
                      <c:pt idx="786">
                        <c:v>113.855</c:v>
                      </c:pt>
                      <c:pt idx="787">
                        <c:v>113.854</c:v>
                      </c:pt>
                      <c:pt idx="788">
                        <c:v>113.85299999999999</c:v>
                      </c:pt>
                      <c:pt idx="789">
                        <c:v>113.85299999999999</c:v>
                      </c:pt>
                      <c:pt idx="790">
                        <c:v>113.852</c:v>
                      </c:pt>
                      <c:pt idx="791">
                        <c:v>113.851</c:v>
                      </c:pt>
                      <c:pt idx="792">
                        <c:v>113.85</c:v>
                      </c:pt>
                      <c:pt idx="793">
                        <c:v>113.849</c:v>
                      </c:pt>
                      <c:pt idx="794">
                        <c:v>113.848</c:v>
                      </c:pt>
                      <c:pt idx="795">
                        <c:v>113.84699999999999</c:v>
                      </c:pt>
                      <c:pt idx="796">
                        <c:v>113.84699999999999</c:v>
                      </c:pt>
                      <c:pt idx="797">
                        <c:v>113.846</c:v>
                      </c:pt>
                      <c:pt idx="798">
                        <c:v>113.845</c:v>
                      </c:pt>
                      <c:pt idx="799">
                        <c:v>113.84399999999999</c:v>
                      </c:pt>
                      <c:pt idx="800">
                        <c:v>113.84399999999999</c:v>
                      </c:pt>
                      <c:pt idx="801">
                        <c:v>113.843</c:v>
                      </c:pt>
                      <c:pt idx="802">
                        <c:v>113.842</c:v>
                      </c:pt>
                      <c:pt idx="803">
                        <c:v>113.84099999999999</c:v>
                      </c:pt>
                      <c:pt idx="804">
                        <c:v>113.84099999999999</c:v>
                      </c:pt>
                      <c:pt idx="805">
                        <c:v>113.84</c:v>
                      </c:pt>
                      <c:pt idx="806">
                        <c:v>113.839</c:v>
                      </c:pt>
                      <c:pt idx="807">
                        <c:v>113.83799999999999</c:v>
                      </c:pt>
                      <c:pt idx="808">
                        <c:v>113.83799999999999</c:v>
                      </c:pt>
                      <c:pt idx="809">
                        <c:v>113.837</c:v>
                      </c:pt>
                      <c:pt idx="810">
                        <c:v>113.836</c:v>
                      </c:pt>
                      <c:pt idx="811">
                        <c:v>113.836</c:v>
                      </c:pt>
                      <c:pt idx="812">
                        <c:v>113.83499999999999</c:v>
                      </c:pt>
                      <c:pt idx="813">
                        <c:v>113.834</c:v>
                      </c:pt>
                      <c:pt idx="814">
                        <c:v>113.834</c:v>
                      </c:pt>
                      <c:pt idx="815">
                        <c:v>113.833</c:v>
                      </c:pt>
                      <c:pt idx="816">
                        <c:v>113.83199999999999</c:v>
                      </c:pt>
                      <c:pt idx="817">
                        <c:v>113.83199999999999</c:v>
                      </c:pt>
                      <c:pt idx="818">
                        <c:v>113.831</c:v>
                      </c:pt>
                      <c:pt idx="819">
                        <c:v>113.831</c:v>
                      </c:pt>
                      <c:pt idx="820">
                        <c:v>113.83</c:v>
                      </c:pt>
                      <c:pt idx="821">
                        <c:v>113.82899999999999</c:v>
                      </c:pt>
                      <c:pt idx="822">
                        <c:v>113.82899999999999</c:v>
                      </c:pt>
                      <c:pt idx="823">
                        <c:v>113.828</c:v>
                      </c:pt>
                      <c:pt idx="824">
                        <c:v>113.828</c:v>
                      </c:pt>
                      <c:pt idx="825">
                        <c:v>113.827</c:v>
                      </c:pt>
                      <c:pt idx="826">
                        <c:v>113.82599999999999</c:v>
                      </c:pt>
                      <c:pt idx="827">
                        <c:v>113.82599999999999</c:v>
                      </c:pt>
                      <c:pt idx="828">
                        <c:v>113.825</c:v>
                      </c:pt>
                      <c:pt idx="829">
                        <c:v>113.825</c:v>
                      </c:pt>
                      <c:pt idx="830">
                        <c:v>113.824</c:v>
                      </c:pt>
                      <c:pt idx="831">
                        <c:v>113.824</c:v>
                      </c:pt>
                      <c:pt idx="832">
                        <c:v>113.82299999999999</c:v>
                      </c:pt>
                      <c:pt idx="833">
                        <c:v>113.822</c:v>
                      </c:pt>
                      <c:pt idx="834">
                        <c:v>113.822</c:v>
                      </c:pt>
                      <c:pt idx="835">
                        <c:v>113.821</c:v>
                      </c:pt>
                      <c:pt idx="836">
                        <c:v>113.821</c:v>
                      </c:pt>
                      <c:pt idx="837">
                        <c:v>113.82</c:v>
                      </c:pt>
                      <c:pt idx="838">
                        <c:v>113.82</c:v>
                      </c:pt>
                      <c:pt idx="839">
                        <c:v>113.819</c:v>
                      </c:pt>
                      <c:pt idx="840">
                        <c:v>113.819</c:v>
                      </c:pt>
                      <c:pt idx="841">
                        <c:v>113.818</c:v>
                      </c:pt>
                      <c:pt idx="842">
                        <c:v>113.818</c:v>
                      </c:pt>
                      <c:pt idx="843">
                        <c:v>113.81699999999999</c:v>
                      </c:pt>
                      <c:pt idx="844">
                        <c:v>113.81699999999999</c:v>
                      </c:pt>
                      <c:pt idx="845">
                        <c:v>113.816</c:v>
                      </c:pt>
                      <c:pt idx="846">
                        <c:v>113.815</c:v>
                      </c:pt>
                      <c:pt idx="847">
                        <c:v>113.815</c:v>
                      </c:pt>
                      <c:pt idx="848">
                        <c:v>113.81399999999999</c:v>
                      </c:pt>
                      <c:pt idx="849">
                        <c:v>113.81399999999999</c:v>
                      </c:pt>
                      <c:pt idx="850">
                        <c:v>113.813</c:v>
                      </c:pt>
                      <c:pt idx="851">
                        <c:v>113.813</c:v>
                      </c:pt>
                      <c:pt idx="852">
                        <c:v>113.813</c:v>
                      </c:pt>
                      <c:pt idx="853">
                        <c:v>113.812</c:v>
                      </c:pt>
                      <c:pt idx="854">
                        <c:v>113.812</c:v>
                      </c:pt>
                      <c:pt idx="855">
                        <c:v>113.81100000000001</c:v>
                      </c:pt>
                      <c:pt idx="856">
                        <c:v>113.81100000000001</c:v>
                      </c:pt>
                      <c:pt idx="857">
                        <c:v>113.81</c:v>
                      </c:pt>
                      <c:pt idx="858">
                        <c:v>113.81</c:v>
                      </c:pt>
                      <c:pt idx="859">
                        <c:v>113.809</c:v>
                      </c:pt>
                      <c:pt idx="860">
                        <c:v>113.809</c:v>
                      </c:pt>
                      <c:pt idx="861">
                        <c:v>113.80800000000001</c:v>
                      </c:pt>
                      <c:pt idx="862">
                        <c:v>113.80800000000001</c:v>
                      </c:pt>
                      <c:pt idx="863">
                        <c:v>113.807</c:v>
                      </c:pt>
                      <c:pt idx="864">
                        <c:v>113.807</c:v>
                      </c:pt>
                      <c:pt idx="865">
                        <c:v>113.806</c:v>
                      </c:pt>
                      <c:pt idx="866">
                        <c:v>113.806</c:v>
                      </c:pt>
                      <c:pt idx="867">
                        <c:v>113.80500000000001</c:v>
                      </c:pt>
                      <c:pt idx="868">
                        <c:v>113.80500000000001</c:v>
                      </c:pt>
                      <c:pt idx="869">
                        <c:v>113.80500000000001</c:v>
                      </c:pt>
                      <c:pt idx="870">
                        <c:v>113.804</c:v>
                      </c:pt>
                      <c:pt idx="871">
                        <c:v>113.804</c:v>
                      </c:pt>
                      <c:pt idx="872">
                        <c:v>113.803</c:v>
                      </c:pt>
                      <c:pt idx="873">
                        <c:v>113.803</c:v>
                      </c:pt>
                      <c:pt idx="874">
                        <c:v>113.80200000000001</c:v>
                      </c:pt>
                      <c:pt idx="875">
                        <c:v>113.80200000000001</c:v>
                      </c:pt>
                      <c:pt idx="876">
                        <c:v>113.801</c:v>
                      </c:pt>
                      <c:pt idx="877">
                        <c:v>113.801</c:v>
                      </c:pt>
                      <c:pt idx="878">
                        <c:v>113.8</c:v>
                      </c:pt>
                      <c:pt idx="879">
                        <c:v>113.8</c:v>
                      </c:pt>
                      <c:pt idx="880">
                        <c:v>113.79900000000001</c:v>
                      </c:pt>
                      <c:pt idx="881">
                        <c:v>113.79900000000001</c:v>
                      </c:pt>
                      <c:pt idx="882">
                        <c:v>113.79900000000001</c:v>
                      </c:pt>
                      <c:pt idx="883">
                        <c:v>113.798</c:v>
                      </c:pt>
                      <c:pt idx="884">
                        <c:v>113.798</c:v>
                      </c:pt>
                      <c:pt idx="885">
                        <c:v>113.797</c:v>
                      </c:pt>
                      <c:pt idx="886">
                        <c:v>113.797</c:v>
                      </c:pt>
                      <c:pt idx="887">
                        <c:v>113.79600000000001</c:v>
                      </c:pt>
                      <c:pt idx="888">
                        <c:v>113.79600000000001</c:v>
                      </c:pt>
                      <c:pt idx="889">
                        <c:v>113.795</c:v>
                      </c:pt>
                      <c:pt idx="890">
                        <c:v>113.795</c:v>
                      </c:pt>
                      <c:pt idx="891">
                        <c:v>113.794</c:v>
                      </c:pt>
                      <c:pt idx="892">
                        <c:v>113.794</c:v>
                      </c:pt>
                      <c:pt idx="893">
                        <c:v>113.79300000000001</c:v>
                      </c:pt>
                      <c:pt idx="894">
                        <c:v>113.79300000000001</c:v>
                      </c:pt>
                      <c:pt idx="895">
                        <c:v>113.792</c:v>
                      </c:pt>
                      <c:pt idx="896">
                        <c:v>113.792</c:v>
                      </c:pt>
                      <c:pt idx="897">
                        <c:v>113.791</c:v>
                      </c:pt>
                      <c:pt idx="898">
                        <c:v>113.791</c:v>
                      </c:pt>
                      <c:pt idx="899">
                        <c:v>113.791</c:v>
                      </c:pt>
                      <c:pt idx="900">
                        <c:v>113.79</c:v>
                      </c:pt>
                      <c:pt idx="901">
                        <c:v>113.79</c:v>
                      </c:pt>
                      <c:pt idx="902">
                        <c:v>113.789</c:v>
                      </c:pt>
                      <c:pt idx="903">
                        <c:v>113.789</c:v>
                      </c:pt>
                      <c:pt idx="904">
                        <c:v>113.788</c:v>
                      </c:pt>
                      <c:pt idx="905">
                        <c:v>113.788</c:v>
                      </c:pt>
                      <c:pt idx="906">
                        <c:v>113.78700000000001</c:v>
                      </c:pt>
                      <c:pt idx="907">
                        <c:v>113.78700000000001</c:v>
                      </c:pt>
                      <c:pt idx="908">
                        <c:v>113.786</c:v>
                      </c:pt>
                      <c:pt idx="909">
                        <c:v>113.786</c:v>
                      </c:pt>
                      <c:pt idx="910">
                        <c:v>113.785</c:v>
                      </c:pt>
                      <c:pt idx="911">
                        <c:v>113.785</c:v>
                      </c:pt>
                      <c:pt idx="912">
                        <c:v>113.78400000000001</c:v>
                      </c:pt>
                      <c:pt idx="913">
                        <c:v>113.78400000000001</c:v>
                      </c:pt>
                      <c:pt idx="914">
                        <c:v>113.783</c:v>
                      </c:pt>
                      <c:pt idx="915">
                        <c:v>113.782</c:v>
                      </c:pt>
                      <c:pt idx="916">
                        <c:v>113.782</c:v>
                      </c:pt>
                      <c:pt idx="917">
                        <c:v>113.78100000000001</c:v>
                      </c:pt>
                      <c:pt idx="918">
                        <c:v>113.78100000000001</c:v>
                      </c:pt>
                      <c:pt idx="919">
                        <c:v>113.78</c:v>
                      </c:pt>
                      <c:pt idx="920">
                        <c:v>113.78</c:v>
                      </c:pt>
                      <c:pt idx="921">
                        <c:v>113.779</c:v>
                      </c:pt>
                      <c:pt idx="922">
                        <c:v>113.779</c:v>
                      </c:pt>
                      <c:pt idx="923">
                        <c:v>113.77800000000001</c:v>
                      </c:pt>
                      <c:pt idx="924">
                        <c:v>113.77800000000001</c:v>
                      </c:pt>
                      <c:pt idx="925">
                        <c:v>113.777</c:v>
                      </c:pt>
                      <c:pt idx="926">
                        <c:v>113.776</c:v>
                      </c:pt>
                      <c:pt idx="927">
                        <c:v>113.776</c:v>
                      </c:pt>
                      <c:pt idx="928">
                        <c:v>113.77500000000001</c:v>
                      </c:pt>
                      <c:pt idx="929">
                        <c:v>113.77500000000001</c:v>
                      </c:pt>
                      <c:pt idx="930">
                        <c:v>113.774</c:v>
                      </c:pt>
                      <c:pt idx="931">
                        <c:v>113.774</c:v>
                      </c:pt>
                      <c:pt idx="932">
                        <c:v>113.773</c:v>
                      </c:pt>
                      <c:pt idx="933">
                        <c:v>113.77200000000001</c:v>
                      </c:pt>
                      <c:pt idx="934">
                        <c:v>113.77200000000001</c:v>
                      </c:pt>
                      <c:pt idx="935">
                        <c:v>113.771</c:v>
                      </c:pt>
                      <c:pt idx="936">
                        <c:v>113.77</c:v>
                      </c:pt>
                      <c:pt idx="937">
                        <c:v>113.77</c:v>
                      </c:pt>
                      <c:pt idx="938">
                        <c:v>113.76900000000001</c:v>
                      </c:pt>
                      <c:pt idx="939">
                        <c:v>113.76900000000001</c:v>
                      </c:pt>
                      <c:pt idx="940">
                        <c:v>113.768</c:v>
                      </c:pt>
                      <c:pt idx="941">
                        <c:v>113.767</c:v>
                      </c:pt>
                      <c:pt idx="942">
                        <c:v>113.76600000000001</c:v>
                      </c:pt>
                      <c:pt idx="943">
                        <c:v>113.76600000000001</c:v>
                      </c:pt>
                      <c:pt idx="944">
                        <c:v>113.765</c:v>
                      </c:pt>
                      <c:pt idx="945">
                        <c:v>113.764</c:v>
                      </c:pt>
                      <c:pt idx="946">
                        <c:v>113.764</c:v>
                      </c:pt>
                      <c:pt idx="947">
                        <c:v>113.76300000000001</c:v>
                      </c:pt>
                      <c:pt idx="948">
                        <c:v>113.762</c:v>
                      </c:pt>
                      <c:pt idx="949">
                        <c:v>113.761</c:v>
                      </c:pt>
                      <c:pt idx="950">
                        <c:v>113.76</c:v>
                      </c:pt>
                      <c:pt idx="951">
                        <c:v>113.76</c:v>
                      </c:pt>
                      <c:pt idx="952">
                        <c:v>113.759</c:v>
                      </c:pt>
                      <c:pt idx="953">
                        <c:v>113.758</c:v>
                      </c:pt>
                      <c:pt idx="954">
                        <c:v>113.75700000000001</c:v>
                      </c:pt>
                      <c:pt idx="955">
                        <c:v>113.756</c:v>
                      </c:pt>
                      <c:pt idx="956">
                        <c:v>113.755</c:v>
                      </c:pt>
                      <c:pt idx="957">
                        <c:v>113.755</c:v>
                      </c:pt>
                      <c:pt idx="958">
                        <c:v>113.754</c:v>
                      </c:pt>
                      <c:pt idx="959">
                        <c:v>113.753</c:v>
                      </c:pt>
                      <c:pt idx="960">
                        <c:v>113.752</c:v>
                      </c:pt>
                      <c:pt idx="961">
                        <c:v>113.751</c:v>
                      </c:pt>
                      <c:pt idx="962">
                        <c:v>113.75</c:v>
                      </c:pt>
                      <c:pt idx="963">
                        <c:v>113.749</c:v>
                      </c:pt>
                      <c:pt idx="964">
                        <c:v>113.748</c:v>
                      </c:pt>
                      <c:pt idx="965">
                        <c:v>113.747</c:v>
                      </c:pt>
                      <c:pt idx="966">
                        <c:v>113.746</c:v>
                      </c:pt>
                      <c:pt idx="967">
                        <c:v>113.745</c:v>
                      </c:pt>
                      <c:pt idx="968">
                        <c:v>113.744</c:v>
                      </c:pt>
                      <c:pt idx="969">
                        <c:v>113.74299999999999</c:v>
                      </c:pt>
                      <c:pt idx="970">
                        <c:v>113.742</c:v>
                      </c:pt>
                      <c:pt idx="971">
                        <c:v>113.741</c:v>
                      </c:pt>
                      <c:pt idx="972">
                        <c:v>113.74</c:v>
                      </c:pt>
                      <c:pt idx="973">
                        <c:v>113.739</c:v>
                      </c:pt>
                      <c:pt idx="974">
                        <c:v>113.738</c:v>
                      </c:pt>
                      <c:pt idx="975">
                        <c:v>113.736</c:v>
                      </c:pt>
                      <c:pt idx="976">
                        <c:v>113.735</c:v>
                      </c:pt>
                      <c:pt idx="977">
                        <c:v>113.73399999999999</c:v>
                      </c:pt>
                      <c:pt idx="978">
                        <c:v>113.733</c:v>
                      </c:pt>
                      <c:pt idx="979">
                        <c:v>113.732</c:v>
                      </c:pt>
                      <c:pt idx="980">
                        <c:v>113.73099999999999</c:v>
                      </c:pt>
                      <c:pt idx="981">
                        <c:v>113.729</c:v>
                      </c:pt>
                      <c:pt idx="982">
                        <c:v>113.72799999999999</c:v>
                      </c:pt>
                      <c:pt idx="983">
                        <c:v>113.727</c:v>
                      </c:pt>
                      <c:pt idx="984">
                        <c:v>113.726</c:v>
                      </c:pt>
                      <c:pt idx="985">
                        <c:v>113.724</c:v>
                      </c:pt>
                      <c:pt idx="986">
                        <c:v>113.723</c:v>
                      </c:pt>
                      <c:pt idx="987">
                        <c:v>113.72199999999999</c:v>
                      </c:pt>
                      <c:pt idx="988">
                        <c:v>113.72</c:v>
                      </c:pt>
                      <c:pt idx="989">
                        <c:v>113.71899999999999</c:v>
                      </c:pt>
                      <c:pt idx="990">
                        <c:v>113.717</c:v>
                      </c:pt>
                      <c:pt idx="991">
                        <c:v>113.71599999999999</c:v>
                      </c:pt>
                      <c:pt idx="992">
                        <c:v>113.715</c:v>
                      </c:pt>
                      <c:pt idx="993">
                        <c:v>113.71299999999999</c:v>
                      </c:pt>
                      <c:pt idx="994">
                        <c:v>113.712</c:v>
                      </c:pt>
                      <c:pt idx="995">
                        <c:v>113.71</c:v>
                      </c:pt>
                      <c:pt idx="996">
                        <c:v>113.709</c:v>
                      </c:pt>
                      <c:pt idx="997">
                        <c:v>113.70699999999999</c:v>
                      </c:pt>
                      <c:pt idx="998">
                        <c:v>113.706</c:v>
                      </c:pt>
                      <c:pt idx="999">
                        <c:v>113.705</c:v>
                      </c:pt>
                      <c:pt idx="1000">
                        <c:v>113.703</c:v>
                      </c:pt>
                      <c:pt idx="1001">
                        <c:v>113.702</c:v>
                      </c:pt>
                      <c:pt idx="1002">
                        <c:v>113.7</c:v>
                      </c:pt>
                      <c:pt idx="1003">
                        <c:v>113.699</c:v>
                      </c:pt>
                      <c:pt idx="1004">
                        <c:v>113.69799999999999</c:v>
                      </c:pt>
                      <c:pt idx="1005">
                        <c:v>113.696</c:v>
                      </c:pt>
                      <c:pt idx="1006">
                        <c:v>113.69499999999999</c:v>
                      </c:pt>
                      <c:pt idx="1007">
                        <c:v>113.694</c:v>
                      </c:pt>
                      <c:pt idx="1008">
                        <c:v>113.69199999999999</c:v>
                      </c:pt>
                      <c:pt idx="1009">
                        <c:v>113.691</c:v>
                      </c:pt>
                      <c:pt idx="1010">
                        <c:v>113.69</c:v>
                      </c:pt>
                      <c:pt idx="1011">
                        <c:v>113.688</c:v>
                      </c:pt>
                      <c:pt idx="1012">
                        <c:v>113.687</c:v>
                      </c:pt>
                      <c:pt idx="1013">
                        <c:v>113.685</c:v>
                      </c:pt>
                      <c:pt idx="1014">
                        <c:v>113.684</c:v>
                      </c:pt>
                      <c:pt idx="1015">
                        <c:v>113.68300000000001</c:v>
                      </c:pt>
                      <c:pt idx="1016">
                        <c:v>113.681</c:v>
                      </c:pt>
                      <c:pt idx="1017">
                        <c:v>113.68</c:v>
                      </c:pt>
                      <c:pt idx="1018">
                        <c:v>113.678</c:v>
                      </c:pt>
                      <c:pt idx="1019">
                        <c:v>113.67700000000001</c:v>
                      </c:pt>
                      <c:pt idx="1020">
                        <c:v>113.676</c:v>
                      </c:pt>
                      <c:pt idx="1021">
                        <c:v>113.67400000000001</c:v>
                      </c:pt>
                      <c:pt idx="1022">
                        <c:v>113.673</c:v>
                      </c:pt>
                      <c:pt idx="1023">
                        <c:v>113.67100000000001</c:v>
                      </c:pt>
                      <c:pt idx="1024">
                        <c:v>113.67</c:v>
                      </c:pt>
                      <c:pt idx="1025">
                        <c:v>113.66800000000001</c:v>
                      </c:pt>
                      <c:pt idx="1026">
                        <c:v>113.667</c:v>
                      </c:pt>
                      <c:pt idx="1027">
                        <c:v>113.66500000000001</c:v>
                      </c:pt>
                      <c:pt idx="1028">
                        <c:v>113.664</c:v>
                      </c:pt>
                      <c:pt idx="1029">
                        <c:v>113.66200000000001</c:v>
                      </c:pt>
                      <c:pt idx="1030">
                        <c:v>113.661</c:v>
                      </c:pt>
                      <c:pt idx="1031">
                        <c:v>113.65900000000001</c:v>
                      </c:pt>
                      <c:pt idx="1032">
                        <c:v>113.658</c:v>
                      </c:pt>
                      <c:pt idx="1033">
                        <c:v>113.65600000000001</c:v>
                      </c:pt>
                      <c:pt idx="1034">
                        <c:v>113.655</c:v>
                      </c:pt>
                      <c:pt idx="1035">
                        <c:v>113.65300000000001</c:v>
                      </c:pt>
                      <c:pt idx="1036">
                        <c:v>113.652</c:v>
                      </c:pt>
                      <c:pt idx="1037">
                        <c:v>113.65</c:v>
                      </c:pt>
                      <c:pt idx="1038">
                        <c:v>113.649</c:v>
                      </c:pt>
                      <c:pt idx="1039">
                        <c:v>113.64700000000001</c:v>
                      </c:pt>
                      <c:pt idx="1040">
                        <c:v>113.646</c:v>
                      </c:pt>
                      <c:pt idx="1041">
                        <c:v>113.64400000000001</c:v>
                      </c:pt>
                      <c:pt idx="1042">
                        <c:v>113.643</c:v>
                      </c:pt>
                      <c:pt idx="1043">
                        <c:v>113.64100000000001</c:v>
                      </c:pt>
                      <c:pt idx="1044">
                        <c:v>113.64</c:v>
                      </c:pt>
                      <c:pt idx="1045">
                        <c:v>113.63800000000001</c:v>
                      </c:pt>
                      <c:pt idx="1046">
                        <c:v>113.637</c:v>
                      </c:pt>
                      <c:pt idx="1047">
                        <c:v>113.63500000000001</c:v>
                      </c:pt>
                      <c:pt idx="1048">
                        <c:v>113.634</c:v>
                      </c:pt>
                      <c:pt idx="1049">
                        <c:v>113.63200000000001</c:v>
                      </c:pt>
                      <c:pt idx="1050">
                        <c:v>113.631</c:v>
                      </c:pt>
                      <c:pt idx="1051">
                        <c:v>113.629</c:v>
                      </c:pt>
                      <c:pt idx="1052">
                        <c:v>113.628</c:v>
                      </c:pt>
                      <c:pt idx="1053">
                        <c:v>113.627</c:v>
                      </c:pt>
                      <c:pt idx="1054">
                        <c:v>113.625</c:v>
                      </c:pt>
                      <c:pt idx="1055">
                        <c:v>113.624</c:v>
                      </c:pt>
                      <c:pt idx="1056">
                        <c:v>113.623</c:v>
                      </c:pt>
                      <c:pt idx="1057">
                        <c:v>113.621</c:v>
                      </c:pt>
                      <c:pt idx="1058">
                        <c:v>113.62</c:v>
                      </c:pt>
                      <c:pt idx="1059">
                        <c:v>113.619</c:v>
                      </c:pt>
                      <c:pt idx="1060">
                        <c:v>113.61799999999999</c:v>
                      </c:pt>
                      <c:pt idx="1061">
                        <c:v>113.616</c:v>
                      </c:pt>
                      <c:pt idx="1062">
                        <c:v>113.61499999999999</c:v>
                      </c:pt>
                      <c:pt idx="1063">
                        <c:v>113.614</c:v>
                      </c:pt>
                      <c:pt idx="1064">
                        <c:v>113.613</c:v>
                      </c:pt>
                      <c:pt idx="1065">
                        <c:v>113.611</c:v>
                      </c:pt>
                      <c:pt idx="1066">
                        <c:v>113.61</c:v>
                      </c:pt>
                      <c:pt idx="1067">
                        <c:v>113.60899999999999</c:v>
                      </c:pt>
                      <c:pt idx="1068">
                        <c:v>113.608</c:v>
                      </c:pt>
                      <c:pt idx="1069">
                        <c:v>113.607</c:v>
                      </c:pt>
                      <c:pt idx="1070">
                        <c:v>113.60599999999999</c:v>
                      </c:pt>
                      <c:pt idx="1071">
                        <c:v>113.605</c:v>
                      </c:pt>
                      <c:pt idx="1072">
                        <c:v>113.604</c:v>
                      </c:pt>
                      <c:pt idx="1073">
                        <c:v>113.602</c:v>
                      </c:pt>
                      <c:pt idx="1074">
                        <c:v>113.601</c:v>
                      </c:pt>
                      <c:pt idx="1075">
                        <c:v>113.6</c:v>
                      </c:pt>
                      <c:pt idx="1076">
                        <c:v>113.599</c:v>
                      </c:pt>
                      <c:pt idx="1077">
                        <c:v>113.598</c:v>
                      </c:pt>
                      <c:pt idx="1078">
                        <c:v>113.59699999999999</c:v>
                      </c:pt>
                      <c:pt idx="1079">
                        <c:v>113.596</c:v>
                      </c:pt>
                      <c:pt idx="1080">
                        <c:v>113.59399999999999</c:v>
                      </c:pt>
                      <c:pt idx="1081">
                        <c:v>113.593</c:v>
                      </c:pt>
                      <c:pt idx="1082">
                        <c:v>113.592</c:v>
                      </c:pt>
                      <c:pt idx="1083">
                        <c:v>113.59099999999999</c:v>
                      </c:pt>
                      <c:pt idx="1084">
                        <c:v>113.589</c:v>
                      </c:pt>
                      <c:pt idx="1085">
                        <c:v>113.58799999999999</c:v>
                      </c:pt>
                      <c:pt idx="1086">
                        <c:v>113.587</c:v>
                      </c:pt>
                      <c:pt idx="1087">
                        <c:v>113.58499999999999</c:v>
                      </c:pt>
                      <c:pt idx="1088">
                        <c:v>113.584</c:v>
                      </c:pt>
                      <c:pt idx="1089">
                        <c:v>113.583</c:v>
                      </c:pt>
                      <c:pt idx="1090">
                        <c:v>113.581</c:v>
                      </c:pt>
                      <c:pt idx="1091">
                        <c:v>113.58</c:v>
                      </c:pt>
                      <c:pt idx="1092">
                        <c:v>113.57899999999999</c:v>
                      </c:pt>
                      <c:pt idx="1093">
                        <c:v>113.577</c:v>
                      </c:pt>
                      <c:pt idx="1094">
                        <c:v>113.57599999999999</c:v>
                      </c:pt>
                      <c:pt idx="1095">
                        <c:v>113.574</c:v>
                      </c:pt>
                      <c:pt idx="1096">
                        <c:v>113.57299999999999</c:v>
                      </c:pt>
                      <c:pt idx="1097">
                        <c:v>113.571</c:v>
                      </c:pt>
                      <c:pt idx="1098">
                        <c:v>113.57</c:v>
                      </c:pt>
                      <c:pt idx="1099">
                        <c:v>113.568</c:v>
                      </c:pt>
                      <c:pt idx="1100">
                        <c:v>113.56699999999999</c:v>
                      </c:pt>
                      <c:pt idx="1101">
                        <c:v>113.565</c:v>
                      </c:pt>
                      <c:pt idx="1102">
                        <c:v>113.56399999999999</c:v>
                      </c:pt>
                      <c:pt idx="1103">
                        <c:v>113.562</c:v>
                      </c:pt>
                      <c:pt idx="1104">
                        <c:v>113.56100000000001</c:v>
                      </c:pt>
                      <c:pt idx="1105">
                        <c:v>113.559</c:v>
                      </c:pt>
                      <c:pt idx="1106">
                        <c:v>113.55800000000001</c:v>
                      </c:pt>
                      <c:pt idx="1107">
                        <c:v>113.556</c:v>
                      </c:pt>
                      <c:pt idx="1108">
                        <c:v>113.55500000000001</c:v>
                      </c:pt>
                      <c:pt idx="1109">
                        <c:v>113.553</c:v>
                      </c:pt>
                      <c:pt idx="1110">
                        <c:v>113.551</c:v>
                      </c:pt>
                      <c:pt idx="1111">
                        <c:v>113.55</c:v>
                      </c:pt>
                      <c:pt idx="1112">
                        <c:v>113.548</c:v>
                      </c:pt>
                      <c:pt idx="1113">
                        <c:v>113.547</c:v>
                      </c:pt>
                      <c:pt idx="1114">
                        <c:v>113.545</c:v>
                      </c:pt>
                      <c:pt idx="1115">
                        <c:v>113.54300000000001</c:v>
                      </c:pt>
                      <c:pt idx="1116">
                        <c:v>113.542</c:v>
                      </c:pt>
                      <c:pt idx="1117">
                        <c:v>113.54</c:v>
                      </c:pt>
                      <c:pt idx="1118">
                        <c:v>113.539</c:v>
                      </c:pt>
                      <c:pt idx="1119">
                        <c:v>113.53700000000001</c:v>
                      </c:pt>
                      <c:pt idx="1120">
                        <c:v>113.535</c:v>
                      </c:pt>
                      <c:pt idx="1121">
                        <c:v>113.53400000000001</c:v>
                      </c:pt>
                      <c:pt idx="1122">
                        <c:v>113.532</c:v>
                      </c:pt>
                      <c:pt idx="1123">
                        <c:v>113.53100000000001</c:v>
                      </c:pt>
                      <c:pt idx="1124">
                        <c:v>113.529</c:v>
                      </c:pt>
                      <c:pt idx="1125">
                        <c:v>113.52800000000001</c:v>
                      </c:pt>
                      <c:pt idx="1126">
                        <c:v>113.526</c:v>
                      </c:pt>
                      <c:pt idx="1127">
                        <c:v>113.524</c:v>
                      </c:pt>
                      <c:pt idx="1128">
                        <c:v>113.523</c:v>
                      </c:pt>
                      <c:pt idx="1129">
                        <c:v>113.521</c:v>
                      </c:pt>
                      <c:pt idx="1130">
                        <c:v>113.52</c:v>
                      </c:pt>
                      <c:pt idx="1131">
                        <c:v>113.518</c:v>
                      </c:pt>
                      <c:pt idx="1132">
                        <c:v>113.517</c:v>
                      </c:pt>
                      <c:pt idx="1133">
                        <c:v>113.515</c:v>
                      </c:pt>
                      <c:pt idx="1134">
                        <c:v>113.514</c:v>
                      </c:pt>
                      <c:pt idx="1135">
                        <c:v>113.512</c:v>
                      </c:pt>
                      <c:pt idx="1136">
                        <c:v>113.51</c:v>
                      </c:pt>
                      <c:pt idx="1137">
                        <c:v>113.509</c:v>
                      </c:pt>
                      <c:pt idx="1138">
                        <c:v>113.50700000000001</c:v>
                      </c:pt>
                      <c:pt idx="1139">
                        <c:v>113.506</c:v>
                      </c:pt>
                      <c:pt idx="1140">
                        <c:v>113.504</c:v>
                      </c:pt>
                      <c:pt idx="1141">
                        <c:v>113.503</c:v>
                      </c:pt>
                      <c:pt idx="1142">
                        <c:v>113.501</c:v>
                      </c:pt>
                      <c:pt idx="1143">
                        <c:v>113.5</c:v>
                      </c:pt>
                      <c:pt idx="1144">
                        <c:v>113.498</c:v>
                      </c:pt>
                      <c:pt idx="1145">
                        <c:v>113.497</c:v>
                      </c:pt>
                      <c:pt idx="1146">
                        <c:v>113.495</c:v>
                      </c:pt>
                      <c:pt idx="1147">
                        <c:v>113.494</c:v>
                      </c:pt>
                      <c:pt idx="1148">
                        <c:v>113.492</c:v>
                      </c:pt>
                      <c:pt idx="1149">
                        <c:v>113.491</c:v>
                      </c:pt>
                      <c:pt idx="1150">
                        <c:v>113.489</c:v>
                      </c:pt>
                      <c:pt idx="1151">
                        <c:v>113.488</c:v>
                      </c:pt>
                      <c:pt idx="1152">
                        <c:v>113.48699999999999</c:v>
                      </c:pt>
                      <c:pt idx="1153">
                        <c:v>113.485</c:v>
                      </c:pt>
                      <c:pt idx="1154">
                        <c:v>113.48399999999999</c:v>
                      </c:pt>
                      <c:pt idx="1155">
                        <c:v>113.482</c:v>
                      </c:pt>
                      <c:pt idx="1156">
                        <c:v>113.48099999999999</c:v>
                      </c:pt>
                      <c:pt idx="1157">
                        <c:v>113.48</c:v>
                      </c:pt>
                      <c:pt idx="1158">
                        <c:v>113.47799999999999</c:v>
                      </c:pt>
                      <c:pt idx="1159">
                        <c:v>113.477</c:v>
                      </c:pt>
                      <c:pt idx="1160">
                        <c:v>113.476</c:v>
                      </c:pt>
                      <c:pt idx="1161">
                        <c:v>113.474</c:v>
                      </c:pt>
                      <c:pt idx="1162">
                        <c:v>113.473</c:v>
                      </c:pt>
                      <c:pt idx="1163">
                        <c:v>113.47199999999999</c:v>
                      </c:pt>
                      <c:pt idx="1164">
                        <c:v>113.471</c:v>
                      </c:pt>
                      <c:pt idx="1165">
                        <c:v>113.46899999999999</c:v>
                      </c:pt>
                      <c:pt idx="1166">
                        <c:v>113.468</c:v>
                      </c:pt>
                      <c:pt idx="1167">
                        <c:v>113.467</c:v>
                      </c:pt>
                      <c:pt idx="1168">
                        <c:v>113.46599999999999</c:v>
                      </c:pt>
                      <c:pt idx="1169">
                        <c:v>113.465</c:v>
                      </c:pt>
                      <c:pt idx="1170">
                        <c:v>113.46299999999999</c:v>
                      </c:pt>
                      <c:pt idx="1171">
                        <c:v>113.462</c:v>
                      </c:pt>
                      <c:pt idx="1172">
                        <c:v>113.461</c:v>
                      </c:pt>
                      <c:pt idx="1173">
                        <c:v>113.46</c:v>
                      </c:pt>
                      <c:pt idx="1174">
                        <c:v>113.459</c:v>
                      </c:pt>
                      <c:pt idx="1175">
                        <c:v>113.45699999999999</c:v>
                      </c:pt>
                      <c:pt idx="1176">
                        <c:v>113.456</c:v>
                      </c:pt>
                      <c:pt idx="1177">
                        <c:v>113.455</c:v>
                      </c:pt>
                      <c:pt idx="1178">
                        <c:v>113.45399999999999</c:v>
                      </c:pt>
                      <c:pt idx="1179">
                        <c:v>113.453</c:v>
                      </c:pt>
                      <c:pt idx="1180">
                        <c:v>113.452</c:v>
                      </c:pt>
                      <c:pt idx="1181">
                        <c:v>113.45099999999999</c:v>
                      </c:pt>
                      <c:pt idx="1182">
                        <c:v>113.45</c:v>
                      </c:pt>
                      <c:pt idx="1183">
                        <c:v>113.449</c:v>
                      </c:pt>
                      <c:pt idx="1184">
                        <c:v>113.44799999999999</c:v>
                      </c:pt>
                      <c:pt idx="1185">
                        <c:v>113.446</c:v>
                      </c:pt>
                      <c:pt idx="1186">
                        <c:v>113.44499999999999</c:v>
                      </c:pt>
                      <c:pt idx="1187">
                        <c:v>113.444</c:v>
                      </c:pt>
                      <c:pt idx="1188">
                        <c:v>113.443</c:v>
                      </c:pt>
                      <c:pt idx="1189">
                        <c:v>113.44199999999999</c:v>
                      </c:pt>
                      <c:pt idx="1190">
                        <c:v>113.441</c:v>
                      </c:pt>
                      <c:pt idx="1191">
                        <c:v>113.44</c:v>
                      </c:pt>
                      <c:pt idx="1192">
                        <c:v>113.43899999999999</c:v>
                      </c:pt>
                      <c:pt idx="1193">
                        <c:v>113.438</c:v>
                      </c:pt>
                      <c:pt idx="1194">
                        <c:v>113.437</c:v>
                      </c:pt>
                      <c:pt idx="1195">
                        <c:v>113.43600000000001</c:v>
                      </c:pt>
                      <c:pt idx="1196">
                        <c:v>113.435</c:v>
                      </c:pt>
                      <c:pt idx="1197">
                        <c:v>113.434</c:v>
                      </c:pt>
                      <c:pt idx="1198">
                        <c:v>113.43300000000001</c:v>
                      </c:pt>
                      <c:pt idx="1199">
                        <c:v>113.432</c:v>
                      </c:pt>
                      <c:pt idx="1200">
                        <c:v>113.431</c:v>
                      </c:pt>
                      <c:pt idx="1201">
                        <c:v>113.43</c:v>
                      </c:pt>
                      <c:pt idx="1202">
                        <c:v>113.429</c:v>
                      </c:pt>
                      <c:pt idx="1203">
                        <c:v>113.428</c:v>
                      </c:pt>
                      <c:pt idx="1204">
                        <c:v>113.42700000000001</c:v>
                      </c:pt>
                      <c:pt idx="1205">
                        <c:v>113.426</c:v>
                      </c:pt>
                      <c:pt idx="1206">
                        <c:v>113.425</c:v>
                      </c:pt>
                      <c:pt idx="1207">
                        <c:v>113.42400000000001</c:v>
                      </c:pt>
                      <c:pt idx="1208">
                        <c:v>113.423</c:v>
                      </c:pt>
                      <c:pt idx="1209">
                        <c:v>113.422</c:v>
                      </c:pt>
                      <c:pt idx="1210">
                        <c:v>113.42100000000001</c:v>
                      </c:pt>
                      <c:pt idx="1211">
                        <c:v>113.42</c:v>
                      </c:pt>
                      <c:pt idx="1212">
                        <c:v>113.419</c:v>
                      </c:pt>
                      <c:pt idx="1213">
                        <c:v>113.41800000000001</c:v>
                      </c:pt>
                      <c:pt idx="1214">
                        <c:v>113.417</c:v>
                      </c:pt>
                      <c:pt idx="1215">
                        <c:v>113.416</c:v>
                      </c:pt>
                      <c:pt idx="1216">
                        <c:v>113.41500000000001</c:v>
                      </c:pt>
                      <c:pt idx="1217">
                        <c:v>113.414</c:v>
                      </c:pt>
                      <c:pt idx="1218">
                        <c:v>113.413</c:v>
                      </c:pt>
                      <c:pt idx="1219">
                        <c:v>113.41200000000001</c:v>
                      </c:pt>
                      <c:pt idx="1220">
                        <c:v>113.411</c:v>
                      </c:pt>
                      <c:pt idx="1221">
                        <c:v>113.41</c:v>
                      </c:pt>
                      <c:pt idx="1222">
                        <c:v>113.40900000000001</c:v>
                      </c:pt>
                      <c:pt idx="1223">
                        <c:v>113.408</c:v>
                      </c:pt>
                      <c:pt idx="1224">
                        <c:v>113.407</c:v>
                      </c:pt>
                      <c:pt idx="1225">
                        <c:v>113.40600000000001</c:v>
                      </c:pt>
                      <c:pt idx="1226">
                        <c:v>113.405</c:v>
                      </c:pt>
                      <c:pt idx="1227">
                        <c:v>113.404</c:v>
                      </c:pt>
                      <c:pt idx="1228">
                        <c:v>113.40300000000001</c:v>
                      </c:pt>
                      <c:pt idx="1229">
                        <c:v>113.402</c:v>
                      </c:pt>
                      <c:pt idx="1230">
                        <c:v>113.401</c:v>
                      </c:pt>
                      <c:pt idx="1231">
                        <c:v>113.4</c:v>
                      </c:pt>
                      <c:pt idx="1232">
                        <c:v>113.399</c:v>
                      </c:pt>
                      <c:pt idx="1233">
                        <c:v>113.398</c:v>
                      </c:pt>
                      <c:pt idx="1234">
                        <c:v>113.39700000000001</c:v>
                      </c:pt>
                      <c:pt idx="1235">
                        <c:v>113.396</c:v>
                      </c:pt>
                      <c:pt idx="1236">
                        <c:v>113.396</c:v>
                      </c:pt>
                      <c:pt idx="1237">
                        <c:v>113.395</c:v>
                      </c:pt>
                      <c:pt idx="1238">
                        <c:v>113.39400000000001</c:v>
                      </c:pt>
                      <c:pt idx="1239">
                        <c:v>113.393</c:v>
                      </c:pt>
                      <c:pt idx="1240">
                        <c:v>113.392</c:v>
                      </c:pt>
                      <c:pt idx="1241">
                        <c:v>113.39100000000001</c:v>
                      </c:pt>
                      <c:pt idx="1242">
                        <c:v>113.39</c:v>
                      </c:pt>
                      <c:pt idx="1243">
                        <c:v>113.389</c:v>
                      </c:pt>
                      <c:pt idx="1244">
                        <c:v>113.38800000000001</c:v>
                      </c:pt>
                      <c:pt idx="1245">
                        <c:v>113.387</c:v>
                      </c:pt>
                      <c:pt idx="1246">
                        <c:v>113.387</c:v>
                      </c:pt>
                      <c:pt idx="1247">
                        <c:v>113.386</c:v>
                      </c:pt>
                      <c:pt idx="1248">
                        <c:v>113.38500000000001</c:v>
                      </c:pt>
                      <c:pt idx="1249">
                        <c:v>113.384</c:v>
                      </c:pt>
                      <c:pt idx="1250">
                        <c:v>113.383</c:v>
                      </c:pt>
                      <c:pt idx="1251">
                        <c:v>113.38200000000001</c:v>
                      </c:pt>
                      <c:pt idx="1252">
                        <c:v>113.381</c:v>
                      </c:pt>
                      <c:pt idx="1253">
                        <c:v>113.381</c:v>
                      </c:pt>
                      <c:pt idx="1254">
                        <c:v>113.38</c:v>
                      </c:pt>
                      <c:pt idx="1255">
                        <c:v>113.379</c:v>
                      </c:pt>
                      <c:pt idx="1256">
                        <c:v>113.378</c:v>
                      </c:pt>
                      <c:pt idx="1257">
                        <c:v>113.377</c:v>
                      </c:pt>
                      <c:pt idx="1258">
                        <c:v>113.377</c:v>
                      </c:pt>
                      <c:pt idx="1259">
                        <c:v>113.376</c:v>
                      </c:pt>
                      <c:pt idx="1260">
                        <c:v>113.375</c:v>
                      </c:pt>
                      <c:pt idx="1261">
                        <c:v>113.374</c:v>
                      </c:pt>
                      <c:pt idx="1262">
                        <c:v>113.373</c:v>
                      </c:pt>
                      <c:pt idx="1263">
                        <c:v>113.372</c:v>
                      </c:pt>
                      <c:pt idx="1264">
                        <c:v>113.372</c:v>
                      </c:pt>
                      <c:pt idx="1265">
                        <c:v>113.371</c:v>
                      </c:pt>
                      <c:pt idx="1266">
                        <c:v>113.37</c:v>
                      </c:pt>
                      <c:pt idx="1267">
                        <c:v>113.369</c:v>
                      </c:pt>
                      <c:pt idx="1268">
                        <c:v>113.369</c:v>
                      </c:pt>
                      <c:pt idx="1269">
                        <c:v>113.36799999999999</c:v>
                      </c:pt>
                      <c:pt idx="1270">
                        <c:v>113.367</c:v>
                      </c:pt>
                      <c:pt idx="1271">
                        <c:v>113.366</c:v>
                      </c:pt>
                      <c:pt idx="1272">
                        <c:v>113.366</c:v>
                      </c:pt>
                      <c:pt idx="1273">
                        <c:v>113.36499999999999</c:v>
                      </c:pt>
                      <c:pt idx="1274">
                        <c:v>113.364</c:v>
                      </c:pt>
                      <c:pt idx="1275">
                        <c:v>113.364</c:v>
                      </c:pt>
                      <c:pt idx="1276">
                        <c:v>113.363</c:v>
                      </c:pt>
                      <c:pt idx="1277">
                        <c:v>113.36199999999999</c:v>
                      </c:pt>
                      <c:pt idx="1278">
                        <c:v>113.36199999999999</c:v>
                      </c:pt>
                      <c:pt idx="1279">
                        <c:v>113.361</c:v>
                      </c:pt>
                      <c:pt idx="1280">
                        <c:v>113.36</c:v>
                      </c:pt>
                      <c:pt idx="1281">
                        <c:v>113.36</c:v>
                      </c:pt>
                      <c:pt idx="1282">
                        <c:v>113.35899999999999</c:v>
                      </c:pt>
                      <c:pt idx="1283">
                        <c:v>113.358</c:v>
                      </c:pt>
                      <c:pt idx="1284">
                        <c:v>113.358</c:v>
                      </c:pt>
                      <c:pt idx="1285">
                        <c:v>113.357</c:v>
                      </c:pt>
                      <c:pt idx="1286">
                        <c:v>113.35599999999999</c:v>
                      </c:pt>
                      <c:pt idx="1287">
                        <c:v>113.35599999999999</c:v>
                      </c:pt>
                      <c:pt idx="1288">
                        <c:v>113.355</c:v>
                      </c:pt>
                      <c:pt idx="1289">
                        <c:v>113.354</c:v>
                      </c:pt>
                      <c:pt idx="1290">
                        <c:v>113.354</c:v>
                      </c:pt>
                      <c:pt idx="1291">
                        <c:v>113.35299999999999</c:v>
                      </c:pt>
                      <c:pt idx="1292">
                        <c:v>113.352</c:v>
                      </c:pt>
                      <c:pt idx="1293">
                        <c:v>113.352</c:v>
                      </c:pt>
                      <c:pt idx="1294">
                        <c:v>113.351</c:v>
                      </c:pt>
                      <c:pt idx="1295">
                        <c:v>113.35</c:v>
                      </c:pt>
                      <c:pt idx="1296">
                        <c:v>113.35</c:v>
                      </c:pt>
                      <c:pt idx="1297">
                        <c:v>113.349</c:v>
                      </c:pt>
                      <c:pt idx="1298">
                        <c:v>113.348</c:v>
                      </c:pt>
                      <c:pt idx="1299">
                        <c:v>113.348</c:v>
                      </c:pt>
                      <c:pt idx="1300">
                        <c:v>113.34699999999999</c:v>
                      </c:pt>
                      <c:pt idx="1301">
                        <c:v>113.346</c:v>
                      </c:pt>
                      <c:pt idx="1302">
                        <c:v>113.346</c:v>
                      </c:pt>
                      <c:pt idx="1303">
                        <c:v>113.345</c:v>
                      </c:pt>
                      <c:pt idx="1304">
                        <c:v>113.34399999999999</c:v>
                      </c:pt>
                      <c:pt idx="1305">
                        <c:v>113.34399999999999</c:v>
                      </c:pt>
                      <c:pt idx="1306">
                        <c:v>113.343</c:v>
                      </c:pt>
                      <c:pt idx="1307">
                        <c:v>113.342</c:v>
                      </c:pt>
                      <c:pt idx="1308">
                        <c:v>113.342</c:v>
                      </c:pt>
                      <c:pt idx="1309">
                        <c:v>113.34099999999999</c:v>
                      </c:pt>
                      <c:pt idx="1310">
                        <c:v>113.34</c:v>
                      </c:pt>
                      <c:pt idx="1311">
                        <c:v>113.34</c:v>
                      </c:pt>
                      <c:pt idx="1312">
                        <c:v>113.339</c:v>
                      </c:pt>
                      <c:pt idx="1313">
                        <c:v>113.33799999999999</c:v>
                      </c:pt>
                      <c:pt idx="1314">
                        <c:v>113.33799999999999</c:v>
                      </c:pt>
                      <c:pt idx="1315">
                        <c:v>113.337</c:v>
                      </c:pt>
                      <c:pt idx="1316">
                        <c:v>113.336</c:v>
                      </c:pt>
                      <c:pt idx="1317">
                        <c:v>113.336</c:v>
                      </c:pt>
                      <c:pt idx="1318">
                        <c:v>113.33499999999999</c:v>
                      </c:pt>
                      <c:pt idx="1319">
                        <c:v>113.334</c:v>
                      </c:pt>
                      <c:pt idx="1320">
                        <c:v>113.334</c:v>
                      </c:pt>
                      <c:pt idx="1321">
                        <c:v>113.333</c:v>
                      </c:pt>
                      <c:pt idx="1322">
                        <c:v>113.33199999999999</c:v>
                      </c:pt>
                      <c:pt idx="1323">
                        <c:v>113.33199999999999</c:v>
                      </c:pt>
                      <c:pt idx="1324">
                        <c:v>113.331</c:v>
                      </c:pt>
                      <c:pt idx="1325">
                        <c:v>113.33</c:v>
                      </c:pt>
                      <c:pt idx="1326">
                        <c:v>113.33</c:v>
                      </c:pt>
                      <c:pt idx="1327">
                        <c:v>113.32899999999999</c:v>
                      </c:pt>
                      <c:pt idx="1328">
                        <c:v>113.32899999999999</c:v>
                      </c:pt>
                      <c:pt idx="1329">
                        <c:v>113.328</c:v>
                      </c:pt>
                      <c:pt idx="1330">
                        <c:v>113.327</c:v>
                      </c:pt>
                      <c:pt idx="1331">
                        <c:v>113.32599999999999</c:v>
                      </c:pt>
                      <c:pt idx="1332">
                        <c:v>113.32599999999999</c:v>
                      </c:pt>
                      <c:pt idx="1333">
                        <c:v>113.325</c:v>
                      </c:pt>
                      <c:pt idx="1334">
                        <c:v>113.325</c:v>
                      </c:pt>
                      <c:pt idx="1335">
                        <c:v>113.324</c:v>
                      </c:pt>
                      <c:pt idx="1336">
                        <c:v>113.32299999999999</c:v>
                      </c:pt>
                      <c:pt idx="1337">
                        <c:v>113.322</c:v>
                      </c:pt>
                      <c:pt idx="1338">
                        <c:v>113.322</c:v>
                      </c:pt>
                      <c:pt idx="1339">
                        <c:v>113.321</c:v>
                      </c:pt>
                      <c:pt idx="1340">
                        <c:v>113.321</c:v>
                      </c:pt>
                      <c:pt idx="1341">
                        <c:v>113.32</c:v>
                      </c:pt>
                      <c:pt idx="1342">
                        <c:v>113.319</c:v>
                      </c:pt>
                      <c:pt idx="1343">
                        <c:v>113.318</c:v>
                      </c:pt>
                      <c:pt idx="1344">
                        <c:v>113.318</c:v>
                      </c:pt>
                      <c:pt idx="1345">
                        <c:v>113.31699999999999</c:v>
                      </c:pt>
                      <c:pt idx="1346">
                        <c:v>113.31699999999999</c:v>
                      </c:pt>
                      <c:pt idx="1347">
                        <c:v>113.316</c:v>
                      </c:pt>
                      <c:pt idx="1348">
                        <c:v>113.315</c:v>
                      </c:pt>
                      <c:pt idx="1349">
                        <c:v>113.31399999999999</c:v>
                      </c:pt>
                      <c:pt idx="1350">
                        <c:v>113.31399999999999</c:v>
                      </c:pt>
                      <c:pt idx="1351">
                        <c:v>113.313</c:v>
                      </c:pt>
                      <c:pt idx="1352">
                        <c:v>113.313</c:v>
                      </c:pt>
                      <c:pt idx="1353">
                        <c:v>113.312</c:v>
                      </c:pt>
                      <c:pt idx="1354">
                        <c:v>113.31100000000001</c:v>
                      </c:pt>
                      <c:pt idx="1355">
                        <c:v>113.31</c:v>
                      </c:pt>
                      <c:pt idx="1356">
                        <c:v>113.31</c:v>
                      </c:pt>
                      <c:pt idx="1357">
                        <c:v>113.309</c:v>
                      </c:pt>
                      <c:pt idx="1358">
                        <c:v>113.30800000000001</c:v>
                      </c:pt>
                      <c:pt idx="1359">
                        <c:v>113.30800000000001</c:v>
                      </c:pt>
                      <c:pt idx="1360">
                        <c:v>113.307</c:v>
                      </c:pt>
                      <c:pt idx="1361">
                        <c:v>113.306</c:v>
                      </c:pt>
                      <c:pt idx="1362">
                        <c:v>113.306</c:v>
                      </c:pt>
                      <c:pt idx="1363">
                        <c:v>113.30500000000001</c:v>
                      </c:pt>
                      <c:pt idx="1364">
                        <c:v>113.304</c:v>
                      </c:pt>
                      <c:pt idx="1365">
                        <c:v>113.303</c:v>
                      </c:pt>
                      <c:pt idx="1366">
                        <c:v>113.303</c:v>
                      </c:pt>
                      <c:pt idx="1367">
                        <c:v>113.30200000000001</c:v>
                      </c:pt>
                      <c:pt idx="1368">
                        <c:v>113.301</c:v>
                      </c:pt>
                      <c:pt idx="1369">
                        <c:v>113.301</c:v>
                      </c:pt>
                      <c:pt idx="1370">
                        <c:v>113.3</c:v>
                      </c:pt>
                      <c:pt idx="1371">
                        <c:v>113.29900000000001</c:v>
                      </c:pt>
                      <c:pt idx="1372">
                        <c:v>113.29900000000001</c:v>
                      </c:pt>
                      <c:pt idx="1373">
                        <c:v>113.298</c:v>
                      </c:pt>
                      <c:pt idx="1374">
                        <c:v>113.297</c:v>
                      </c:pt>
                      <c:pt idx="1375">
                        <c:v>113.29600000000001</c:v>
                      </c:pt>
                      <c:pt idx="1376">
                        <c:v>113.29600000000001</c:v>
                      </c:pt>
                      <c:pt idx="1377">
                        <c:v>113.295</c:v>
                      </c:pt>
                      <c:pt idx="1378">
                        <c:v>113.294</c:v>
                      </c:pt>
                      <c:pt idx="1379">
                        <c:v>113.29300000000001</c:v>
                      </c:pt>
                      <c:pt idx="1380">
                        <c:v>113.29300000000001</c:v>
                      </c:pt>
                      <c:pt idx="1381">
                        <c:v>113.292</c:v>
                      </c:pt>
                      <c:pt idx="1382">
                        <c:v>113.291</c:v>
                      </c:pt>
                      <c:pt idx="1383">
                        <c:v>113.29</c:v>
                      </c:pt>
                      <c:pt idx="1384">
                        <c:v>113.29</c:v>
                      </c:pt>
                      <c:pt idx="1385">
                        <c:v>113.289</c:v>
                      </c:pt>
                      <c:pt idx="1386">
                        <c:v>113.288</c:v>
                      </c:pt>
                      <c:pt idx="1387">
                        <c:v>113.28700000000001</c:v>
                      </c:pt>
                      <c:pt idx="1388">
                        <c:v>113.28700000000001</c:v>
                      </c:pt>
                      <c:pt idx="1389">
                        <c:v>113.286</c:v>
                      </c:pt>
                      <c:pt idx="1390">
                        <c:v>113.285</c:v>
                      </c:pt>
                      <c:pt idx="1391">
                        <c:v>113.28400000000001</c:v>
                      </c:pt>
                      <c:pt idx="1392">
                        <c:v>113.28400000000001</c:v>
                      </c:pt>
                      <c:pt idx="1393">
                        <c:v>113.283</c:v>
                      </c:pt>
                      <c:pt idx="1394">
                        <c:v>113.282</c:v>
                      </c:pt>
                      <c:pt idx="1395">
                        <c:v>113.28100000000001</c:v>
                      </c:pt>
                      <c:pt idx="1396">
                        <c:v>113.28</c:v>
                      </c:pt>
                      <c:pt idx="1397">
                        <c:v>113.28</c:v>
                      </c:pt>
                      <c:pt idx="1398">
                        <c:v>113.279</c:v>
                      </c:pt>
                      <c:pt idx="1399">
                        <c:v>113.27800000000001</c:v>
                      </c:pt>
                      <c:pt idx="1400">
                        <c:v>113.277</c:v>
                      </c:pt>
                      <c:pt idx="1401">
                        <c:v>113.276</c:v>
                      </c:pt>
                      <c:pt idx="1402">
                        <c:v>113.276</c:v>
                      </c:pt>
                      <c:pt idx="1403">
                        <c:v>113.27500000000001</c:v>
                      </c:pt>
                      <c:pt idx="1404">
                        <c:v>113.274</c:v>
                      </c:pt>
                      <c:pt idx="1405">
                        <c:v>113.273</c:v>
                      </c:pt>
                      <c:pt idx="1406">
                        <c:v>113.27200000000001</c:v>
                      </c:pt>
                      <c:pt idx="1407">
                        <c:v>113.27200000000001</c:v>
                      </c:pt>
                      <c:pt idx="1408">
                        <c:v>113.271</c:v>
                      </c:pt>
                      <c:pt idx="1409">
                        <c:v>113.27</c:v>
                      </c:pt>
                      <c:pt idx="1410">
                        <c:v>113.26900000000001</c:v>
                      </c:pt>
                      <c:pt idx="1411">
                        <c:v>113.268</c:v>
                      </c:pt>
                      <c:pt idx="1412">
                        <c:v>113.268</c:v>
                      </c:pt>
                      <c:pt idx="1413">
                        <c:v>113.267</c:v>
                      </c:pt>
                      <c:pt idx="1414">
                        <c:v>113.26600000000001</c:v>
                      </c:pt>
                      <c:pt idx="1415">
                        <c:v>113.265</c:v>
                      </c:pt>
                      <c:pt idx="1416">
                        <c:v>113.264</c:v>
                      </c:pt>
                      <c:pt idx="1417">
                        <c:v>113.26300000000001</c:v>
                      </c:pt>
                      <c:pt idx="1418">
                        <c:v>113.26300000000001</c:v>
                      </c:pt>
                      <c:pt idx="1419">
                        <c:v>113.262</c:v>
                      </c:pt>
                      <c:pt idx="1420">
                        <c:v>113.261</c:v>
                      </c:pt>
                      <c:pt idx="1421">
                        <c:v>113.26</c:v>
                      </c:pt>
                      <c:pt idx="1422">
                        <c:v>113.259</c:v>
                      </c:pt>
                      <c:pt idx="1423">
                        <c:v>113.258</c:v>
                      </c:pt>
                      <c:pt idx="1424">
                        <c:v>113.25700000000001</c:v>
                      </c:pt>
                      <c:pt idx="1425">
                        <c:v>113.25700000000001</c:v>
                      </c:pt>
                      <c:pt idx="1426">
                        <c:v>113.256</c:v>
                      </c:pt>
                      <c:pt idx="1427">
                        <c:v>113.255</c:v>
                      </c:pt>
                      <c:pt idx="1428">
                        <c:v>113.254</c:v>
                      </c:pt>
                      <c:pt idx="1429">
                        <c:v>113.253</c:v>
                      </c:pt>
                      <c:pt idx="1430">
                        <c:v>113.252</c:v>
                      </c:pt>
                      <c:pt idx="1431">
                        <c:v>113.251</c:v>
                      </c:pt>
                      <c:pt idx="1432">
                        <c:v>113.25</c:v>
                      </c:pt>
                      <c:pt idx="1433">
                        <c:v>113.249</c:v>
                      </c:pt>
                      <c:pt idx="1434">
                        <c:v>113.249</c:v>
                      </c:pt>
                      <c:pt idx="1435">
                        <c:v>113.248</c:v>
                      </c:pt>
                      <c:pt idx="1436">
                        <c:v>113.247</c:v>
                      </c:pt>
                      <c:pt idx="1437">
                        <c:v>113.246</c:v>
                      </c:pt>
                      <c:pt idx="1438">
                        <c:v>113.245</c:v>
                      </c:pt>
                      <c:pt idx="1439">
                        <c:v>113.244</c:v>
                      </c:pt>
                      <c:pt idx="1440">
                        <c:v>113.24299999999999</c:v>
                      </c:pt>
                      <c:pt idx="1441">
                        <c:v>113.242</c:v>
                      </c:pt>
                      <c:pt idx="1442">
                        <c:v>113.241</c:v>
                      </c:pt>
                      <c:pt idx="1443">
                        <c:v>113.24</c:v>
                      </c:pt>
                      <c:pt idx="1444">
                        <c:v>113.239</c:v>
                      </c:pt>
                      <c:pt idx="1445">
                        <c:v>113.238</c:v>
                      </c:pt>
                      <c:pt idx="1446">
                        <c:v>113.23699999999999</c:v>
                      </c:pt>
                      <c:pt idx="1447">
                        <c:v>113.236</c:v>
                      </c:pt>
                      <c:pt idx="1448">
                        <c:v>113.235</c:v>
                      </c:pt>
                      <c:pt idx="1449">
                        <c:v>113.23399999999999</c:v>
                      </c:pt>
                      <c:pt idx="1450">
                        <c:v>113.233</c:v>
                      </c:pt>
                      <c:pt idx="1451">
                        <c:v>113.232</c:v>
                      </c:pt>
                      <c:pt idx="1452">
                        <c:v>113.23099999999999</c:v>
                      </c:pt>
                      <c:pt idx="1453">
                        <c:v>113.23</c:v>
                      </c:pt>
                      <c:pt idx="1454">
                        <c:v>113.229</c:v>
                      </c:pt>
                      <c:pt idx="1455">
                        <c:v>113.22799999999999</c:v>
                      </c:pt>
                      <c:pt idx="1456">
                        <c:v>113.227</c:v>
                      </c:pt>
                      <c:pt idx="1457">
                        <c:v>113.226</c:v>
                      </c:pt>
                      <c:pt idx="1458">
                        <c:v>113.22499999999999</c:v>
                      </c:pt>
                      <c:pt idx="1459">
                        <c:v>113.224</c:v>
                      </c:pt>
                      <c:pt idx="1460">
                        <c:v>113.223</c:v>
                      </c:pt>
                      <c:pt idx="1461">
                        <c:v>113.22199999999999</c:v>
                      </c:pt>
                      <c:pt idx="1462">
                        <c:v>113.221</c:v>
                      </c:pt>
                      <c:pt idx="1463">
                        <c:v>113.22</c:v>
                      </c:pt>
                      <c:pt idx="1464">
                        <c:v>113.21899999999999</c:v>
                      </c:pt>
                      <c:pt idx="1465">
                        <c:v>113.218</c:v>
                      </c:pt>
                      <c:pt idx="1466">
                        <c:v>113.21599999999999</c:v>
                      </c:pt>
                      <c:pt idx="1467">
                        <c:v>113.215</c:v>
                      </c:pt>
                      <c:pt idx="1468">
                        <c:v>113.214</c:v>
                      </c:pt>
                      <c:pt idx="1469">
                        <c:v>113.21299999999999</c:v>
                      </c:pt>
                      <c:pt idx="1470">
                        <c:v>113.212</c:v>
                      </c:pt>
                      <c:pt idx="1471">
                        <c:v>113.211</c:v>
                      </c:pt>
                      <c:pt idx="1472">
                        <c:v>113.21</c:v>
                      </c:pt>
                      <c:pt idx="1473">
                        <c:v>113.208</c:v>
                      </c:pt>
                      <c:pt idx="1474">
                        <c:v>113.20699999999999</c:v>
                      </c:pt>
                      <c:pt idx="1475">
                        <c:v>113.206</c:v>
                      </c:pt>
                      <c:pt idx="1476">
                        <c:v>113.205</c:v>
                      </c:pt>
                      <c:pt idx="1477">
                        <c:v>113.203</c:v>
                      </c:pt>
                      <c:pt idx="1478">
                        <c:v>113.202</c:v>
                      </c:pt>
                      <c:pt idx="1479">
                        <c:v>113.20099999999999</c:v>
                      </c:pt>
                      <c:pt idx="1480">
                        <c:v>113.2</c:v>
                      </c:pt>
                      <c:pt idx="1481">
                        <c:v>113.19799999999999</c:v>
                      </c:pt>
                      <c:pt idx="1482">
                        <c:v>113.197</c:v>
                      </c:pt>
                      <c:pt idx="1483">
                        <c:v>113.196</c:v>
                      </c:pt>
                      <c:pt idx="1484">
                        <c:v>113.194</c:v>
                      </c:pt>
                      <c:pt idx="1485">
                        <c:v>113.193</c:v>
                      </c:pt>
                      <c:pt idx="1486">
                        <c:v>113.19199999999999</c:v>
                      </c:pt>
                      <c:pt idx="1487">
                        <c:v>113.19</c:v>
                      </c:pt>
                      <c:pt idx="1488">
                        <c:v>113.18899999999999</c:v>
                      </c:pt>
                      <c:pt idx="1489">
                        <c:v>113.188</c:v>
                      </c:pt>
                      <c:pt idx="1490">
                        <c:v>113.18600000000001</c:v>
                      </c:pt>
                      <c:pt idx="1491">
                        <c:v>113.185</c:v>
                      </c:pt>
                      <c:pt idx="1492">
                        <c:v>113.184</c:v>
                      </c:pt>
                      <c:pt idx="1493">
                        <c:v>113.182</c:v>
                      </c:pt>
                      <c:pt idx="1494">
                        <c:v>113.181</c:v>
                      </c:pt>
                      <c:pt idx="1495">
                        <c:v>113.18</c:v>
                      </c:pt>
                      <c:pt idx="1496">
                        <c:v>113.178</c:v>
                      </c:pt>
                      <c:pt idx="1497">
                        <c:v>113.17700000000001</c:v>
                      </c:pt>
                      <c:pt idx="1498">
                        <c:v>113.176</c:v>
                      </c:pt>
                      <c:pt idx="1499">
                        <c:v>113.17400000000001</c:v>
                      </c:pt>
                      <c:pt idx="1500">
                        <c:v>113.173</c:v>
                      </c:pt>
                      <c:pt idx="1501">
                        <c:v>113.172</c:v>
                      </c:pt>
                      <c:pt idx="1502">
                        <c:v>113.17</c:v>
                      </c:pt>
                      <c:pt idx="1503">
                        <c:v>113.169</c:v>
                      </c:pt>
                      <c:pt idx="1504">
                        <c:v>113.16800000000001</c:v>
                      </c:pt>
                      <c:pt idx="1505">
                        <c:v>113.166</c:v>
                      </c:pt>
                      <c:pt idx="1506">
                        <c:v>113.16500000000001</c:v>
                      </c:pt>
                      <c:pt idx="1507">
                        <c:v>113.164</c:v>
                      </c:pt>
                      <c:pt idx="1508">
                        <c:v>113.16200000000001</c:v>
                      </c:pt>
                      <c:pt idx="1509">
                        <c:v>113.161</c:v>
                      </c:pt>
                      <c:pt idx="1510">
                        <c:v>113.16</c:v>
                      </c:pt>
                      <c:pt idx="1511">
                        <c:v>113.158</c:v>
                      </c:pt>
                      <c:pt idx="1512">
                        <c:v>113.157</c:v>
                      </c:pt>
                      <c:pt idx="1513">
                        <c:v>113.15600000000001</c:v>
                      </c:pt>
                      <c:pt idx="1514">
                        <c:v>113.155</c:v>
                      </c:pt>
                      <c:pt idx="1515">
                        <c:v>113.15300000000001</c:v>
                      </c:pt>
                      <c:pt idx="1516">
                        <c:v>113.152</c:v>
                      </c:pt>
                      <c:pt idx="1517">
                        <c:v>113.151</c:v>
                      </c:pt>
                      <c:pt idx="1518">
                        <c:v>113.15</c:v>
                      </c:pt>
                      <c:pt idx="1519">
                        <c:v>113.148</c:v>
                      </c:pt>
                      <c:pt idx="1520">
                        <c:v>113.14700000000001</c:v>
                      </c:pt>
                      <c:pt idx="1521">
                        <c:v>113.146</c:v>
                      </c:pt>
                      <c:pt idx="1522">
                        <c:v>113.145</c:v>
                      </c:pt>
                      <c:pt idx="1523">
                        <c:v>113.14400000000001</c:v>
                      </c:pt>
                      <c:pt idx="1524">
                        <c:v>113.143</c:v>
                      </c:pt>
                      <c:pt idx="1525">
                        <c:v>113.14100000000001</c:v>
                      </c:pt>
                      <c:pt idx="1526">
                        <c:v>113.14</c:v>
                      </c:pt>
                      <c:pt idx="1527">
                        <c:v>113.139</c:v>
                      </c:pt>
                      <c:pt idx="1528">
                        <c:v>113.13800000000001</c:v>
                      </c:pt>
                      <c:pt idx="1529">
                        <c:v>113.137</c:v>
                      </c:pt>
                      <c:pt idx="1530">
                        <c:v>113.136</c:v>
                      </c:pt>
                      <c:pt idx="1531">
                        <c:v>113.13500000000001</c:v>
                      </c:pt>
                      <c:pt idx="1532">
                        <c:v>113.134</c:v>
                      </c:pt>
                      <c:pt idx="1533">
                        <c:v>113.133</c:v>
                      </c:pt>
                      <c:pt idx="1534">
                        <c:v>113.13200000000001</c:v>
                      </c:pt>
                      <c:pt idx="1535">
                        <c:v>113.131</c:v>
                      </c:pt>
                      <c:pt idx="1536">
                        <c:v>113.13</c:v>
                      </c:pt>
                      <c:pt idx="1537">
                        <c:v>113.129</c:v>
                      </c:pt>
                      <c:pt idx="1538">
                        <c:v>113.128</c:v>
                      </c:pt>
                      <c:pt idx="1539">
                        <c:v>113.127</c:v>
                      </c:pt>
                      <c:pt idx="1540">
                        <c:v>113.126</c:v>
                      </c:pt>
                      <c:pt idx="1541">
                        <c:v>113.125</c:v>
                      </c:pt>
                      <c:pt idx="1542">
                        <c:v>113.124</c:v>
                      </c:pt>
                      <c:pt idx="1543">
                        <c:v>113.123</c:v>
                      </c:pt>
                      <c:pt idx="1544">
                        <c:v>113.122</c:v>
                      </c:pt>
                      <c:pt idx="1545">
                        <c:v>113.121</c:v>
                      </c:pt>
                      <c:pt idx="1546">
                        <c:v>113.121</c:v>
                      </c:pt>
                      <c:pt idx="1547">
                        <c:v>113.119</c:v>
                      </c:pt>
                      <c:pt idx="1548">
                        <c:v>113.119</c:v>
                      </c:pt>
                      <c:pt idx="1549">
                        <c:v>113.11799999999999</c:v>
                      </c:pt>
                      <c:pt idx="1550">
                        <c:v>113.117</c:v>
                      </c:pt>
                      <c:pt idx="1551">
                        <c:v>113.116</c:v>
                      </c:pt>
                      <c:pt idx="1552">
                        <c:v>113.11499999999999</c:v>
                      </c:pt>
                      <c:pt idx="1553">
                        <c:v>113.114</c:v>
                      </c:pt>
                      <c:pt idx="1554">
                        <c:v>113.113</c:v>
                      </c:pt>
                      <c:pt idx="1555">
                        <c:v>113.11199999999999</c:v>
                      </c:pt>
                      <c:pt idx="1556">
                        <c:v>113.111</c:v>
                      </c:pt>
                      <c:pt idx="1557">
                        <c:v>113.11</c:v>
                      </c:pt>
                      <c:pt idx="1558">
                        <c:v>113.11</c:v>
                      </c:pt>
                      <c:pt idx="1559">
                        <c:v>113.10899999999999</c:v>
                      </c:pt>
                      <c:pt idx="1560">
                        <c:v>113.108</c:v>
                      </c:pt>
                      <c:pt idx="1561">
                        <c:v>113.107</c:v>
                      </c:pt>
                      <c:pt idx="1562">
                        <c:v>113.10599999999999</c:v>
                      </c:pt>
                      <c:pt idx="1563">
                        <c:v>113.105</c:v>
                      </c:pt>
                      <c:pt idx="1564">
                        <c:v>113.105</c:v>
                      </c:pt>
                      <c:pt idx="1565">
                        <c:v>113.104</c:v>
                      </c:pt>
                      <c:pt idx="1566">
                        <c:v>113.10299999999999</c:v>
                      </c:pt>
                      <c:pt idx="1567">
                        <c:v>113.102</c:v>
                      </c:pt>
                      <c:pt idx="1568">
                        <c:v>113.101</c:v>
                      </c:pt>
                      <c:pt idx="1569">
                        <c:v>113.1</c:v>
                      </c:pt>
                      <c:pt idx="1570">
                        <c:v>113.1</c:v>
                      </c:pt>
                      <c:pt idx="1571">
                        <c:v>113.099</c:v>
                      </c:pt>
                      <c:pt idx="1572">
                        <c:v>113.098</c:v>
                      </c:pt>
                      <c:pt idx="1573">
                        <c:v>113.09699999999999</c:v>
                      </c:pt>
                      <c:pt idx="1574">
                        <c:v>113.096</c:v>
                      </c:pt>
                      <c:pt idx="1575">
                        <c:v>113.096</c:v>
                      </c:pt>
                      <c:pt idx="1576">
                        <c:v>113.095</c:v>
                      </c:pt>
                      <c:pt idx="1577">
                        <c:v>113.09399999999999</c:v>
                      </c:pt>
                      <c:pt idx="1578">
                        <c:v>113.093</c:v>
                      </c:pt>
                      <c:pt idx="1579">
                        <c:v>113.092</c:v>
                      </c:pt>
                      <c:pt idx="1580">
                        <c:v>113.092</c:v>
                      </c:pt>
                      <c:pt idx="1581">
                        <c:v>113.09099999999999</c:v>
                      </c:pt>
                      <c:pt idx="1582">
                        <c:v>113.09</c:v>
                      </c:pt>
                      <c:pt idx="1583">
                        <c:v>113.089</c:v>
                      </c:pt>
                      <c:pt idx="1584">
                        <c:v>113.08799999999999</c:v>
                      </c:pt>
                      <c:pt idx="1585">
                        <c:v>113.087</c:v>
                      </c:pt>
                      <c:pt idx="1586">
                        <c:v>113.086</c:v>
                      </c:pt>
                      <c:pt idx="1587">
                        <c:v>113.08499999999999</c:v>
                      </c:pt>
                      <c:pt idx="1588">
                        <c:v>113.08499999999999</c:v>
                      </c:pt>
                      <c:pt idx="1589">
                        <c:v>113.084</c:v>
                      </c:pt>
                      <c:pt idx="1590">
                        <c:v>113.083</c:v>
                      </c:pt>
                      <c:pt idx="1591">
                        <c:v>113.08199999999999</c:v>
                      </c:pt>
                      <c:pt idx="1592">
                        <c:v>113.081</c:v>
                      </c:pt>
                      <c:pt idx="1593">
                        <c:v>113.08</c:v>
                      </c:pt>
                      <c:pt idx="1594">
                        <c:v>113.07899999999999</c:v>
                      </c:pt>
                      <c:pt idx="1595">
                        <c:v>113.078</c:v>
                      </c:pt>
                      <c:pt idx="1596">
                        <c:v>113.077</c:v>
                      </c:pt>
                      <c:pt idx="1597">
                        <c:v>113.07599999999999</c:v>
                      </c:pt>
                      <c:pt idx="1598">
                        <c:v>113.075</c:v>
                      </c:pt>
                      <c:pt idx="1599">
                        <c:v>113.074</c:v>
                      </c:pt>
                      <c:pt idx="1600">
                        <c:v>113.07299999999999</c:v>
                      </c:pt>
                      <c:pt idx="1601">
                        <c:v>113.072</c:v>
                      </c:pt>
                      <c:pt idx="1602">
                        <c:v>113.071</c:v>
                      </c:pt>
                      <c:pt idx="1603">
                        <c:v>113.07</c:v>
                      </c:pt>
                      <c:pt idx="1604">
                        <c:v>113.069</c:v>
                      </c:pt>
                      <c:pt idx="1605">
                        <c:v>113.068</c:v>
                      </c:pt>
                      <c:pt idx="1606">
                        <c:v>113.06699999999999</c:v>
                      </c:pt>
                      <c:pt idx="1607">
                        <c:v>113.066</c:v>
                      </c:pt>
                      <c:pt idx="1608">
                        <c:v>113.065</c:v>
                      </c:pt>
                      <c:pt idx="1609">
                        <c:v>113.06399999999999</c:v>
                      </c:pt>
                      <c:pt idx="1610">
                        <c:v>113.063</c:v>
                      </c:pt>
                      <c:pt idx="1611">
                        <c:v>113.062</c:v>
                      </c:pt>
                      <c:pt idx="1612">
                        <c:v>113.06100000000001</c:v>
                      </c:pt>
                      <c:pt idx="1613">
                        <c:v>113.06</c:v>
                      </c:pt>
                      <c:pt idx="1614">
                        <c:v>113.059</c:v>
                      </c:pt>
                      <c:pt idx="1615">
                        <c:v>113.05800000000001</c:v>
                      </c:pt>
                      <c:pt idx="1616">
                        <c:v>113.057</c:v>
                      </c:pt>
                      <c:pt idx="1617">
                        <c:v>113.056</c:v>
                      </c:pt>
                      <c:pt idx="1618">
                        <c:v>113.05500000000001</c:v>
                      </c:pt>
                      <c:pt idx="1619">
                        <c:v>113.054</c:v>
                      </c:pt>
                      <c:pt idx="1620">
                        <c:v>113.053</c:v>
                      </c:pt>
                      <c:pt idx="1621">
                        <c:v>113.05200000000001</c:v>
                      </c:pt>
                      <c:pt idx="1622">
                        <c:v>113.051</c:v>
                      </c:pt>
                      <c:pt idx="1623">
                        <c:v>113.05</c:v>
                      </c:pt>
                      <c:pt idx="1624">
                        <c:v>113.05</c:v>
                      </c:pt>
                      <c:pt idx="1625">
                        <c:v>113.04900000000001</c:v>
                      </c:pt>
                      <c:pt idx="1626">
                        <c:v>113.048</c:v>
                      </c:pt>
                      <c:pt idx="1627">
                        <c:v>113.047</c:v>
                      </c:pt>
                      <c:pt idx="1628">
                        <c:v>113.04600000000001</c:v>
                      </c:pt>
                      <c:pt idx="1629">
                        <c:v>113.045</c:v>
                      </c:pt>
                      <c:pt idx="1630">
                        <c:v>113.044</c:v>
                      </c:pt>
                      <c:pt idx="1631">
                        <c:v>113.04300000000001</c:v>
                      </c:pt>
                      <c:pt idx="1632">
                        <c:v>113.042</c:v>
                      </c:pt>
                      <c:pt idx="1633">
                        <c:v>113.041</c:v>
                      </c:pt>
                      <c:pt idx="1634">
                        <c:v>113.04</c:v>
                      </c:pt>
                      <c:pt idx="1635">
                        <c:v>113.04</c:v>
                      </c:pt>
                      <c:pt idx="1636">
                        <c:v>113.039</c:v>
                      </c:pt>
                      <c:pt idx="1637">
                        <c:v>113.038</c:v>
                      </c:pt>
                      <c:pt idx="1638">
                        <c:v>113.03700000000001</c:v>
                      </c:pt>
                      <c:pt idx="1639">
                        <c:v>113.036</c:v>
                      </c:pt>
                      <c:pt idx="1640">
                        <c:v>113.035</c:v>
                      </c:pt>
                      <c:pt idx="1641">
                        <c:v>113.03400000000001</c:v>
                      </c:pt>
                      <c:pt idx="1642">
                        <c:v>113.033</c:v>
                      </c:pt>
                      <c:pt idx="1643">
                        <c:v>113.032</c:v>
                      </c:pt>
                      <c:pt idx="1644">
                        <c:v>113.03100000000001</c:v>
                      </c:pt>
                      <c:pt idx="1645">
                        <c:v>113.03</c:v>
                      </c:pt>
                      <c:pt idx="1646">
                        <c:v>113.03</c:v>
                      </c:pt>
                      <c:pt idx="1647">
                        <c:v>113.029</c:v>
                      </c:pt>
                      <c:pt idx="1648">
                        <c:v>113.02800000000001</c:v>
                      </c:pt>
                      <c:pt idx="1649">
                        <c:v>113.027</c:v>
                      </c:pt>
                      <c:pt idx="1650">
                        <c:v>113.026</c:v>
                      </c:pt>
                      <c:pt idx="1651">
                        <c:v>113.02500000000001</c:v>
                      </c:pt>
                      <c:pt idx="1652">
                        <c:v>113.024</c:v>
                      </c:pt>
                      <c:pt idx="1653">
                        <c:v>113.023</c:v>
                      </c:pt>
                      <c:pt idx="1654">
                        <c:v>113.02200000000001</c:v>
                      </c:pt>
                      <c:pt idx="1655">
                        <c:v>113.021</c:v>
                      </c:pt>
                      <c:pt idx="1656">
                        <c:v>113.02</c:v>
                      </c:pt>
                      <c:pt idx="1657">
                        <c:v>113.01900000000001</c:v>
                      </c:pt>
                      <c:pt idx="1658">
                        <c:v>113.018</c:v>
                      </c:pt>
                      <c:pt idx="1659">
                        <c:v>113.017</c:v>
                      </c:pt>
                      <c:pt idx="1660">
                        <c:v>113.01600000000001</c:v>
                      </c:pt>
                      <c:pt idx="1661">
                        <c:v>113.015</c:v>
                      </c:pt>
                      <c:pt idx="1662">
                        <c:v>113.014</c:v>
                      </c:pt>
                      <c:pt idx="1663">
                        <c:v>113.01300000000001</c:v>
                      </c:pt>
                      <c:pt idx="1664">
                        <c:v>113.01300000000001</c:v>
                      </c:pt>
                      <c:pt idx="1665">
                        <c:v>113.012</c:v>
                      </c:pt>
                      <c:pt idx="1666">
                        <c:v>113.011</c:v>
                      </c:pt>
                      <c:pt idx="1667">
                        <c:v>113.01</c:v>
                      </c:pt>
                      <c:pt idx="1668">
                        <c:v>113.009</c:v>
                      </c:pt>
                      <c:pt idx="1669">
                        <c:v>113.008</c:v>
                      </c:pt>
                      <c:pt idx="1670">
                        <c:v>113.00700000000001</c:v>
                      </c:pt>
                      <c:pt idx="1671">
                        <c:v>113.006</c:v>
                      </c:pt>
                      <c:pt idx="1672">
                        <c:v>113.005</c:v>
                      </c:pt>
                      <c:pt idx="1673">
                        <c:v>113.004</c:v>
                      </c:pt>
                      <c:pt idx="1674">
                        <c:v>113.003</c:v>
                      </c:pt>
                      <c:pt idx="1675">
                        <c:v>113.002</c:v>
                      </c:pt>
                      <c:pt idx="1676">
                        <c:v>113.001</c:v>
                      </c:pt>
                      <c:pt idx="1677">
                        <c:v>113</c:v>
                      </c:pt>
                      <c:pt idx="1678">
                        <c:v>112.999</c:v>
                      </c:pt>
                      <c:pt idx="1679">
                        <c:v>112.998</c:v>
                      </c:pt>
                      <c:pt idx="1680">
                        <c:v>112.997</c:v>
                      </c:pt>
                      <c:pt idx="1681">
                        <c:v>112.996</c:v>
                      </c:pt>
                      <c:pt idx="1682">
                        <c:v>112.995</c:v>
                      </c:pt>
                      <c:pt idx="1683">
                        <c:v>112.994</c:v>
                      </c:pt>
                      <c:pt idx="1684">
                        <c:v>112.99299999999999</c:v>
                      </c:pt>
                      <c:pt idx="1685">
                        <c:v>112.992</c:v>
                      </c:pt>
                      <c:pt idx="1686">
                        <c:v>112.991</c:v>
                      </c:pt>
                      <c:pt idx="1687">
                        <c:v>112.99</c:v>
                      </c:pt>
                      <c:pt idx="1688">
                        <c:v>112.989</c:v>
                      </c:pt>
                      <c:pt idx="1689">
                        <c:v>112.988</c:v>
                      </c:pt>
                      <c:pt idx="1690">
                        <c:v>112.98699999999999</c:v>
                      </c:pt>
                      <c:pt idx="1691">
                        <c:v>112.986</c:v>
                      </c:pt>
                      <c:pt idx="1692">
                        <c:v>112.985</c:v>
                      </c:pt>
                      <c:pt idx="1693">
                        <c:v>112.98399999999999</c:v>
                      </c:pt>
                      <c:pt idx="1694">
                        <c:v>112.983</c:v>
                      </c:pt>
                      <c:pt idx="1695">
                        <c:v>112.98099999999999</c:v>
                      </c:pt>
                      <c:pt idx="1696">
                        <c:v>112.98</c:v>
                      </c:pt>
                      <c:pt idx="1697">
                        <c:v>112.979</c:v>
                      </c:pt>
                      <c:pt idx="1698">
                        <c:v>112.97799999999999</c:v>
                      </c:pt>
                      <c:pt idx="1699">
                        <c:v>112.977</c:v>
                      </c:pt>
                      <c:pt idx="1700">
                        <c:v>112.976</c:v>
                      </c:pt>
                      <c:pt idx="1701">
                        <c:v>112.97499999999999</c:v>
                      </c:pt>
                      <c:pt idx="1702">
                        <c:v>112.974</c:v>
                      </c:pt>
                      <c:pt idx="1703">
                        <c:v>112.973</c:v>
                      </c:pt>
                      <c:pt idx="1704">
                        <c:v>112.97199999999999</c:v>
                      </c:pt>
                      <c:pt idx="1705">
                        <c:v>112.971</c:v>
                      </c:pt>
                      <c:pt idx="1706">
                        <c:v>112.97</c:v>
                      </c:pt>
                      <c:pt idx="1707">
                        <c:v>112.96899999999999</c:v>
                      </c:pt>
                      <c:pt idx="1708">
                        <c:v>112.968</c:v>
                      </c:pt>
                      <c:pt idx="1709">
                        <c:v>112.967</c:v>
                      </c:pt>
                      <c:pt idx="1710">
                        <c:v>112.96599999999999</c:v>
                      </c:pt>
                      <c:pt idx="1711">
                        <c:v>112.965</c:v>
                      </c:pt>
                      <c:pt idx="1712">
                        <c:v>112.964</c:v>
                      </c:pt>
                      <c:pt idx="1713">
                        <c:v>112.96299999999999</c:v>
                      </c:pt>
                      <c:pt idx="1714">
                        <c:v>112.962</c:v>
                      </c:pt>
                      <c:pt idx="1715">
                        <c:v>112.961</c:v>
                      </c:pt>
                      <c:pt idx="1716">
                        <c:v>112.96</c:v>
                      </c:pt>
                      <c:pt idx="1717">
                        <c:v>112.959</c:v>
                      </c:pt>
                      <c:pt idx="1718">
                        <c:v>112.95699999999999</c:v>
                      </c:pt>
                      <c:pt idx="1719">
                        <c:v>112.956</c:v>
                      </c:pt>
                      <c:pt idx="1720">
                        <c:v>112.955</c:v>
                      </c:pt>
                      <c:pt idx="1721">
                        <c:v>112.95399999999999</c:v>
                      </c:pt>
                      <c:pt idx="1722">
                        <c:v>112.953</c:v>
                      </c:pt>
                      <c:pt idx="1723">
                        <c:v>112.952</c:v>
                      </c:pt>
                      <c:pt idx="1724">
                        <c:v>112.95099999999999</c:v>
                      </c:pt>
                      <c:pt idx="1725">
                        <c:v>112.95</c:v>
                      </c:pt>
                      <c:pt idx="1726">
                        <c:v>112.949</c:v>
                      </c:pt>
                      <c:pt idx="1727">
                        <c:v>112.947</c:v>
                      </c:pt>
                      <c:pt idx="1728">
                        <c:v>112.946</c:v>
                      </c:pt>
                      <c:pt idx="1729">
                        <c:v>112.94499999999999</c:v>
                      </c:pt>
                      <c:pt idx="1730">
                        <c:v>112.944</c:v>
                      </c:pt>
                      <c:pt idx="1731">
                        <c:v>112.943</c:v>
                      </c:pt>
                      <c:pt idx="1732">
                        <c:v>112.94199999999999</c:v>
                      </c:pt>
                      <c:pt idx="1733">
                        <c:v>112.941</c:v>
                      </c:pt>
                      <c:pt idx="1734">
                        <c:v>112.93899999999999</c:v>
                      </c:pt>
                      <c:pt idx="1735">
                        <c:v>112.938</c:v>
                      </c:pt>
                      <c:pt idx="1736">
                        <c:v>112.937</c:v>
                      </c:pt>
                      <c:pt idx="1737">
                        <c:v>112.93600000000001</c:v>
                      </c:pt>
                      <c:pt idx="1738">
                        <c:v>112.935</c:v>
                      </c:pt>
                      <c:pt idx="1739">
                        <c:v>112.93300000000001</c:v>
                      </c:pt>
                      <c:pt idx="1740">
                        <c:v>112.932</c:v>
                      </c:pt>
                      <c:pt idx="1741">
                        <c:v>112.931</c:v>
                      </c:pt>
                      <c:pt idx="1742">
                        <c:v>112.93</c:v>
                      </c:pt>
                      <c:pt idx="1743">
                        <c:v>112.928</c:v>
                      </c:pt>
                      <c:pt idx="1744">
                        <c:v>112.92700000000001</c:v>
                      </c:pt>
                      <c:pt idx="1745">
                        <c:v>112.926</c:v>
                      </c:pt>
                      <c:pt idx="1746">
                        <c:v>112.925</c:v>
                      </c:pt>
                      <c:pt idx="1747">
                        <c:v>112.923</c:v>
                      </c:pt>
                      <c:pt idx="1748">
                        <c:v>112.922</c:v>
                      </c:pt>
                      <c:pt idx="1749">
                        <c:v>112.92</c:v>
                      </c:pt>
                      <c:pt idx="1750">
                        <c:v>112.919</c:v>
                      </c:pt>
                      <c:pt idx="1751">
                        <c:v>112.91800000000001</c:v>
                      </c:pt>
                      <c:pt idx="1752">
                        <c:v>112.916</c:v>
                      </c:pt>
                      <c:pt idx="1753">
                        <c:v>112.91500000000001</c:v>
                      </c:pt>
                      <c:pt idx="1754">
                        <c:v>112.913</c:v>
                      </c:pt>
                      <c:pt idx="1755">
                        <c:v>112.91200000000001</c:v>
                      </c:pt>
                      <c:pt idx="1756">
                        <c:v>112.91</c:v>
                      </c:pt>
                      <c:pt idx="1757">
                        <c:v>112.90900000000001</c:v>
                      </c:pt>
                      <c:pt idx="1758">
                        <c:v>112.907</c:v>
                      </c:pt>
                      <c:pt idx="1759">
                        <c:v>112.905</c:v>
                      </c:pt>
                      <c:pt idx="1760">
                        <c:v>112.904</c:v>
                      </c:pt>
                      <c:pt idx="1761">
                        <c:v>112.902</c:v>
                      </c:pt>
                      <c:pt idx="1762">
                        <c:v>112.9</c:v>
                      </c:pt>
                      <c:pt idx="1763">
                        <c:v>112.899</c:v>
                      </c:pt>
                      <c:pt idx="1764">
                        <c:v>112.89700000000001</c:v>
                      </c:pt>
                      <c:pt idx="1765">
                        <c:v>112.895</c:v>
                      </c:pt>
                      <c:pt idx="1766">
                        <c:v>112.893</c:v>
                      </c:pt>
                      <c:pt idx="1767">
                        <c:v>112.892</c:v>
                      </c:pt>
                      <c:pt idx="1768">
                        <c:v>112.89</c:v>
                      </c:pt>
                      <c:pt idx="1769">
                        <c:v>112.88800000000001</c:v>
                      </c:pt>
                      <c:pt idx="1770">
                        <c:v>112.887</c:v>
                      </c:pt>
                      <c:pt idx="1771">
                        <c:v>112.88500000000001</c:v>
                      </c:pt>
                      <c:pt idx="1772">
                        <c:v>112.883</c:v>
                      </c:pt>
                      <c:pt idx="1773">
                        <c:v>112.881</c:v>
                      </c:pt>
                      <c:pt idx="1774">
                        <c:v>112.88</c:v>
                      </c:pt>
                      <c:pt idx="1775">
                        <c:v>112.878</c:v>
                      </c:pt>
                      <c:pt idx="1776">
                        <c:v>112.876</c:v>
                      </c:pt>
                      <c:pt idx="1777">
                        <c:v>112.875</c:v>
                      </c:pt>
                      <c:pt idx="1778">
                        <c:v>112.873</c:v>
                      </c:pt>
                      <c:pt idx="1779">
                        <c:v>112.871</c:v>
                      </c:pt>
                      <c:pt idx="1780">
                        <c:v>112.87</c:v>
                      </c:pt>
                      <c:pt idx="1781">
                        <c:v>112.86799999999999</c:v>
                      </c:pt>
                      <c:pt idx="1782">
                        <c:v>112.867</c:v>
                      </c:pt>
                      <c:pt idx="1783">
                        <c:v>112.86499999999999</c:v>
                      </c:pt>
                      <c:pt idx="1784">
                        <c:v>112.863</c:v>
                      </c:pt>
                      <c:pt idx="1785">
                        <c:v>112.86199999999999</c:v>
                      </c:pt>
                      <c:pt idx="1786">
                        <c:v>112.86</c:v>
                      </c:pt>
                      <c:pt idx="1787">
                        <c:v>112.85899999999999</c:v>
                      </c:pt>
                      <c:pt idx="1788">
                        <c:v>112.857</c:v>
                      </c:pt>
                      <c:pt idx="1789">
                        <c:v>112.855</c:v>
                      </c:pt>
                      <c:pt idx="1790">
                        <c:v>112.854</c:v>
                      </c:pt>
                      <c:pt idx="1791">
                        <c:v>112.852</c:v>
                      </c:pt>
                      <c:pt idx="1792">
                        <c:v>112.851</c:v>
                      </c:pt>
                      <c:pt idx="1793">
                        <c:v>112.849</c:v>
                      </c:pt>
                      <c:pt idx="1794">
                        <c:v>112.848</c:v>
                      </c:pt>
                      <c:pt idx="1795">
                        <c:v>112.846</c:v>
                      </c:pt>
                      <c:pt idx="1796">
                        <c:v>112.845</c:v>
                      </c:pt>
                      <c:pt idx="1797">
                        <c:v>112.843</c:v>
                      </c:pt>
                      <c:pt idx="1798">
                        <c:v>112.842</c:v>
                      </c:pt>
                      <c:pt idx="1799">
                        <c:v>112.84</c:v>
                      </c:pt>
                      <c:pt idx="1800">
                        <c:v>112.839</c:v>
                      </c:pt>
                      <c:pt idx="1801">
                        <c:v>112.837</c:v>
                      </c:pt>
                      <c:pt idx="1802">
                        <c:v>112.836</c:v>
                      </c:pt>
                      <c:pt idx="1803">
                        <c:v>112.834</c:v>
                      </c:pt>
                      <c:pt idx="1804">
                        <c:v>112.833</c:v>
                      </c:pt>
                      <c:pt idx="1805">
                        <c:v>112.831</c:v>
                      </c:pt>
                      <c:pt idx="1806">
                        <c:v>112.83</c:v>
                      </c:pt>
                      <c:pt idx="1807">
                        <c:v>112.82899999999999</c:v>
                      </c:pt>
                      <c:pt idx="1808">
                        <c:v>112.827</c:v>
                      </c:pt>
                      <c:pt idx="1809">
                        <c:v>112.82599999999999</c:v>
                      </c:pt>
                      <c:pt idx="1810">
                        <c:v>112.824</c:v>
                      </c:pt>
                      <c:pt idx="1811">
                        <c:v>112.82299999999999</c:v>
                      </c:pt>
                      <c:pt idx="1812">
                        <c:v>112.821</c:v>
                      </c:pt>
                      <c:pt idx="1813">
                        <c:v>112.82</c:v>
                      </c:pt>
                      <c:pt idx="1814">
                        <c:v>112.818</c:v>
                      </c:pt>
                      <c:pt idx="1815">
                        <c:v>112.81699999999999</c:v>
                      </c:pt>
                      <c:pt idx="1816">
                        <c:v>112.816</c:v>
                      </c:pt>
                      <c:pt idx="1817">
                        <c:v>112.81399999999999</c:v>
                      </c:pt>
                      <c:pt idx="1818">
                        <c:v>112.813</c:v>
                      </c:pt>
                      <c:pt idx="1819">
                        <c:v>112.81100000000001</c:v>
                      </c:pt>
                      <c:pt idx="1820">
                        <c:v>112.81</c:v>
                      </c:pt>
                      <c:pt idx="1821">
                        <c:v>112.80800000000001</c:v>
                      </c:pt>
                      <c:pt idx="1822">
                        <c:v>112.807</c:v>
                      </c:pt>
                      <c:pt idx="1823">
                        <c:v>112.806</c:v>
                      </c:pt>
                      <c:pt idx="1824">
                        <c:v>112.804</c:v>
                      </c:pt>
                      <c:pt idx="1825">
                        <c:v>112.803</c:v>
                      </c:pt>
                      <c:pt idx="1826">
                        <c:v>112.80200000000001</c:v>
                      </c:pt>
                      <c:pt idx="1827">
                        <c:v>112.8</c:v>
                      </c:pt>
                      <c:pt idx="1828">
                        <c:v>112.79900000000001</c:v>
                      </c:pt>
                      <c:pt idx="1829">
                        <c:v>112.797</c:v>
                      </c:pt>
                      <c:pt idx="1830">
                        <c:v>112.79600000000001</c:v>
                      </c:pt>
                      <c:pt idx="1831">
                        <c:v>112.795</c:v>
                      </c:pt>
                      <c:pt idx="1832">
                        <c:v>112.79300000000001</c:v>
                      </c:pt>
                      <c:pt idx="1833">
                        <c:v>112.792</c:v>
                      </c:pt>
                      <c:pt idx="1834">
                        <c:v>112.791</c:v>
                      </c:pt>
                      <c:pt idx="1835">
                        <c:v>112.789</c:v>
                      </c:pt>
                      <c:pt idx="1836">
                        <c:v>112.788</c:v>
                      </c:pt>
                      <c:pt idx="1837">
                        <c:v>112.78700000000001</c:v>
                      </c:pt>
                      <c:pt idx="1838">
                        <c:v>112.785</c:v>
                      </c:pt>
                      <c:pt idx="1839">
                        <c:v>112.78400000000001</c:v>
                      </c:pt>
                      <c:pt idx="1840">
                        <c:v>112.783</c:v>
                      </c:pt>
                      <c:pt idx="1841">
                        <c:v>112.78100000000001</c:v>
                      </c:pt>
                      <c:pt idx="1842">
                        <c:v>112.78</c:v>
                      </c:pt>
                      <c:pt idx="1843">
                        <c:v>112.779</c:v>
                      </c:pt>
                      <c:pt idx="1844">
                        <c:v>112.777</c:v>
                      </c:pt>
                      <c:pt idx="1845">
                        <c:v>112.776</c:v>
                      </c:pt>
                      <c:pt idx="1846">
                        <c:v>112.77500000000001</c:v>
                      </c:pt>
                      <c:pt idx="1847">
                        <c:v>112.773</c:v>
                      </c:pt>
                      <c:pt idx="1848">
                        <c:v>112.77200000000001</c:v>
                      </c:pt>
                      <c:pt idx="1849">
                        <c:v>112.771</c:v>
                      </c:pt>
                      <c:pt idx="1850">
                        <c:v>112.77</c:v>
                      </c:pt>
                      <c:pt idx="1851">
                        <c:v>112.768</c:v>
                      </c:pt>
                      <c:pt idx="1852">
                        <c:v>112.767</c:v>
                      </c:pt>
                      <c:pt idx="1853">
                        <c:v>112.76600000000001</c:v>
                      </c:pt>
                      <c:pt idx="1854">
                        <c:v>112.764</c:v>
                      </c:pt>
                      <c:pt idx="1855">
                        <c:v>112.76300000000001</c:v>
                      </c:pt>
                      <c:pt idx="1856">
                        <c:v>112.762</c:v>
                      </c:pt>
                      <c:pt idx="1857">
                        <c:v>112.761</c:v>
                      </c:pt>
                      <c:pt idx="1858">
                        <c:v>112.759</c:v>
                      </c:pt>
                      <c:pt idx="1859">
                        <c:v>112.758</c:v>
                      </c:pt>
                      <c:pt idx="1860">
                        <c:v>112.75700000000001</c:v>
                      </c:pt>
                      <c:pt idx="1861">
                        <c:v>112.756</c:v>
                      </c:pt>
                      <c:pt idx="1862">
                        <c:v>112.754</c:v>
                      </c:pt>
                      <c:pt idx="1863">
                        <c:v>112.753</c:v>
                      </c:pt>
                      <c:pt idx="1864">
                        <c:v>112.752</c:v>
                      </c:pt>
                      <c:pt idx="1865">
                        <c:v>112.751</c:v>
                      </c:pt>
                      <c:pt idx="1866">
                        <c:v>112.749</c:v>
                      </c:pt>
                      <c:pt idx="1867">
                        <c:v>112.748</c:v>
                      </c:pt>
                      <c:pt idx="1868">
                        <c:v>112.747</c:v>
                      </c:pt>
                      <c:pt idx="1869">
                        <c:v>112.746</c:v>
                      </c:pt>
                      <c:pt idx="1870">
                        <c:v>112.744</c:v>
                      </c:pt>
                      <c:pt idx="1871">
                        <c:v>112.74299999999999</c:v>
                      </c:pt>
                      <c:pt idx="1872">
                        <c:v>112.742</c:v>
                      </c:pt>
                      <c:pt idx="1873">
                        <c:v>112.741</c:v>
                      </c:pt>
                      <c:pt idx="1874">
                        <c:v>112.74</c:v>
                      </c:pt>
                      <c:pt idx="1875">
                        <c:v>112.738</c:v>
                      </c:pt>
                      <c:pt idx="1876">
                        <c:v>112.73699999999999</c:v>
                      </c:pt>
                      <c:pt idx="1877">
                        <c:v>112.736</c:v>
                      </c:pt>
                      <c:pt idx="1878">
                        <c:v>112.735</c:v>
                      </c:pt>
                      <c:pt idx="1879">
                        <c:v>112.73399999999999</c:v>
                      </c:pt>
                      <c:pt idx="1880">
                        <c:v>112.732</c:v>
                      </c:pt>
                      <c:pt idx="1881">
                        <c:v>112.73099999999999</c:v>
                      </c:pt>
                      <c:pt idx="1882">
                        <c:v>112.73</c:v>
                      </c:pt>
                      <c:pt idx="1883">
                        <c:v>112.729</c:v>
                      </c:pt>
                      <c:pt idx="1884">
                        <c:v>112.72799999999999</c:v>
                      </c:pt>
                      <c:pt idx="1885">
                        <c:v>112.726</c:v>
                      </c:pt>
                      <c:pt idx="1886">
                        <c:v>112.72499999999999</c:v>
                      </c:pt>
                      <c:pt idx="1887">
                        <c:v>112.724</c:v>
                      </c:pt>
                      <c:pt idx="1888">
                        <c:v>112.723</c:v>
                      </c:pt>
                      <c:pt idx="1889">
                        <c:v>112.72199999999999</c:v>
                      </c:pt>
                      <c:pt idx="1890">
                        <c:v>112.721</c:v>
                      </c:pt>
                      <c:pt idx="1891">
                        <c:v>112.72</c:v>
                      </c:pt>
                      <c:pt idx="1892">
                        <c:v>112.718</c:v>
                      </c:pt>
                      <c:pt idx="1893">
                        <c:v>112.717</c:v>
                      </c:pt>
                      <c:pt idx="1894">
                        <c:v>112.71599999999999</c:v>
                      </c:pt>
                      <c:pt idx="1895">
                        <c:v>112.715</c:v>
                      </c:pt>
                      <c:pt idx="1896">
                        <c:v>112.714</c:v>
                      </c:pt>
                      <c:pt idx="1897">
                        <c:v>112.71299999999999</c:v>
                      </c:pt>
                      <c:pt idx="1898">
                        <c:v>112.711</c:v>
                      </c:pt>
                      <c:pt idx="1899">
                        <c:v>112.71</c:v>
                      </c:pt>
                      <c:pt idx="1900">
                        <c:v>112.709</c:v>
                      </c:pt>
                      <c:pt idx="1901">
                        <c:v>112.708</c:v>
                      </c:pt>
                      <c:pt idx="1902">
                        <c:v>112.70699999999999</c:v>
                      </c:pt>
                      <c:pt idx="1903">
                        <c:v>112.705</c:v>
                      </c:pt>
                      <c:pt idx="1904">
                        <c:v>112.70399999999999</c:v>
                      </c:pt>
                      <c:pt idx="1905">
                        <c:v>112.703</c:v>
                      </c:pt>
                      <c:pt idx="1906">
                        <c:v>112.70099999999999</c:v>
                      </c:pt>
                      <c:pt idx="1907">
                        <c:v>112.7</c:v>
                      </c:pt>
                      <c:pt idx="1908">
                        <c:v>112.699</c:v>
                      </c:pt>
                      <c:pt idx="1909">
                        <c:v>112.69799999999999</c:v>
                      </c:pt>
                      <c:pt idx="1910">
                        <c:v>112.696</c:v>
                      </c:pt>
                      <c:pt idx="1911">
                        <c:v>112.69499999999999</c:v>
                      </c:pt>
                      <c:pt idx="1912">
                        <c:v>112.694</c:v>
                      </c:pt>
                      <c:pt idx="1913">
                        <c:v>112.69199999999999</c:v>
                      </c:pt>
                      <c:pt idx="1914">
                        <c:v>112.691</c:v>
                      </c:pt>
                      <c:pt idx="1915">
                        <c:v>112.68899999999999</c:v>
                      </c:pt>
                      <c:pt idx="1916">
                        <c:v>112.688</c:v>
                      </c:pt>
                      <c:pt idx="1917">
                        <c:v>112.687</c:v>
                      </c:pt>
                      <c:pt idx="1918">
                        <c:v>112.685</c:v>
                      </c:pt>
                      <c:pt idx="1919">
                        <c:v>112.684</c:v>
                      </c:pt>
                      <c:pt idx="1920">
                        <c:v>112.682</c:v>
                      </c:pt>
                      <c:pt idx="1921">
                        <c:v>112.681</c:v>
                      </c:pt>
                      <c:pt idx="1922">
                        <c:v>112.679</c:v>
                      </c:pt>
                      <c:pt idx="1923">
                        <c:v>112.678</c:v>
                      </c:pt>
                      <c:pt idx="1924">
                        <c:v>112.676</c:v>
                      </c:pt>
                      <c:pt idx="1925">
                        <c:v>112.67400000000001</c:v>
                      </c:pt>
                      <c:pt idx="1926">
                        <c:v>112.673</c:v>
                      </c:pt>
                      <c:pt idx="1927">
                        <c:v>112.67100000000001</c:v>
                      </c:pt>
                      <c:pt idx="1928">
                        <c:v>112.67</c:v>
                      </c:pt>
                      <c:pt idx="1929">
                        <c:v>112.66800000000001</c:v>
                      </c:pt>
                      <c:pt idx="1930">
                        <c:v>112.666</c:v>
                      </c:pt>
                      <c:pt idx="1931">
                        <c:v>112.66500000000001</c:v>
                      </c:pt>
                      <c:pt idx="1932">
                        <c:v>112.663</c:v>
                      </c:pt>
                      <c:pt idx="1933">
                        <c:v>112.661</c:v>
                      </c:pt>
                      <c:pt idx="1934">
                        <c:v>112.66</c:v>
                      </c:pt>
                      <c:pt idx="1935">
                        <c:v>112.658</c:v>
                      </c:pt>
                      <c:pt idx="1936">
                        <c:v>112.65600000000001</c:v>
                      </c:pt>
                      <c:pt idx="1937">
                        <c:v>112.655</c:v>
                      </c:pt>
                      <c:pt idx="1938">
                        <c:v>112.65300000000001</c:v>
                      </c:pt>
                      <c:pt idx="1939">
                        <c:v>112.651</c:v>
                      </c:pt>
                      <c:pt idx="1940">
                        <c:v>112.65</c:v>
                      </c:pt>
                      <c:pt idx="1941">
                        <c:v>112.648</c:v>
                      </c:pt>
                      <c:pt idx="1942">
                        <c:v>112.646</c:v>
                      </c:pt>
                      <c:pt idx="1943">
                        <c:v>112.64400000000001</c:v>
                      </c:pt>
                      <c:pt idx="1944">
                        <c:v>112.642</c:v>
                      </c:pt>
                      <c:pt idx="1945">
                        <c:v>112.64</c:v>
                      </c:pt>
                      <c:pt idx="1946">
                        <c:v>112.63800000000001</c:v>
                      </c:pt>
                      <c:pt idx="1947">
                        <c:v>112.636</c:v>
                      </c:pt>
                      <c:pt idx="1948">
                        <c:v>112.634</c:v>
                      </c:pt>
                      <c:pt idx="1949">
                        <c:v>112.63200000000001</c:v>
                      </c:pt>
                      <c:pt idx="1950">
                        <c:v>112.631</c:v>
                      </c:pt>
                      <c:pt idx="1951">
                        <c:v>112.629</c:v>
                      </c:pt>
                      <c:pt idx="1952">
                        <c:v>112.627</c:v>
                      </c:pt>
                      <c:pt idx="1953">
                        <c:v>112.625</c:v>
                      </c:pt>
                      <c:pt idx="1954">
                        <c:v>112.623</c:v>
                      </c:pt>
                      <c:pt idx="1955">
                        <c:v>112.621</c:v>
                      </c:pt>
                      <c:pt idx="1956">
                        <c:v>112.619</c:v>
                      </c:pt>
                      <c:pt idx="1957">
                        <c:v>112.617</c:v>
                      </c:pt>
                      <c:pt idx="1958">
                        <c:v>112.61499999999999</c:v>
                      </c:pt>
                      <c:pt idx="1959">
                        <c:v>112.613</c:v>
                      </c:pt>
                      <c:pt idx="1960">
                        <c:v>112.611</c:v>
                      </c:pt>
                      <c:pt idx="1961">
                        <c:v>112.60899999999999</c:v>
                      </c:pt>
                      <c:pt idx="1962">
                        <c:v>112.608</c:v>
                      </c:pt>
                      <c:pt idx="1963">
                        <c:v>112.60599999999999</c:v>
                      </c:pt>
                      <c:pt idx="1964">
                        <c:v>112.604</c:v>
                      </c:pt>
                      <c:pt idx="1965">
                        <c:v>112.602</c:v>
                      </c:pt>
                      <c:pt idx="1966">
                        <c:v>112.6</c:v>
                      </c:pt>
                      <c:pt idx="1967">
                        <c:v>112.598</c:v>
                      </c:pt>
                      <c:pt idx="1968">
                        <c:v>112.596</c:v>
                      </c:pt>
                      <c:pt idx="1969">
                        <c:v>112.59399999999999</c:v>
                      </c:pt>
                      <c:pt idx="1970">
                        <c:v>112.593</c:v>
                      </c:pt>
                      <c:pt idx="1971">
                        <c:v>112.59099999999999</c:v>
                      </c:pt>
                      <c:pt idx="1972">
                        <c:v>112.589</c:v>
                      </c:pt>
                      <c:pt idx="1973">
                        <c:v>112.587</c:v>
                      </c:pt>
                      <c:pt idx="1974">
                        <c:v>112.58499999999999</c:v>
                      </c:pt>
                      <c:pt idx="1975">
                        <c:v>112.584</c:v>
                      </c:pt>
                      <c:pt idx="1976">
                        <c:v>112.58199999999999</c:v>
                      </c:pt>
                      <c:pt idx="1977">
                        <c:v>112.58</c:v>
                      </c:pt>
                      <c:pt idx="1978">
                        <c:v>112.57899999999999</c:v>
                      </c:pt>
                      <c:pt idx="1979">
                        <c:v>112.577</c:v>
                      </c:pt>
                      <c:pt idx="1980">
                        <c:v>112.57599999999999</c:v>
                      </c:pt>
                      <c:pt idx="1981">
                        <c:v>112.574</c:v>
                      </c:pt>
                      <c:pt idx="1982">
                        <c:v>112.57299999999999</c:v>
                      </c:pt>
                      <c:pt idx="1983">
                        <c:v>112.571</c:v>
                      </c:pt>
                      <c:pt idx="1984">
                        <c:v>112.57</c:v>
                      </c:pt>
                      <c:pt idx="1985">
                        <c:v>112.568</c:v>
                      </c:pt>
                      <c:pt idx="1986">
                        <c:v>112.56699999999999</c:v>
                      </c:pt>
                      <c:pt idx="1987">
                        <c:v>112.565</c:v>
                      </c:pt>
                      <c:pt idx="1988">
                        <c:v>112.56399999999999</c:v>
                      </c:pt>
                      <c:pt idx="1989">
                        <c:v>112.562</c:v>
                      </c:pt>
                      <c:pt idx="1990">
                        <c:v>112.56100000000001</c:v>
                      </c:pt>
                      <c:pt idx="1991">
                        <c:v>112.559</c:v>
                      </c:pt>
                      <c:pt idx="1992">
                        <c:v>112.55800000000001</c:v>
                      </c:pt>
                      <c:pt idx="1993">
                        <c:v>112.557</c:v>
                      </c:pt>
                      <c:pt idx="1994">
                        <c:v>112.55500000000001</c:v>
                      </c:pt>
                      <c:pt idx="1995">
                        <c:v>112.554</c:v>
                      </c:pt>
                      <c:pt idx="1996">
                        <c:v>112.55200000000001</c:v>
                      </c:pt>
                      <c:pt idx="1997">
                        <c:v>112.551</c:v>
                      </c:pt>
                      <c:pt idx="1998">
                        <c:v>112.55</c:v>
                      </c:pt>
                      <c:pt idx="1999">
                        <c:v>112.548</c:v>
                      </c:pt>
                      <c:pt idx="2000">
                        <c:v>112.547</c:v>
                      </c:pt>
                      <c:pt idx="2001">
                        <c:v>112.54600000000001</c:v>
                      </c:pt>
                      <c:pt idx="2002">
                        <c:v>112.544</c:v>
                      </c:pt>
                      <c:pt idx="2003">
                        <c:v>112.54300000000001</c:v>
                      </c:pt>
                      <c:pt idx="2004">
                        <c:v>112.542</c:v>
                      </c:pt>
                      <c:pt idx="2005">
                        <c:v>112.54</c:v>
                      </c:pt>
                      <c:pt idx="2006">
                        <c:v>112.539</c:v>
                      </c:pt>
                      <c:pt idx="2007">
                        <c:v>112.53700000000001</c:v>
                      </c:pt>
                      <c:pt idx="2008">
                        <c:v>112.536</c:v>
                      </c:pt>
                      <c:pt idx="2009">
                        <c:v>112.535</c:v>
                      </c:pt>
                      <c:pt idx="2010">
                        <c:v>112.533</c:v>
                      </c:pt>
                      <c:pt idx="2011">
                        <c:v>112.532</c:v>
                      </c:pt>
                      <c:pt idx="2012">
                        <c:v>112.53100000000001</c:v>
                      </c:pt>
                      <c:pt idx="2013">
                        <c:v>112.529</c:v>
                      </c:pt>
                      <c:pt idx="2014">
                        <c:v>112.52800000000001</c:v>
                      </c:pt>
                      <c:pt idx="2015">
                        <c:v>112.527</c:v>
                      </c:pt>
                      <c:pt idx="2016">
                        <c:v>112.52500000000001</c:v>
                      </c:pt>
                      <c:pt idx="2017">
                        <c:v>112.524</c:v>
                      </c:pt>
                      <c:pt idx="2018">
                        <c:v>112.523</c:v>
                      </c:pt>
                      <c:pt idx="2019">
                        <c:v>112.521</c:v>
                      </c:pt>
                      <c:pt idx="2020">
                        <c:v>112.52</c:v>
                      </c:pt>
                      <c:pt idx="2021">
                        <c:v>112.51900000000001</c:v>
                      </c:pt>
                      <c:pt idx="2022">
                        <c:v>112.517</c:v>
                      </c:pt>
                      <c:pt idx="2023">
                        <c:v>112.51600000000001</c:v>
                      </c:pt>
                      <c:pt idx="2024">
                        <c:v>112.515</c:v>
                      </c:pt>
                      <c:pt idx="2025">
                        <c:v>112.51300000000001</c:v>
                      </c:pt>
                      <c:pt idx="2026">
                        <c:v>112.512</c:v>
                      </c:pt>
                      <c:pt idx="2027">
                        <c:v>112.511</c:v>
                      </c:pt>
                      <c:pt idx="2028">
                        <c:v>112.509</c:v>
                      </c:pt>
                      <c:pt idx="2029">
                        <c:v>112.508</c:v>
                      </c:pt>
                      <c:pt idx="2030">
                        <c:v>112.50700000000001</c:v>
                      </c:pt>
                      <c:pt idx="2031">
                        <c:v>112.505</c:v>
                      </c:pt>
                      <c:pt idx="2032">
                        <c:v>112.504</c:v>
                      </c:pt>
                      <c:pt idx="2033">
                        <c:v>112.503</c:v>
                      </c:pt>
                      <c:pt idx="2034">
                        <c:v>112.501</c:v>
                      </c:pt>
                      <c:pt idx="2035">
                        <c:v>112.5</c:v>
                      </c:pt>
                      <c:pt idx="2036">
                        <c:v>112.499</c:v>
                      </c:pt>
                      <c:pt idx="2037">
                        <c:v>112.498</c:v>
                      </c:pt>
                      <c:pt idx="2038">
                        <c:v>112.496</c:v>
                      </c:pt>
                      <c:pt idx="2039">
                        <c:v>112.495</c:v>
                      </c:pt>
                      <c:pt idx="2040">
                        <c:v>112.494</c:v>
                      </c:pt>
                      <c:pt idx="2041">
                        <c:v>112.492</c:v>
                      </c:pt>
                      <c:pt idx="2042">
                        <c:v>112.491</c:v>
                      </c:pt>
                      <c:pt idx="2043">
                        <c:v>112.49</c:v>
                      </c:pt>
                      <c:pt idx="2044">
                        <c:v>112.489</c:v>
                      </c:pt>
                      <c:pt idx="2045">
                        <c:v>112.48699999999999</c:v>
                      </c:pt>
                      <c:pt idx="2046">
                        <c:v>112.486</c:v>
                      </c:pt>
                      <c:pt idx="2047">
                        <c:v>112.485</c:v>
                      </c:pt>
                      <c:pt idx="2048">
                        <c:v>112.483</c:v>
                      </c:pt>
                      <c:pt idx="2049">
                        <c:v>112.482</c:v>
                      </c:pt>
                      <c:pt idx="2050">
                        <c:v>112.48099999999999</c:v>
                      </c:pt>
                      <c:pt idx="2051">
                        <c:v>112.48</c:v>
                      </c:pt>
                      <c:pt idx="2052">
                        <c:v>112.47799999999999</c:v>
                      </c:pt>
                      <c:pt idx="2053">
                        <c:v>112.477</c:v>
                      </c:pt>
                      <c:pt idx="2054">
                        <c:v>112.476</c:v>
                      </c:pt>
                      <c:pt idx="2055">
                        <c:v>112.47499999999999</c:v>
                      </c:pt>
                      <c:pt idx="2056">
                        <c:v>112.473</c:v>
                      </c:pt>
                      <c:pt idx="2057">
                        <c:v>112.47199999999999</c:v>
                      </c:pt>
                      <c:pt idx="2058">
                        <c:v>112.471</c:v>
                      </c:pt>
                      <c:pt idx="2059">
                        <c:v>112.47</c:v>
                      </c:pt>
                      <c:pt idx="2060">
                        <c:v>112.46899999999999</c:v>
                      </c:pt>
                      <c:pt idx="2061">
                        <c:v>112.467</c:v>
                      </c:pt>
                      <c:pt idx="2062">
                        <c:v>112.46599999999999</c:v>
                      </c:pt>
                      <c:pt idx="2063">
                        <c:v>112.465</c:v>
                      </c:pt>
                      <c:pt idx="2064">
                        <c:v>112.464</c:v>
                      </c:pt>
                      <c:pt idx="2065">
                        <c:v>112.462</c:v>
                      </c:pt>
                      <c:pt idx="2066">
                        <c:v>112.461</c:v>
                      </c:pt>
                      <c:pt idx="2067">
                        <c:v>112.46</c:v>
                      </c:pt>
                      <c:pt idx="2068">
                        <c:v>112.459</c:v>
                      </c:pt>
                      <c:pt idx="2069">
                        <c:v>112.458</c:v>
                      </c:pt>
                      <c:pt idx="2070">
                        <c:v>112.45699999999999</c:v>
                      </c:pt>
                      <c:pt idx="2071">
                        <c:v>112.455</c:v>
                      </c:pt>
                      <c:pt idx="2072">
                        <c:v>112.45399999999999</c:v>
                      </c:pt>
                      <c:pt idx="2073">
                        <c:v>112.453</c:v>
                      </c:pt>
                      <c:pt idx="2074">
                        <c:v>112.452</c:v>
                      </c:pt>
                      <c:pt idx="2075">
                        <c:v>112.45099999999999</c:v>
                      </c:pt>
                      <c:pt idx="2076">
                        <c:v>112.45</c:v>
                      </c:pt>
                      <c:pt idx="2077">
                        <c:v>112.44799999999999</c:v>
                      </c:pt>
                      <c:pt idx="2078">
                        <c:v>112.447</c:v>
                      </c:pt>
                      <c:pt idx="2079">
                        <c:v>112.446</c:v>
                      </c:pt>
                      <c:pt idx="2080">
                        <c:v>112.44499999999999</c:v>
                      </c:pt>
                      <c:pt idx="2081">
                        <c:v>112.444</c:v>
                      </c:pt>
                      <c:pt idx="2082">
                        <c:v>112.443</c:v>
                      </c:pt>
                      <c:pt idx="2083">
                        <c:v>112.44199999999999</c:v>
                      </c:pt>
                      <c:pt idx="2084">
                        <c:v>112.441</c:v>
                      </c:pt>
                      <c:pt idx="2085">
                        <c:v>112.44</c:v>
                      </c:pt>
                      <c:pt idx="2086">
                        <c:v>112.43899999999999</c:v>
                      </c:pt>
                      <c:pt idx="2087">
                        <c:v>112.438</c:v>
                      </c:pt>
                      <c:pt idx="2088">
                        <c:v>112.437</c:v>
                      </c:pt>
                      <c:pt idx="2089">
                        <c:v>112.43600000000001</c:v>
                      </c:pt>
                      <c:pt idx="2090">
                        <c:v>112.435</c:v>
                      </c:pt>
                      <c:pt idx="2091">
                        <c:v>112.43300000000001</c:v>
                      </c:pt>
                      <c:pt idx="2092">
                        <c:v>112.432</c:v>
                      </c:pt>
                      <c:pt idx="2093">
                        <c:v>112.431</c:v>
                      </c:pt>
                      <c:pt idx="2094">
                        <c:v>112.43</c:v>
                      </c:pt>
                      <c:pt idx="2095">
                        <c:v>112.429</c:v>
                      </c:pt>
                      <c:pt idx="2096">
                        <c:v>112.428</c:v>
                      </c:pt>
                      <c:pt idx="2097">
                        <c:v>112.42700000000001</c:v>
                      </c:pt>
                      <c:pt idx="2098">
                        <c:v>112.426</c:v>
                      </c:pt>
                      <c:pt idx="2099">
                        <c:v>112.425</c:v>
                      </c:pt>
                      <c:pt idx="2100">
                        <c:v>112.425</c:v>
                      </c:pt>
                      <c:pt idx="2101">
                        <c:v>112.42400000000001</c:v>
                      </c:pt>
                      <c:pt idx="2102">
                        <c:v>112.423</c:v>
                      </c:pt>
                      <c:pt idx="2103">
                        <c:v>112.422</c:v>
                      </c:pt>
                      <c:pt idx="2104">
                        <c:v>112.42100000000001</c:v>
                      </c:pt>
                      <c:pt idx="2105">
                        <c:v>112.42</c:v>
                      </c:pt>
                      <c:pt idx="2106">
                        <c:v>112.419</c:v>
                      </c:pt>
                      <c:pt idx="2107">
                        <c:v>112.41800000000001</c:v>
                      </c:pt>
                      <c:pt idx="2108">
                        <c:v>112.417</c:v>
                      </c:pt>
                      <c:pt idx="2109">
                        <c:v>112.416</c:v>
                      </c:pt>
                      <c:pt idx="2110">
                        <c:v>112.41500000000001</c:v>
                      </c:pt>
                      <c:pt idx="2111">
                        <c:v>112.414</c:v>
                      </c:pt>
                      <c:pt idx="2112">
                        <c:v>112.413</c:v>
                      </c:pt>
                      <c:pt idx="2113">
                        <c:v>112.41200000000001</c:v>
                      </c:pt>
                      <c:pt idx="2114">
                        <c:v>112.41200000000001</c:v>
                      </c:pt>
                      <c:pt idx="2115">
                        <c:v>112.411</c:v>
                      </c:pt>
                      <c:pt idx="2116">
                        <c:v>112.41</c:v>
                      </c:pt>
                      <c:pt idx="2117">
                        <c:v>112.40900000000001</c:v>
                      </c:pt>
                      <c:pt idx="2118">
                        <c:v>112.408</c:v>
                      </c:pt>
                      <c:pt idx="2119">
                        <c:v>112.407</c:v>
                      </c:pt>
                      <c:pt idx="2120">
                        <c:v>112.40600000000001</c:v>
                      </c:pt>
                      <c:pt idx="2121">
                        <c:v>112.405</c:v>
                      </c:pt>
                      <c:pt idx="2122">
                        <c:v>112.404</c:v>
                      </c:pt>
                      <c:pt idx="2123">
                        <c:v>112.40300000000001</c:v>
                      </c:pt>
                      <c:pt idx="2124">
                        <c:v>112.402</c:v>
                      </c:pt>
                      <c:pt idx="2125">
                        <c:v>112.401</c:v>
                      </c:pt>
                      <c:pt idx="2126">
                        <c:v>112.4</c:v>
                      </c:pt>
                      <c:pt idx="2127">
                        <c:v>112.399</c:v>
                      </c:pt>
                      <c:pt idx="2128">
                        <c:v>112.398</c:v>
                      </c:pt>
                      <c:pt idx="2129">
                        <c:v>112.39700000000001</c:v>
                      </c:pt>
                      <c:pt idx="2130">
                        <c:v>112.396</c:v>
                      </c:pt>
                      <c:pt idx="2131">
                        <c:v>112.395</c:v>
                      </c:pt>
                      <c:pt idx="2132">
                        <c:v>112.39400000000001</c:v>
                      </c:pt>
                      <c:pt idx="2133">
                        <c:v>112.393</c:v>
                      </c:pt>
                      <c:pt idx="2134">
                        <c:v>112.39100000000001</c:v>
                      </c:pt>
                      <c:pt idx="2135">
                        <c:v>112.39</c:v>
                      </c:pt>
                      <c:pt idx="2136">
                        <c:v>112.389</c:v>
                      </c:pt>
                      <c:pt idx="2137">
                        <c:v>112.38800000000001</c:v>
                      </c:pt>
                      <c:pt idx="2138">
                        <c:v>112.387</c:v>
                      </c:pt>
                      <c:pt idx="2139">
                        <c:v>112.38500000000001</c:v>
                      </c:pt>
                      <c:pt idx="2140">
                        <c:v>112.384</c:v>
                      </c:pt>
                      <c:pt idx="2141">
                        <c:v>112.383</c:v>
                      </c:pt>
                      <c:pt idx="2142">
                        <c:v>112.381</c:v>
                      </c:pt>
                      <c:pt idx="2143">
                        <c:v>112.38</c:v>
                      </c:pt>
                      <c:pt idx="2144">
                        <c:v>112.379</c:v>
                      </c:pt>
                      <c:pt idx="2145">
                        <c:v>112.378</c:v>
                      </c:pt>
                      <c:pt idx="2146">
                        <c:v>112.376</c:v>
                      </c:pt>
                      <c:pt idx="2147">
                        <c:v>112.375</c:v>
                      </c:pt>
                      <c:pt idx="2148">
                        <c:v>112.374</c:v>
                      </c:pt>
                      <c:pt idx="2149">
                        <c:v>112.373</c:v>
                      </c:pt>
                      <c:pt idx="2150">
                        <c:v>112.371</c:v>
                      </c:pt>
                      <c:pt idx="2151">
                        <c:v>112.37</c:v>
                      </c:pt>
                      <c:pt idx="2152">
                        <c:v>112.369</c:v>
                      </c:pt>
                      <c:pt idx="2153">
                        <c:v>112.36799999999999</c:v>
                      </c:pt>
                      <c:pt idx="2154">
                        <c:v>112.367</c:v>
                      </c:pt>
                      <c:pt idx="2155">
                        <c:v>112.36499999999999</c:v>
                      </c:pt>
                      <c:pt idx="2156">
                        <c:v>112.364</c:v>
                      </c:pt>
                      <c:pt idx="2157">
                        <c:v>112.363</c:v>
                      </c:pt>
                      <c:pt idx="2158">
                        <c:v>112.36199999999999</c:v>
                      </c:pt>
                      <c:pt idx="2159">
                        <c:v>112.361</c:v>
                      </c:pt>
                      <c:pt idx="2160">
                        <c:v>112.35899999999999</c:v>
                      </c:pt>
                      <c:pt idx="2161">
                        <c:v>112.358</c:v>
                      </c:pt>
                      <c:pt idx="2162">
                        <c:v>112.357</c:v>
                      </c:pt>
                      <c:pt idx="2163">
                        <c:v>112.35599999999999</c:v>
                      </c:pt>
                      <c:pt idx="2164">
                        <c:v>112.355</c:v>
                      </c:pt>
                      <c:pt idx="2165">
                        <c:v>112.354</c:v>
                      </c:pt>
                      <c:pt idx="2166">
                        <c:v>112.35299999999999</c:v>
                      </c:pt>
                      <c:pt idx="2167">
                        <c:v>112.352</c:v>
                      </c:pt>
                      <c:pt idx="2168">
                        <c:v>112.35</c:v>
                      </c:pt>
                      <c:pt idx="2169">
                        <c:v>112.349</c:v>
                      </c:pt>
                      <c:pt idx="2170">
                        <c:v>112.348</c:v>
                      </c:pt>
                      <c:pt idx="2171">
                        <c:v>112.34699999999999</c:v>
                      </c:pt>
                      <c:pt idx="2172">
                        <c:v>112.346</c:v>
                      </c:pt>
                      <c:pt idx="2173">
                        <c:v>112.345</c:v>
                      </c:pt>
                      <c:pt idx="2174">
                        <c:v>112.34399999999999</c:v>
                      </c:pt>
                      <c:pt idx="2175">
                        <c:v>112.343</c:v>
                      </c:pt>
                      <c:pt idx="2176">
                        <c:v>112.342</c:v>
                      </c:pt>
                      <c:pt idx="2177">
                        <c:v>112.34099999999999</c:v>
                      </c:pt>
                      <c:pt idx="2178">
                        <c:v>112.34</c:v>
                      </c:pt>
                      <c:pt idx="2179">
                        <c:v>112.339</c:v>
                      </c:pt>
                      <c:pt idx="2180">
                        <c:v>112.33799999999999</c:v>
                      </c:pt>
                      <c:pt idx="2181">
                        <c:v>112.337</c:v>
                      </c:pt>
                      <c:pt idx="2182">
                        <c:v>112.336</c:v>
                      </c:pt>
                      <c:pt idx="2183">
                        <c:v>112.33499999999999</c:v>
                      </c:pt>
                      <c:pt idx="2184">
                        <c:v>112.334</c:v>
                      </c:pt>
                      <c:pt idx="2185">
                        <c:v>112.333</c:v>
                      </c:pt>
                      <c:pt idx="2186">
                        <c:v>112.33199999999999</c:v>
                      </c:pt>
                      <c:pt idx="2187">
                        <c:v>112.331</c:v>
                      </c:pt>
                      <c:pt idx="2188">
                        <c:v>112.331</c:v>
                      </c:pt>
                      <c:pt idx="2189">
                        <c:v>112.33</c:v>
                      </c:pt>
                      <c:pt idx="2190">
                        <c:v>112.32899999999999</c:v>
                      </c:pt>
                      <c:pt idx="2191">
                        <c:v>112.328</c:v>
                      </c:pt>
                      <c:pt idx="2192">
                        <c:v>112.327</c:v>
                      </c:pt>
                      <c:pt idx="2193">
                        <c:v>112.32599999999999</c:v>
                      </c:pt>
                      <c:pt idx="2194">
                        <c:v>112.325</c:v>
                      </c:pt>
                      <c:pt idx="2195">
                        <c:v>112.324</c:v>
                      </c:pt>
                      <c:pt idx="2196">
                        <c:v>112.324</c:v>
                      </c:pt>
                      <c:pt idx="2197">
                        <c:v>112.32299999999999</c:v>
                      </c:pt>
                      <c:pt idx="2198">
                        <c:v>112.322</c:v>
                      </c:pt>
                      <c:pt idx="2199">
                        <c:v>112.321</c:v>
                      </c:pt>
                      <c:pt idx="2200">
                        <c:v>112.32</c:v>
                      </c:pt>
                      <c:pt idx="2201">
                        <c:v>112.319</c:v>
                      </c:pt>
                      <c:pt idx="2202">
                        <c:v>112.319</c:v>
                      </c:pt>
                      <c:pt idx="2203">
                        <c:v>112.318</c:v>
                      </c:pt>
                      <c:pt idx="2204">
                        <c:v>112.31699999999999</c:v>
                      </c:pt>
                      <c:pt idx="2205">
                        <c:v>112.316</c:v>
                      </c:pt>
                      <c:pt idx="2206">
                        <c:v>112.316</c:v>
                      </c:pt>
                      <c:pt idx="2207">
                        <c:v>112.315</c:v>
                      </c:pt>
                      <c:pt idx="2208">
                        <c:v>112.31399999999999</c:v>
                      </c:pt>
                      <c:pt idx="2209">
                        <c:v>112.313</c:v>
                      </c:pt>
                      <c:pt idx="2210">
                        <c:v>112.313</c:v>
                      </c:pt>
                      <c:pt idx="2211">
                        <c:v>112.312</c:v>
                      </c:pt>
                      <c:pt idx="2212">
                        <c:v>112.31100000000001</c:v>
                      </c:pt>
                      <c:pt idx="2213">
                        <c:v>112.31</c:v>
                      </c:pt>
                      <c:pt idx="2214">
                        <c:v>112.31</c:v>
                      </c:pt>
                      <c:pt idx="2215">
                        <c:v>112.309</c:v>
                      </c:pt>
                      <c:pt idx="2216">
                        <c:v>112.30800000000001</c:v>
                      </c:pt>
                      <c:pt idx="2217">
                        <c:v>112.30800000000001</c:v>
                      </c:pt>
                      <c:pt idx="2218">
                        <c:v>112.307</c:v>
                      </c:pt>
                      <c:pt idx="2219">
                        <c:v>112.306</c:v>
                      </c:pt>
                      <c:pt idx="2220">
                        <c:v>112.306</c:v>
                      </c:pt>
                      <c:pt idx="2221">
                        <c:v>112.30500000000001</c:v>
                      </c:pt>
                      <c:pt idx="2222">
                        <c:v>112.304</c:v>
                      </c:pt>
                      <c:pt idx="2223">
                        <c:v>112.304</c:v>
                      </c:pt>
                      <c:pt idx="2224">
                        <c:v>112.303</c:v>
                      </c:pt>
                      <c:pt idx="2225">
                        <c:v>112.30200000000001</c:v>
                      </c:pt>
                      <c:pt idx="2226">
                        <c:v>112.30200000000001</c:v>
                      </c:pt>
                      <c:pt idx="2227">
                        <c:v>112.301</c:v>
                      </c:pt>
                      <c:pt idx="2228">
                        <c:v>112.301</c:v>
                      </c:pt>
                      <c:pt idx="2229">
                        <c:v>112.3</c:v>
                      </c:pt>
                      <c:pt idx="2230">
                        <c:v>112.29900000000001</c:v>
                      </c:pt>
                      <c:pt idx="2231">
                        <c:v>112.29900000000001</c:v>
                      </c:pt>
                      <c:pt idx="2232">
                        <c:v>112.298</c:v>
                      </c:pt>
                      <c:pt idx="2233">
                        <c:v>112.298</c:v>
                      </c:pt>
                      <c:pt idx="2234">
                        <c:v>112.297</c:v>
                      </c:pt>
                      <c:pt idx="2235">
                        <c:v>112.297</c:v>
                      </c:pt>
                      <c:pt idx="2236">
                        <c:v>112.29600000000001</c:v>
                      </c:pt>
                      <c:pt idx="2237">
                        <c:v>112.295</c:v>
                      </c:pt>
                      <c:pt idx="2238">
                        <c:v>112.295</c:v>
                      </c:pt>
                      <c:pt idx="2239">
                        <c:v>112.294</c:v>
                      </c:pt>
                      <c:pt idx="2240">
                        <c:v>112.294</c:v>
                      </c:pt>
                      <c:pt idx="2241">
                        <c:v>112.29300000000001</c:v>
                      </c:pt>
                      <c:pt idx="2242">
                        <c:v>112.29300000000001</c:v>
                      </c:pt>
                      <c:pt idx="2243">
                        <c:v>112.292</c:v>
                      </c:pt>
                      <c:pt idx="2244">
                        <c:v>112.291</c:v>
                      </c:pt>
                      <c:pt idx="2245">
                        <c:v>112.291</c:v>
                      </c:pt>
                      <c:pt idx="2246">
                        <c:v>112.29</c:v>
                      </c:pt>
                      <c:pt idx="2247">
                        <c:v>112.29</c:v>
                      </c:pt>
                      <c:pt idx="2248">
                        <c:v>112.289</c:v>
                      </c:pt>
                      <c:pt idx="2249">
                        <c:v>112.288</c:v>
                      </c:pt>
                      <c:pt idx="2250">
                        <c:v>112.288</c:v>
                      </c:pt>
                      <c:pt idx="2251">
                        <c:v>112.28700000000001</c:v>
                      </c:pt>
                      <c:pt idx="2252">
                        <c:v>112.28700000000001</c:v>
                      </c:pt>
                      <c:pt idx="2253">
                        <c:v>112.286</c:v>
                      </c:pt>
                      <c:pt idx="2254">
                        <c:v>112.285</c:v>
                      </c:pt>
                      <c:pt idx="2255">
                        <c:v>112.285</c:v>
                      </c:pt>
                      <c:pt idx="2256">
                        <c:v>112.28400000000001</c:v>
                      </c:pt>
                      <c:pt idx="2257">
                        <c:v>112.28400000000001</c:v>
                      </c:pt>
                      <c:pt idx="2258">
                        <c:v>112.283</c:v>
                      </c:pt>
                      <c:pt idx="2259">
                        <c:v>112.282</c:v>
                      </c:pt>
                      <c:pt idx="2260">
                        <c:v>112.282</c:v>
                      </c:pt>
                      <c:pt idx="2261">
                        <c:v>112.28100000000001</c:v>
                      </c:pt>
                      <c:pt idx="2262">
                        <c:v>112.28100000000001</c:v>
                      </c:pt>
                      <c:pt idx="2263">
                        <c:v>112.28</c:v>
                      </c:pt>
                      <c:pt idx="2264">
                        <c:v>112.28</c:v>
                      </c:pt>
                      <c:pt idx="2265">
                        <c:v>112.279</c:v>
                      </c:pt>
                      <c:pt idx="2266">
                        <c:v>112.27800000000001</c:v>
                      </c:pt>
                      <c:pt idx="2267">
                        <c:v>112.27800000000001</c:v>
                      </c:pt>
                      <c:pt idx="2268">
                        <c:v>112.277</c:v>
                      </c:pt>
                      <c:pt idx="2269">
                        <c:v>112.277</c:v>
                      </c:pt>
                      <c:pt idx="2270">
                        <c:v>112.276</c:v>
                      </c:pt>
                      <c:pt idx="2271">
                        <c:v>112.27500000000001</c:v>
                      </c:pt>
                      <c:pt idx="2272">
                        <c:v>112.27500000000001</c:v>
                      </c:pt>
                      <c:pt idx="2273">
                        <c:v>112.274</c:v>
                      </c:pt>
                      <c:pt idx="2274">
                        <c:v>112.274</c:v>
                      </c:pt>
                      <c:pt idx="2275">
                        <c:v>112.273</c:v>
                      </c:pt>
                      <c:pt idx="2276">
                        <c:v>112.27200000000001</c:v>
                      </c:pt>
                      <c:pt idx="2277">
                        <c:v>112.27200000000001</c:v>
                      </c:pt>
                      <c:pt idx="2278">
                        <c:v>112.271</c:v>
                      </c:pt>
                      <c:pt idx="2279">
                        <c:v>112.271</c:v>
                      </c:pt>
                      <c:pt idx="2280">
                        <c:v>112.27</c:v>
                      </c:pt>
                      <c:pt idx="2281">
                        <c:v>112.26900000000001</c:v>
                      </c:pt>
                      <c:pt idx="2282">
                        <c:v>112.26900000000001</c:v>
                      </c:pt>
                      <c:pt idx="2283">
                        <c:v>112.268</c:v>
                      </c:pt>
                      <c:pt idx="2284">
                        <c:v>112.268</c:v>
                      </c:pt>
                      <c:pt idx="2285">
                        <c:v>112.267</c:v>
                      </c:pt>
                      <c:pt idx="2286">
                        <c:v>112.26600000000001</c:v>
                      </c:pt>
                      <c:pt idx="2287">
                        <c:v>112.26600000000001</c:v>
                      </c:pt>
                      <c:pt idx="2288">
                        <c:v>112.265</c:v>
                      </c:pt>
                      <c:pt idx="2289">
                        <c:v>112.264</c:v>
                      </c:pt>
                      <c:pt idx="2290">
                        <c:v>112.264</c:v>
                      </c:pt>
                      <c:pt idx="2291">
                        <c:v>112.26300000000001</c:v>
                      </c:pt>
                      <c:pt idx="2292">
                        <c:v>112.26300000000001</c:v>
                      </c:pt>
                      <c:pt idx="2293">
                        <c:v>112.262</c:v>
                      </c:pt>
                      <c:pt idx="2294">
                        <c:v>112.261</c:v>
                      </c:pt>
                      <c:pt idx="2295">
                        <c:v>112.261</c:v>
                      </c:pt>
                      <c:pt idx="2296">
                        <c:v>112.26</c:v>
                      </c:pt>
                      <c:pt idx="2297">
                        <c:v>112.26</c:v>
                      </c:pt>
                      <c:pt idx="2298">
                        <c:v>112.259</c:v>
                      </c:pt>
                      <c:pt idx="2299">
                        <c:v>112.258</c:v>
                      </c:pt>
                      <c:pt idx="2300">
                        <c:v>112.258</c:v>
                      </c:pt>
                      <c:pt idx="2301">
                        <c:v>112.25700000000001</c:v>
                      </c:pt>
                      <c:pt idx="2302">
                        <c:v>112.25700000000001</c:v>
                      </c:pt>
                      <c:pt idx="2303">
                        <c:v>112.256</c:v>
                      </c:pt>
                      <c:pt idx="2304">
                        <c:v>112.255</c:v>
                      </c:pt>
                      <c:pt idx="2305">
                        <c:v>112.255</c:v>
                      </c:pt>
                      <c:pt idx="2306">
                        <c:v>112.254</c:v>
                      </c:pt>
                      <c:pt idx="2307">
                        <c:v>112.253</c:v>
                      </c:pt>
                      <c:pt idx="2308">
                        <c:v>112.253</c:v>
                      </c:pt>
                      <c:pt idx="2309">
                        <c:v>112.252</c:v>
                      </c:pt>
                      <c:pt idx="2310">
                        <c:v>112.252</c:v>
                      </c:pt>
                      <c:pt idx="2311">
                        <c:v>112.251</c:v>
                      </c:pt>
                      <c:pt idx="2312">
                        <c:v>112.25</c:v>
                      </c:pt>
                      <c:pt idx="2313">
                        <c:v>112.25</c:v>
                      </c:pt>
                      <c:pt idx="2314">
                        <c:v>112.249</c:v>
                      </c:pt>
                      <c:pt idx="2315">
                        <c:v>112.249</c:v>
                      </c:pt>
                      <c:pt idx="2316">
                        <c:v>112.248</c:v>
                      </c:pt>
                      <c:pt idx="2317">
                        <c:v>112.247</c:v>
                      </c:pt>
                      <c:pt idx="2318">
                        <c:v>112.247</c:v>
                      </c:pt>
                      <c:pt idx="2319">
                        <c:v>112.246</c:v>
                      </c:pt>
                      <c:pt idx="2320">
                        <c:v>112.245</c:v>
                      </c:pt>
                      <c:pt idx="2321">
                        <c:v>112.245</c:v>
                      </c:pt>
                      <c:pt idx="2322">
                        <c:v>112.244</c:v>
                      </c:pt>
                      <c:pt idx="2323">
                        <c:v>112.244</c:v>
                      </c:pt>
                      <c:pt idx="2324">
                        <c:v>112.24299999999999</c:v>
                      </c:pt>
                      <c:pt idx="2325">
                        <c:v>112.242</c:v>
                      </c:pt>
                      <c:pt idx="2326">
                        <c:v>112.242</c:v>
                      </c:pt>
                      <c:pt idx="2327">
                        <c:v>112.241</c:v>
                      </c:pt>
                      <c:pt idx="2328">
                        <c:v>112.24</c:v>
                      </c:pt>
                      <c:pt idx="2329">
                        <c:v>112.24</c:v>
                      </c:pt>
                      <c:pt idx="2330">
                        <c:v>112.239</c:v>
                      </c:pt>
                      <c:pt idx="2331">
                        <c:v>112.239</c:v>
                      </c:pt>
                      <c:pt idx="2332">
                        <c:v>112.238</c:v>
                      </c:pt>
                      <c:pt idx="2333">
                        <c:v>112.23699999999999</c:v>
                      </c:pt>
                      <c:pt idx="2334">
                        <c:v>112.23699999999999</c:v>
                      </c:pt>
                      <c:pt idx="2335">
                        <c:v>112.236</c:v>
                      </c:pt>
                      <c:pt idx="2336">
                        <c:v>112.235</c:v>
                      </c:pt>
                      <c:pt idx="2337">
                        <c:v>112.235</c:v>
                      </c:pt>
                      <c:pt idx="2338">
                        <c:v>112.23399999999999</c:v>
                      </c:pt>
                      <c:pt idx="2339">
                        <c:v>112.23399999999999</c:v>
                      </c:pt>
                      <c:pt idx="2340">
                        <c:v>112.233</c:v>
                      </c:pt>
                      <c:pt idx="2341">
                        <c:v>112.232</c:v>
                      </c:pt>
                      <c:pt idx="2342">
                        <c:v>112.232</c:v>
                      </c:pt>
                      <c:pt idx="2343">
                        <c:v>112.23099999999999</c:v>
                      </c:pt>
                      <c:pt idx="2344">
                        <c:v>112.23</c:v>
                      </c:pt>
                      <c:pt idx="2345">
                        <c:v>112.23</c:v>
                      </c:pt>
                      <c:pt idx="2346">
                        <c:v>112.229</c:v>
                      </c:pt>
                      <c:pt idx="2347">
                        <c:v>112.229</c:v>
                      </c:pt>
                      <c:pt idx="2348">
                        <c:v>112.22799999999999</c:v>
                      </c:pt>
                      <c:pt idx="2349">
                        <c:v>112.227</c:v>
                      </c:pt>
                      <c:pt idx="2350">
                        <c:v>112.227</c:v>
                      </c:pt>
                      <c:pt idx="2351">
                        <c:v>112.226</c:v>
                      </c:pt>
                      <c:pt idx="2352">
                        <c:v>112.22499999999999</c:v>
                      </c:pt>
                      <c:pt idx="2353">
                        <c:v>112.22499999999999</c:v>
                      </c:pt>
                      <c:pt idx="2354">
                        <c:v>112.224</c:v>
                      </c:pt>
                      <c:pt idx="2355">
                        <c:v>112.224</c:v>
                      </c:pt>
                      <c:pt idx="2356">
                        <c:v>112.223</c:v>
                      </c:pt>
                      <c:pt idx="2357">
                        <c:v>112.22199999999999</c:v>
                      </c:pt>
                      <c:pt idx="2358">
                        <c:v>112.22199999999999</c:v>
                      </c:pt>
                      <c:pt idx="2359">
                        <c:v>112.221</c:v>
                      </c:pt>
                      <c:pt idx="2360">
                        <c:v>112.22</c:v>
                      </c:pt>
                      <c:pt idx="2361">
                        <c:v>112.22</c:v>
                      </c:pt>
                      <c:pt idx="2362">
                        <c:v>112.21899999999999</c:v>
                      </c:pt>
                      <c:pt idx="2363">
                        <c:v>112.218</c:v>
                      </c:pt>
                      <c:pt idx="2364">
                        <c:v>112.218</c:v>
                      </c:pt>
                      <c:pt idx="2365">
                        <c:v>112.217</c:v>
                      </c:pt>
                      <c:pt idx="2366">
                        <c:v>112.217</c:v>
                      </c:pt>
                      <c:pt idx="2367">
                        <c:v>112.21599999999999</c:v>
                      </c:pt>
                      <c:pt idx="2368">
                        <c:v>112.215</c:v>
                      </c:pt>
                      <c:pt idx="2369">
                        <c:v>112.215</c:v>
                      </c:pt>
                      <c:pt idx="2370">
                        <c:v>112.214</c:v>
                      </c:pt>
                      <c:pt idx="2371">
                        <c:v>112.21299999999999</c:v>
                      </c:pt>
                      <c:pt idx="2372">
                        <c:v>112.21299999999999</c:v>
                      </c:pt>
                      <c:pt idx="2373">
                        <c:v>112.212</c:v>
                      </c:pt>
                      <c:pt idx="2374">
                        <c:v>112.211</c:v>
                      </c:pt>
                      <c:pt idx="2375">
                        <c:v>112.211</c:v>
                      </c:pt>
                      <c:pt idx="2376">
                        <c:v>112.21</c:v>
                      </c:pt>
                      <c:pt idx="2377">
                        <c:v>112.209</c:v>
                      </c:pt>
                      <c:pt idx="2378">
                        <c:v>112.209</c:v>
                      </c:pt>
                      <c:pt idx="2379">
                        <c:v>112.208</c:v>
                      </c:pt>
                      <c:pt idx="2380">
                        <c:v>112.20699999999999</c:v>
                      </c:pt>
                      <c:pt idx="2381">
                        <c:v>112.20699999999999</c:v>
                      </c:pt>
                      <c:pt idx="2382">
                        <c:v>112.206</c:v>
                      </c:pt>
                      <c:pt idx="2383">
                        <c:v>112.205</c:v>
                      </c:pt>
                      <c:pt idx="2384">
                        <c:v>112.205</c:v>
                      </c:pt>
                      <c:pt idx="2385">
                        <c:v>112.20399999999999</c:v>
                      </c:pt>
                      <c:pt idx="2386">
                        <c:v>112.203</c:v>
                      </c:pt>
                      <c:pt idx="2387">
                        <c:v>112.203</c:v>
                      </c:pt>
                      <c:pt idx="2388">
                        <c:v>112.202</c:v>
                      </c:pt>
                      <c:pt idx="2389">
                        <c:v>112.20099999999999</c:v>
                      </c:pt>
                      <c:pt idx="2390">
                        <c:v>112.2</c:v>
                      </c:pt>
                      <c:pt idx="2391">
                        <c:v>112.2</c:v>
                      </c:pt>
                      <c:pt idx="2392">
                        <c:v>112.199</c:v>
                      </c:pt>
                      <c:pt idx="2393">
                        <c:v>112.19799999999999</c:v>
                      </c:pt>
                      <c:pt idx="2394">
                        <c:v>112.19799999999999</c:v>
                      </c:pt>
                      <c:pt idx="2395">
                        <c:v>112.197</c:v>
                      </c:pt>
                      <c:pt idx="2396">
                        <c:v>112.196</c:v>
                      </c:pt>
                      <c:pt idx="2397">
                        <c:v>112.19499999999999</c:v>
                      </c:pt>
                      <c:pt idx="2398">
                        <c:v>112.19499999999999</c:v>
                      </c:pt>
                      <c:pt idx="2399">
                        <c:v>112.194</c:v>
                      </c:pt>
                      <c:pt idx="2400">
                        <c:v>112.193</c:v>
                      </c:pt>
                      <c:pt idx="2401">
                        <c:v>112.19199999999999</c:v>
                      </c:pt>
                      <c:pt idx="2402">
                        <c:v>112.191</c:v>
                      </c:pt>
                      <c:pt idx="2403">
                        <c:v>112.191</c:v>
                      </c:pt>
                      <c:pt idx="2404">
                        <c:v>112.19</c:v>
                      </c:pt>
                      <c:pt idx="2405">
                        <c:v>112.18899999999999</c:v>
                      </c:pt>
                      <c:pt idx="2406">
                        <c:v>112.188</c:v>
                      </c:pt>
                      <c:pt idx="2407">
                        <c:v>112.188</c:v>
                      </c:pt>
                      <c:pt idx="2408">
                        <c:v>112.187</c:v>
                      </c:pt>
                      <c:pt idx="2409">
                        <c:v>112.18600000000001</c:v>
                      </c:pt>
                      <c:pt idx="2410">
                        <c:v>112.185</c:v>
                      </c:pt>
                      <c:pt idx="2411">
                        <c:v>112.184</c:v>
                      </c:pt>
                      <c:pt idx="2412">
                        <c:v>112.184</c:v>
                      </c:pt>
                      <c:pt idx="2413">
                        <c:v>112.18300000000001</c:v>
                      </c:pt>
                      <c:pt idx="2414">
                        <c:v>112.182</c:v>
                      </c:pt>
                      <c:pt idx="2415">
                        <c:v>112.181</c:v>
                      </c:pt>
                      <c:pt idx="2416">
                        <c:v>112.18</c:v>
                      </c:pt>
                      <c:pt idx="2417">
                        <c:v>112.18</c:v>
                      </c:pt>
                      <c:pt idx="2418">
                        <c:v>112.179</c:v>
                      </c:pt>
                      <c:pt idx="2419">
                        <c:v>112.178</c:v>
                      </c:pt>
                      <c:pt idx="2420">
                        <c:v>112.17700000000001</c:v>
                      </c:pt>
                      <c:pt idx="2421">
                        <c:v>112.176</c:v>
                      </c:pt>
                      <c:pt idx="2422">
                        <c:v>112.175</c:v>
                      </c:pt>
                      <c:pt idx="2423">
                        <c:v>112.17400000000001</c:v>
                      </c:pt>
                      <c:pt idx="2424">
                        <c:v>112.17400000000001</c:v>
                      </c:pt>
                      <c:pt idx="2425">
                        <c:v>112.173</c:v>
                      </c:pt>
                      <c:pt idx="2426">
                        <c:v>112.172</c:v>
                      </c:pt>
                      <c:pt idx="2427">
                        <c:v>112.17100000000001</c:v>
                      </c:pt>
                      <c:pt idx="2428">
                        <c:v>112.17</c:v>
                      </c:pt>
                      <c:pt idx="2429">
                        <c:v>112.169</c:v>
                      </c:pt>
                      <c:pt idx="2430">
                        <c:v>112.16800000000001</c:v>
                      </c:pt>
                      <c:pt idx="2431">
                        <c:v>112.16800000000001</c:v>
                      </c:pt>
                      <c:pt idx="2432">
                        <c:v>112.167</c:v>
                      </c:pt>
                      <c:pt idx="2433">
                        <c:v>112.166</c:v>
                      </c:pt>
                      <c:pt idx="2434">
                        <c:v>112.16500000000001</c:v>
                      </c:pt>
                      <c:pt idx="2435">
                        <c:v>112.164</c:v>
                      </c:pt>
                      <c:pt idx="2436">
                        <c:v>112.163</c:v>
                      </c:pt>
                      <c:pt idx="2437">
                        <c:v>112.16200000000001</c:v>
                      </c:pt>
                      <c:pt idx="2438">
                        <c:v>112.161</c:v>
                      </c:pt>
                      <c:pt idx="2439">
                        <c:v>112.16</c:v>
                      </c:pt>
                      <c:pt idx="2440">
                        <c:v>112.16</c:v>
                      </c:pt>
                      <c:pt idx="2441">
                        <c:v>112.15900000000001</c:v>
                      </c:pt>
                      <c:pt idx="2442">
                        <c:v>112.158</c:v>
                      </c:pt>
                      <c:pt idx="2443">
                        <c:v>112.157</c:v>
                      </c:pt>
                      <c:pt idx="2444">
                        <c:v>112.15600000000001</c:v>
                      </c:pt>
                      <c:pt idx="2445">
                        <c:v>112.155</c:v>
                      </c:pt>
                      <c:pt idx="2446">
                        <c:v>112.154</c:v>
                      </c:pt>
                      <c:pt idx="2447">
                        <c:v>112.15300000000001</c:v>
                      </c:pt>
                      <c:pt idx="2448">
                        <c:v>112.152</c:v>
                      </c:pt>
                      <c:pt idx="2449">
                        <c:v>112.151</c:v>
                      </c:pt>
                      <c:pt idx="2450">
                        <c:v>112.151</c:v>
                      </c:pt>
                      <c:pt idx="2451">
                        <c:v>112.15</c:v>
                      </c:pt>
                      <c:pt idx="2452">
                        <c:v>112.149</c:v>
                      </c:pt>
                      <c:pt idx="2453">
                        <c:v>112.148</c:v>
                      </c:pt>
                      <c:pt idx="2454">
                        <c:v>112.14700000000001</c:v>
                      </c:pt>
                      <c:pt idx="2455">
                        <c:v>112.146</c:v>
                      </c:pt>
                      <c:pt idx="2456">
                        <c:v>112.145</c:v>
                      </c:pt>
                      <c:pt idx="2457">
                        <c:v>112.14400000000001</c:v>
                      </c:pt>
                      <c:pt idx="2458">
                        <c:v>112.143</c:v>
                      </c:pt>
                      <c:pt idx="2459">
                        <c:v>112.142</c:v>
                      </c:pt>
                      <c:pt idx="2460">
                        <c:v>112.142</c:v>
                      </c:pt>
                      <c:pt idx="2461">
                        <c:v>112.14100000000001</c:v>
                      </c:pt>
                      <c:pt idx="2462">
                        <c:v>112.14</c:v>
                      </c:pt>
                      <c:pt idx="2463">
                        <c:v>112.139</c:v>
                      </c:pt>
                      <c:pt idx="2464">
                        <c:v>112.13800000000001</c:v>
                      </c:pt>
                      <c:pt idx="2465">
                        <c:v>112.137</c:v>
                      </c:pt>
                      <c:pt idx="2466">
                        <c:v>112.136</c:v>
                      </c:pt>
                      <c:pt idx="2467">
                        <c:v>112.136</c:v>
                      </c:pt>
                      <c:pt idx="2468">
                        <c:v>112.13500000000001</c:v>
                      </c:pt>
                      <c:pt idx="2469">
                        <c:v>112.134</c:v>
                      </c:pt>
                      <c:pt idx="2470">
                        <c:v>112.133</c:v>
                      </c:pt>
                      <c:pt idx="2471">
                        <c:v>112.13200000000001</c:v>
                      </c:pt>
                      <c:pt idx="2472">
                        <c:v>112.131</c:v>
                      </c:pt>
                      <c:pt idx="2473">
                        <c:v>112.13</c:v>
                      </c:pt>
                      <c:pt idx="2474">
                        <c:v>112.129</c:v>
                      </c:pt>
                      <c:pt idx="2475">
                        <c:v>112.129</c:v>
                      </c:pt>
                      <c:pt idx="2476">
                        <c:v>112.128</c:v>
                      </c:pt>
                      <c:pt idx="2477">
                        <c:v>112.127</c:v>
                      </c:pt>
                      <c:pt idx="2478">
                        <c:v>112.126</c:v>
                      </c:pt>
                      <c:pt idx="2479">
                        <c:v>112.125</c:v>
                      </c:pt>
                      <c:pt idx="2480">
                        <c:v>112.124</c:v>
                      </c:pt>
                      <c:pt idx="2481">
                        <c:v>112.123</c:v>
                      </c:pt>
                      <c:pt idx="2482">
                        <c:v>112.123</c:v>
                      </c:pt>
                      <c:pt idx="2483">
                        <c:v>112.122</c:v>
                      </c:pt>
                      <c:pt idx="2484">
                        <c:v>112.121</c:v>
                      </c:pt>
                      <c:pt idx="2485">
                        <c:v>112.12</c:v>
                      </c:pt>
                      <c:pt idx="2486">
                        <c:v>112.119</c:v>
                      </c:pt>
                      <c:pt idx="2487">
                        <c:v>112.11799999999999</c:v>
                      </c:pt>
                      <c:pt idx="2488">
                        <c:v>112.117</c:v>
                      </c:pt>
                      <c:pt idx="2489">
                        <c:v>112.116</c:v>
                      </c:pt>
                      <c:pt idx="2490">
                        <c:v>112.116</c:v>
                      </c:pt>
                      <c:pt idx="2491">
                        <c:v>112.11499999999999</c:v>
                      </c:pt>
                      <c:pt idx="2492">
                        <c:v>112.114</c:v>
                      </c:pt>
                      <c:pt idx="2493">
                        <c:v>112.113</c:v>
                      </c:pt>
                      <c:pt idx="2494">
                        <c:v>112.11199999999999</c:v>
                      </c:pt>
                      <c:pt idx="2495">
                        <c:v>112.111</c:v>
                      </c:pt>
                      <c:pt idx="2496">
                        <c:v>112.11</c:v>
                      </c:pt>
                      <c:pt idx="2497">
                        <c:v>112.10899999999999</c:v>
                      </c:pt>
                      <c:pt idx="2498">
                        <c:v>112.108</c:v>
                      </c:pt>
                      <c:pt idx="2499">
                        <c:v>112.107</c:v>
                      </c:pt>
                      <c:pt idx="2500">
                        <c:v>112.10599999999999</c:v>
                      </c:pt>
                      <c:pt idx="2501">
                        <c:v>112.105</c:v>
                      </c:pt>
                      <c:pt idx="2502">
                        <c:v>112.104</c:v>
                      </c:pt>
                      <c:pt idx="2503">
                        <c:v>112.10299999999999</c:v>
                      </c:pt>
                      <c:pt idx="2504">
                        <c:v>112.10299999999999</c:v>
                      </c:pt>
                      <c:pt idx="2505">
                        <c:v>112.102</c:v>
                      </c:pt>
                      <c:pt idx="2506">
                        <c:v>112.101</c:v>
                      </c:pt>
                      <c:pt idx="2507">
                        <c:v>112.1</c:v>
                      </c:pt>
                      <c:pt idx="2508">
                        <c:v>112.099</c:v>
                      </c:pt>
                      <c:pt idx="2509">
                        <c:v>112.098</c:v>
                      </c:pt>
                      <c:pt idx="2510">
                        <c:v>112.09699999999999</c:v>
                      </c:pt>
                      <c:pt idx="2511">
                        <c:v>112.096</c:v>
                      </c:pt>
                      <c:pt idx="2512">
                        <c:v>112.095</c:v>
                      </c:pt>
                      <c:pt idx="2513">
                        <c:v>112.09399999999999</c:v>
                      </c:pt>
                      <c:pt idx="2514">
                        <c:v>112.093</c:v>
                      </c:pt>
                      <c:pt idx="2515">
                        <c:v>112.09099999999999</c:v>
                      </c:pt>
                      <c:pt idx="2516">
                        <c:v>112.09</c:v>
                      </c:pt>
                      <c:pt idx="2517">
                        <c:v>112.089</c:v>
                      </c:pt>
                      <c:pt idx="2518">
                        <c:v>112.08799999999999</c:v>
                      </c:pt>
                      <c:pt idx="2519">
                        <c:v>112.087</c:v>
                      </c:pt>
                      <c:pt idx="2520">
                        <c:v>112.086</c:v>
                      </c:pt>
                      <c:pt idx="2521">
                        <c:v>112.08499999999999</c:v>
                      </c:pt>
                      <c:pt idx="2522">
                        <c:v>112.084</c:v>
                      </c:pt>
                      <c:pt idx="2523">
                        <c:v>112.083</c:v>
                      </c:pt>
                      <c:pt idx="2524">
                        <c:v>112.08199999999999</c:v>
                      </c:pt>
                      <c:pt idx="2525">
                        <c:v>112.081</c:v>
                      </c:pt>
                      <c:pt idx="2526">
                        <c:v>112.08</c:v>
                      </c:pt>
                      <c:pt idx="2527">
                        <c:v>112.07899999999999</c:v>
                      </c:pt>
                      <c:pt idx="2528">
                        <c:v>112.078</c:v>
                      </c:pt>
                      <c:pt idx="2529">
                        <c:v>112.077</c:v>
                      </c:pt>
                      <c:pt idx="2530">
                        <c:v>112.07599999999999</c:v>
                      </c:pt>
                      <c:pt idx="2531">
                        <c:v>112.075</c:v>
                      </c:pt>
                      <c:pt idx="2532">
                        <c:v>112.074</c:v>
                      </c:pt>
                      <c:pt idx="2533">
                        <c:v>112.07299999999999</c:v>
                      </c:pt>
                      <c:pt idx="2534">
                        <c:v>112.072</c:v>
                      </c:pt>
                      <c:pt idx="2535">
                        <c:v>112.071</c:v>
                      </c:pt>
                      <c:pt idx="2536">
                        <c:v>112.07</c:v>
                      </c:pt>
                      <c:pt idx="2537">
                        <c:v>112.068</c:v>
                      </c:pt>
                      <c:pt idx="2538">
                        <c:v>112.06699999999999</c:v>
                      </c:pt>
                      <c:pt idx="2539">
                        <c:v>112.066</c:v>
                      </c:pt>
                      <c:pt idx="2540">
                        <c:v>112.065</c:v>
                      </c:pt>
                      <c:pt idx="2541">
                        <c:v>112.06399999999999</c:v>
                      </c:pt>
                      <c:pt idx="2542">
                        <c:v>112.063</c:v>
                      </c:pt>
                      <c:pt idx="2543">
                        <c:v>112.062</c:v>
                      </c:pt>
                      <c:pt idx="2544">
                        <c:v>112.06100000000001</c:v>
                      </c:pt>
                      <c:pt idx="2545">
                        <c:v>112.06</c:v>
                      </c:pt>
                      <c:pt idx="2546">
                        <c:v>112.059</c:v>
                      </c:pt>
                      <c:pt idx="2547">
                        <c:v>112.05800000000001</c:v>
                      </c:pt>
                      <c:pt idx="2548">
                        <c:v>112.057</c:v>
                      </c:pt>
                      <c:pt idx="2549">
                        <c:v>112.056</c:v>
                      </c:pt>
                      <c:pt idx="2550">
                        <c:v>112.05500000000001</c:v>
                      </c:pt>
                      <c:pt idx="2551">
                        <c:v>112.054</c:v>
                      </c:pt>
                      <c:pt idx="2552">
                        <c:v>112.053</c:v>
                      </c:pt>
                      <c:pt idx="2553">
                        <c:v>112.05200000000001</c:v>
                      </c:pt>
                      <c:pt idx="2554">
                        <c:v>112.051</c:v>
                      </c:pt>
                      <c:pt idx="2555">
                        <c:v>112.05</c:v>
                      </c:pt>
                      <c:pt idx="2556">
                        <c:v>112.04900000000001</c:v>
                      </c:pt>
                      <c:pt idx="2557">
                        <c:v>112.048</c:v>
                      </c:pt>
                      <c:pt idx="2558">
                        <c:v>112.047</c:v>
                      </c:pt>
                      <c:pt idx="2559">
                        <c:v>112.04600000000001</c:v>
                      </c:pt>
                      <c:pt idx="2560">
                        <c:v>112.045</c:v>
                      </c:pt>
                      <c:pt idx="2561">
                        <c:v>112.044</c:v>
                      </c:pt>
                      <c:pt idx="2562">
                        <c:v>112.04300000000001</c:v>
                      </c:pt>
                      <c:pt idx="2563">
                        <c:v>112.042</c:v>
                      </c:pt>
                      <c:pt idx="2564">
                        <c:v>112.041</c:v>
                      </c:pt>
                      <c:pt idx="2565">
                        <c:v>112.04</c:v>
                      </c:pt>
                      <c:pt idx="2566">
                        <c:v>112.039</c:v>
                      </c:pt>
                      <c:pt idx="2567">
                        <c:v>112.038</c:v>
                      </c:pt>
                      <c:pt idx="2568">
                        <c:v>112.03700000000001</c:v>
                      </c:pt>
                      <c:pt idx="2569">
                        <c:v>112.036</c:v>
                      </c:pt>
                      <c:pt idx="2570">
                        <c:v>112.035</c:v>
                      </c:pt>
                      <c:pt idx="2571">
                        <c:v>112.03400000000001</c:v>
                      </c:pt>
                      <c:pt idx="2572">
                        <c:v>112.03400000000001</c:v>
                      </c:pt>
                      <c:pt idx="2573">
                        <c:v>112.033</c:v>
                      </c:pt>
                      <c:pt idx="2574">
                        <c:v>112.032</c:v>
                      </c:pt>
                      <c:pt idx="2575">
                        <c:v>112.03100000000001</c:v>
                      </c:pt>
                      <c:pt idx="2576">
                        <c:v>112.03</c:v>
                      </c:pt>
                      <c:pt idx="2577">
                        <c:v>112.029</c:v>
                      </c:pt>
                      <c:pt idx="2578">
                        <c:v>112.02800000000001</c:v>
                      </c:pt>
                      <c:pt idx="2579">
                        <c:v>112.027</c:v>
                      </c:pt>
                      <c:pt idx="2580">
                        <c:v>112.026</c:v>
                      </c:pt>
                      <c:pt idx="2581">
                        <c:v>112.02500000000001</c:v>
                      </c:pt>
                      <c:pt idx="2582">
                        <c:v>112.024</c:v>
                      </c:pt>
                      <c:pt idx="2583">
                        <c:v>112.023</c:v>
                      </c:pt>
                      <c:pt idx="2584">
                        <c:v>112.023</c:v>
                      </c:pt>
                      <c:pt idx="2585">
                        <c:v>112.02200000000001</c:v>
                      </c:pt>
                      <c:pt idx="2586">
                        <c:v>112.021</c:v>
                      </c:pt>
                      <c:pt idx="2587">
                        <c:v>112.02</c:v>
                      </c:pt>
                      <c:pt idx="2588">
                        <c:v>112.01900000000001</c:v>
                      </c:pt>
                      <c:pt idx="2589">
                        <c:v>112.018</c:v>
                      </c:pt>
                      <c:pt idx="2590">
                        <c:v>112.017</c:v>
                      </c:pt>
                      <c:pt idx="2591">
                        <c:v>112.01600000000001</c:v>
                      </c:pt>
                      <c:pt idx="2592">
                        <c:v>112.01600000000001</c:v>
                      </c:pt>
                      <c:pt idx="2593">
                        <c:v>112.015</c:v>
                      </c:pt>
                      <c:pt idx="2594">
                        <c:v>112.014</c:v>
                      </c:pt>
                      <c:pt idx="2595">
                        <c:v>112.01300000000001</c:v>
                      </c:pt>
                      <c:pt idx="2596">
                        <c:v>112.012</c:v>
                      </c:pt>
                      <c:pt idx="2597">
                        <c:v>112.011</c:v>
                      </c:pt>
                      <c:pt idx="2598">
                        <c:v>112.01</c:v>
                      </c:pt>
                      <c:pt idx="2599">
                        <c:v>112.01</c:v>
                      </c:pt>
                      <c:pt idx="2600">
                        <c:v>112.009</c:v>
                      </c:pt>
                      <c:pt idx="2601">
                        <c:v>112.008</c:v>
                      </c:pt>
                      <c:pt idx="2602">
                        <c:v>112.00700000000001</c:v>
                      </c:pt>
                      <c:pt idx="2603">
                        <c:v>112.006</c:v>
                      </c:pt>
                      <c:pt idx="2604">
                        <c:v>112.006</c:v>
                      </c:pt>
                      <c:pt idx="2605">
                        <c:v>112.005</c:v>
                      </c:pt>
                      <c:pt idx="2606">
                        <c:v>112.004</c:v>
                      </c:pt>
                      <c:pt idx="2607">
                        <c:v>112.003</c:v>
                      </c:pt>
                      <c:pt idx="2608">
                        <c:v>112.002</c:v>
                      </c:pt>
                      <c:pt idx="2609">
                        <c:v>112.002</c:v>
                      </c:pt>
                      <c:pt idx="2610">
                        <c:v>112.001</c:v>
                      </c:pt>
                      <c:pt idx="2611">
                        <c:v>112</c:v>
                      </c:pt>
                      <c:pt idx="2612">
                        <c:v>111.999</c:v>
                      </c:pt>
                      <c:pt idx="2613">
                        <c:v>111.998</c:v>
                      </c:pt>
                      <c:pt idx="2614">
                        <c:v>111.998</c:v>
                      </c:pt>
                      <c:pt idx="2615">
                        <c:v>111.997</c:v>
                      </c:pt>
                      <c:pt idx="2616">
                        <c:v>111.996</c:v>
                      </c:pt>
                      <c:pt idx="2617">
                        <c:v>111.995</c:v>
                      </c:pt>
                      <c:pt idx="2618">
                        <c:v>111.994</c:v>
                      </c:pt>
                      <c:pt idx="2619">
                        <c:v>111.99299999999999</c:v>
                      </c:pt>
                      <c:pt idx="2620">
                        <c:v>111.99299999999999</c:v>
                      </c:pt>
                      <c:pt idx="2621">
                        <c:v>111.992</c:v>
                      </c:pt>
                      <c:pt idx="2622">
                        <c:v>111.991</c:v>
                      </c:pt>
                      <c:pt idx="2623">
                        <c:v>111.99</c:v>
                      </c:pt>
                      <c:pt idx="2624">
                        <c:v>111.989</c:v>
                      </c:pt>
                      <c:pt idx="2625">
                        <c:v>111.989</c:v>
                      </c:pt>
                      <c:pt idx="2626">
                        <c:v>111.988</c:v>
                      </c:pt>
                      <c:pt idx="2627">
                        <c:v>111.98699999999999</c:v>
                      </c:pt>
                      <c:pt idx="2628">
                        <c:v>111.986</c:v>
                      </c:pt>
                      <c:pt idx="2629">
                        <c:v>111.985</c:v>
                      </c:pt>
                      <c:pt idx="2630">
                        <c:v>111.985</c:v>
                      </c:pt>
                      <c:pt idx="2631">
                        <c:v>111.98399999999999</c:v>
                      </c:pt>
                      <c:pt idx="2632">
                        <c:v>111.983</c:v>
                      </c:pt>
                      <c:pt idx="2633">
                        <c:v>111.982</c:v>
                      </c:pt>
                      <c:pt idx="2634">
                        <c:v>111.98099999999999</c:v>
                      </c:pt>
                      <c:pt idx="2635">
                        <c:v>111.98</c:v>
                      </c:pt>
                      <c:pt idx="2636">
                        <c:v>111.98</c:v>
                      </c:pt>
                      <c:pt idx="2637">
                        <c:v>111.979</c:v>
                      </c:pt>
                      <c:pt idx="2638">
                        <c:v>111.97799999999999</c:v>
                      </c:pt>
                      <c:pt idx="2639">
                        <c:v>111.977</c:v>
                      </c:pt>
                      <c:pt idx="2640">
                        <c:v>111.976</c:v>
                      </c:pt>
                      <c:pt idx="2641">
                        <c:v>111.976</c:v>
                      </c:pt>
                      <c:pt idx="2642">
                        <c:v>111.97499999999999</c:v>
                      </c:pt>
                      <c:pt idx="2643">
                        <c:v>111.974</c:v>
                      </c:pt>
                      <c:pt idx="2644">
                        <c:v>111.973</c:v>
                      </c:pt>
                      <c:pt idx="2645">
                        <c:v>111.97199999999999</c:v>
                      </c:pt>
                      <c:pt idx="2646">
                        <c:v>111.97199999999999</c:v>
                      </c:pt>
                      <c:pt idx="2647">
                        <c:v>111.971</c:v>
                      </c:pt>
                      <c:pt idx="2648">
                        <c:v>111.97</c:v>
                      </c:pt>
                      <c:pt idx="2649">
                        <c:v>111.96899999999999</c:v>
                      </c:pt>
                      <c:pt idx="2650">
                        <c:v>111.968</c:v>
                      </c:pt>
                      <c:pt idx="2651">
                        <c:v>111.967</c:v>
                      </c:pt>
                      <c:pt idx="2652">
                        <c:v>111.967</c:v>
                      </c:pt>
                      <c:pt idx="2653">
                        <c:v>111.96599999999999</c:v>
                      </c:pt>
                      <c:pt idx="2654">
                        <c:v>111.965</c:v>
                      </c:pt>
                      <c:pt idx="2655">
                        <c:v>111.964</c:v>
                      </c:pt>
                      <c:pt idx="2656">
                        <c:v>111.96299999999999</c:v>
                      </c:pt>
                      <c:pt idx="2657">
                        <c:v>111.962</c:v>
                      </c:pt>
                      <c:pt idx="2658">
                        <c:v>111.962</c:v>
                      </c:pt>
                      <c:pt idx="2659">
                        <c:v>111.961</c:v>
                      </c:pt>
                      <c:pt idx="2660">
                        <c:v>111.96</c:v>
                      </c:pt>
                      <c:pt idx="2661">
                        <c:v>111.959</c:v>
                      </c:pt>
                      <c:pt idx="2662">
                        <c:v>111.958</c:v>
                      </c:pt>
                      <c:pt idx="2663">
                        <c:v>111.958</c:v>
                      </c:pt>
                      <c:pt idx="2664">
                        <c:v>111.95699999999999</c:v>
                      </c:pt>
                      <c:pt idx="2665">
                        <c:v>111.956</c:v>
                      </c:pt>
                      <c:pt idx="2666">
                        <c:v>111.955</c:v>
                      </c:pt>
                      <c:pt idx="2667">
                        <c:v>111.95399999999999</c:v>
                      </c:pt>
                      <c:pt idx="2668">
                        <c:v>111.953</c:v>
                      </c:pt>
                      <c:pt idx="2669">
                        <c:v>111.953</c:v>
                      </c:pt>
                      <c:pt idx="2670">
                        <c:v>111.952</c:v>
                      </c:pt>
                      <c:pt idx="2671">
                        <c:v>111.95099999999999</c:v>
                      </c:pt>
                      <c:pt idx="2672">
                        <c:v>111.95</c:v>
                      </c:pt>
                      <c:pt idx="2673">
                        <c:v>111.949</c:v>
                      </c:pt>
                      <c:pt idx="2674">
                        <c:v>111.949</c:v>
                      </c:pt>
                      <c:pt idx="2675">
                        <c:v>111.94799999999999</c:v>
                      </c:pt>
                      <c:pt idx="2676">
                        <c:v>111.947</c:v>
                      </c:pt>
                      <c:pt idx="2677">
                        <c:v>111.946</c:v>
                      </c:pt>
                      <c:pt idx="2678">
                        <c:v>111.94499999999999</c:v>
                      </c:pt>
                      <c:pt idx="2679">
                        <c:v>111.944</c:v>
                      </c:pt>
                      <c:pt idx="2680">
                        <c:v>111.944</c:v>
                      </c:pt>
                      <c:pt idx="2681">
                        <c:v>111.943</c:v>
                      </c:pt>
                      <c:pt idx="2682">
                        <c:v>111.94199999999999</c:v>
                      </c:pt>
                      <c:pt idx="2683">
                        <c:v>111.941</c:v>
                      </c:pt>
                      <c:pt idx="2684">
                        <c:v>111.94</c:v>
                      </c:pt>
                      <c:pt idx="2685">
                        <c:v>111.93899999999999</c:v>
                      </c:pt>
                      <c:pt idx="2686">
                        <c:v>111.93899999999999</c:v>
                      </c:pt>
                      <c:pt idx="2687">
                        <c:v>111.938</c:v>
                      </c:pt>
                      <c:pt idx="2688">
                        <c:v>111.937</c:v>
                      </c:pt>
                      <c:pt idx="2689">
                        <c:v>111.93600000000001</c:v>
                      </c:pt>
                      <c:pt idx="2690">
                        <c:v>111.935</c:v>
                      </c:pt>
                      <c:pt idx="2691">
                        <c:v>111.935</c:v>
                      </c:pt>
                      <c:pt idx="2692">
                        <c:v>111.934</c:v>
                      </c:pt>
                      <c:pt idx="2693">
                        <c:v>111.93300000000001</c:v>
                      </c:pt>
                      <c:pt idx="2694">
                        <c:v>111.932</c:v>
                      </c:pt>
                      <c:pt idx="2695">
                        <c:v>111.931</c:v>
                      </c:pt>
                      <c:pt idx="2696">
                        <c:v>111.93</c:v>
                      </c:pt>
                      <c:pt idx="2697">
                        <c:v>111.93</c:v>
                      </c:pt>
                      <c:pt idx="2698">
                        <c:v>111.929</c:v>
                      </c:pt>
                      <c:pt idx="2699">
                        <c:v>111.928</c:v>
                      </c:pt>
                      <c:pt idx="2700">
                        <c:v>111.92700000000001</c:v>
                      </c:pt>
                      <c:pt idx="2701">
                        <c:v>111.926</c:v>
                      </c:pt>
                      <c:pt idx="2702">
                        <c:v>111.926</c:v>
                      </c:pt>
                      <c:pt idx="2703">
                        <c:v>111.925</c:v>
                      </c:pt>
                      <c:pt idx="2704">
                        <c:v>111.92400000000001</c:v>
                      </c:pt>
                      <c:pt idx="2705">
                        <c:v>111.923</c:v>
                      </c:pt>
                      <c:pt idx="2706">
                        <c:v>111.922</c:v>
                      </c:pt>
                      <c:pt idx="2707">
                        <c:v>111.922</c:v>
                      </c:pt>
                      <c:pt idx="2708">
                        <c:v>111.92100000000001</c:v>
                      </c:pt>
                      <c:pt idx="2709">
                        <c:v>111.92</c:v>
                      </c:pt>
                      <c:pt idx="2710">
                        <c:v>111.919</c:v>
                      </c:pt>
                      <c:pt idx="2711">
                        <c:v>111.91800000000001</c:v>
                      </c:pt>
                      <c:pt idx="2712">
                        <c:v>111.91800000000001</c:v>
                      </c:pt>
                      <c:pt idx="2713">
                        <c:v>111.917</c:v>
                      </c:pt>
                      <c:pt idx="2714">
                        <c:v>111.916</c:v>
                      </c:pt>
                      <c:pt idx="2715">
                        <c:v>111.91500000000001</c:v>
                      </c:pt>
                      <c:pt idx="2716">
                        <c:v>111.914</c:v>
                      </c:pt>
                      <c:pt idx="2717">
                        <c:v>111.914</c:v>
                      </c:pt>
                      <c:pt idx="2718">
                        <c:v>111.913</c:v>
                      </c:pt>
                      <c:pt idx="2719">
                        <c:v>111.91200000000001</c:v>
                      </c:pt>
                      <c:pt idx="2720">
                        <c:v>111.911</c:v>
                      </c:pt>
                      <c:pt idx="2721">
                        <c:v>111.91</c:v>
                      </c:pt>
                      <c:pt idx="2722">
                        <c:v>111.91</c:v>
                      </c:pt>
                      <c:pt idx="2723">
                        <c:v>111.90900000000001</c:v>
                      </c:pt>
                      <c:pt idx="2724">
                        <c:v>111.908</c:v>
                      </c:pt>
                      <c:pt idx="2725">
                        <c:v>111.907</c:v>
                      </c:pt>
                      <c:pt idx="2726">
                        <c:v>111.907</c:v>
                      </c:pt>
                      <c:pt idx="2727">
                        <c:v>111.90600000000001</c:v>
                      </c:pt>
                      <c:pt idx="2728">
                        <c:v>111.905</c:v>
                      </c:pt>
                      <c:pt idx="2729">
                        <c:v>111.904</c:v>
                      </c:pt>
                      <c:pt idx="2730">
                        <c:v>111.90300000000001</c:v>
                      </c:pt>
                      <c:pt idx="2731">
                        <c:v>111.90300000000001</c:v>
                      </c:pt>
                      <c:pt idx="2732">
                        <c:v>111.902</c:v>
                      </c:pt>
                      <c:pt idx="2733">
                        <c:v>111.901</c:v>
                      </c:pt>
                      <c:pt idx="2734">
                        <c:v>111.9</c:v>
                      </c:pt>
                      <c:pt idx="2735">
                        <c:v>111.899</c:v>
                      </c:pt>
                      <c:pt idx="2736">
                        <c:v>111.899</c:v>
                      </c:pt>
                      <c:pt idx="2737">
                        <c:v>111.898</c:v>
                      </c:pt>
                      <c:pt idx="2738">
                        <c:v>111.89700000000001</c:v>
                      </c:pt>
                      <c:pt idx="2739">
                        <c:v>111.896</c:v>
                      </c:pt>
                      <c:pt idx="2740">
                        <c:v>111.895</c:v>
                      </c:pt>
                      <c:pt idx="2741">
                        <c:v>111.89400000000001</c:v>
                      </c:pt>
                      <c:pt idx="2742">
                        <c:v>111.89400000000001</c:v>
                      </c:pt>
                      <c:pt idx="2743">
                        <c:v>111.893</c:v>
                      </c:pt>
                      <c:pt idx="2744">
                        <c:v>111.892</c:v>
                      </c:pt>
                      <c:pt idx="2745">
                        <c:v>111.89100000000001</c:v>
                      </c:pt>
                      <c:pt idx="2746">
                        <c:v>111.89</c:v>
                      </c:pt>
                      <c:pt idx="2747">
                        <c:v>111.889</c:v>
                      </c:pt>
                      <c:pt idx="2748">
                        <c:v>111.889</c:v>
                      </c:pt>
                      <c:pt idx="2749">
                        <c:v>111.88800000000001</c:v>
                      </c:pt>
                      <c:pt idx="2750">
                        <c:v>111.887</c:v>
                      </c:pt>
                      <c:pt idx="2751">
                        <c:v>111.886</c:v>
                      </c:pt>
                      <c:pt idx="2752">
                        <c:v>111.88500000000001</c:v>
                      </c:pt>
                      <c:pt idx="2753">
                        <c:v>111.884</c:v>
                      </c:pt>
                      <c:pt idx="2754">
                        <c:v>111.883</c:v>
                      </c:pt>
                      <c:pt idx="2755">
                        <c:v>111.883</c:v>
                      </c:pt>
                      <c:pt idx="2756">
                        <c:v>111.88200000000001</c:v>
                      </c:pt>
                      <c:pt idx="2757">
                        <c:v>111.881</c:v>
                      </c:pt>
                      <c:pt idx="2758">
                        <c:v>111.88</c:v>
                      </c:pt>
                      <c:pt idx="2759">
                        <c:v>111.879</c:v>
                      </c:pt>
                      <c:pt idx="2760">
                        <c:v>111.878</c:v>
                      </c:pt>
                      <c:pt idx="2761">
                        <c:v>111.877</c:v>
                      </c:pt>
                      <c:pt idx="2762">
                        <c:v>111.876</c:v>
                      </c:pt>
                      <c:pt idx="2763">
                        <c:v>111.875</c:v>
                      </c:pt>
                      <c:pt idx="2764">
                        <c:v>111.875</c:v>
                      </c:pt>
                      <c:pt idx="2765">
                        <c:v>111.874</c:v>
                      </c:pt>
                      <c:pt idx="2766">
                        <c:v>111.873</c:v>
                      </c:pt>
                      <c:pt idx="2767">
                        <c:v>111.872</c:v>
                      </c:pt>
                      <c:pt idx="2768">
                        <c:v>111.871</c:v>
                      </c:pt>
                      <c:pt idx="2769">
                        <c:v>111.87</c:v>
                      </c:pt>
                      <c:pt idx="2770">
                        <c:v>111.869</c:v>
                      </c:pt>
                      <c:pt idx="2771">
                        <c:v>111.86799999999999</c:v>
                      </c:pt>
                      <c:pt idx="2772">
                        <c:v>111.867</c:v>
                      </c:pt>
                      <c:pt idx="2773">
                        <c:v>111.866</c:v>
                      </c:pt>
                      <c:pt idx="2774">
                        <c:v>111.86499999999999</c:v>
                      </c:pt>
                      <c:pt idx="2775">
                        <c:v>111.86499999999999</c:v>
                      </c:pt>
                      <c:pt idx="2776">
                        <c:v>111.864</c:v>
                      </c:pt>
                      <c:pt idx="2777">
                        <c:v>111.863</c:v>
                      </c:pt>
                      <c:pt idx="2778">
                        <c:v>111.86199999999999</c:v>
                      </c:pt>
                      <c:pt idx="2779">
                        <c:v>111.861</c:v>
                      </c:pt>
                      <c:pt idx="2780">
                        <c:v>111.86</c:v>
                      </c:pt>
                      <c:pt idx="2781">
                        <c:v>111.85899999999999</c:v>
                      </c:pt>
                      <c:pt idx="2782">
                        <c:v>111.858</c:v>
                      </c:pt>
                      <c:pt idx="2783">
                        <c:v>111.857</c:v>
                      </c:pt>
                      <c:pt idx="2784">
                        <c:v>111.85599999999999</c:v>
                      </c:pt>
                      <c:pt idx="2785">
                        <c:v>111.855</c:v>
                      </c:pt>
                      <c:pt idx="2786">
                        <c:v>111.854</c:v>
                      </c:pt>
                      <c:pt idx="2787">
                        <c:v>111.85299999999999</c:v>
                      </c:pt>
                      <c:pt idx="2788">
                        <c:v>111.852</c:v>
                      </c:pt>
                      <c:pt idx="2789">
                        <c:v>111.851</c:v>
                      </c:pt>
                      <c:pt idx="2790">
                        <c:v>111.85</c:v>
                      </c:pt>
                      <c:pt idx="2791">
                        <c:v>111.849</c:v>
                      </c:pt>
                      <c:pt idx="2792">
                        <c:v>111.848</c:v>
                      </c:pt>
                      <c:pt idx="2793">
                        <c:v>111.84699999999999</c:v>
                      </c:pt>
                      <c:pt idx="2794">
                        <c:v>111.846</c:v>
                      </c:pt>
                      <c:pt idx="2795">
                        <c:v>111.845</c:v>
                      </c:pt>
                      <c:pt idx="2796">
                        <c:v>111.84399999999999</c:v>
                      </c:pt>
                      <c:pt idx="2797">
                        <c:v>111.843</c:v>
                      </c:pt>
                      <c:pt idx="2798">
                        <c:v>111.842</c:v>
                      </c:pt>
                      <c:pt idx="2799">
                        <c:v>111.84099999999999</c:v>
                      </c:pt>
                      <c:pt idx="2800">
                        <c:v>111.84</c:v>
                      </c:pt>
                      <c:pt idx="2801">
                        <c:v>111.839</c:v>
                      </c:pt>
                      <c:pt idx="2802">
                        <c:v>111.83799999999999</c:v>
                      </c:pt>
                      <c:pt idx="2803">
                        <c:v>111.837</c:v>
                      </c:pt>
                      <c:pt idx="2804">
                        <c:v>111.836</c:v>
                      </c:pt>
                      <c:pt idx="2805">
                        <c:v>111.83499999999999</c:v>
                      </c:pt>
                      <c:pt idx="2806">
                        <c:v>111.834</c:v>
                      </c:pt>
                      <c:pt idx="2807">
                        <c:v>111.833</c:v>
                      </c:pt>
                      <c:pt idx="2808">
                        <c:v>111.83199999999999</c:v>
                      </c:pt>
                      <c:pt idx="2809">
                        <c:v>111.831</c:v>
                      </c:pt>
                      <c:pt idx="2810">
                        <c:v>111.83</c:v>
                      </c:pt>
                      <c:pt idx="2811">
                        <c:v>111.82899999999999</c:v>
                      </c:pt>
                      <c:pt idx="2812">
                        <c:v>111.828</c:v>
                      </c:pt>
                      <c:pt idx="2813">
                        <c:v>111.827</c:v>
                      </c:pt>
                      <c:pt idx="2814">
                        <c:v>111.825</c:v>
                      </c:pt>
                      <c:pt idx="2815">
                        <c:v>111.824</c:v>
                      </c:pt>
                      <c:pt idx="2816">
                        <c:v>111.82299999999999</c:v>
                      </c:pt>
                      <c:pt idx="2817">
                        <c:v>111.822</c:v>
                      </c:pt>
                      <c:pt idx="2818">
                        <c:v>111.821</c:v>
                      </c:pt>
                      <c:pt idx="2819">
                        <c:v>111.82</c:v>
                      </c:pt>
                      <c:pt idx="2820">
                        <c:v>111.819</c:v>
                      </c:pt>
                      <c:pt idx="2821">
                        <c:v>111.818</c:v>
                      </c:pt>
                      <c:pt idx="2822">
                        <c:v>111.81699999999999</c:v>
                      </c:pt>
                      <c:pt idx="2823">
                        <c:v>111.815</c:v>
                      </c:pt>
                      <c:pt idx="2824">
                        <c:v>111.81399999999999</c:v>
                      </c:pt>
                      <c:pt idx="2825">
                        <c:v>111.813</c:v>
                      </c:pt>
                      <c:pt idx="2826">
                        <c:v>111.812</c:v>
                      </c:pt>
                      <c:pt idx="2827">
                        <c:v>111.81100000000001</c:v>
                      </c:pt>
                      <c:pt idx="2828">
                        <c:v>111.81</c:v>
                      </c:pt>
                      <c:pt idx="2829">
                        <c:v>111.809</c:v>
                      </c:pt>
                      <c:pt idx="2830">
                        <c:v>111.80800000000001</c:v>
                      </c:pt>
                      <c:pt idx="2831">
                        <c:v>111.807</c:v>
                      </c:pt>
                      <c:pt idx="2832">
                        <c:v>111.806</c:v>
                      </c:pt>
                      <c:pt idx="2833">
                        <c:v>111.804</c:v>
                      </c:pt>
                      <c:pt idx="2834">
                        <c:v>111.803</c:v>
                      </c:pt>
                      <c:pt idx="2835">
                        <c:v>111.80200000000001</c:v>
                      </c:pt>
                      <c:pt idx="2836">
                        <c:v>111.801</c:v>
                      </c:pt>
                      <c:pt idx="2837">
                        <c:v>111.8</c:v>
                      </c:pt>
                      <c:pt idx="2838">
                        <c:v>111.79900000000001</c:v>
                      </c:pt>
                      <c:pt idx="2839">
                        <c:v>111.798</c:v>
                      </c:pt>
                      <c:pt idx="2840">
                        <c:v>111.797</c:v>
                      </c:pt>
                      <c:pt idx="2841">
                        <c:v>111.79600000000001</c:v>
                      </c:pt>
                      <c:pt idx="2842">
                        <c:v>111.795</c:v>
                      </c:pt>
                      <c:pt idx="2843">
                        <c:v>111.794</c:v>
                      </c:pt>
                      <c:pt idx="2844">
                        <c:v>111.79300000000001</c:v>
                      </c:pt>
                      <c:pt idx="2845">
                        <c:v>111.791</c:v>
                      </c:pt>
                      <c:pt idx="2846">
                        <c:v>111.79</c:v>
                      </c:pt>
                      <c:pt idx="2847">
                        <c:v>111.789</c:v>
                      </c:pt>
                      <c:pt idx="2848">
                        <c:v>111.788</c:v>
                      </c:pt>
                      <c:pt idx="2849">
                        <c:v>111.78700000000001</c:v>
                      </c:pt>
                      <c:pt idx="2850">
                        <c:v>111.786</c:v>
                      </c:pt>
                      <c:pt idx="2851">
                        <c:v>111.785</c:v>
                      </c:pt>
                      <c:pt idx="2852">
                        <c:v>111.78400000000001</c:v>
                      </c:pt>
                      <c:pt idx="2853">
                        <c:v>111.783</c:v>
                      </c:pt>
                      <c:pt idx="2854">
                        <c:v>111.782</c:v>
                      </c:pt>
                      <c:pt idx="2855">
                        <c:v>111.78100000000001</c:v>
                      </c:pt>
                      <c:pt idx="2856">
                        <c:v>111.78</c:v>
                      </c:pt>
                      <c:pt idx="2857">
                        <c:v>111.779</c:v>
                      </c:pt>
                      <c:pt idx="2858">
                        <c:v>111.77800000000001</c:v>
                      </c:pt>
                      <c:pt idx="2859">
                        <c:v>111.777</c:v>
                      </c:pt>
                      <c:pt idx="2860">
                        <c:v>111.776</c:v>
                      </c:pt>
                      <c:pt idx="2861">
                        <c:v>111.77500000000001</c:v>
                      </c:pt>
                      <c:pt idx="2862">
                        <c:v>111.774</c:v>
                      </c:pt>
                      <c:pt idx="2863">
                        <c:v>111.773</c:v>
                      </c:pt>
                      <c:pt idx="2864">
                        <c:v>111.77200000000001</c:v>
                      </c:pt>
                      <c:pt idx="2865">
                        <c:v>111.771</c:v>
                      </c:pt>
                      <c:pt idx="2866">
                        <c:v>111.77</c:v>
                      </c:pt>
                      <c:pt idx="2867">
                        <c:v>111.76900000000001</c:v>
                      </c:pt>
                      <c:pt idx="2868">
                        <c:v>111.767</c:v>
                      </c:pt>
                      <c:pt idx="2869">
                        <c:v>111.76600000000001</c:v>
                      </c:pt>
                      <c:pt idx="2870">
                        <c:v>111.765</c:v>
                      </c:pt>
                      <c:pt idx="2871">
                        <c:v>111.764</c:v>
                      </c:pt>
                      <c:pt idx="2872">
                        <c:v>111.76300000000001</c:v>
                      </c:pt>
                      <c:pt idx="2873">
                        <c:v>111.762</c:v>
                      </c:pt>
                      <c:pt idx="2874">
                        <c:v>111.761</c:v>
                      </c:pt>
                      <c:pt idx="2875">
                        <c:v>111.76</c:v>
                      </c:pt>
                      <c:pt idx="2876">
                        <c:v>111.759</c:v>
                      </c:pt>
                      <c:pt idx="2877">
                        <c:v>111.758</c:v>
                      </c:pt>
                      <c:pt idx="2878">
                        <c:v>111.75700000000001</c:v>
                      </c:pt>
                      <c:pt idx="2879">
                        <c:v>111.756</c:v>
                      </c:pt>
                      <c:pt idx="2880">
                        <c:v>111.755</c:v>
                      </c:pt>
                      <c:pt idx="2881">
                        <c:v>111.754</c:v>
                      </c:pt>
                      <c:pt idx="2882">
                        <c:v>111.753</c:v>
                      </c:pt>
                      <c:pt idx="2883">
                        <c:v>111.752</c:v>
                      </c:pt>
                      <c:pt idx="2884">
                        <c:v>111.751</c:v>
                      </c:pt>
                      <c:pt idx="2885">
                        <c:v>111.75</c:v>
                      </c:pt>
                      <c:pt idx="2886">
                        <c:v>111.749</c:v>
                      </c:pt>
                      <c:pt idx="2887">
                        <c:v>111.748</c:v>
                      </c:pt>
                      <c:pt idx="2888">
                        <c:v>111.747</c:v>
                      </c:pt>
                      <c:pt idx="2889">
                        <c:v>111.746</c:v>
                      </c:pt>
                      <c:pt idx="2890">
                        <c:v>111.745</c:v>
                      </c:pt>
                      <c:pt idx="2891">
                        <c:v>111.744</c:v>
                      </c:pt>
                      <c:pt idx="2892">
                        <c:v>111.74299999999999</c:v>
                      </c:pt>
                      <c:pt idx="2893">
                        <c:v>111.742</c:v>
                      </c:pt>
                      <c:pt idx="2894">
                        <c:v>111.741</c:v>
                      </c:pt>
                      <c:pt idx="2895">
                        <c:v>111.74</c:v>
                      </c:pt>
                      <c:pt idx="2896">
                        <c:v>111.739</c:v>
                      </c:pt>
                      <c:pt idx="2897">
                        <c:v>111.738</c:v>
                      </c:pt>
                      <c:pt idx="2898">
                        <c:v>111.73699999999999</c:v>
                      </c:pt>
                      <c:pt idx="2899">
                        <c:v>111.736</c:v>
                      </c:pt>
                      <c:pt idx="2900">
                        <c:v>111.735</c:v>
                      </c:pt>
                      <c:pt idx="2901">
                        <c:v>111.73399999999999</c:v>
                      </c:pt>
                      <c:pt idx="2902">
                        <c:v>111.733</c:v>
                      </c:pt>
                      <c:pt idx="2903">
                        <c:v>111.732</c:v>
                      </c:pt>
                      <c:pt idx="2904">
                        <c:v>111.73099999999999</c:v>
                      </c:pt>
                      <c:pt idx="2905">
                        <c:v>111.73</c:v>
                      </c:pt>
                      <c:pt idx="2906">
                        <c:v>111.729</c:v>
                      </c:pt>
                      <c:pt idx="2907">
                        <c:v>111.72799999999999</c:v>
                      </c:pt>
                      <c:pt idx="2908">
                        <c:v>111.727</c:v>
                      </c:pt>
                      <c:pt idx="2909">
                        <c:v>111.726</c:v>
                      </c:pt>
                      <c:pt idx="2910">
                        <c:v>111.72499999999999</c:v>
                      </c:pt>
                      <c:pt idx="2911">
                        <c:v>111.724</c:v>
                      </c:pt>
                      <c:pt idx="2912">
                        <c:v>111.723</c:v>
                      </c:pt>
                      <c:pt idx="2913">
                        <c:v>111.72199999999999</c:v>
                      </c:pt>
                      <c:pt idx="2914">
                        <c:v>111.721</c:v>
                      </c:pt>
                      <c:pt idx="2915">
                        <c:v>111.72</c:v>
                      </c:pt>
                      <c:pt idx="2916">
                        <c:v>111.71899999999999</c:v>
                      </c:pt>
                      <c:pt idx="2917">
                        <c:v>111.718</c:v>
                      </c:pt>
                      <c:pt idx="2918">
                        <c:v>111.717</c:v>
                      </c:pt>
                      <c:pt idx="2919">
                        <c:v>111.71599999999999</c:v>
                      </c:pt>
                      <c:pt idx="2920">
                        <c:v>111.715</c:v>
                      </c:pt>
                      <c:pt idx="2921">
                        <c:v>111.714</c:v>
                      </c:pt>
                      <c:pt idx="2922">
                        <c:v>111.71299999999999</c:v>
                      </c:pt>
                      <c:pt idx="2923">
                        <c:v>111.712</c:v>
                      </c:pt>
                      <c:pt idx="2924">
                        <c:v>111.711</c:v>
                      </c:pt>
                      <c:pt idx="2925">
                        <c:v>111.71</c:v>
                      </c:pt>
                      <c:pt idx="2926">
                        <c:v>111.709</c:v>
                      </c:pt>
                      <c:pt idx="2927">
                        <c:v>111.708</c:v>
                      </c:pt>
                      <c:pt idx="2928">
                        <c:v>111.70699999999999</c:v>
                      </c:pt>
                      <c:pt idx="2929">
                        <c:v>111.706</c:v>
                      </c:pt>
                      <c:pt idx="2930">
                        <c:v>111.705</c:v>
                      </c:pt>
                      <c:pt idx="2931">
                        <c:v>111.70399999999999</c:v>
                      </c:pt>
                      <c:pt idx="2932">
                        <c:v>111.703</c:v>
                      </c:pt>
                      <c:pt idx="2933">
                        <c:v>111.702</c:v>
                      </c:pt>
                      <c:pt idx="2934">
                        <c:v>111.70099999999999</c:v>
                      </c:pt>
                      <c:pt idx="2935">
                        <c:v>111.7</c:v>
                      </c:pt>
                      <c:pt idx="2936">
                        <c:v>111.699</c:v>
                      </c:pt>
                      <c:pt idx="2937">
                        <c:v>111.69799999999999</c:v>
                      </c:pt>
                      <c:pt idx="2938">
                        <c:v>111.697</c:v>
                      </c:pt>
                      <c:pt idx="2939">
                        <c:v>111.696</c:v>
                      </c:pt>
                      <c:pt idx="2940">
                        <c:v>111.69499999999999</c:v>
                      </c:pt>
                      <c:pt idx="2941">
                        <c:v>111.693</c:v>
                      </c:pt>
                      <c:pt idx="2942">
                        <c:v>111.69199999999999</c:v>
                      </c:pt>
                      <c:pt idx="2943">
                        <c:v>111.691</c:v>
                      </c:pt>
                      <c:pt idx="2944">
                        <c:v>111.69</c:v>
                      </c:pt>
                      <c:pt idx="2945">
                        <c:v>111.68899999999999</c:v>
                      </c:pt>
                      <c:pt idx="2946">
                        <c:v>111.688</c:v>
                      </c:pt>
                      <c:pt idx="2947">
                        <c:v>111.687</c:v>
                      </c:pt>
                      <c:pt idx="2948">
                        <c:v>111.68600000000001</c:v>
                      </c:pt>
                      <c:pt idx="2949">
                        <c:v>111.685</c:v>
                      </c:pt>
                      <c:pt idx="2950">
                        <c:v>111.684</c:v>
                      </c:pt>
                      <c:pt idx="2951">
                        <c:v>111.682</c:v>
                      </c:pt>
                      <c:pt idx="2952">
                        <c:v>111.681</c:v>
                      </c:pt>
                      <c:pt idx="2953">
                        <c:v>111.68</c:v>
                      </c:pt>
                      <c:pt idx="2954">
                        <c:v>111.679</c:v>
                      </c:pt>
                      <c:pt idx="2955">
                        <c:v>111.678</c:v>
                      </c:pt>
                      <c:pt idx="2956">
                        <c:v>111.67700000000001</c:v>
                      </c:pt>
                      <c:pt idx="2957">
                        <c:v>111.676</c:v>
                      </c:pt>
                      <c:pt idx="2958">
                        <c:v>111.67400000000001</c:v>
                      </c:pt>
                      <c:pt idx="2959">
                        <c:v>111.673</c:v>
                      </c:pt>
                      <c:pt idx="2960">
                        <c:v>111.672</c:v>
                      </c:pt>
                      <c:pt idx="2961">
                        <c:v>111.67100000000001</c:v>
                      </c:pt>
                      <c:pt idx="2962">
                        <c:v>111.67</c:v>
                      </c:pt>
                      <c:pt idx="2963">
                        <c:v>111.66800000000001</c:v>
                      </c:pt>
                      <c:pt idx="2964">
                        <c:v>111.667</c:v>
                      </c:pt>
                      <c:pt idx="2965">
                        <c:v>111.666</c:v>
                      </c:pt>
                      <c:pt idx="2966">
                        <c:v>111.66500000000001</c:v>
                      </c:pt>
                      <c:pt idx="2967">
                        <c:v>111.664</c:v>
                      </c:pt>
                      <c:pt idx="2968">
                        <c:v>111.66200000000001</c:v>
                      </c:pt>
                      <c:pt idx="2969">
                        <c:v>111.661</c:v>
                      </c:pt>
                      <c:pt idx="2970">
                        <c:v>111.66</c:v>
                      </c:pt>
                      <c:pt idx="2971">
                        <c:v>111.65900000000001</c:v>
                      </c:pt>
                      <c:pt idx="2972">
                        <c:v>111.657</c:v>
                      </c:pt>
                      <c:pt idx="2973">
                        <c:v>111.65600000000001</c:v>
                      </c:pt>
                      <c:pt idx="2974">
                        <c:v>111.655</c:v>
                      </c:pt>
                      <c:pt idx="2975">
                        <c:v>111.654</c:v>
                      </c:pt>
                      <c:pt idx="2976">
                        <c:v>111.652</c:v>
                      </c:pt>
                      <c:pt idx="2977">
                        <c:v>111.651</c:v>
                      </c:pt>
                      <c:pt idx="2978">
                        <c:v>111.65</c:v>
                      </c:pt>
                      <c:pt idx="2979">
                        <c:v>111.649</c:v>
                      </c:pt>
                      <c:pt idx="2980">
                        <c:v>111.64700000000001</c:v>
                      </c:pt>
                      <c:pt idx="2981">
                        <c:v>111.646</c:v>
                      </c:pt>
                      <c:pt idx="2982">
                        <c:v>111.645</c:v>
                      </c:pt>
                      <c:pt idx="2983">
                        <c:v>111.643</c:v>
                      </c:pt>
                      <c:pt idx="2984">
                        <c:v>111.642</c:v>
                      </c:pt>
                      <c:pt idx="2985">
                        <c:v>111.64100000000001</c:v>
                      </c:pt>
                      <c:pt idx="2986">
                        <c:v>111.639</c:v>
                      </c:pt>
                      <c:pt idx="2987">
                        <c:v>111.63800000000001</c:v>
                      </c:pt>
                      <c:pt idx="2988">
                        <c:v>111.636</c:v>
                      </c:pt>
                      <c:pt idx="2989">
                        <c:v>111.63500000000001</c:v>
                      </c:pt>
                      <c:pt idx="2990">
                        <c:v>111.634</c:v>
                      </c:pt>
                      <c:pt idx="2991">
                        <c:v>111.63200000000001</c:v>
                      </c:pt>
                      <c:pt idx="2992">
                        <c:v>111.631</c:v>
                      </c:pt>
                      <c:pt idx="2993">
                        <c:v>111.629</c:v>
                      </c:pt>
                      <c:pt idx="2994">
                        <c:v>111.628</c:v>
                      </c:pt>
                      <c:pt idx="2995">
                        <c:v>111.627</c:v>
                      </c:pt>
                      <c:pt idx="2996">
                        <c:v>111.625</c:v>
                      </c:pt>
                      <c:pt idx="2997">
                        <c:v>111.624</c:v>
                      </c:pt>
                      <c:pt idx="2998">
                        <c:v>111.622</c:v>
                      </c:pt>
                      <c:pt idx="2999">
                        <c:v>111.621</c:v>
                      </c:pt>
                      <c:pt idx="3000">
                        <c:v>111.619</c:v>
                      </c:pt>
                      <c:pt idx="3001">
                        <c:v>111.61799999999999</c:v>
                      </c:pt>
                      <c:pt idx="3002">
                        <c:v>111.616</c:v>
                      </c:pt>
                      <c:pt idx="3003">
                        <c:v>111.61499999999999</c:v>
                      </c:pt>
                      <c:pt idx="3004">
                        <c:v>111.613</c:v>
                      </c:pt>
                      <c:pt idx="3005">
                        <c:v>111.61199999999999</c:v>
                      </c:pt>
                      <c:pt idx="3006">
                        <c:v>111.61</c:v>
                      </c:pt>
                      <c:pt idx="3007">
                        <c:v>111.608</c:v>
                      </c:pt>
                      <c:pt idx="3008">
                        <c:v>111.607</c:v>
                      </c:pt>
                      <c:pt idx="3009">
                        <c:v>111.605</c:v>
                      </c:pt>
                      <c:pt idx="3010">
                        <c:v>111.604</c:v>
                      </c:pt>
                      <c:pt idx="3011">
                        <c:v>111.602</c:v>
                      </c:pt>
                      <c:pt idx="3012">
                        <c:v>111.6</c:v>
                      </c:pt>
                      <c:pt idx="3013">
                        <c:v>111.599</c:v>
                      </c:pt>
                      <c:pt idx="3014">
                        <c:v>111.59699999999999</c:v>
                      </c:pt>
                      <c:pt idx="3015">
                        <c:v>111.595</c:v>
                      </c:pt>
                      <c:pt idx="3016">
                        <c:v>111.59399999999999</c:v>
                      </c:pt>
                      <c:pt idx="3017">
                        <c:v>111.592</c:v>
                      </c:pt>
                      <c:pt idx="3018">
                        <c:v>111.59</c:v>
                      </c:pt>
                      <c:pt idx="3019">
                        <c:v>111.58799999999999</c:v>
                      </c:pt>
                      <c:pt idx="3020">
                        <c:v>111.587</c:v>
                      </c:pt>
                      <c:pt idx="3021">
                        <c:v>111.58499999999999</c:v>
                      </c:pt>
                      <c:pt idx="3022">
                        <c:v>111.583</c:v>
                      </c:pt>
                      <c:pt idx="3023">
                        <c:v>111.58199999999999</c:v>
                      </c:pt>
                      <c:pt idx="3024">
                        <c:v>111.58</c:v>
                      </c:pt>
                      <c:pt idx="3025">
                        <c:v>111.578</c:v>
                      </c:pt>
                      <c:pt idx="3026">
                        <c:v>111.577</c:v>
                      </c:pt>
                      <c:pt idx="3027">
                        <c:v>111.575</c:v>
                      </c:pt>
                      <c:pt idx="3028">
                        <c:v>111.57299999999999</c:v>
                      </c:pt>
                      <c:pt idx="3029">
                        <c:v>111.572</c:v>
                      </c:pt>
                      <c:pt idx="3030">
                        <c:v>111.57</c:v>
                      </c:pt>
                      <c:pt idx="3031">
                        <c:v>111.568</c:v>
                      </c:pt>
                      <c:pt idx="3032">
                        <c:v>111.56699999999999</c:v>
                      </c:pt>
                      <c:pt idx="3033">
                        <c:v>111.565</c:v>
                      </c:pt>
                      <c:pt idx="3034">
                        <c:v>111.563</c:v>
                      </c:pt>
                      <c:pt idx="3035">
                        <c:v>111.562</c:v>
                      </c:pt>
                      <c:pt idx="3036">
                        <c:v>111.56</c:v>
                      </c:pt>
                      <c:pt idx="3037">
                        <c:v>111.55800000000001</c:v>
                      </c:pt>
                      <c:pt idx="3038">
                        <c:v>111.557</c:v>
                      </c:pt>
                      <c:pt idx="3039">
                        <c:v>111.55500000000001</c:v>
                      </c:pt>
                      <c:pt idx="3040">
                        <c:v>111.553</c:v>
                      </c:pt>
                      <c:pt idx="3041">
                        <c:v>111.55200000000001</c:v>
                      </c:pt>
                      <c:pt idx="3042">
                        <c:v>111.55</c:v>
                      </c:pt>
                      <c:pt idx="3043">
                        <c:v>111.548</c:v>
                      </c:pt>
                      <c:pt idx="3044">
                        <c:v>111.547</c:v>
                      </c:pt>
                      <c:pt idx="3045">
                        <c:v>111.545</c:v>
                      </c:pt>
                      <c:pt idx="3046">
                        <c:v>111.544</c:v>
                      </c:pt>
                      <c:pt idx="3047">
                        <c:v>111.542</c:v>
                      </c:pt>
                      <c:pt idx="3048">
                        <c:v>111.54</c:v>
                      </c:pt>
                      <c:pt idx="3049">
                        <c:v>111.539</c:v>
                      </c:pt>
                      <c:pt idx="3050">
                        <c:v>111.53700000000001</c:v>
                      </c:pt>
                      <c:pt idx="3051">
                        <c:v>111.536</c:v>
                      </c:pt>
                      <c:pt idx="3052">
                        <c:v>111.53400000000001</c:v>
                      </c:pt>
                      <c:pt idx="3053">
                        <c:v>111.532</c:v>
                      </c:pt>
                      <c:pt idx="3054">
                        <c:v>111.53100000000001</c:v>
                      </c:pt>
                      <c:pt idx="3055">
                        <c:v>111.529</c:v>
                      </c:pt>
                      <c:pt idx="3056">
                        <c:v>111.52800000000001</c:v>
                      </c:pt>
                      <c:pt idx="3057">
                        <c:v>111.526</c:v>
                      </c:pt>
                      <c:pt idx="3058">
                        <c:v>111.524</c:v>
                      </c:pt>
                      <c:pt idx="3059">
                        <c:v>111.523</c:v>
                      </c:pt>
                      <c:pt idx="3060">
                        <c:v>111.521</c:v>
                      </c:pt>
                      <c:pt idx="3061">
                        <c:v>111.52</c:v>
                      </c:pt>
                      <c:pt idx="3062">
                        <c:v>111.518</c:v>
                      </c:pt>
                      <c:pt idx="3063">
                        <c:v>111.517</c:v>
                      </c:pt>
                      <c:pt idx="3064">
                        <c:v>111.515</c:v>
                      </c:pt>
                      <c:pt idx="3065">
                        <c:v>111.514</c:v>
                      </c:pt>
                      <c:pt idx="3066">
                        <c:v>111.512</c:v>
                      </c:pt>
                      <c:pt idx="3067">
                        <c:v>111.511</c:v>
                      </c:pt>
                      <c:pt idx="3068">
                        <c:v>111.509</c:v>
                      </c:pt>
                      <c:pt idx="3069">
                        <c:v>111.508</c:v>
                      </c:pt>
                      <c:pt idx="3070">
                        <c:v>111.506</c:v>
                      </c:pt>
                      <c:pt idx="3071">
                        <c:v>111.505</c:v>
                      </c:pt>
                      <c:pt idx="3072">
                        <c:v>111.503</c:v>
                      </c:pt>
                      <c:pt idx="3073">
                        <c:v>111.501</c:v>
                      </c:pt>
                      <c:pt idx="3074">
                        <c:v>111.5</c:v>
                      </c:pt>
                      <c:pt idx="3075">
                        <c:v>111.499</c:v>
                      </c:pt>
                      <c:pt idx="3076">
                        <c:v>111.497</c:v>
                      </c:pt>
                      <c:pt idx="3077">
                        <c:v>111.496</c:v>
                      </c:pt>
                      <c:pt idx="3078">
                        <c:v>111.494</c:v>
                      </c:pt>
                      <c:pt idx="3079">
                        <c:v>111.49299999999999</c:v>
                      </c:pt>
                      <c:pt idx="3080">
                        <c:v>111.491</c:v>
                      </c:pt>
                      <c:pt idx="3081">
                        <c:v>111.49</c:v>
                      </c:pt>
                      <c:pt idx="3082">
                        <c:v>111.488</c:v>
                      </c:pt>
                      <c:pt idx="3083">
                        <c:v>111.48699999999999</c:v>
                      </c:pt>
                      <c:pt idx="3084">
                        <c:v>111.485</c:v>
                      </c:pt>
                      <c:pt idx="3085">
                        <c:v>111.48399999999999</c:v>
                      </c:pt>
                      <c:pt idx="3086">
                        <c:v>111.482</c:v>
                      </c:pt>
                      <c:pt idx="3087">
                        <c:v>111.48099999999999</c:v>
                      </c:pt>
                      <c:pt idx="3088">
                        <c:v>111.48</c:v>
                      </c:pt>
                      <c:pt idx="3089">
                        <c:v>111.47799999999999</c:v>
                      </c:pt>
                      <c:pt idx="3090">
                        <c:v>111.477</c:v>
                      </c:pt>
                      <c:pt idx="3091">
                        <c:v>111.47499999999999</c:v>
                      </c:pt>
                      <c:pt idx="3092">
                        <c:v>111.474</c:v>
                      </c:pt>
                      <c:pt idx="3093">
                        <c:v>111.47199999999999</c:v>
                      </c:pt>
                      <c:pt idx="3094">
                        <c:v>111.471</c:v>
                      </c:pt>
                      <c:pt idx="3095">
                        <c:v>111.47</c:v>
                      </c:pt>
                      <c:pt idx="3096">
                        <c:v>111.468</c:v>
                      </c:pt>
                      <c:pt idx="3097">
                        <c:v>111.467</c:v>
                      </c:pt>
                      <c:pt idx="3098">
                        <c:v>111.465</c:v>
                      </c:pt>
                      <c:pt idx="3099">
                        <c:v>111.464</c:v>
                      </c:pt>
                      <c:pt idx="3100">
                        <c:v>111.46299999999999</c:v>
                      </c:pt>
                      <c:pt idx="3101">
                        <c:v>111.461</c:v>
                      </c:pt>
                      <c:pt idx="3102">
                        <c:v>111.46</c:v>
                      </c:pt>
                      <c:pt idx="3103">
                        <c:v>111.459</c:v>
                      </c:pt>
                      <c:pt idx="3104">
                        <c:v>111.45699999999999</c:v>
                      </c:pt>
                      <c:pt idx="3105">
                        <c:v>111.456</c:v>
                      </c:pt>
                      <c:pt idx="3106">
                        <c:v>111.455</c:v>
                      </c:pt>
                      <c:pt idx="3107">
                        <c:v>111.453</c:v>
                      </c:pt>
                      <c:pt idx="3108">
                        <c:v>111.452</c:v>
                      </c:pt>
                      <c:pt idx="3109">
                        <c:v>111.45099999999999</c:v>
                      </c:pt>
                      <c:pt idx="3110">
                        <c:v>111.449</c:v>
                      </c:pt>
                      <c:pt idx="3111">
                        <c:v>111.44799999999999</c:v>
                      </c:pt>
                      <c:pt idx="3112">
                        <c:v>111.447</c:v>
                      </c:pt>
                      <c:pt idx="3113">
                        <c:v>111.44499999999999</c:v>
                      </c:pt>
                      <c:pt idx="3114">
                        <c:v>111.444</c:v>
                      </c:pt>
                      <c:pt idx="3115">
                        <c:v>111.443</c:v>
                      </c:pt>
                      <c:pt idx="3116">
                        <c:v>111.441</c:v>
                      </c:pt>
                      <c:pt idx="3117">
                        <c:v>111.44</c:v>
                      </c:pt>
                      <c:pt idx="3118">
                        <c:v>111.438</c:v>
                      </c:pt>
                      <c:pt idx="3119">
                        <c:v>111.437</c:v>
                      </c:pt>
                      <c:pt idx="3120">
                        <c:v>111.43600000000001</c:v>
                      </c:pt>
                      <c:pt idx="3121">
                        <c:v>111.434</c:v>
                      </c:pt>
                      <c:pt idx="3122">
                        <c:v>111.43300000000001</c:v>
                      </c:pt>
                      <c:pt idx="3123">
                        <c:v>111.432</c:v>
                      </c:pt>
                      <c:pt idx="3124">
                        <c:v>111.43</c:v>
                      </c:pt>
                      <c:pt idx="3125">
                        <c:v>111.429</c:v>
                      </c:pt>
                      <c:pt idx="3126">
                        <c:v>111.42700000000001</c:v>
                      </c:pt>
                      <c:pt idx="3127">
                        <c:v>111.426</c:v>
                      </c:pt>
                      <c:pt idx="3128">
                        <c:v>111.425</c:v>
                      </c:pt>
                      <c:pt idx="3129">
                        <c:v>111.423</c:v>
                      </c:pt>
                      <c:pt idx="3130">
                        <c:v>111.422</c:v>
                      </c:pt>
                      <c:pt idx="3131">
                        <c:v>111.42</c:v>
                      </c:pt>
                      <c:pt idx="3132">
                        <c:v>111.419</c:v>
                      </c:pt>
                      <c:pt idx="3133">
                        <c:v>111.41800000000001</c:v>
                      </c:pt>
                      <c:pt idx="3134">
                        <c:v>111.416</c:v>
                      </c:pt>
                      <c:pt idx="3135">
                        <c:v>111.41500000000001</c:v>
                      </c:pt>
                      <c:pt idx="3136">
                        <c:v>111.413</c:v>
                      </c:pt>
                      <c:pt idx="3137">
                        <c:v>111.41200000000001</c:v>
                      </c:pt>
                      <c:pt idx="3138">
                        <c:v>111.411</c:v>
                      </c:pt>
                      <c:pt idx="3139">
                        <c:v>111.40900000000001</c:v>
                      </c:pt>
                      <c:pt idx="3140">
                        <c:v>111.408</c:v>
                      </c:pt>
                      <c:pt idx="3141">
                        <c:v>111.40600000000001</c:v>
                      </c:pt>
                      <c:pt idx="3142">
                        <c:v>111.405</c:v>
                      </c:pt>
                      <c:pt idx="3143">
                        <c:v>111.404</c:v>
                      </c:pt>
                      <c:pt idx="3144">
                        <c:v>111.402</c:v>
                      </c:pt>
                      <c:pt idx="3145">
                        <c:v>111.401</c:v>
                      </c:pt>
                      <c:pt idx="3146">
                        <c:v>111.399</c:v>
                      </c:pt>
                      <c:pt idx="3147">
                        <c:v>111.398</c:v>
                      </c:pt>
                      <c:pt idx="3148">
                        <c:v>111.396</c:v>
                      </c:pt>
                      <c:pt idx="3149">
                        <c:v>111.395</c:v>
                      </c:pt>
                      <c:pt idx="3150">
                        <c:v>111.39400000000001</c:v>
                      </c:pt>
                      <c:pt idx="3151">
                        <c:v>111.392</c:v>
                      </c:pt>
                      <c:pt idx="3152">
                        <c:v>111.39100000000001</c:v>
                      </c:pt>
                      <c:pt idx="3153">
                        <c:v>111.389</c:v>
                      </c:pt>
                      <c:pt idx="3154">
                        <c:v>111.38800000000001</c:v>
                      </c:pt>
                      <c:pt idx="3155">
                        <c:v>111.386</c:v>
                      </c:pt>
                      <c:pt idx="3156">
                        <c:v>111.38500000000001</c:v>
                      </c:pt>
                      <c:pt idx="3157">
                        <c:v>111.383</c:v>
                      </c:pt>
                      <c:pt idx="3158">
                        <c:v>111.38200000000001</c:v>
                      </c:pt>
                      <c:pt idx="3159">
                        <c:v>111.38</c:v>
                      </c:pt>
                      <c:pt idx="3160">
                        <c:v>111.379</c:v>
                      </c:pt>
                      <c:pt idx="3161">
                        <c:v>111.378</c:v>
                      </c:pt>
                      <c:pt idx="3162">
                        <c:v>111.376</c:v>
                      </c:pt>
                      <c:pt idx="3163">
                        <c:v>111.375</c:v>
                      </c:pt>
                      <c:pt idx="3164">
                        <c:v>111.373</c:v>
                      </c:pt>
                      <c:pt idx="3165">
                        <c:v>111.372</c:v>
                      </c:pt>
                      <c:pt idx="3166">
                        <c:v>111.37</c:v>
                      </c:pt>
                      <c:pt idx="3167">
                        <c:v>111.369</c:v>
                      </c:pt>
                      <c:pt idx="3168">
                        <c:v>111.367</c:v>
                      </c:pt>
                      <c:pt idx="3169">
                        <c:v>111.366</c:v>
                      </c:pt>
                      <c:pt idx="3170">
                        <c:v>111.364</c:v>
                      </c:pt>
                      <c:pt idx="3171">
                        <c:v>111.363</c:v>
                      </c:pt>
                      <c:pt idx="3172">
                        <c:v>111.361</c:v>
                      </c:pt>
                      <c:pt idx="3173">
                        <c:v>111.36</c:v>
                      </c:pt>
                      <c:pt idx="3174">
                        <c:v>111.358</c:v>
                      </c:pt>
                      <c:pt idx="3175">
                        <c:v>111.357</c:v>
                      </c:pt>
                      <c:pt idx="3176">
                        <c:v>111.355</c:v>
                      </c:pt>
                      <c:pt idx="3177">
                        <c:v>111.354</c:v>
                      </c:pt>
                      <c:pt idx="3178">
                        <c:v>111.352</c:v>
                      </c:pt>
                      <c:pt idx="3179">
                        <c:v>111.351</c:v>
                      </c:pt>
                      <c:pt idx="3180">
                        <c:v>111.349</c:v>
                      </c:pt>
                      <c:pt idx="3181">
                        <c:v>111.348</c:v>
                      </c:pt>
                      <c:pt idx="3182">
                        <c:v>111.346</c:v>
                      </c:pt>
                      <c:pt idx="3183">
                        <c:v>111.345</c:v>
                      </c:pt>
                      <c:pt idx="3184">
                        <c:v>111.343</c:v>
                      </c:pt>
                      <c:pt idx="3185">
                        <c:v>111.342</c:v>
                      </c:pt>
                      <c:pt idx="3186">
                        <c:v>111.34</c:v>
                      </c:pt>
                      <c:pt idx="3187">
                        <c:v>111.339</c:v>
                      </c:pt>
                      <c:pt idx="3188">
                        <c:v>111.337</c:v>
                      </c:pt>
                      <c:pt idx="3189">
                        <c:v>111.336</c:v>
                      </c:pt>
                      <c:pt idx="3190">
                        <c:v>111.334</c:v>
                      </c:pt>
                      <c:pt idx="3191">
                        <c:v>111.333</c:v>
                      </c:pt>
                      <c:pt idx="3192">
                        <c:v>111.331</c:v>
                      </c:pt>
                      <c:pt idx="3193">
                        <c:v>111.32899999999999</c:v>
                      </c:pt>
                      <c:pt idx="3194">
                        <c:v>111.328</c:v>
                      </c:pt>
                      <c:pt idx="3195">
                        <c:v>111.32599999999999</c:v>
                      </c:pt>
                      <c:pt idx="3196">
                        <c:v>111.325</c:v>
                      </c:pt>
                      <c:pt idx="3197">
                        <c:v>111.32299999999999</c:v>
                      </c:pt>
                      <c:pt idx="3198">
                        <c:v>111.322</c:v>
                      </c:pt>
                      <c:pt idx="3199">
                        <c:v>111.32</c:v>
                      </c:pt>
                      <c:pt idx="3200">
                        <c:v>111.319</c:v>
                      </c:pt>
                      <c:pt idx="3201">
                        <c:v>111.31699999999999</c:v>
                      </c:pt>
                      <c:pt idx="3202">
                        <c:v>111.315</c:v>
                      </c:pt>
                      <c:pt idx="3203">
                        <c:v>111.31399999999999</c:v>
                      </c:pt>
                      <c:pt idx="3204">
                        <c:v>111.312</c:v>
                      </c:pt>
                      <c:pt idx="3205">
                        <c:v>111.31100000000001</c:v>
                      </c:pt>
                      <c:pt idx="3206">
                        <c:v>111.309</c:v>
                      </c:pt>
                      <c:pt idx="3207">
                        <c:v>111.307</c:v>
                      </c:pt>
                      <c:pt idx="3208">
                        <c:v>111.306</c:v>
                      </c:pt>
                      <c:pt idx="3209">
                        <c:v>111.304</c:v>
                      </c:pt>
                      <c:pt idx="3210">
                        <c:v>111.30200000000001</c:v>
                      </c:pt>
                      <c:pt idx="3211">
                        <c:v>111.301</c:v>
                      </c:pt>
                      <c:pt idx="3212">
                        <c:v>111.29900000000001</c:v>
                      </c:pt>
                      <c:pt idx="3213">
                        <c:v>111.297</c:v>
                      </c:pt>
                      <c:pt idx="3214">
                        <c:v>111.295</c:v>
                      </c:pt>
                      <c:pt idx="3215">
                        <c:v>111.294</c:v>
                      </c:pt>
                      <c:pt idx="3216">
                        <c:v>111.292</c:v>
                      </c:pt>
                      <c:pt idx="3217">
                        <c:v>111.29</c:v>
                      </c:pt>
                      <c:pt idx="3218">
                        <c:v>111.288</c:v>
                      </c:pt>
                      <c:pt idx="3219">
                        <c:v>111.28700000000001</c:v>
                      </c:pt>
                      <c:pt idx="3220">
                        <c:v>111.285</c:v>
                      </c:pt>
                      <c:pt idx="3221">
                        <c:v>111.283</c:v>
                      </c:pt>
                      <c:pt idx="3222">
                        <c:v>111.28100000000001</c:v>
                      </c:pt>
                      <c:pt idx="3223">
                        <c:v>111.28</c:v>
                      </c:pt>
                      <c:pt idx="3224">
                        <c:v>111.27800000000001</c:v>
                      </c:pt>
                      <c:pt idx="3225">
                        <c:v>111.276</c:v>
                      </c:pt>
                      <c:pt idx="3226">
                        <c:v>111.274</c:v>
                      </c:pt>
                      <c:pt idx="3227">
                        <c:v>111.27200000000001</c:v>
                      </c:pt>
                      <c:pt idx="3228">
                        <c:v>111.271</c:v>
                      </c:pt>
                      <c:pt idx="3229">
                        <c:v>111.26900000000001</c:v>
                      </c:pt>
                      <c:pt idx="3230">
                        <c:v>111.267</c:v>
                      </c:pt>
                      <c:pt idx="3231">
                        <c:v>111.265</c:v>
                      </c:pt>
                      <c:pt idx="3232">
                        <c:v>111.26300000000001</c:v>
                      </c:pt>
                      <c:pt idx="3233">
                        <c:v>111.261</c:v>
                      </c:pt>
                      <c:pt idx="3234">
                        <c:v>111.26</c:v>
                      </c:pt>
                      <c:pt idx="3235">
                        <c:v>111.258</c:v>
                      </c:pt>
                      <c:pt idx="3236">
                        <c:v>111.256</c:v>
                      </c:pt>
                      <c:pt idx="3237">
                        <c:v>111.254</c:v>
                      </c:pt>
                      <c:pt idx="3238">
                        <c:v>111.252</c:v>
                      </c:pt>
                      <c:pt idx="3239">
                        <c:v>111.25</c:v>
                      </c:pt>
                      <c:pt idx="3240">
                        <c:v>111.248</c:v>
                      </c:pt>
                      <c:pt idx="3241">
                        <c:v>111.246</c:v>
                      </c:pt>
                      <c:pt idx="3242">
                        <c:v>111.245</c:v>
                      </c:pt>
                      <c:pt idx="3243">
                        <c:v>111.24299999999999</c:v>
                      </c:pt>
                      <c:pt idx="3244">
                        <c:v>111.241</c:v>
                      </c:pt>
                      <c:pt idx="3245">
                        <c:v>111.239</c:v>
                      </c:pt>
                      <c:pt idx="3246">
                        <c:v>111.23699999999999</c:v>
                      </c:pt>
                      <c:pt idx="3247">
                        <c:v>111.235</c:v>
                      </c:pt>
                      <c:pt idx="3248">
                        <c:v>111.233</c:v>
                      </c:pt>
                      <c:pt idx="3249">
                        <c:v>111.23099999999999</c:v>
                      </c:pt>
                      <c:pt idx="3250">
                        <c:v>111.23</c:v>
                      </c:pt>
                      <c:pt idx="3251">
                        <c:v>111.22799999999999</c:v>
                      </c:pt>
                      <c:pt idx="3252">
                        <c:v>111.226</c:v>
                      </c:pt>
                      <c:pt idx="3253">
                        <c:v>111.224</c:v>
                      </c:pt>
                      <c:pt idx="3254">
                        <c:v>111.22199999999999</c:v>
                      </c:pt>
                      <c:pt idx="3255">
                        <c:v>111.22</c:v>
                      </c:pt>
                      <c:pt idx="3256">
                        <c:v>111.218</c:v>
                      </c:pt>
                      <c:pt idx="3257">
                        <c:v>111.21599999999999</c:v>
                      </c:pt>
                      <c:pt idx="3258">
                        <c:v>111.214</c:v>
                      </c:pt>
                      <c:pt idx="3259">
                        <c:v>111.21299999999999</c:v>
                      </c:pt>
                      <c:pt idx="3260">
                        <c:v>111.211</c:v>
                      </c:pt>
                      <c:pt idx="3261">
                        <c:v>111.209</c:v>
                      </c:pt>
                      <c:pt idx="3262">
                        <c:v>111.20699999999999</c:v>
                      </c:pt>
                      <c:pt idx="3263">
                        <c:v>111.205</c:v>
                      </c:pt>
                      <c:pt idx="3264">
                        <c:v>111.203</c:v>
                      </c:pt>
                      <c:pt idx="3265">
                        <c:v>111.20099999999999</c:v>
                      </c:pt>
                      <c:pt idx="3266">
                        <c:v>111.199</c:v>
                      </c:pt>
                      <c:pt idx="3267">
                        <c:v>111.19799999999999</c:v>
                      </c:pt>
                      <c:pt idx="3268">
                        <c:v>111.196</c:v>
                      </c:pt>
                      <c:pt idx="3269">
                        <c:v>111.194</c:v>
                      </c:pt>
                      <c:pt idx="3270">
                        <c:v>111.193</c:v>
                      </c:pt>
                      <c:pt idx="3271">
                        <c:v>111.191</c:v>
                      </c:pt>
                      <c:pt idx="3272">
                        <c:v>111.19</c:v>
                      </c:pt>
                      <c:pt idx="3273">
                        <c:v>111.188</c:v>
                      </c:pt>
                      <c:pt idx="3274">
                        <c:v>111.18600000000001</c:v>
                      </c:pt>
                      <c:pt idx="3275">
                        <c:v>111.185</c:v>
                      </c:pt>
                      <c:pt idx="3276">
                        <c:v>111.18300000000001</c:v>
                      </c:pt>
                      <c:pt idx="3277">
                        <c:v>111.182</c:v>
                      </c:pt>
                      <c:pt idx="3278">
                        <c:v>111.18</c:v>
                      </c:pt>
                      <c:pt idx="3279">
                        <c:v>111.179</c:v>
                      </c:pt>
                      <c:pt idx="3280">
                        <c:v>111.17700000000001</c:v>
                      </c:pt>
                      <c:pt idx="3281">
                        <c:v>111.176</c:v>
                      </c:pt>
                      <c:pt idx="3282">
                        <c:v>111.17400000000001</c:v>
                      </c:pt>
                      <c:pt idx="3283">
                        <c:v>111.173</c:v>
                      </c:pt>
                      <c:pt idx="3284">
                        <c:v>111.172</c:v>
                      </c:pt>
                      <c:pt idx="3285">
                        <c:v>111.17</c:v>
                      </c:pt>
                      <c:pt idx="3286">
                        <c:v>111.169</c:v>
                      </c:pt>
                      <c:pt idx="3287">
                        <c:v>111.167</c:v>
                      </c:pt>
                      <c:pt idx="3288">
                        <c:v>111.166</c:v>
                      </c:pt>
                      <c:pt idx="3289">
                        <c:v>111.16500000000001</c:v>
                      </c:pt>
                      <c:pt idx="3290">
                        <c:v>111.163</c:v>
                      </c:pt>
                      <c:pt idx="3291">
                        <c:v>111.16200000000001</c:v>
                      </c:pt>
                      <c:pt idx="3292">
                        <c:v>111.16</c:v>
                      </c:pt>
                      <c:pt idx="3293">
                        <c:v>111.15900000000001</c:v>
                      </c:pt>
                      <c:pt idx="3294">
                        <c:v>111.158</c:v>
                      </c:pt>
                      <c:pt idx="3295">
                        <c:v>111.15600000000001</c:v>
                      </c:pt>
                      <c:pt idx="3296">
                        <c:v>111.155</c:v>
                      </c:pt>
                      <c:pt idx="3297">
                        <c:v>111.154</c:v>
                      </c:pt>
                      <c:pt idx="3298">
                        <c:v>111.15300000000001</c:v>
                      </c:pt>
                      <c:pt idx="3299">
                        <c:v>111.151</c:v>
                      </c:pt>
                      <c:pt idx="3300">
                        <c:v>111.15</c:v>
                      </c:pt>
                      <c:pt idx="3301">
                        <c:v>111.149</c:v>
                      </c:pt>
                      <c:pt idx="3302">
                        <c:v>111.148</c:v>
                      </c:pt>
                      <c:pt idx="3303">
                        <c:v>111.146</c:v>
                      </c:pt>
                      <c:pt idx="3304">
                        <c:v>111.145</c:v>
                      </c:pt>
                      <c:pt idx="3305">
                        <c:v>111.14400000000001</c:v>
                      </c:pt>
                      <c:pt idx="3306">
                        <c:v>111.143</c:v>
                      </c:pt>
                      <c:pt idx="3307">
                        <c:v>111.142</c:v>
                      </c:pt>
                      <c:pt idx="3308">
                        <c:v>111.14100000000001</c:v>
                      </c:pt>
                      <c:pt idx="3309">
                        <c:v>111.139</c:v>
                      </c:pt>
                      <c:pt idx="3310">
                        <c:v>111.13800000000001</c:v>
                      </c:pt>
                      <c:pt idx="3311">
                        <c:v>111.137</c:v>
                      </c:pt>
                      <c:pt idx="3312">
                        <c:v>111.136</c:v>
                      </c:pt>
                      <c:pt idx="3313">
                        <c:v>111.13500000000001</c:v>
                      </c:pt>
                      <c:pt idx="3314">
                        <c:v>111.134</c:v>
                      </c:pt>
                      <c:pt idx="3315">
                        <c:v>111.133</c:v>
                      </c:pt>
                      <c:pt idx="3316">
                        <c:v>111.13200000000001</c:v>
                      </c:pt>
                      <c:pt idx="3317">
                        <c:v>111.131</c:v>
                      </c:pt>
                      <c:pt idx="3318">
                        <c:v>111.129</c:v>
                      </c:pt>
                      <c:pt idx="3319">
                        <c:v>111.128</c:v>
                      </c:pt>
                      <c:pt idx="3320">
                        <c:v>111.127</c:v>
                      </c:pt>
                      <c:pt idx="3321">
                        <c:v>111.126</c:v>
                      </c:pt>
                      <c:pt idx="3322">
                        <c:v>111.125</c:v>
                      </c:pt>
                      <c:pt idx="3323">
                        <c:v>111.124</c:v>
                      </c:pt>
                      <c:pt idx="3324">
                        <c:v>111.123</c:v>
                      </c:pt>
                      <c:pt idx="3325">
                        <c:v>111.122</c:v>
                      </c:pt>
                      <c:pt idx="3326">
                        <c:v>111.121</c:v>
                      </c:pt>
                      <c:pt idx="3327">
                        <c:v>111.12</c:v>
                      </c:pt>
                      <c:pt idx="3328">
                        <c:v>111.119</c:v>
                      </c:pt>
                      <c:pt idx="3329">
                        <c:v>111.11799999999999</c:v>
                      </c:pt>
                      <c:pt idx="3330">
                        <c:v>111.117</c:v>
                      </c:pt>
                      <c:pt idx="3331">
                        <c:v>111.117</c:v>
                      </c:pt>
                      <c:pt idx="3332">
                        <c:v>111.116</c:v>
                      </c:pt>
                      <c:pt idx="3333">
                        <c:v>111.11499999999999</c:v>
                      </c:pt>
                      <c:pt idx="3334">
                        <c:v>111.114</c:v>
                      </c:pt>
                      <c:pt idx="3335">
                        <c:v>111.113</c:v>
                      </c:pt>
                      <c:pt idx="3336">
                        <c:v>111.11199999999999</c:v>
                      </c:pt>
                      <c:pt idx="3337">
                        <c:v>111.111</c:v>
                      </c:pt>
                      <c:pt idx="3338">
                        <c:v>111.11</c:v>
                      </c:pt>
                      <c:pt idx="3339">
                        <c:v>111.10899999999999</c:v>
                      </c:pt>
                      <c:pt idx="3340">
                        <c:v>111.10899999999999</c:v>
                      </c:pt>
                      <c:pt idx="3341">
                        <c:v>111.108</c:v>
                      </c:pt>
                      <c:pt idx="3342">
                        <c:v>111.107</c:v>
                      </c:pt>
                      <c:pt idx="3343">
                        <c:v>111.10599999999999</c:v>
                      </c:pt>
                      <c:pt idx="3344">
                        <c:v>111.105</c:v>
                      </c:pt>
                      <c:pt idx="3345">
                        <c:v>111.104</c:v>
                      </c:pt>
                      <c:pt idx="3346">
                        <c:v>111.104</c:v>
                      </c:pt>
                      <c:pt idx="3347">
                        <c:v>111.10299999999999</c:v>
                      </c:pt>
                      <c:pt idx="3348">
                        <c:v>111.102</c:v>
                      </c:pt>
                      <c:pt idx="3349">
                        <c:v>111.101</c:v>
                      </c:pt>
                      <c:pt idx="3350">
                        <c:v>111.1</c:v>
                      </c:pt>
                      <c:pt idx="3351">
                        <c:v>111.099</c:v>
                      </c:pt>
                      <c:pt idx="3352">
                        <c:v>111.099</c:v>
                      </c:pt>
                      <c:pt idx="3353">
                        <c:v>111.098</c:v>
                      </c:pt>
                      <c:pt idx="3354">
                        <c:v>111.09699999999999</c:v>
                      </c:pt>
                      <c:pt idx="3355">
                        <c:v>111.096</c:v>
                      </c:pt>
                      <c:pt idx="3356">
                        <c:v>111.096</c:v>
                      </c:pt>
                      <c:pt idx="3357">
                        <c:v>111.095</c:v>
                      </c:pt>
                      <c:pt idx="3358">
                        <c:v>111.09399999999999</c:v>
                      </c:pt>
                      <c:pt idx="3359">
                        <c:v>111.093</c:v>
                      </c:pt>
                      <c:pt idx="3360">
                        <c:v>111.092</c:v>
                      </c:pt>
                      <c:pt idx="3361">
                        <c:v>111.092</c:v>
                      </c:pt>
                      <c:pt idx="3362">
                        <c:v>111.09099999999999</c:v>
                      </c:pt>
                      <c:pt idx="3363">
                        <c:v>111.09</c:v>
                      </c:pt>
                      <c:pt idx="3364">
                        <c:v>111.089</c:v>
                      </c:pt>
                      <c:pt idx="3365">
                        <c:v>111.089</c:v>
                      </c:pt>
                      <c:pt idx="3366">
                        <c:v>111.08799999999999</c:v>
                      </c:pt>
                      <c:pt idx="3367">
                        <c:v>111.087</c:v>
                      </c:pt>
                      <c:pt idx="3368">
                        <c:v>111.086</c:v>
                      </c:pt>
                      <c:pt idx="3369">
                        <c:v>111.086</c:v>
                      </c:pt>
                      <c:pt idx="3370">
                        <c:v>111.08499999999999</c:v>
                      </c:pt>
                      <c:pt idx="3371">
                        <c:v>111.084</c:v>
                      </c:pt>
                      <c:pt idx="3372">
                        <c:v>111.083</c:v>
                      </c:pt>
                      <c:pt idx="3373">
                        <c:v>111.083</c:v>
                      </c:pt>
                      <c:pt idx="3374">
                        <c:v>111.08199999999999</c:v>
                      </c:pt>
                      <c:pt idx="3375">
                        <c:v>111.081</c:v>
                      </c:pt>
                      <c:pt idx="3376">
                        <c:v>111.081</c:v>
                      </c:pt>
                      <c:pt idx="3377">
                        <c:v>111.08</c:v>
                      </c:pt>
                      <c:pt idx="3378">
                        <c:v>111.07899999999999</c:v>
                      </c:pt>
                      <c:pt idx="3379">
                        <c:v>111.078</c:v>
                      </c:pt>
                      <c:pt idx="3380">
                        <c:v>111.078</c:v>
                      </c:pt>
                      <c:pt idx="3381">
                        <c:v>111.077</c:v>
                      </c:pt>
                      <c:pt idx="3382">
                        <c:v>111.07599999999999</c:v>
                      </c:pt>
                      <c:pt idx="3383">
                        <c:v>111.07599999999999</c:v>
                      </c:pt>
                      <c:pt idx="3384">
                        <c:v>111.075</c:v>
                      </c:pt>
                      <c:pt idx="3385">
                        <c:v>111.074</c:v>
                      </c:pt>
                      <c:pt idx="3386">
                        <c:v>111.07299999999999</c:v>
                      </c:pt>
                      <c:pt idx="3387">
                        <c:v>111.07299999999999</c:v>
                      </c:pt>
                      <c:pt idx="3388">
                        <c:v>111.072</c:v>
                      </c:pt>
                      <c:pt idx="3389">
                        <c:v>111.071</c:v>
                      </c:pt>
                      <c:pt idx="3390">
                        <c:v>111.071</c:v>
                      </c:pt>
                      <c:pt idx="3391">
                        <c:v>111.07</c:v>
                      </c:pt>
                      <c:pt idx="3392">
                        <c:v>111.069</c:v>
                      </c:pt>
                      <c:pt idx="3393">
                        <c:v>111.069</c:v>
                      </c:pt>
                      <c:pt idx="3394">
                        <c:v>111.068</c:v>
                      </c:pt>
                      <c:pt idx="3395">
                        <c:v>111.06699999999999</c:v>
                      </c:pt>
                      <c:pt idx="3396">
                        <c:v>111.06699999999999</c:v>
                      </c:pt>
                      <c:pt idx="3397">
                        <c:v>111.066</c:v>
                      </c:pt>
                      <c:pt idx="3398">
                        <c:v>111.065</c:v>
                      </c:pt>
                      <c:pt idx="3399">
                        <c:v>111.06399999999999</c:v>
                      </c:pt>
                      <c:pt idx="3400">
                        <c:v>111.06399999999999</c:v>
                      </c:pt>
                      <c:pt idx="3401">
                        <c:v>111.063</c:v>
                      </c:pt>
                      <c:pt idx="3402">
                        <c:v>111.062</c:v>
                      </c:pt>
                      <c:pt idx="3403">
                        <c:v>111.062</c:v>
                      </c:pt>
                      <c:pt idx="3404">
                        <c:v>111.06100000000001</c:v>
                      </c:pt>
                      <c:pt idx="3405">
                        <c:v>111.06</c:v>
                      </c:pt>
                      <c:pt idx="3406">
                        <c:v>111.06</c:v>
                      </c:pt>
                      <c:pt idx="3407">
                        <c:v>111.059</c:v>
                      </c:pt>
                      <c:pt idx="3408">
                        <c:v>111.05800000000001</c:v>
                      </c:pt>
                      <c:pt idx="3409">
                        <c:v>111.05800000000001</c:v>
                      </c:pt>
                      <c:pt idx="3410">
                        <c:v>111.057</c:v>
                      </c:pt>
                      <c:pt idx="3411">
                        <c:v>111.056</c:v>
                      </c:pt>
                      <c:pt idx="3412">
                        <c:v>111.056</c:v>
                      </c:pt>
                      <c:pt idx="3413">
                        <c:v>111.05500000000001</c:v>
                      </c:pt>
                      <c:pt idx="3414">
                        <c:v>111.054</c:v>
                      </c:pt>
                      <c:pt idx="3415">
                        <c:v>111.054</c:v>
                      </c:pt>
                      <c:pt idx="3416">
                        <c:v>111.053</c:v>
                      </c:pt>
                      <c:pt idx="3417">
                        <c:v>111.05200000000001</c:v>
                      </c:pt>
                      <c:pt idx="3418">
                        <c:v>111.05200000000001</c:v>
                      </c:pt>
                      <c:pt idx="3419">
                        <c:v>111.051</c:v>
                      </c:pt>
                      <c:pt idx="3420">
                        <c:v>111.05</c:v>
                      </c:pt>
                      <c:pt idx="3421">
                        <c:v>111.05</c:v>
                      </c:pt>
                      <c:pt idx="3422">
                        <c:v>111.04900000000001</c:v>
                      </c:pt>
                      <c:pt idx="3423">
                        <c:v>111.048</c:v>
                      </c:pt>
                      <c:pt idx="3424">
                        <c:v>111.048</c:v>
                      </c:pt>
                      <c:pt idx="3425">
                        <c:v>111.047</c:v>
                      </c:pt>
                      <c:pt idx="3426">
                        <c:v>111.04600000000001</c:v>
                      </c:pt>
                      <c:pt idx="3427">
                        <c:v>111.04600000000001</c:v>
                      </c:pt>
                      <c:pt idx="3428">
                        <c:v>111.045</c:v>
                      </c:pt>
                      <c:pt idx="3429">
                        <c:v>111.044</c:v>
                      </c:pt>
                      <c:pt idx="3430">
                        <c:v>111.04300000000001</c:v>
                      </c:pt>
                      <c:pt idx="3431">
                        <c:v>111.04300000000001</c:v>
                      </c:pt>
                      <c:pt idx="3432">
                        <c:v>111.042</c:v>
                      </c:pt>
                      <c:pt idx="3433">
                        <c:v>111.041</c:v>
                      </c:pt>
                      <c:pt idx="3434">
                        <c:v>111.041</c:v>
                      </c:pt>
                      <c:pt idx="3435">
                        <c:v>111.04</c:v>
                      </c:pt>
                      <c:pt idx="3436">
                        <c:v>111.039</c:v>
                      </c:pt>
                      <c:pt idx="3437">
                        <c:v>111.038</c:v>
                      </c:pt>
                      <c:pt idx="3438">
                        <c:v>111.038</c:v>
                      </c:pt>
                      <c:pt idx="3439">
                        <c:v>111.03700000000001</c:v>
                      </c:pt>
                      <c:pt idx="3440">
                        <c:v>111.036</c:v>
                      </c:pt>
                      <c:pt idx="3441">
                        <c:v>111.035</c:v>
                      </c:pt>
                      <c:pt idx="3442">
                        <c:v>111.035</c:v>
                      </c:pt>
                      <c:pt idx="3443">
                        <c:v>111.03400000000001</c:v>
                      </c:pt>
                      <c:pt idx="3444">
                        <c:v>111.033</c:v>
                      </c:pt>
                      <c:pt idx="3445">
                        <c:v>111.033</c:v>
                      </c:pt>
                      <c:pt idx="3446">
                        <c:v>111.032</c:v>
                      </c:pt>
                      <c:pt idx="3447">
                        <c:v>111.03100000000001</c:v>
                      </c:pt>
                      <c:pt idx="3448">
                        <c:v>111.03</c:v>
                      </c:pt>
                      <c:pt idx="3449">
                        <c:v>111.03</c:v>
                      </c:pt>
                      <c:pt idx="3450">
                        <c:v>111.029</c:v>
                      </c:pt>
                      <c:pt idx="3451">
                        <c:v>111.02800000000001</c:v>
                      </c:pt>
                      <c:pt idx="3452">
                        <c:v>111.02800000000001</c:v>
                      </c:pt>
                      <c:pt idx="3453">
                        <c:v>111.027</c:v>
                      </c:pt>
                      <c:pt idx="3454">
                        <c:v>111.026</c:v>
                      </c:pt>
                      <c:pt idx="3455">
                        <c:v>111.02500000000001</c:v>
                      </c:pt>
                      <c:pt idx="3456">
                        <c:v>111.02500000000001</c:v>
                      </c:pt>
                      <c:pt idx="3457">
                        <c:v>111.024</c:v>
                      </c:pt>
                      <c:pt idx="3458">
                        <c:v>111.023</c:v>
                      </c:pt>
                      <c:pt idx="3459">
                        <c:v>111.023</c:v>
                      </c:pt>
                      <c:pt idx="3460">
                        <c:v>111.02200000000001</c:v>
                      </c:pt>
                      <c:pt idx="3461">
                        <c:v>111.021</c:v>
                      </c:pt>
                      <c:pt idx="3462">
                        <c:v>111.021</c:v>
                      </c:pt>
                      <c:pt idx="3463">
                        <c:v>111.02</c:v>
                      </c:pt>
                      <c:pt idx="3464">
                        <c:v>111.01900000000001</c:v>
                      </c:pt>
                      <c:pt idx="3465">
                        <c:v>111.01900000000001</c:v>
                      </c:pt>
                      <c:pt idx="3466">
                        <c:v>111.018</c:v>
                      </c:pt>
                      <c:pt idx="3467">
                        <c:v>111.017</c:v>
                      </c:pt>
                      <c:pt idx="3468">
                        <c:v>111.017</c:v>
                      </c:pt>
                      <c:pt idx="3469">
                        <c:v>111.01600000000001</c:v>
                      </c:pt>
                      <c:pt idx="3470">
                        <c:v>111.015</c:v>
                      </c:pt>
                      <c:pt idx="3471">
                        <c:v>111.015</c:v>
                      </c:pt>
                      <c:pt idx="3472">
                        <c:v>111.014</c:v>
                      </c:pt>
                      <c:pt idx="3473">
                        <c:v>111.01300000000001</c:v>
                      </c:pt>
                      <c:pt idx="3474">
                        <c:v>111.01300000000001</c:v>
                      </c:pt>
                      <c:pt idx="3475">
                        <c:v>111.012</c:v>
                      </c:pt>
                      <c:pt idx="3476">
                        <c:v>111.012</c:v>
                      </c:pt>
                      <c:pt idx="3477">
                        <c:v>111.011</c:v>
                      </c:pt>
                      <c:pt idx="3478">
                        <c:v>111.01</c:v>
                      </c:pt>
                      <c:pt idx="3479">
                        <c:v>111.01</c:v>
                      </c:pt>
                      <c:pt idx="3480">
                        <c:v>111.009</c:v>
                      </c:pt>
                      <c:pt idx="3481">
                        <c:v>111.008</c:v>
                      </c:pt>
                      <c:pt idx="3482">
                        <c:v>111.008</c:v>
                      </c:pt>
                      <c:pt idx="3483">
                        <c:v>111.00700000000001</c:v>
                      </c:pt>
                      <c:pt idx="3484">
                        <c:v>111.00700000000001</c:v>
                      </c:pt>
                      <c:pt idx="3485">
                        <c:v>111.006</c:v>
                      </c:pt>
                      <c:pt idx="3486">
                        <c:v>111.006</c:v>
                      </c:pt>
                      <c:pt idx="3487">
                        <c:v>111.005</c:v>
                      </c:pt>
                      <c:pt idx="3488">
                        <c:v>111.004</c:v>
                      </c:pt>
                      <c:pt idx="3489">
                        <c:v>111.004</c:v>
                      </c:pt>
                      <c:pt idx="3490">
                        <c:v>111.003</c:v>
                      </c:pt>
                      <c:pt idx="3491">
                        <c:v>111.003</c:v>
                      </c:pt>
                      <c:pt idx="3492">
                        <c:v>111.002</c:v>
                      </c:pt>
                      <c:pt idx="3493">
                        <c:v>111.002</c:v>
                      </c:pt>
                      <c:pt idx="3494">
                        <c:v>111.001</c:v>
                      </c:pt>
                      <c:pt idx="3495">
                        <c:v>111.001</c:v>
                      </c:pt>
                      <c:pt idx="3496">
                        <c:v>111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5C17-4C96-8D5F-E79A62565D27}"/>
                  </c:ext>
                </c:extLst>
              </c15:ser>
            </c15:filteredScatterSeries>
          </c:ext>
        </c:extLst>
      </c:scatterChart>
      <c:valAx>
        <c:axId val="1836044335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chainage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936815"/>
        <c:crosses val="autoZero"/>
        <c:crossBetween val="midCat"/>
      </c:valAx>
      <c:valAx>
        <c:axId val="1834936815"/>
        <c:scaling>
          <c:orientation val="minMax"/>
          <c:max val="116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elevation (masl)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044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9.1720472440944875E-2"/>
          <c:y val="9.6799358413531641E-2"/>
          <c:w val="0.33345671207157501"/>
          <c:h val="0.2222387990974812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5</xdr:row>
      <xdr:rowOff>161925</xdr:rowOff>
    </xdr:from>
    <xdr:to>
      <xdr:col>13</xdr:col>
      <xdr:colOff>389139</xdr:colOff>
      <xdr:row>21</xdr:row>
      <xdr:rowOff>139585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70647-FA42-4FC4-90AC-933E8F942C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358140</xdr:colOff>
      <xdr:row>10</xdr:row>
      <xdr:rowOff>50395</xdr:rowOff>
    </xdr:from>
    <xdr:to>
      <xdr:col>16</xdr:col>
      <xdr:colOff>417196</xdr:colOff>
      <xdr:row>15</xdr:row>
      <xdr:rowOff>174575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CAD812-D9A1-AABF-E01F-04AFA9FF4C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557" t="2276" r="54555" b="79000"/>
        <a:stretch>
          <a:fillRect/>
        </a:stretch>
      </xdr:blipFill>
      <xdr:spPr>
        <a:xfrm>
          <a:off x="6705254" y="2241145"/>
          <a:ext cx="1617692" cy="1039100"/>
        </a:xfrm>
        <a:prstGeom prst="rect">
          <a:avLst/>
        </a:prstGeom>
      </xdr:spPr>
    </xdr:pic>
    <xdr:clientData/>
  </xdr:twoCellAnchor>
  <xdr:twoCellAnchor editAs="oneCell">
    <xdr:from>
      <xdr:col>13</xdr:col>
      <xdr:colOff>360046</xdr:colOff>
      <xdr:row>16</xdr:row>
      <xdr:rowOff>175088</xdr:rowOff>
    </xdr:from>
    <xdr:to>
      <xdr:col>26</xdr:col>
      <xdr:colOff>57844</xdr:colOff>
      <xdr:row>21</xdr:row>
      <xdr:rowOff>171278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465C6C-0CAF-F083-36A8-1F72D8A484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0507" r="19914" b="79148"/>
        <a:stretch>
          <a:fillRect/>
        </a:stretch>
      </xdr:blipFill>
      <xdr:spPr>
        <a:xfrm>
          <a:off x="6707160" y="3456883"/>
          <a:ext cx="5902383" cy="91301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1907</xdr:colOff>
      <xdr:row>22</xdr:row>
      <xdr:rowOff>133178</xdr:rowOff>
    </xdr:from>
    <xdr:to>
      <xdr:col>15</xdr:col>
      <xdr:colOff>476251</xdr:colOff>
      <xdr:row>27</xdr:row>
      <xdr:rowOff>171278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5F88EC-26B9-93A5-C2EE-479A94753C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0507" r="69918" b="79148"/>
        <a:stretch>
          <a:fillRect/>
        </a:stretch>
      </xdr:blipFill>
      <xdr:spPr>
        <a:xfrm>
          <a:off x="6816612" y="4506019"/>
          <a:ext cx="959253" cy="954924"/>
        </a:xfrm>
        <a:prstGeom prst="rect">
          <a:avLst/>
        </a:prstGeom>
      </xdr:spPr>
    </xdr:pic>
    <xdr:clientData/>
  </xdr:twoCellAnchor>
  <xdr:twoCellAnchor>
    <xdr:from>
      <xdr:col>14</xdr:col>
      <xdr:colOff>398145</xdr:colOff>
      <xdr:row>17</xdr:row>
      <xdr:rowOff>54206</xdr:rowOff>
    </xdr:from>
    <xdr:to>
      <xdr:col>15</xdr:col>
      <xdr:colOff>516255</xdr:colOff>
      <xdr:row>21</xdr:row>
      <xdr:rowOff>83647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21AD3DE-B455-ECC0-64D7-76278EA4992D}"/>
            </a:ext>
          </a:extLst>
        </xdr:cNvPr>
        <xdr:cNvSpPr/>
      </xdr:nvSpPr>
      <xdr:spPr>
        <a:xfrm>
          <a:off x="7212850" y="3517842"/>
          <a:ext cx="603019" cy="7568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509502</xdr:colOff>
      <xdr:row>3</xdr:row>
      <xdr:rowOff>66849</xdr:rowOff>
    </xdr:from>
    <xdr:to>
      <xdr:col>19</xdr:col>
      <xdr:colOff>38100</xdr:colOff>
      <xdr:row>19</xdr:row>
      <xdr:rowOff>28750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E90AEF-F1A0-4B51-BF9D-87E9E9A400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255270</xdr:colOff>
      <xdr:row>6</xdr:row>
      <xdr:rowOff>163830</xdr:rowOff>
    </xdr:from>
    <xdr:to>
      <xdr:col>15</xdr:col>
      <xdr:colOff>560070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25B01-6DC5-44BC-9EB6-6D060F314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</xdr:row>
      <xdr:rowOff>3810</xdr:rowOff>
    </xdr:from>
    <xdr:to>
      <xdr:col>6</xdr:col>
      <xdr:colOff>266700</xdr:colOff>
      <xdr:row>20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07718D-59E3-4EAC-A499-C853CC30C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WS\lectures\River%20Science%202026\rating%20curves%20prep\(2)%20ice-jam_staging_MOCA%20(FortSimpson)_SG.xlsx" TargetMode="External"/><Relationship Id="rId1" Type="http://schemas.openxmlformats.org/officeDocument/2006/relationships/externalLinkPath" Target="(2)%20ice-jam_staging_MOCA%20(FortSimpson)_S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WS\lectures\River%20Science%202026\rating%20curves%20prep\rating%20curves%20prep.xlsx" TargetMode="External"/><Relationship Id="rId1" Type="http://schemas.openxmlformats.org/officeDocument/2006/relationships/externalLinkPath" Target="rating%20curves%20pre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nges"/>
      <sheetName val="values_profile"/>
      <sheetName val="output"/>
      <sheetName val="geomorph"/>
      <sheetName val="Q_GEV"/>
      <sheetName val="Q_GEV(random)"/>
      <sheetName val="HWmarks"/>
      <sheetName val="locations"/>
    </sheetNames>
    <sheetDataSet>
      <sheetData sheetId="0" refreshError="1"/>
      <sheetData sheetId="1" refreshError="1"/>
      <sheetData sheetId="2" refreshError="1"/>
      <sheetData sheetId="3">
        <row r="1">
          <cell r="B1" t="str">
            <v>width (m)</v>
          </cell>
          <cell r="C1" t="str">
            <v>open-water profile</v>
          </cell>
        </row>
        <row r="2">
          <cell r="A2">
            <v>0</v>
          </cell>
          <cell r="C2">
            <v>114.944</v>
          </cell>
        </row>
        <row r="3">
          <cell r="A3">
            <v>10</v>
          </cell>
          <cell r="C3">
            <v>114.944</v>
          </cell>
        </row>
        <row r="4">
          <cell r="A4">
            <v>20</v>
          </cell>
          <cell r="C4">
            <v>114.943</v>
          </cell>
        </row>
        <row r="5">
          <cell r="A5">
            <v>30</v>
          </cell>
          <cell r="C5">
            <v>114.94199999999999</v>
          </cell>
        </row>
        <row r="6">
          <cell r="A6">
            <v>40</v>
          </cell>
          <cell r="C6">
            <v>114.94199999999999</v>
          </cell>
        </row>
        <row r="7">
          <cell r="A7">
            <v>50</v>
          </cell>
          <cell r="C7">
            <v>114.941</v>
          </cell>
        </row>
        <row r="8">
          <cell r="A8">
            <v>60</v>
          </cell>
          <cell r="C8">
            <v>114.94</v>
          </cell>
        </row>
        <row r="9">
          <cell r="A9">
            <v>70</v>
          </cell>
          <cell r="C9">
            <v>114.94</v>
          </cell>
        </row>
        <row r="10">
          <cell r="A10">
            <v>80</v>
          </cell>
          <cell r="C10">
            <v>114.93899999999999</v>
          </cell>
        </row>
        <row r="11">
          <cell r="A11">
            <v>90</v>
          </cell>
          <cell r="C11">
            <v>114.938</v>
          </cell>
        </row>
        <row r="12">
          <cell r="A12">
            <v>100</v>
          </cell>
          <cell r="C12">
            <v>114.938</v>
          </cell>
        </row>
        <row r="13">
          <cell r="A13">
            <v>110</v>
          </cell>
          <cell r="C13">
            <v>114.937</v>
          </cell>
        </row>
        <row r="14">
          <cell r="A14">
            <v>120</v>
          </cell>
          <cell r="C14">
            <v>114.93600000000001</v>
          </cell>
        </row>
        <row r="15">
          <cell r="A15">
            <v>130</v>
          </cell>
          <cell r="C15">
            <v>114.93600000000001</v>
          </cell>
        </row>
        <row r="16">
          <cell r="A16">
            <v>140</v>
          </cell>
          <cell r="C16">
            <v>114.935</v>
          </cell>
        </row>
        <row r="17">
          <cell r="A17">
            <v>150</v>
          </cell>
          <cell r="C17">
            <v>114.934</v>
          </cell>
        </row>
        <row r="18">
          <cell r="A18">
            <v>160</v>
          </cell>
          <cell r="C18">
            <v>114.934</v>
          </cell>
        </row>
        <row r="19">
          <cell r="A19">
            <v>170</v>
          </cell>
          <cell r="C19">
            <v>114.93300000000001</v>
          </cell>
        </row>
        <row r="20">
          <cell r="A20">
            <v>180</v>
          </cell>
          <cell r="C20">
            <v>114.932</v>
          </cell>
        </row>
        <row r="21">
          <cell r="A21">
            <v>190</v>
          </cell>
          <cell r="C21">
            <v>114.931</v>
          </cell>
        </row>
        <row r="22">
          <cell r="A22">
            <v>200</v>
          </cell>
          <cell r="C22">
            <v>114.931</v>
          </cell>
        </row>
        <row r="23">
          <cell r="A23">
            <v>210</v>
          </cell>
          <cell r="C23">
            <v>114.93</v>
          </cell>
        </row>
        <row r="24">
          <cell r="A24">
            <v>220</v>
          </cell>
          <cell r="C24">
            <v>114.929</v>
          </cell>
        </row>
        <row r="25">
          <cell r="A25">
            <v>230</v>
          </cell>
          <cell r="C25">
            <v>114.929</v>
          </cell>
        </row>
        <row r="26">
          <cell r="A26">
            <v>240</v>
          </cell>
          <cell r="C26">
            <v>114.928</v>
          </cell>
        </row>
        <row r="27">
          <cell r="A27">
            <v>250</v>
          </cell>
          <cell r="C27">
            <v>114.92700000000001</v>
          </cell>
        </row>
        <row r="28">
          <cell r="A28">
            <v>260</v>
          </cell>
          <cell r="C28">
            <v>114.926</v>
          </cell>
        </row>
        <row r="29">
          <cell r="A29">
            <v>270</v>
          </cell>
          <cell r="C29">
            <v>114.926</v>
          </cell>
        </row>
        <row r="30">
          <cell r="A30">
            <v>280</v>
          </cell>
          <cell r="C30">
            <v>114.925</v>
          </cell>
        </row>
        <row r="31">
          <cell r="A31">
            <v>290</v>
          </cell>
          <cell r="C31">
            <v>114.92400000000001</v>
          </cell>
        </row>
        <row r="32">
          <cell r="A32">
            <v>300</v>
          </cell>
          <cell r="C32">
            <v>114.923</v>
          </cell>
        </row>
        <row r="33">
          <cell r="A33">
            <v>310</v>
          </cell>
          <cell r="C33">
            <v>114.923</v>
          </cell>
        </row>
        <row r="34">
          <cell r="A34">
            <v>320</v>
          </cell>
          <cell r="C34">
            <v>114.922</v>
          </cell>
        </row>
        <row r="35">
          <cell r="A35">
            <v>330</v>
          </cell>
          <cell r="C35">
            <v>114.92100000000001</v>
          </cell>
        </row>
        <row r="36">
          <cell r="A36">
            <v>340</v>
          </cell>
          <cell r="C36">
            <v>114.92</v>
          </cell>
        </row>
        <row r="37">
          <cell r="A37">
            <v>350</v>
          </cell>
          <cell r="C37">
            <v>114.92</v>
          </cell>
        </row>
        <row r="38">
          <cell r="A38">
            <v>360</v>
          </cell>
          <cell r="C38">
            <v>114.919</v>
          </cell>
        </row>
        <row r="39">
          <cell r="A39">
            <v>370</v>
          </cell>
          <cell r="C39">
            <v>114.91800000000001</v>
          </cell>
        </row>
        <row r="40">
          <cell r="A40">
            <v>380</v>
          </cell>
          <cell r="C40">
            <v>114.917</v>
          </cell>
        </row>
        <row r="41">
          <cell r="A41">
            <v>390</v>
          </cell>
          <cell r="C41">
            <v>114.917</v>
          </cell>
        </row>
        <row r="42">
          <cell r="A42">
            <v>400</v>
          </cell>
          <cell r="C42">
            <v>114.916</v>
          </cell>
        </row>
        <row r="43">
          <cell r="A43">
            <v>410</v>
          </cell>
          <cell r="C43">
            <v>114.91500000000001</v>
          </cell>
        </row>
        <row r="44">
          <cell r="A44">
            <v>420</v>
          </cell>
          <cell r="C44">
            <v>114.914</v>
          </cell>
        </row>
        <row r="45">
          <cell r="A45">
            <v>430</v>
          </cell>
          <cell r="C45">
            <v>114.913</v>
          </cell>
        </row>
        <row r="46">
          <cell r="A46">
            <v>440</v>
          </cell>
          <cell r="C46">
            <v>114.91200000000001</v>
          </cell>
        </row>
        <row r="47">
          <cell r="A47">
            <v>450</v>
          </cell>
          <cell r="C47">
            <v>114.91200000000001</v>
          </cell>
        </row>
        <row r="48">
          <cell r="A48">
            <v>460</v>
          </cell>
          <cell r="C48">
            <v>114.911</v>
          </cell>
        </row>
        <row r="49">
          <cell r="A49">
            <v>470</v>
          </cell>
          <cell r="C49">
            <v>114.91</v>
          </cell>
        </row>
        <row r="50">
          <cell r="A50">
            <v>480</v>
          </cell>
          <cell r="C50">
            <v>114.90900000000001</v>
          </cell>
        </row>
        <row r="51">
          <cell r="A51">
            <v>490</v>
          </cell>
          <cell r="C51">
            <v>114.908</v>
          </cell>
        </row>
        <row r="52">
          <cell r="A52">
            <v>500</v>
          </cell>
          <cell r="C52">
            <v>114.908</v>
          </cell>
        </row>
        <row r="53">
          <cell r="A53">
            <v>510</v>
          </cell>
          <cell r="C53">
            <v>114.907</v>
          </cell>
        </row>
        <row r="54">
          <cell r="A54">
            <v>520</v>
          </cell>
          <cell r="C54">
            <v>114.90600000000001</v>
          </cell>
        </row>
        <row r="55">
          <cell r="A55">
            <v>530</v>
          </cell>
          <cell r="C55">
            <v>114.905</v>
          </cell>
        </row>
        <row r="56">
          <cell r="A56">
            <v>540</v>
          </cell>
          <cell r="C56">
            <v>114.904</v>
          </cell>
        </row>
        <row r="57">
          <cell r="A57">
            <v>550</v>
          </cell>
          <cell r="C57">
            <v>114.90300000000001</v>
          </cell>
        </row>
        <row r="58">
          <cell r="A58">
            <v>560</v>
          </cell>
          <cell r="C58">
            <v>114.902</v>
          </cell>
        </row>
        <row r="59">
          <cell r="A59">
            <v>570</v>
          </cell>
          <cell r="C59">
            <v>114.901</v>
          </cell>
        </row>
        <row r="60">
          <cell r="A60">
            <v>580</v>
          </cell>
          <cell r="C60">
            <v>114.901</v>
          </cell>
        </row>
        <row r="61">
          <cell r="A61">
            <v>590</v>
          </cell>
          <cell r="C61">
            <v>114.9</v>
          </cell>
        </row>
        <row r="62">
          <cell r="A62">
            <v>600</v>
          </cell>
          <cell r="C62">
            <v>114.899</v>
          </cell>
        </row>
        <row r="63">
          <cell r="A63">
            <v>610</v>
          </cell>
          <cell r="C63">
            <v>114.898</v>
          </cell>
        </row>
        <row r="64">
          <cell r="A64">
            <v>620</v>
          </cell>
          <cell r="C64">
            <v>114.89700000000001</v>
          </cell>
        </row>
        <row r="65">
          <cell r="A65">
            <v>630</v>
          </cell>
          <cell r="C65">
            <v>114.896</v>
          </cell>
        </row>
        <row r="66">
          <cell r="A66">
            <v>640</v>
          </cell>
          <cell r="C66">
            <v>114.895</v>
          </cell>
        </row>
        <row r="67">
          <cell r="A67">
            <v>650</v>
          </cell>
          <cell r="C67">
            <v>114.89400000000001</v>
          </cell>
        </row>
        <row r="68">
          <cell r="A68">
            <v>660</v>
          </cell>
          <cell r="C68">
            <v>114.893</v>
          </cell>
        </row>
        <row r="69">
          <cell r="A69">
            <v>670</v>
          </cell>
          <cell r="C69">
            <v>114.892</v>
          </cell>
        </row>
        <row r="70">
          <cell r="A70">
            <v>680</v>
          </cell>
          <cell r="C70">
            <v>114.89100000000001</v>
          </cell>
        </row>
        <row r="71">
          <cell r="A71">
            <v>690</v>
          </cell>
          <cell r="C71">
            <v>114.89</v>
          </cell>
        </row>
        <row r="72">
          <cell r="A72">
            <v>700</v>
          </cell>
          <cell r="C72">
            <v>114.89</v>
          </cell>
        </row>
        <row r="73">
          <cell r="A73">
            <v>710</v>
          </cell>
          <cell r="C73">
            <v>114.889</v>
          </cell>
        </row>
        <row r="74">
          <cell r="A74">
            <v>720</v>
          </cell>
          <cell r="C74">
            <v>114.88800000000001</v>
          </cell>
        </row>
        <row r="75">
          <cell r="A75">
            <v>730</v>
          </cell>
          <cell r="C75">
            <v>114.887</v>
          </cell>
        </row>
        <row r="76">
          <cell r="A76">
            <v>740</v>
          </cell>
          <cell r="C76">
            <v>114.886</v>
          </cell>
        </row>
        <row r="77">
          <cell r="A77">
            <v>750</v>
          </cell>
          <cell r="C77">
            <v>114.88500000000001</v>
          </cell>
        </row>
        <row r="78">
          <cell r="A78">
            <v>760</v>
          </cell>
          <cell r="C78">
            <v>114.884</v>
          </cell>
        </row>
        <row r="79">
          <cell r="A79">
            <v>770</v>
          </cell>
          <cell r="C79">
            <v>114.883</v>
          </cell>
        </row>
        <row r="80">
          <cell r="A80">
            <v>780</v>
          </cell>
          <cell r="C80">
            <v>114.88200000000001</v>
          </cell>
        </row>
        <row r="81">
          <cell r="A81">
            <v>790</v>
          </cell>
          <cell r="C81">
            <v>114.881</v>
          </cell>
        </row>
        <row r="82">
          <cell r="A82">
            <v>800</v>
          </cell>
          <cell r="C82">
            <v>114.88</v>
          </cell>
        </row>
        <row r="83">
          <cell r="A83">
            <v>810</v>
          </cell>
          <cell r="C83">
            <v>114.879</v>
          </cell>
        </row>
        <row r="84">
          <cell r="A84">
            <v>820</v>
          </cell>
          <cell r="C84">
            <v>114.878</v>
          </cell>
        </row>
        <row r="85">
          <cell r="A85">
            <v>830</v>
          </cell>
          <cell r="C85">
            <v>114.877</v>
          </cell>
        </row>
        <row r="86">
          <cell r="A86">
            <v>840</v>
          </cell>
          <cell r="C86">
            <v>114.876</v>
          </cell>
        </row>
        <row r="87">
          <cell r="A87">
            <v>850</v>
          </cell>
          <cell r="C87">
            <v>114.875</v>
          </cell>
        </row>
        <row r="88">
          <cell r="A88">
            <v>860</v>
          </cell>
          <cell r="C88">
            <v>114.874</v>
          </cell>
        </row>
        <row r="89">
          <cell r="A89">
            <v>870</v>
          </cell>
          <cell r="C89">
            <v>114.872</v>
          </cell>
        </row>
        <row r="90">
          <cell r="A90">
            <v>880</v>
          </cell>
          <cell r="C90">
            <v>114.871</v>
          </cell>
        </row>
        <row r="91">
          <cell r="A91">
            <v>890</v>
          </cell>
          <cell r="C91">
            <v>114.87</v>
          </cell>
        </row>
        <row r="92">
          <cell r="A92">
            <v>900</v>
          </cell>
          <cell r="C92">
            <v>114.869</v>
          </cell>
        </row>
        <row r="93">
          <cell r="A93">
            <v>910</v>
          </cell>
          <cell r="C93">
            <v>114.86799999999999</v>
          </cell>
        </row>
        <row r="94">
          <cell r="A94">
            <v>920</v>
          </cell>
          <cell r="C94">
            <v>114.867</v>
          </cell>
        </row>
        <row r="95">
          <cell r="A95">
            <v>930</v>
          </cell>
          <cell r="C95">
            <v>114.866</v>
          </cell>
        </row>
        <row r="96">
          <cell r="A96">
            <v>940</v>
          </cell>
          <cell r="C96">
            <v>114.86499999999999</v>
          </cell>
        </row>
        <row r="97">
          <cell r="A97">
            <v>950</v>
          </cell>
          <cell r="C97">
            <v>114.864</v>
          </cell>
        </row>
        <row r="98">
          <cell r="A98">
            <v>960</v>
          </cell>
          <cell r="C98">
            <v>114.863</v>
          </cell>
        </row>
        <row r="99">
          <cell r="A99">
            <v>970</v>
          </cell>
          <cell r="C99">
            <v>114.861</v>
          </cell>
        </row>
        <row r="100">
          <cell r="A100">
            <v>980</v>
          </cell>
          <cell r="C100">
            <v>114.86</v>
          </cell>
        </row>
        <row r="101">
          <cell r="A101">
            <v>990</v>
          </cell>
          <cell r="C101">
            <v>114.85899999999999</v>
          </cell>
        </row>
        <row r="102">
          <cell r="A102">
            <v>1000</v>
          </cell>
          <cell r="C102">
            <v>114.858</v>
          </cell>
        </row>
        <row r="103">
          <cell r="A103">
            <v>1010</v>
          </cell>
          <cell r="C103">
            <v>114.857</v>
          </cell>
        </row>
        <row r="104">
          <cell r="A104">
            <v>1020</v>
          </cell>
          <cell r="C104">
            <v>114.85599999999999</v>
          </cell>
        </row>
        <row r="105">
          <cell r="A105">
            <v>1030</v>
          </cell>
          <cell r="C105">
            <v>114.855</v>
          </cell>
        </row>
        <row r="106">
          <cell r="A106">
            <v>1040</v>
          </cell>
          <cell r="C106">
            <v>114.85299999999999</v>
          </cell>
        </row>
        <row r="107">
          <cell r="A107">
            <v>1050</v>
          </cell>
          <cell r="C107">
            <v>114.852</v>
          </cell>
        </row>
        <row r="108">
          <cell r="A108">
            <v>1060</v>
          </cell>
          <cell r="C108">
            <v>114.851</v>
          </cell>
        </row>
        <row r="109">
          <cell r="A109">
            <v>1070</v>
          </cell>
          <cell r="C109">
            <v>114.85</v>
          </cell>
        </row>
        <row r="110">
          <cell r="A110">
            <v>1080</v>
          </cell>
          <cell r="C110">
            <v>114.848</v>
          </cell>
        </row>
        <row r="111">
          <cell r="A111">
            <v>1090</v>
          </cell>
          <cell r="C111">
            <v>114.84699999999999</v>
          </cell>
        </row>
        <row r="112">
          <cell r="A112">
            <v>1100</v>
          </cell>
          <cell r="C112">
            <v>114.846</v>
          </cell>
        </row>
        <row r="113">
          <cell r="A113">
            <v>1110</v>
          </cell>
          <cell r="C113">
            <v>114.845</v>
          </cell>
        </row>
        <row r="114">
          <cell r="A114">
            <v>1120</v>
          </cell>
          <cell r="C114">
            <v>114.843</v>
          </cell>
        </row>
        <row r="115">
          <cell r="A115">
            <v>1130</v>
          </cell>
          <cell r="C115">
            <v>114.842</v>
          </cell>
        </row>
        <row r="116">
          <cell r="A116">
            <v>1140</v>
          </cell>
          <cell r="C116">
            <v>114.84099999999999</v>
          </cell>
        </row>
        <row r="117">
          <cell r="A117">
            <v>1150</v>
          </cell>
          <cell r="C117">
            <v>114.84</v>
          </cell>
        </row>
        <row r="118">
          <cell r="A118">
            <v>1160</v>
          </cell>
          <cell r="C118">
            <v>114.83799999999999</v>
          </cell>
        </row>
        <row r="119">
          <cell r="A119">
            <v>1170</v>
          </cell>
          <cell r="C119">
            <v>114.837</v>
          </cell>
        </row>
        <row r="120">
          <cell r="A120">
            <v>1180</v>
          </cell>
          <cell r="C120">
            <v>114.836</v>
          </cell>
        </row>
        <row r="121">
          <cell r="A121">
            <v>1190</v>
          </cell>
          <cell r="C121">
            <v>114.834</v>
          </cell>
        </row>
        <row r="122">
          <cell r="A122">
            <v>1200</v>
          </cell>
          <cell r="C122">
            <v>114.833</v>
          </cell>
        </row>
        <row r="123">
          <cell r="A123">
            <v>1210</v>
          </cell>
          <cell r="C123">
            <v>114.83199999999999</v>
          </cell>
        </row>
        <row r="124">
          <cell r="A124">
            <v>1220</v>
          </cell>
          <cell r="C124">
            <v>114.83</v>
          </cell>
        </row>
        <row r="125">
          <cell r="A125">
            <v>1230</v>
          </cell>
          <cell r="C125">
            <v>114.82899999999999</v>
          </cell>
        </row>
        <row r="126">
          <cell r="A126">
            <v>1240</v>
          </cell>
          <cell r="C126">
            <v>114.827</v>
          </cell>
        </row>
        <row r="127">
          <cell r="A127">
            <v>1250</v>
          </cell>
          <cell r="C127">
            <v>114.82599999999999</v>
          </cell>
        </row>
        <row r="128">
          <cell r="A128">
            <v>1260</v>
          </cell>
          <cell r="C128">
            <v>114.825</v>
          </cell>
        </row>
        <row r="129">
          <cell r="A129">
            <v>1270</v>
          </cell>
          <cell r="C129">
            <v>114.82299999999999</v>
          </cell>
        </row>
        <row r="130">
          <cell r="A130">
            <v>1280</v>
          </cell>
          <cell r="C130">
            <v>114.822</v>
          </cell>
        </row>
        <row r="131">
          <cell r="A131">
            <v>1290</v>
          </cell>
          <cell r="C131">
            <v>114.82</v>
          </cell>
        </row>
        <row r="132">
          <cell r="A132">
            <v>1300</v>
          </cell>
          <cell r="C132">
            <v>114.819</v>
          </cell>
        </row>
        <row r="133">
          <cell r="A133">
            <v>1310</v>
          </cell>
          <cell r="C133">
            <v>114.81699999999999</v>
          </cell>
        </row>
        <row r="134">
          <cell r="A134">
            <v>1320</v>
          </cell>
          <cell r="C134">
            <v>114.816</v>
          </cell>
        </row>
        <row r="135">
          <cell r="A135">
            <v>1330</v>
          </cell>
          <cell r="C135">
            <v>114.81399999999999</v>
          </cell>
        </row>
        <row r="136">
          <cell r="A136">
            <v>1340</v>
          </cell>
          <cell r="C136">
            <v>114.813</v>
          </cell>
        </row>
        <row r="137">
          <cell r="A137">
            <v>1350</v>
          </cell>
          <cell r="C137">
            <v>114.81100000000001</v>
          </cell>
        </row>
        <row r="138">
          <cell r="A138">
            <v>1360</v>
          </cell>
          <cell r="C138">
            <v>114.81</v>
          </cell>
        </row>
        <row r="139">
          <cell r="A139">
            <v>1370</v>
          </cell>
          <cell r="C139">
            <v>114.80800000000001</v>
          </cell>
        </row>
        <row r="140">
          <cell r="A140">
            <v>1380</v>
          </cell>
          <cell r="C140">
            <v>114.806</v>
          </cell>
        </row>
        <row r="141">
          <cell r="A141">
            <v>1390</v>
          </cell>
          <cell r="C141">
            <v>114.80500000000001</v>
          </cell>
        </row>
        <row r="142">
          <cell r="A142">
            <v>1400</v>
          </cell>
          <cell r="C142">
            <v>114.803</v>
          </cell>
        </row>
        <row r="143">
          <cell r="A143">
            <v>1410</v>
          </cell>
          <cell r="C143">
            <v>114.80200000000001</v>
          </cell>
        </row>
        <row r="144">
          <cell r="A144">
            <v>1420</v>
          </cell>
          <cell r="C144">
            <v>114.8</v>
          </cell>
        </row>
        <row r="145">
          <cell r="A145">
            <v>1430</v>
          </cell>
          <cell r="C145">
            <v>114.798</v>
          </cell>
        </row>
        <row r="146">
          <cell r="A146">
            <v>1440</v>
          </cell>
          <cell r="C146">
            <v>114.797</v>
          </cell>
        </row>
        <row r="147">
          <cell r="A147">
            <v>1450</v>
          </cell>
          <cell r="C147">
            <v>114.795</v>
          </cell>
        </row>
        <row r="148">
          <cell r="A148">
            <v>1460</v>
          </cell>
          <cell r="C148">
            <v>114.79300000000001</v>
          </cell>
        </row>
        <row r="149">
          <cell r="A149">
            <v>1470</v>
          </cell>
          <cell r="C149">
            <v>114.792</v>
          </cell>
        </row>
        <row r="150">
          <cell r="A150">
            <v>1480</v>
          </cell>
          <cell r="C150">
            <v>114.79</v>
          </cell>
        </row>
        <row r="151">
          <cell r="A151">
            <v>1490</v>
          </cell>
          <cell r="C151">
            <v>114.788</v>
          </cell>
        </row>
        <row r="152">
          <cell r="A152">
            <v>1500</v>
          </cell>
          <cell r="C152">
            <v>114.786</v>
          </cell>
        </row>
        <row r="153">
          <cell r="A153">
            <v>1510</v>
          </cell>
          <cell r="C153">
            <v>114.78400000000001</v>
          </cell>
        </row>
        <row r="154">
          <cell r="A154">
            <v>1520</v>
          </cell>
          <cell r="C154">
            <v>114.783</v>
          </cell>
        </row>
        <row r="155">
          <cell r="A155">
            <v>1530</v>
          </cell>
          <cell r="C155">
            <v>114.78100000000001</v>
          </cell>
        </row>
        <row r="156">
          <cell r="A156">
            <v>1540</v>
          </cell>
          <cell r="C156">
            <v>114.779</v>
          </cell>
        </row>
        <row r="157">
          <cell r="A157">
            <v>1550</v>
          </cell>
          <cell r="C157">
            <v>114.777</v>
          </cell>
        </row>
        <row r="158">
          <cell r="A158">
            <v>1560</v>
          </cell>
          <cell r="C158">
            <v>114.77500000000001</v>
          </cell>
        </row>
        <row r="159">
          <cell r="A159">
            <v>1570</v>
          </cell>
          <cell r="C159">
            <v>114.773</v>
          </cell>
        </row>
        <row r="160">
          <cell r="A160">
            <v>1580</v>
          </cell>
          <cell r="C160">
            <v>114.771</v>
          </cell>
        </row>
        <row r="161">
          <cell r="A161">
            <v>1590</v>
          </cell>
          <cell r="C161">
            <v>114.76900000000001</v>
          </cell>
        </row>
        <row r="162">
          <cell r="A162">
            <v>1600</v>
          </cell>
          <cell r="C162">
            <v>114.767</v>
          </cell>
        </row>
        <row r="163">
          <cell r="A163">
            <v>1610</v>
          </cell>
          <cell r="C163">
            <v>114.765</v>
          </cell>
        </row>
        <row r="164">
          <cell r="A164">
            <v>1620</v>
          </cell>
          <cell r="C164">
            <v>114.76300000000001</v>
          </cell>
        </row>
        <row r="165">
          <cell r="A165">
            <v>1630</v>
          </cell>
          <cell r="C165">
            <v>114.761</v>
          </cell>
        </row>
        <row r="166">
          <cell r="A166">
            <v>1640</v>
          </cell>
          <cell r="C166">
            <v>114.759</v>
          </cell>
        </row>
        <row r="167">
          <cell r="A167">
            <v>1650</v>
          </cell>
          <cell r="C167">
            <v>114.75700000000001</v>
          </cell>
        </row>
        <row r="168">
          <cell r="A168">
            <v>1660</v>
          </cell>
          <cell r="C168">
            <v>114.755</v>
          </cell>
        </row>
        <row r="169">
          <cell r="A169">
            <v>1670</v>
          </cell>
          <cell r="C169">
            <v>114.753</v>
          </cell>
        </row>
        <row r="170">
          <cell r="A170">
            <v>1680</v>
          </cell>
          <cell r="C170">
            <v>114.751</v>
          </cell>
        </row>
        <row r="171">
          <cell r="A171">
            <v>1690</v>
          </cell>
          <cell r="C171">
            <v>114.749</v>
          </cell>
        </row>
        <row r="172">
          <cell r="A172">
            <v>1700</v>
          </cell>
          <cell r="C172">
            <v>114.747</v>
          </cell>
        </row>
        <row r="173">
          <cell r="A173">
            <v>1710</v>
          </cell>
          <cell r="C173">
            <v>114.744</v>
          </cell>
        </row>
        <row r="174">
          <cell r="A174">
            <v>1720</v>
          </cell>
          <cell r="C174">
            <v>114.742</v>
          </cell>
        </row>
        <row r="175">
          <cell r="A175">
            <v>1730</v>
          </cell>
          <cell r="C175">
            <v>114.74</v>
          </cell>
        </row>
        <row r="176">
          <cell r="A176">
            <v>1740</v>
          </cell>
          <cell r="C176">
            <v>114.738</v>
          </cell>
        </row>
        <row r="177">
          <cell r="A177">
            <v>1750</v>
          </cell>
          <cell r="C177">
            <v>114.736</v>
          </cell>
        </row>
        <row r="178">
          <cell r="A178">
            <v>1760</v>
          </cell>
          <cell r="C178">
            <v>114.73399999999999</v>
          </cell>
        </row>
        <row r="179">
          <cell r="A179">
            <v>1770</v>
          </cell>
          <cell r="C179">
            <v>114.73099999999999</v>
          </cell>
        </row>
        <row r="180">
          <cell r="A180">
            <v>1780</v>
          </cell>
          <cell r="C180">
            <v>114.729</v>
          </cell>
        </row>
        <row r="181">
          <cell r="A181">
            <v>1790</v>
          </cell>
          <cell r="C181">
            <v>114.727</v>
          </cell>
        </row>
        <row r="182">
          <cell r="A182">
            <v>1800</v>
          </cell>
          <cell r="C182">
            <v>114.72499999999999</v>
          </cell>
        </row>
        <row r="183">
          <cell r="A183">
            <v>1810</v>
          </cell>
          <cell r="C183">
            <v>114.723</v>
          </cell>
        </row>
        <row r="184">
          <cell r="A184">
            <v>1820</v>
          </cell>
          <cell r="C184">
            <v>114.721</v>
          </cell>
        </row>
        <row r="185">
          <cell r="A185">
            <v>1830</v>
          </cell>
          <cell r="C185">
            <v>114.71899999999999</v>
          </cell>
        </row>
        <row r="186">
          <cell r="A186">
            <v>1840</v>
          </cell>
          <cell r="C186">
            <v>114.717</v>
          </cell>
        </row>
        <row r="187">
          <cell r="A187">
            <v>1850</v>
          </cell>
          <cell r="C187">
            <v>114.714</v>
          </cell>
        </row>
        <row r="188">
          <cell r="A188">
            <v>1860</v>
          </cell>
          <cell r="C188">
            <v>114.712</v>
          </cell>
        </row>
        <row r="189">
          <cell r="A189">
            <v>1870</v>
          </cell>
          <cell r="C189">
            <v>114.71</v>
          </cell>
        </row>
        <row r="190">
          <cell r="A190">
            <v>1880</v>
          </cell>
          <cell r="C190">
            <v>114.708</v>
          </cell>
        </row>
        <row r="191">
          <cell r="A191">
            <v>1890</v>
          </cell>
          <cell r="C191">
            <v>114.706</v>
          </cell>
        </row>
        <row r="192">
          <cell r="A192">
            <v>1900</v>
          </cell>
          <cell r="C192">
            <v>114.70399999999999</v>
          </cell>
        </row>
        <row r="193">
          <cell r="A193">
            <v>1910</v>
          </cell>
          <cell r="C193">
            <v>114.702</v>
          </cell>
        </row>
        <row r="194">
          <cell r="A194">
            <v>1920</v>
          </cell>
          <cell r="C194">
            <v>114.7</v>
          </cell>
        </row>
        <row r="195">
          <cell r="A195">
            <v>1930</v>
          </cell>
          <cell r="C195">
            <v>114.69799999999999</v>
          </cell>
        </row>
        <row r="196">
          <cell r="A196">
            <v>1940</v>
          </cell>
          <cell r="C196">
            <v>114.696</v>
          </cell>
        </row>
        <row r="197">
          <cell r="A197">
            <v>1950</v>
          </cell>
          <cell r="C197">
            <v>114.693</v>
          </cell>
        </row>
        <row r="198">
          <cell r="A198">
            <v>1960</v>
          </cell>
          <cell r="C198">
            <v>114.691</v>
          </cell>
        </row>
        <row r="199">
          <cell r="A199">
            <v>1970</v>
          </cell>
          <cell r="C199">
            <v>114.68899999999999</v>
          </cell>
        </row>
        <row r="200">
          <cell r="A200">
            <v>1980</v>
          </cell>
          <cell r="C200">
            <v>114.687</v>
          </cell>
        </row>
        <row r="201">
          <cell r="A201">
            <v>1990</v>
          </cell>
          <cell r="C201">
            <v>114.685</v>
          </cell>
        </row>
        <row r="202">
          <cell r="A202">
            <v>2000</v>
          </cell>
          <cell r="C202">
            <v>114.68300000000001</v>
          </cell>
        </row>
        <row r="203">
          <cell r="A203">
            <v>2010</v>
          </cell>
          <cell r="C203">
            <v>114.681</v>
          </cell>
        </row>
        <row r="204">
          <cell r="A204">
            <v>2020</v>
          </cell>
          <cell r="C204">
            <v>114.679</v>
          </cell>
        </row>
        <row r="205">
          <cell r="A205">
            <v>2030</v>
          </cell>
          <cell r="C205">
            <v>114.67700000000001</v>
          </cell>
        </row>
        <row r="206">
          <cell r="A206">
            <v>2040</v>
          </cell>
          <cell r="C206">
            <v>114.675</v>
          </cell>
        </row>
        <row r="207">
          <cell r="A207">
            <v>2050</v>
          </cell>
          <cell r="C207">
            <v>114.673</v>
          </cell>
        </row>
        <row r="208">
          <cell r="A208">
            <v>2060</v>
          </cell>
          <cell r="C208">
            <v>114.67100000000001</v>
          </cell>
        </row>
        <row r="209">
          <cell r="A209">
            <v>2070</v>
          </cell>
          <cell r="C209">
            <v>114.669</v>
          </cell>
        </row>
        <row r="210">
          <cell r="A210">
            <v>2080</v>
          </cell>
          <cell r="C210">
            <v>114.667</v>
          </cell>
        </row>
        <row r="211">
          <cell r="A211">
            <v>2090</v>
          </cell>
          <cell r="C211">
            <v>114.66500000000001</v>
          </cell>
        </row>
        <row r="212">
          <cell r="A212">
            <v>2100</v>
          </cell>
          <cell r="C212">
            <v>114.663</v>
          </cell>
        </row>
        <row r="213">
          <cell r="A213">
            <v>2110</v>
          </cell>
          <cell r="C213">
            <v>114.661</v>
          </cell>
        </row>
        <row r="214">
          <cell r="A214">
            <v>2120</v>
          </cell>
          <cell r="C214">
            <v>114.65900000000001</v>
          </cell>
        </row>
        <row r="215">
          <cell r="A215">
            <v>2130</v>
          </cell>
          <cell r="C215">
            <v>114.657</v>
          </cell>
        </row>
        <row r="216">
          <cell r="A216">
            <v>2140</v>
          </cell>
          <cell r="C216">
            <v>114.655</v>
          </cell>
        </row>
        <row r="217">
          <cell r="A217">
            <v>2150</v>
          </cell>
          <cell r="C217">
            <v>114.65300000000001</v>
          </cell>
        </row>
        <row r="218">
          <cell r="A218">
            <v>2160</v>
          </cell>
          <cell r="C218">
            <v>114.651</v>
          </cell>
        </row>
        <row r="219">
          <cell r="A219">
            <v>2170</v>
          </cell>
          <cell r="C219">
            <v>114.648</v>
          </cell>
        </row>
        <row r="220">
          <cell r="A220">
            <v>2180</v>
          </cell>
          <cell r="C220">
            <v>114.646</v>
          </cell>
        </row>
        <row r="221">
          <cell r="A221">
            <v>2190</v>
          </cell>
          <cell r="C221">
            <v>114.64400000000001</v>
          </cell>
        </row>
        <row r="222">
          <cell r="A222">
            <v>2200</v>
          </cell>
          <cell r="C222">
            <v>114.642</v>
          </cell>
        </row>
        <row r="223">
          <cell r="A223">
            <v>2210</v>
          </cell>
          <cell r="C223">
            <v>114.64</v>
          </cell>
        </row>
        <row r="224">
          <cell r="A224">
            <v>2220</v>
          </cell>
          <cell r="C224">
            <v>114.63800000000001</v>
          </cell>
        </row>
        <row r="225">
          <cell r="A225">
            <v>2230</v>
          </cell>
          <cell r="C225">
            <v>114.636</v>
          </cell>
        </row>
        <row r="226">
          <cell r="A226">
            <v>2240</v>
          </cell>
          <cell r="C226">
            <v>114.634</v>
          </cell>
        </row>
        <row r="227">
          <cell r="A227">
            <v>2250</v>
          </cell>
          <cell r="C227">
            <v>114.63200000000001</v>
          </cell>
        </row>
        <row r="228">
          <cell r="A228">
            <v>2260</v>
          </cell>
          <cell r="C228">
            <v>114.63</v>
          </cell>
        </row>
        <row r="229">
          <cell r="A229">
            <v>2270</v>
          </cell>
          <cell r="C229">
            <v>114.628</v>
          </cell>
        </row>
        <row r="230">
          <cell r="A230">
            <v>2280</v>
          </cell>
          <cell r="C230">
            <v>114.626</v>
          </cell>
        </row>
        <row r="231">
          <cell r="A231">
            <v>2290</v>
          </cell>
          <cell r="C231">
            <v>114.624</v>
          </cell>
        </row>
        <row r="232">
          <cell r="A232">
            <v>2300</v>
          </cell>
          <cell r="C232">
            <v>114.623</v>
          </cell>
        </row>
        <row r="233">
          <cell r="A233">
            <v>2310</v>
          </cell>
          <cell r="C233">
            <v>114.621</v>
          </cell>
        </row>
        <row r="234">
          <cell r="A234">
            <v>2320</v>
          </cell>
          <cell r="C234">
            <v>114.619</v>
          </cell>
        </row>
        <row r="235">
          <cell r="A235">
            <v>2330</v>
          </cell>
          <cell r="C235">
            <v>114.617</v>
          </cell>
        </row>
        <row r="236">
          <cell r="A236">
            <v>2340</v>
          </cell>
          <cell r="C236">
            <v>114.61499999999999</v>
          </cell>
        </row>
        <row r="237">
          <cell r="A237">
            <v>2350</v>
          </cell>
          <cell r="C237">
            <v>114.613</v>
          </cell>
        </row>
        <row r="238">
          <cell r="A238">
            <v>2360</v>
          </cell>
          <cell r="C238">
            <v>114.611</v>
          </cell>
        </row>
        <row r="239">
          <cell r="A239">
            <v>2370</v>
          </cell>
          <cell r="C239">
            <v>114.60899999999999</v>
          </cell>
        </row>
        <row r="240">
          <cell r="A240">
            <v>2380</v>
          </cell>
          <cell r="C240">
            <v>114.607</v>
          </cell>
        </row>
        <row r="241">
          <cell r="A241">
            <v>2390</v>
          </cell>
          <cell r="C241">
            <v>114.605</v>
          </cell>
        </row>
        <row r="242">
          <cell r="A242">
            <v>2400</v>
          </cell>
          <cell r="C242">
            <v>114.60299999999999</v>
          </cell>
        </row>
        <row r="243">
          <cell r="A243">
            <v>2410</v>
          </cell>
          <cell r="C243">
            <v>114.601</v>
          </cell>
        </row>
        <row r="244">
          <cell r="A244">
            <v>2420</v>
          </cell>
          <cell r="C244">
            <v>114.599</v>
          </cell>
        </row>
        <row r="245">
          <cell r="A245">
            <v>2430</v>
          </cell>
          <cell r="C245">
            <v>114.59699999999999</v>
          </cell>
        </row>
        <row r="246">
          <cell r="A246">
            <v>2440</v>
          </cell>
          <cell r="C246">
            <v>114.595</v>
          </cell>
        </row>
        <row r="247">
          <cell r="A247">
            <v>2450</v>
          </cell>
          <cell r="C247">
            <v>114.593</v>
          </cell>
        </row>
        <row r="248">
          <cell r="A248">
            <v>2460</v>
          </cell>
          <cell r="C248">
            <v>114.59099999999999</v>
          </cell>
        </row>
        <row r="249">
          <cell r="A249">
            <v>2470</v>
          </cell>
          <cell r="C249">
            <v>114.589</v>
          </cell>
        </row>
        <row r="250">
          <cell r="A250">
            <v>2480</v>
          </cell>
          <cell r="C250">
            <v>114.58799999999999</v>
          </cell>
        </row>
        <row r="251">
          <cell r="A251">
            <v>2490</v>
          </cell>
          <cell r="C251">
            <v>114.586</v>
          </cell>
        </row>
        <row r="252">
          <cell r="A252">
            <v>2500</v>
          </cell>
          <cell r="C252">
            <v>114.584</v>
          </cell>
        </row>
        <row r="253">
          <cell r="A253">
            <v>2510</v>
          </cell>
          <cell r="C253">
            <v>114.58199999999999</v>
          </cell>
        </row>
        <row r="254">
          <cell r="A254">
            <v>2520</v>
          </cell>
          <cell r="C254">
            <v>114.58</v>
          </cell>
        </row>
        <row r="255">
          <cell r="A255">
            <v>2530</v>
          </cell>
          <cell r="C255">
            <v>114.578</v>
          </cell>
        </row>
        <row r="256">
          <cell r="A256">
            <v>2540</v>
          </cell>
          <cell r="C256">
            <v>114.57599999999999</v>
          </cell>
        </row>
        <row r="257">
          <cell r="A257">
            <v>2550</v>
          </cell>
          <cell r="C257">
            <v>114.574</v>
          </cell>
        </row>
        <row r="258">
          <cell r="A258">
            <v>2560</v>
          </cell>
          <cell r="C258">
            <v>114.572</v>
          </cell>
        </row>
        <row r="259">
          <cell r="A259">
            <v>2570</v>
          </cell>
          <cell r="C259">
            <v>114.571</v>
          </cell>
        </row>
        <row r="260">
          <cell r="A260">
            <v>2580</v>
          </cell>
          <cell r="C260">
            <v>114.569</v>
          </cell>
        </row>
        <row r="261">
          <cell r="A261">
            <v>2590</v>
          </cell>
          <cell r="C261">
            <v>114.56699999999999</v>
          </cell>
        </row>
        <row r="262">
          <cell r="A262">
            <v>2600</v>
          </cell>
          <cell r="C262">
            <v>114.565</v>
          </cell>
        </row>
        <row r="263">
          <cell r="A263">
            <v>2610</v>
          </cell>
          <cell r="C263">
            <v>114.563</v>
          </cell>
        </row>
        <row r="264">
          <cell r="A264">
            <v>2620</v>
          </cell>
          <cell r="C264">
            <v>114.56100000000001</v>
          </cell>
        </row>
        <row r="265">
          <cell r="A265">
            <v>2630</v>
          </cell>
          <cell r="C265">
            <v>114.56</v>
          </cell>
        </row>
        <row r="266">
          <cell r="A266">
            <v>2640</v>
          </cell>
          <cell r="C266">
            <v>114.55800000000001</v>
          </cell>
        </row>
        <row r="267">
          <cell r="A267">
            <v>2650</v>
          </cell>
          <cell r="C267">
            <v>114.556</v>
          </cell>
        </row>
        <row r="268">
          <cell r="A268">
            <v>2660</v>
          </cell>
          <cell r="C268">
            <v>114.554</v>
          </cell>
        </row>
        <row r="269">
          <cell r="A269">
            <v>2670</v>
          </cell>
          <cell r="C269">
            <v>114.55200000000001</v>
          </cell>
        </row>
        <row r="270">
          <cell r="A270">
            <v>2680</v>
          </cell>
          <cell r="C270">
            <v>114.551</v>
          </cell>
        </row>
        <row r="271">
          <cell r="A271">
            <v>2690</v>
          </cell>
          <cell r="C271">
            <v>114.54900000000001</v>
          </cell>
        </row>
        <row r="272">
          <cell r="A272">
            <v>2700</v>
          </cell>
          <cell r="C272">
            <v>114.547</v>
          </cell>
        </row>
        <row r="273">
          <cell r="A273">
            <v>2710</v>
          </cell>
          <cell r="C273">
            <v>114.545</v>
          </cell>
        </row>
        <row r="274">
          <cell r="A274">
            <v>2720</v>
          </cell>
          <cell r="C274">
            <v>114.54300000000001</v>
          </cell>
        </row>
        <row r="275">
          <cell r="A275">
            <v>2730</v>
          </cell>
          <cell r="C275">
            <v>114.542</v>
          </cell>
        </row>
        <row r="276">
          <cell r="A276">
            <v>2740</v>
          </cell>
          <cell r="C276">
            <v>114.54</v>
          </cell>
        </row>
        <row r="277">
          <cell r="A277">
            <v>2750</v>
          </cell>
          <cell r="C277">
            <v>114.538</v>
          </cell>
        </row>
        <row r="278">
          <cell r="A278">
            <v>2760</v>
          </cell>
          <cell r="C278">
            <v>114.536</v>
          </cell>
        </row>
        <row r="279">
          <cell r="A279">
            <v>2770</v>
          </cell>
          <cell r="C279">
            <v>114.535</v>
          </cell>
        </row>
        <row r="280">
          <cell r="A280">
            <v>2780</v>
          </cell>
          <cell r="C280">
            <v>114.533</v>
          </cell>
        </row>
        <row r="281">
          <cell r="A281">
            <v>2790</v>
          </cell>
          <cell r="C281">
            <v>114.53100000000001</v>
          </cell>
        </row>
        <row r="282">
          <cell r="A282">
            <v>2800</v>
          </cell>
          <cell r="C282">
            <v>114.529</v>
          </cell>
        </row>
        <row r="283">
          <cell r="A283">
            <v>2810</v>
          </cell>
          <cell r="C283">
            <v>114.52800000000001</v>
          </cell>
        </row>
        <row r="284">
          <cell r="A284">
            <v>2820</v>
          </cell>
          <cell r="C284">
            <v>114.526</v>
          </cell>
        </row>
        <row r="285">
          <cell r="A285">
            <v>2830</v>
          </cell>
          <cell r="C285">
            <v>114.524</v>
          </cell>
        </row>
        <row r="286">
          <cell r="A286">
            <v>2840</v>
          </cell>
          <cell r="C286">
            <v>114.523</v>
          </cell>
        </row>
        <row r="287">
          <cell r="A287">
            <v>2850</v>
          </cell>
          <cell r="C287">
            <v>114.521</v>
          </cell>
        </row>
        <row r="288">
          <cell r="A288">
            <v>2860</v>
          </cell>
          <cell r="C288">
            <v>114.51900000000001</v>
          </cell>
        </row>
        <row r="289">
          <cell r="A289">
            <v>2870</v>
          </cell>
          <cell r="C289">
            <v>114.518</v>
          </cell>
        </row>
        <row r="290">
          <cell r="A290">
            <v>2880</v>
          </cell>
          <cell r="C290">
            <v>114.51600000000001</v>
          </cell>
        </row>
        <row r="291">
          <cell r="A291">
            <v>2890</v>
          </cell>
          <cell r="C291">
            <v>114.514</v>
          </cell>
        </row>
        <row r="292">
          <cell r="A292">
            <v>2900</v>
          </cell>
          <cell r="C292">
            <v>114.51300000000001</v>
          </cell>
        </row>
        <row r="293">
          <cell r="A293">
            <v>2910</v>
          </cell>
          <cell r="C293">
            <v>114.511</v>
          </cell>
        </row>
        <row r="294">
          <cell r="A294">
            <v>2920</v>
          </cell>
          <cell r="C294">
            <v>114.509</v>
          </cell>
        </row>
        <row r="295">
          <cell r="A295">
            <v>2930</v>
          </cell>
          <cell r="C295">
            <v>114.508</v>
          </cell>
        </row>
        <row r="296">
          <cell r="A296">
            <v>2940</v>
          </cell>
          <cell r="C296">
            <v>114.506</v>
          </cell>
        </row>
        <row r="297">
          <cell r="A297">
            <v>2950</v>
          </cell>
          <cell r="C297">
            <v>114.504</v>
          </cell>
        </row>
        <row r="298">
          <cell r="A298">
            <v>2960</v>
          </cell>
          <cell r="C298">
            <v>114.503</v>
          </cell>
        </row>
        <row r="299">
          <cell r="A299">
            <v>2970</v>
          </cell>
          <cell r="C299">
            <v>114.501</v>
          </cell>
        </row>
        <row r="300">
          <cell r="A300">
            <v>2980</v>
          </cell>
          <cell r="C300">
            <v>114.5</v>
          </cell>
        </row>
        <row r="301">
          <cell r="A301">
            <v>2990</v>
          </cell>
          <cell r="C301">
            <v>114.498</v>
          </cell>
        </row>
        <row r="302">
          <cell r="A302">
            <v>3000</v>
          </cell>
          <cell r="C302">
            <v>114.496</v>
          </cell>
        </row>
        <row r="303">
          <cell r="A303">
            <v>3010</v>
          </cell>
          <cell r="C303">
            <v>114.495</v>
          </cell>
        </row>
        <row r="304">
          <cell r="A304">
            <v>3020</v>
          </cell>
          <cell r="C304">
            <v>114.49299999999999</v>
          </cell>
        </row>
        <row r="305">
          <cell r="A305">
            <v>3030</v>
          </cell>
          <cell r="C305">
            <v>114.492</v>
          </cell>
        </row>
        <row r="306">
          <cell r="A306">
            <v>3040</v>
          </cell>
          <cell r="C306">
            <v>114.49</v>
          </cell>
        </row>
        <row r="307">
          <cell r="A307">
            <v>3050</v>
          </cell>
          <cell r="C307">
            <v>114.489</v>
          </cell>
        </row>
        <row r="308">
          <cell r="A308">
            <v>3060</v>
          </cell>
          <cell r="C308">
            <v>114.48699999999999</v>
          </cell>
        </row>
        <row r="309">
          <cell r="A309">
            <v>3070</v>
          </cell>
          <cell r="C309">
            <v>114.485</v>
          </cell>
        </row>
        <row r="310">
          <cell r="A310">
            <v>3080</v>
          </cell>
          <cell r="C310">
            <v>114.48399999999999</v>
          </cell>
        </row>
        <row r="311">
          <cell r="A311">
            <v>3090</v>
          </cell>
          <cell r="C311">
            <v>114.482</v>
          </cell>
        </row>
        <row r="312">
          <cell r="A312">
            <v>3100</v>
          </cell>
          <cell r="C312">
            <v>114.48099999999999</v>
          </cell>
        </row>
        <row r="313">
          <cell r="A313">
            <v>3110</v>
          </cell>
          <cell r="C313">
            <v>114.479</v>
          </cell>
        </row>
        <row r="314">
          <cell r="A314">
            <v>3120</v>
          </cell>
          <cell r="C314">
            <v>114.47799999999999</v>
          </cell>
        </row>
        <row r="315">
          <cell r="A315">
            <v>3130</v>
          </cell>
          <cell r="C315">
            <v>114.476</v>
          </cell>
        </row>
        <row r="316">
          <cell r="A316">
            <v>3140</v>
          </cell>
          <cell r="C316">
            <v>114.47499999999999</v>
          </cell>
        </row>
        <row r="317">
          <cell r="A317">
            <v>3150</v>
          </cell>
          <cell r="C317">
            <v>114.473</v>
          </cell>
        </row>
        <row r="318">
          <cell r="A318">
            <v>3160</v>
          </cell>
          <cell r="C318">
            <v>114.47199999999999</v>
          </cell>
        </row>
        <row r="319">
          <cell r="A319">
            <v>3170</v>
          </cell>
          <cell r="C319">
            <v>114.47</v>
          </cell>
        </row>
        <row r="320">
          <cell r="A320">
            <v>3180</v>
          </cell>
          <cell r="C320">
            <v>114.46899999999999</v>
          </cell>
        </row>
        <row r="321">
          <cell r="A321">
            <v>3190</v>
          </cell>
          <cell r="C321">
            <v>114.467</v>
          </cell>
        </row>
        <row r="322">
          <cell r="A322">
            <v>3200</v>
          </cell>
          <cell r="C322">
            <v>114.46599999999999</v>
          </cell>
        </row>
        <row r="323">
          <cell r="A323">
            <v>3210</v>
          </cell>
          <cell r="C323">
            <v>114.465</v>
          </cell>
        </row>
        <row r="324">
          <cell r="A324">
            <v>3220</v>
          </cell>
          <cell r="C324">
            <v>114.46299999999999</v>
          </cell>
        </row>
        <row r="325">
          <cell r="A325">
            <v>3230</v>
          </cell>
          <cell r="C325">
            <v>114.462</v>
          </cell>
        </row>
        <row r="326">
          <cell r="A326">
            <v>3240</v>
          </cell>
          <cell r="C326">
            <v>114.46</v>
          </cell>
        </row>
        <row r="327">
          <cell r="A327">
            <v>3250</v>
          </cell>
          <cell r="C327">
            <v>114.459</v>
          </cell>
        </row>
        <row r="328">
          <cell r="A328">
            <v>3260</v>
          </cell>
          <cell r="C328">
            <v>114.45699999999999</v>
          </cell>
        </row>
        <row r="329">
          <cell r="A329">
            <v>3270</v>
          </cell>
          <cell r="C329">
            <v>114.456</v>
          </cell>
        </row>
        <row r="330">
          <cell r="A330">
            <v>3280</v>
          </cell>
          <cell r="C330">
            <v>114.455</v>
          </cell>
        </row>
        <row r="331">
          <cell r="A331">
            <v>3290</v>
          </cell>
          <cell r="C331">
            <v>114.453</v>
          </cell>
        </row>
        <row r="332">
          <cell r="A332">
            <v>3300</v>
          </cell>
          <cell r="C332">
            <v>114.452</v>
          </cell>
        </row>
        <row r="333">
          <cell r="A333">
            <v>3310</v>
          </cell>
          <cell r="C333">
            <v>114.45099999999999</v>
          </cell>
        </row>
        <row r="334">
          <cell r="A334">
            <v>3320</v>
          </cell>
          <cell r="C334">
            <v>114.449</v>
          </cell>
        </row>
        <row r="335">
          <cell r="A335">
            <v>3330</v>
          </cell>
          <cell r="C335">
            <v>114.44799999999999</v>
          </cell>
        </row>
        <row r="336">
          <cell r="A336">
            <v>3340</v>
          </cell>
          <cell r="C336">
            <v>114.446</v>
          </cell>
        </row>
        <row r="337">
          <cell r="A337">
            <v>3350</v>
          </cell>
          <cell r="C337">
            <v>114.44499999999999</v>
          </cell>
        </row>
        <row r="338">
          <cell r="A338">
            <v>3360</v>
          </cell>
          <cell r="C338">
            <v>114.444</v>
          </cell>
        </row>
        <row r="339">
          <cell r="A339">
            <v>3370</v>
          </cell>
          <cell r="C339">
            <v>114.44199999999999</v>
          </cell>
        </row>
        <row r="340">
          <cell r="A340">
            <v>3380</v>
          </cell>
          <cell r="C340">
            <v>114.441</v>
          </cell>
        </row>
        <row r="341">
          <cell r="A341">
            <v>3390</v>
          </cell>
          <cell r="C341">
            <v>114.44</v>
          </cell>
        </row>
        <row r="342">
          <cell r="A342">
            <v>3400</v>
          </cell>
          <cell r="C342">
            <v>114.43899999999999</v>
          </cell>
        </row>
        <row r="343">
          <cell r="A343">
            <v>3410</v>
          </cell>
          <cell r="C343">
            <v>114.437</v>
          </cell>
        </row>
        <row r="344">
          <cell r="A344">
            <v>3420</v>
          </cell>
          <cell r="C344">
            <v>114.43600000000001</v>
          </cell>
        </row>
        <row r="345">
          <cell r="A345">
            <v>3430</v>
          </cell>
          <cell r="C345">
            <v>114.435</v>
          </cell>
        </row>
        <row r="346">
          <cell r="A346">
            <v>3440</v>
          </cell>
          <cell r="C346">
            <v>114.43300000000001</v>
          </cell>
        </row>
        <row r="347">
          <cell r="A347">
            <v>3450</v>
          </cell>
          <cell r="C347">
            <v>114.432</v>
          </cell>
        </row>
        <row r="348">
          <cell r="A348">
            <v>3460</v>
          </cell>
          <cell r="C348">
            <v>114.431</v>
          </cell>
        </row>
        <row r="349">
          <cell r="A349">
            <v>3470</v>
          </cell>
          <cell r="C349">
            <v>114.43</v>
          </cell>
        </row>
        <row r="350">
          <cell r="A350">
            <v>3480</v>
          </cell>
          <cell r="C350">
            <v>114.428</v>
          </cell>
        </row>
        <row r="351">
          <cell r="A351">
            <v>3490</v>
          </cell>
          <cell r="C351">
            <v>114.42700000000001</v>
          </cell>
        </row>
        <row r="352">
          <cell r="A352">
            <v>3500</v>
          </cell>
          <cell r="C352">
            <v>114.426</v>
          </cell>
        </row>
        <row r="353">
          <cell r="A353">
            <v>3510</v>
          </cell>
          <cell r="C353">
            <v>114.425</v>
          </cell>
        </row>
        <row r="354">
          <cell r="A354">
            <v>3520</v>
          </cell>
          <cell r="C354">
            <v>114.423</v>
          </cell>
        </row>
        <row r="355">
          <cell r="A355">
            <v>3530</v>
          </cell>
          <cell r="C355">
            <v>114.422</v>
          </cell>
        </row>
        <row r="356">
          <cell r="A356">
            <v>3540</v>
          </cell>
          <cell r="C356">
            <v>114.42100000000001</v>
          </cell>
        </row>
        <row r="357">
          <cell r="A357">
            <v>3550</v>
          </cell>
          <cell r="C357">
            <v>114.42</v>
          </cell>
        </row>
        <row r="358">
          <cell r="A358">
            <v>3560</v>
          </cell>
          <cell r="C358">
            <v>114.41800000000001</v>
          </cell>
        </row>
        <row r="359">
          <cell r="A359">
            <v>3570</v>
          </cell>
          <cell r="C359">
            <v>114.417</v>
          </cell>
        </row>
        <row r="360">
          <cell r="A360">
            <v>3580</v>
          </cell>
          <cell r="C360">
            <v>114.416</v>
          </cell>
        </row>
        <row r="361">
          <cell r="A361">
            <v>3590</v>
          </cell>
          <cell r="C361">
            <v>114.41500000000001</v>
          </cell>
        </row>
        <row r="362">
          <cell r="A362">
            <v>3600</v>
          </cell>
          <cell r="C362">
            <v>114.414</v>
          </cell>
        </row>
        <row r="363">
          <cell r="A363">
            <v>3610</v>
          </cell>
          <cell r="C363">
            <v>114.41200000000001</v>
          </cell>
        </row>
        <row r="364">
          <cell r="A364">
            <v>3620</v>
          </cell>
          <cell r="C364">
            <v>114.411</v>
          </cell>
        </row>
        <row r="365">
          <cell r="A365">
            <v>3630</v>
          </cell>
          <cell r="C365">
            <v>114.41</v>
          </cell>
        </row>
        <row r="366">
          <cell r="A366">
            <v>3640</v>
          </cell>
          <cell r="C366">
            <v>114.40900000000001</v>
          </cell>
        </row>
        <row r="367">
          <cell r="A367">
            <v>3650</v>
          </cell>
          <cell r="C367">
            <v>114.408</v>
          </cell>
        </row>
        <row r="368">
          <cell r="A368">
            <v>3660</v>
          </cell>
          <cell r="C368">
            <v>114.40600000000001</v>
          </cell>
        </row>
        <row r="369">
          <cell r="A369">
            <v>3670</v>
          </cell>
          <cell r="C369">
            <v>114.405</v>
          </cell>
        </row>
        <row r="370">
          <cell r="A370">
            <v>3680</v>
          </cell>
          <cell r="C370">
            <v>114.404</v>
          </cell>
        </row>
        <row r="371">
          <cell r="A371">
            <v>3690</v>
          </cell>
          <cell r="C371">
            <v>114.40300000000001</v>
          </cell>
        </row>
        <row r="372">
          <cell r="A372">
            <v>3700</v>
          </cell>
          <cell r="C372">
            <v>114.402</v>
          </cell>
        </row>
        <row r="373">
          <cell r="A373">
            <v>3710</v>
          </cell>
          <cell r="C373">
            <v>114.4</v>
          </cell>
        </row>
        <row r="374">
          <cell r="A374">
            <v>3720</v>
          </cell>
          <cell r="C374">
            <v>114.399</v>
          </cell>
        </row>
        <row r="375">
          <cell r="A375">
            <v>3730</v>
          </cell>
          <cell r="C375">
            <v>114.398</v>
          </cell>
        </row>
        <row r="376">
          <cell r="A376">
            <v>3740</v>
          </cell>
          <cell r="C376">
            <v>114.39700000000001</v>
          </cell>
        </row>
        <row r="377">
          <cell r="A377">
            <v>3750</v>
          </cell>
          <cell r="C377">
            <v>114.396</v>
          </cell>
        </row>
        <row r="378">
          <cell r="A378">
            <v>3760</v>
          </cell>
          <cell r="C378">
            <v>114.39400000000001</v>
          </cell>
        </row>
        <row r="379">
          <cell r="A379">
            <v>3770</v>
          </cell>
          <cell r="C379">
            <v>114.393</v>
          </cell>
        </row>
        <row r="380">
          <cell r="A380">
            <v>3780</v>
          </cell>
          <cell r="C380">
            <v>114.392</v>
          </cell>
        </row>
        <row r="381">
          <cell r="A381">
            <v>3790</v>
          </cell>
          <cell r="C381">
            <v>114.39100000000001</v>
          </cell>
        </row>
        <row r="382">
          <cell r="A382">
            <v>3800</v>
          </cell>
          <cell r="C382">
            <v>114.39</v>
          </cell>
        </row>
        <row r="383">
          <cell r="A383">
            <v>3810</v>
          </cell>
          <cell r="C383">
            <v>114.389</v>
          </cell>
        </row>
        <row r="384">
          <cell r="A384">
            <v>3820</v>
          </cell>
          <cell r="C384">
            <v>114.387</v>
          </cell>
        </row>
        <row r="385">
          <cell r="A385">
            <v>3830</v>
          </cell>
          <cell r="C385">
            <v>114.386</v>
          </cell>
        </row>
        <row r="386">
          <cell r="A386">
            <v>3840</v>
          </cell>
          <cell r="C386">
            <v>114.38500000000001</v>
          </cell>
        </row>
        <row r="387">
          <cell r="A387">
            <v>3850</v>
          </cell>
          <cell r="C387">
            <v>114.384</v>
          </cell>
        </row>
        <row r="388">
          <cell r="A388">
            <v>3860</v>
          </cell>
          <cell r="C388">
            <v>114.383</v>
          </cell>
        </row>
        <row r="389">
          <cell r="A389">
            <v>3870</v>
          </cell>
          <cell r="C389">
            <v>114.381</v>
          </cell>
        </row>
        <row r="390">
          <cell r="A390">
            <v>3880</v>
          </cell>
          <cell r="C390">
            <v>114.38</v>
          </cell>
        </row>
        <row r="391">
          <cell r="A391">
            <v>3890</v>
          </cell>
          <cell r="C391">
            <v>114.379</v>
          </cell>
        </row>
        <row r="392">
          <cell r="A392">
            <v>3900</v>
          </cell>
          <cell r="C392">
            <v>114.378</v>
          </cell>
        </row>
        <row r="393">
          <cell r="A393">
            <v>3910</v>
          </cell>
          <cell r="C393">
            <v>114.377</v>
          </cell>
        </row>
        <row r="394">
          <cell r="A394">
            <v>3920</v>
          </cell>
          <cell r="C394">
            <v>114.376</v>
          </cell>
        </row>
        <row r="395">
          <cell r="A395">
            <v>3930</v>
          </cell>
          <cell r="C395">
            <v>114.374</v>
          </cell>
        </row>
        <row r="396">
          <cell r="A396">
            <v>3940</v>
          </cell>
          <cell r="C396">
            <v>114.373</v>
          </cell>
        </row>
        <row r="397">
          <cell r="A397">
            <v>3950</v>
          </cell>
          <cell r="C397">
            <v>114.372</v>
          </cell>
        </row>
        <row r="398">
          <cell r="A398">
            <v>3960</v>
          </cell>
          <cell r="C398">
            <v>114.371</v>
          </cell>
        </row>
        <row r="399">
          <cell r="A399">
            <v>3970</v>
          </cell>
          <cell r="C399">
            <v>114.37</v>
          </cell>
        </row>
        <row r="400">
          <cell r="A400">
            <v>3980</v>
          </cell>
          <cell r="C400">
            <v>114.369</v>
          </cell>
        </row>
        <row r="401">
          <cell r="A401">
            <v>3990</v>
          </cell>
          <cell r="C401">
            <v>114.36799999999999</v>
          </cell>
        </row>
        <row r="402">
          <cell r="A402">
            <v>4000</v>
          </cell>
          <cell r="C402">
            <v>114.366</v>
          </cell>
        </row>
        <row r="403">
          <cell r="A403">
            <v>4010</v>
          </cell>
          <cell r="C403">
            <v>114.36499999999999</v>
          </cell>
        </row>
        <row r="404">
          <cell r="A404">
            <v>4020</v>
          </cell>
          <cell r="C404">
            <v>114.364</v>
          </cell>
        </row>
        <row r="405">
          <cell r="A405">
            <v>4030</v>
          </cell>
          <cell r="C405">
            <v>114.363</v>
          </cell>
        </row>
        <row r="406">
          <cell r="A406">
            <v>4040</v>
          </cell>
          <cell r="C406">
            <v>114.36199999999999</v>
          </cell>
        </row>
        <row r="407">
          <cell r="A407">
            <v>4050</v>
          </cell>
          <cell r="C407">
            <v>114.361</v>
          </cell>
        </row>
        <row r="408">
          <cell r="A408">
            <v>4060</v>
          </cell>
          <cell r="C408">
            <v>114.36</v>
          </cell>
        </row>
        <row r="409">
          <cell r="A409">
            <v>4070</v>
          </cell>
          <cell r="C409">
            <v>114.358</v>
          </cell>
        </row>
        <row r="410">
          <cell r="A410">
            <v>4080</v>
          </cell>
          <cell r="C410">
            <v>114.357</v>
          </cell>
        </row>
        <row r="411">
          <cell r="A411">
            <v>4090</v>
          </cell>
          <cell r="C411">
            <v>114.35599999999999</v>
          </cell>
        </row>
        <row r="412">
          <cell r="A412">
            <v>4100</v>
          </cell>
          <cell r="C412">
            <v>114.355</v>
          </cell>
        </row>
        <row r="413">
          <cell r="A413">
            <v>4110</v>
          </cell>
          <cell r="C413">
            <v>114.354</v>
          </cell>
        </row>
        <row r="414">
          <cell r="A414">
            <v>4120</v>
          </cell>
          <cell r="C414">
            <v>114.35299999999999</v>
          </cell>
        </row>
        <row r="415">
          <cell r="A415">
            <v>4130</v>
          </cell>
          <cell r="C415">
            <v>114.352</v>
          </cell>
        </row>
        <row r="416">
          <cell r="A416">
            <v>4140</v>
          </cell>
          <cell r="C416">
            <v>114.35</v>
          </cell>
        </row>
        <row r="417">
          <cell r="A417">
            <v>4150</v>
          </cell>
          <cell r="C417">
            <v>114.349</v>
          </cell>
        </row>
        <row r="418">
          <cell r="A418">
            <v>4160</v>
          </cell>
          <cell r="C418">
            <v>114.348</v>
          </cell>
        </row>
        <row r="419">
          <cell r="A419">
            <v>4170</v>
          </cell>
          <cell r="C419">
            <v>114.34699999999999</v>
          </cell>
        </row>
        <row r="420">
          <cell r="A420">
            <v>4180</v>
          </cell>
          <cell r="C420">
            <v>114.346</v>
          </cell>
        </row>
        <row r="421">
          <cell r="A421">
            <v>4190</v>
          </cell>
          <cell r="C421">
            <v>114.345</v>
          </cell>
        </row>
        <row r="422">
          <cell r="A422">
            <v>4200</v>
          </cell>
          <cell r="C422">
            <v>114.34399999999999</v>
          </cell>
        </row>
        <row r="423">
          <cell r="A423">
            <v>4210</v>
          </cell>
          <cell r="C423">
            <v>114.343</v>
          </cell>
        </row>
        <row r="424">
          <cell r="A424">
            <v>4220</v>
          </cell>
          <cell r="C424">
            <v>114.34099999999999</v>
          </cell>
        </row>
        <row r="425">
          <cell r="A425">
            <v>4230</v>
          </cell>
          <cell r="C425">
            <v>114.34</v>
          </cell>
        </row>
        <row r="426">
          <cell r="A426">
            <v>4240</v>
          </cell>
          <cell r="C426">
            <v>114.339</v>
          </cell>
        </row>
        <row r="427">
          <cell r="A427">
            <v>4250</v>
          </cell>
          <cell r="C427">
            <v>114.33799999999999</v>
          </cell>
        </row>
        <row r="428">
          <cell r="A428">
            <v>4260</v>
          </cell>
          <cell r="C428">
            <v>114.337</v>
          </cell>
        </row>
        <row r="429">
          <cell r="A429">
            <v>4270</v>
          </cell>
          <cell r="C429">
            <v>114.336</v>
          </cell>
        </row>
        <row r="430">
          <cell r="A430">
            <v>4280</v>
          </cell>
          <cell r="C430">
            <v>114.33499999999999</v>
          </cell>
        </row>
        <row r="431">
          <cell r="A431">
            <v>4290</v>
          </cell>
          <cell r="C431">
            <v>114.334</v>
          </cell>
        </row>
        <row r="432">
          <cell r="A432">
            <v>4300</v>
          </cell>
          <cell r="C432">
            <v>114.333</v>
          </cell>
        </row>
        <row r="433">
          <cell r="A433">
            <v>4310</v>
          </cell>
          <cell r="C433">
            <v>114.331</v>
          </cell>
        </row>
        <row r="434">
          <cell r="A434">
            <v>4320</v>
          </cell>
          <cell r="C434">
            <v>114.33</v>
          </cell>
        </row>
        <row r="435">
          <cell r="A435">
            <v>4330</v>
          </cell>
          <cell r="C435">
            <v>114.32899999999999</v>
          </cell>
        </row>
        <row r="436">
          <cell r="A436">
            <v>4340</v>
          </cell>
          <cell r="C436">
            <v>114.328</v>
          </cell>
        </row>
        <row r="437">
          <cell r="A437">
            <v>4350</v>
          </cell>
          <cell r="C437">
            <v>114.327</v>
          </cell>
        </row>
        <row r="438">
          <cell r="A438">
            <v>4360</v>
          </cell>
          <cell r="C438">
            <v>114.32599999999999</v>
          </cell>
        </row>
        <row r="439">
          <cell r="A439">
            <v>4370</v>
          </cell>
          <cell r="C439">
            <v>114.325</v>
          </cell>
        </row>
        <row r="440">
          <cell r="A440">
            <v>4380</v>
          </cell>
          <cell r="C440">
            <v>114.324</v>
          </cell>
        </row>
        <row r="441">
          <cell r="A441">
            <v>4390</v>
          </cell>
          <cell r="C441">
            <v>114.32299999999999</v>
          </cell>
        </row>
        <row r="442">
          <cell r="A442">
            <v>4400</v>
          </cell>
          <cell r="C442">
            <v>114.322</v>
          </cell>
        </row>
        <row r="443">
          <cell r="A443">
            <v>4410</v>
          </cell>
          <cell r="C443">
            <v>114.32</v>
          </cell>
        </row>
        <row r="444">
          <cell r="A444">
            <v>4420</v>
          </cell>
          <cell r="C444">
            <v>114.319</v>
          </cell>
        </row>
        <row r="445">
          <cell r="A445">
            <v>4430</v>
          </cell>
          <cell r="C445">
            <v>114.318</v>
          </cell>
        </row>
        <row r="446">
          <cell r="A446">
            <v>4440</v>
          </cell>
          <cell r="C446">
            <v>114.31699999999999</v>
          </cell>
        </row>
        <row r="447">
          <cell r="A447">
            <v>4450</v>
          </cell>
          <cell r="C447">
            <v>114.316</v>
          </cell>
        </row>
        <row r="448">
          <cell r="A448">
            <v>4460</v>
          </cell>
          <cell r="C448">
            <v>114.315</v>
          </cell>
        </row>
        <row r="449">
          <cell r="A449">
            <v>4470</v>
          </cell>
          <cell r="C449">
            <v>114.31399999999999</v>
          </cell>
        </row>
        <row r="450">
          <cell r="A450">
            <v>4480</v>
          </cell>
          <cell r="C450">
            <v>114.313</v>
          </cell>
        </row>
        <row r="451">
          <cell r="A451">
            <v>4490</v>
          </cell>
          <cell r="C451">
            <v>114.312</v>
          </cell>
        </row>
        <row r="452">
          <cell r="A452">
            <v>4500</v>
          </cell>
          <cell r="C452">
            <v>114.31100000000001</v>
          </cell>
        </row>
        <row r="453">
          <cell r="A453">
            <v>4510</v>
          </cell>
          <cell r="C453">
            <v>114.31</v>
          </cell>
        </row>
        <row r="454">
          <cell r="A454">
            <v>4520</v>
          </cell>
          <cell r="C454">
            <v>114.309</v>
          </cell>
        </row>
        <row r="455">
          <cell r="A455">
            <v>4530</v>
          </cell>
          <cell r="C455">
            <v>114.30800000000001</v>
          </cell>
        </row>
        <row r="456">
          <cell r="A456">
            <v>4540</v>
          </cell>
          <cell r="C456">
            <v>114.306</v>
          </cell>
        </row>
        <row r="457">
          <cell r="A457">
            <v>4550</v>
          </cell>
          <cell r="C457">
            <v>114.30500000000001</v>
          </cell>
        </row>
        <row r="458">
          <cell r="A458">
            <v>4560</v>
          </cell>
          <cell r="C458">
            <v>114.304</v>
          </cell>
        </row>
        <row r="459">
          <cell r="A459">
            <v>4570</v>
          </cell>
          <cell r="C459">
            <v>114.303</v>
          </cell>
        </row>
        <row r="460">
          <cell r="A460">
            <v>4580</v>
          </cell>
          <cell r="C460">
            <v>114.30200000000001</v>
          </cell>
        </row>
        <row r="461">
          <cell r="A461">
            <v>4590</v>
          </cell>
          <cell r="C461">
            <v>114.301</v>
          </cell>
        </row>
        <row r="462">
          <cell r="A462">
            <v>4600</v>
          </cell>
          <cell r="C462">
            <v>114.3</v>
          </cell>
        </row>
        <row r="463">
          <cell r="A463">
            <v>4610</v>
          </cell>
          <cell r="C463">
            <v>114.29900000000001</v>
          </cell>
        </row>
        <row r="464">
          <cell r="A464">
            <v>4620</v>
          </cell>
          <cell r="C464">
            <v>114.298</v>
          </cell>
        </row>
        <row r="465">
          <cell r="A465">
            <v>4630</v>
          </cell>
          <cell r="C465">
            <v>114.297</v>
          </cell>
        </row>
        <row r="466">
          <cell r="A466">
            <v>4640</v>
          </cell>
          <cell r="C466">
            <v>114.29600000000001</v>
          </cell>
        </row>
        <row r="467">
          <cell r="A467">
            <v>4650</v>
          </cell>
          <cell r="C467">
            <v>114.295</v>
          </cell>
        </row>
        <row r="468">
          <cell r="A468">
            <v>4660</v>
          </cell>
          <cell r="C468">
            <v>114.294</v>
          </cell>
        </row>
        <row r="469">
          <cell r="A469">
            <v>4670</v>
          </cell>
          <cell r="C469">
            <v>114.29300000000001</v>
          </cell>
        </row>
        <row r="470">
          <cell r="A470">
            <v>4680</v>
          </cell>
          <cell r="C470">
            <v>114.292</v>
          </cell>
        </row>
        <row r="471">
          <cell r="A471">
            <v>4690</v>
          </cell>
          <cell r="C471">
            <v>114.291</v>
          </cell>
        </row>
        <row r="472">
          <cell r="A472">
            <v>4700</v>
          </cell>
          <cell r="C472">
            <v>114.29</v>
          </cell>
        </row>
        <row r="473">
          <cell r="A473">
            <v>4710</v>
          </cell>
          <cell r="C473">
            <v>114.289</v>
          </cell>
        </row>
        <row r="474">
          <cell r="A474">
            <v>4720</v>
          </cell>
          <cell r="C474">
            <v>114.288</v>
          </cell>
        </row>
        <row r="475">
          <cell r="A475">
            <v>4730</v>
          </cell>
          <cell r="C475">
            <v>114.286</v>
          </cell>
        </row>
        <row r="476">
          <cell r="A476">
            <v>4740</v>
          </cell>
          <cell r="C476">
            <v>114.285</v>
          </cell>
        </row>
        <row r="477">
          <cell r="A477">
            <v>4750</v>
          </cell>
          <cell r="C477">
            <v>114.28400000000001</v>
          </cell>
        </row>
        <row r="478">
          <cell r="A478">
            <v>4760</v>
          </cell>
          <cell r="C478">
            <v>114.283</v>
          </cell>
        </row>
        <row r="479">
          <cell r="A479">
            <v>4770</v>
          </cell>
          <cell r="C479">
            <v>114.282</v>
          </cell>
        </row>
        <row r="480">
          <cell r="A480">
            <v>4780</v>
          </cell>
          <cell r="C480">
            <v>114.28100000000001</v>
          </cell>
        </row>
        <row r="481">
          <cell r="A481">
            <v>4790</v>
          </cell>
          <cell r="C481">
            <v>114.28</v>
          </cell>
        </row>
        <row r="482">
          <cell r="A482">
            <v>4800</v>
          </cell>
          <cell r="C482">
            <v>114.279</v>
          </cell>
        </row>
        <row r="483">
          <cell r="A483">
            <v>4810</v>
          </cell>
          <cell r="C483">
            <v>114.27800000000001</v>
          </cell>
        </row>
        <row r="484">
          <cell r="A484">
            <v>4820</v>
          </cell>
          <cell r="C484">
            <v>114.277</v>
          </cell>
        </row>
        <row r="485">
          <cell r="A485">
            <v>4830</v>
          </cell>
          <cell r="C485">
            <v>114.276</v>
          </cell>
        </row>
        <row r="486">
          <cell r="A486">
            <v>4840</v>
          </cell>
          <cell r="C486">
            <v>114.27500000000001</v>
          </cell>
        </row>
        <row r="487">
          <cell r="A487">
            <v>4850</v>
          </cell>
          <cell r="C487">
            <v>114.274</v>
          </cell>
        </row>
        <row r="488">
          <cell r="A488">
            <v>4860</v>
          </cell>
          <cell r="C488">
            <v>114.273</v>
          </cell>
        </row>
        <row r="489">
          <cell r="A489">
            <v>4870</v>
          </cell>
          <cell r="C489">
            <v>114.27200000000001</v>
          </cell>
        </row>
        <row r="490">
          <cell r="A490">
            <v>4880</v>
          </cell>
          <cell r="C490">
            <v>114.271</v>
          </cell>
        </row>
        <row r="491">
          <cell r="A491">
            <v>4890</v>
          </cell>
          <cell r="C491">
            <v>114.27</v>
          </cell>
        </row>
        <row r="492">
          <cell r="A492">
            <v>4900</v>
          </cell>
          <cell r="C492">
            <v>114.26900000000001</v>
          </cell>
        </row>
        <row r="493">
          <cell r="A493">
            <v>4910</v>
          </cell>
          <cell r="C493">
            <v>114.268</v>
          </cell>
        </row>
        <row r="494">
          <cell r="A494">
            <v>4920</v>
          </cell>
          <cell r="C494">
            <v>114.267</v>
          </cell>
        </row>
        <row r="495">
          <cell r="A495">
            <v>4930</v>
          </cell>
          <cell r="C495">
            <v>114.26600000000001</v>
          </cell>
        </row>
        <row r="496">
          <cell r="A496">
            <v>4940</v>
          </cell>
          <cell r="C496">
            <v>114.265</v>
          </cell>
        </row>
        <row r="497">
          <cell r="A497">
            <v>4950</v>
          </cell>
          <cell r="C497">
            <v>114.264</v>
          </cell>
        </row>
        <row r="498">
          <cell r="A498">
            <v>4960</v>
          </cell>
          <cell r="C498">
            <v>114.26300000000001</v>
          </cell>
        </row>
        <row r="499">
          <cell r="A499">
            <v>4970</v>
          </cell>
          <cell r="C499">
            <v>114.262</v>
          </cell>
        </row>
        <row r="500">
          <cell r="A500">
            <v>4980</v>
          </cell>
          <cell r="C500">
            <v>114.261</v>
          </cell>
        </row>
        <row r="501">
          <cell r="A501">
            <v>4990</v>
          </cell>
          <cell r="C501">
            <v>114.26</v>
          </cell>
        </row>
        <row r="502">
          <cell r="A502">
            <v>5000</v>
          </cell>
          <cell r="C502">
            <v>114.259</v>
          </cell>
        </row>
        <row r="503">
          <cell r="A503">
            <v>5010</v>
          </cell>
          <cell r="C503">
            <v>114.258</v>
          </cell>
        </row>
        <row r="504">
          <cell r="A504">
            <v>5020</v>
          </cell>
          <cell r="C504">
            <v>114.25700000000001</v>
          </cell>
        </row>
        <row r="505">
          <cell r="A505">
            <v>5030</v>
          </cell>
          <cell r="C505">
            <v>114.256</v>
          </cell>
        </row>
        <row r="506">
          <cell r="A506">
            <v>5040</v>
          </cell>
          <cell r="C506">
            <v>114.255</v>
          </cell>
        </row>
        <row r="507">
          <cell r="A507">
            <v>5050</v>
          </cell>
          <cell r="C507">
            <v>114.254</v>
          </cell>
        </row>
        <row r="508">
          <cell r="A508">
            <v>5060</v>
          </cell>
          <cell r="C508">
            <v>114.253</v>
          </cell>
        </row>
        <row r="509">
          <cell r="A509">
            <v>5070</v>
          </cell>
          <cell r="C509">
            <v>114.252</v>
          </cell>
        </row>
        <row r="510">
          <cell r="A510">
            <v>5080</v>
          </cell>
          <cell r="C510">
            <v>114.251</v>
          </cell>
        </row>
        <row r="511">
          <cell r="A511">
            <v>5090</v>
          </cell>
          <cell r="C511">
            <v>114.25</v>
          </cell>
        </row>
        <row r="512">
          <cell r="A512">
            <v>5100</v>
          </cell>
          <cell r="C512">
            <v>114.249</v>
          </cell>
        </row>
        <row r="513">
          <cell r="A513">
            <v>5110</v>
          </cell>
          <cell r="C513">
            <v>114.248</v>
          </cell>
        </row>
        <row r="514">
          <cell r="A514">
            <v>5120</v>
          </cell>
          <cell r="C514">
            <v>114.247</v>
          </cell>
        </row>
        <row r="515">
          <cell r="A515">
            <v>5130</v>
          </cell>
          <cell r="C515">
            <v>114.246</v>
          </cell>
        </row>
        <row r="516">
          <cell r="A516">
            <v>5140</v>
          </cell>
          <cell r="C516">
            <v>114.245</v>
          </cell>
        </row>
        <row r="517">
          <cell r="A517">
            <v>5150</v>
          </cell>
          <cell r="C517">
            <v>114.244</v>
          </cell>
        </row>
        <row r="518">
          <cell r="A518">
            <v>5160</v>
          </cell>
          <cell r="C518">
            <v>114.24299999999999</v>
          </cell>
        </row>
        <row r="519">
          <cell r="A519">
            <v>5170</v>
          </cell>
          <cell r="C519">
            <v>114.242</v>
          </cell>
        </row>
        <row r="520">
          <cell r="A520">
            <v>5180</v>
          </cell>
          <cell r="C520">
            <v>114.241</v>
          </cell>
        </row>
        <row r="521">
          <cell r="A521">
            <v>5190</v>
          </cell>
          <cell r="C521">
            <v>114.241</v>
          </cell>
        </row>
        <row r="522">
          <cell r="A522">
            <v>5200</v>
          </cell>
          <cell r="C522">
            <v>114.24</v>
          </cell>
        </row>
        <row r="523">
          <cell r="A523">
            <v>5210</v>
          </cell>
          <cell r="C523">
            <v>114.239</v>
          </cell>
        </row>
        <row r="524">
          <cell r="A524">
            <v>5220</v>
          </cell>
          <cell r="C524">
            <v>114.238</v>
          </cell>
        </row>
        <row r="525">
          <cell r="A525">
            <v>5230</v>
          </cell>
          <cell r="C525">
            <v>114.23699999999999</v>
          </cell>
        </row>
        <row r="526">
          <cell r="A526">
            <v>5240</v>
          </cell>
          <cell r="C526">
            <v>114.236</v>
          </cell>
        </row>
        <row r="527">
          <cell r="A527">
            <v>5250</v>
          </cell>
          <cell r="C527">
            <v>114.235</v>
          </cell>
        </row>
        <row r="528">
          <cell r="A528">
            <v>5260</v>
          </cell>
          <cell r="C528">
            <v>114.23399999999999</v>
          </cell>
        </row>
        <row r="529">
          <cell r="A529">
            <v>5270</v>
          </cell>
          <cell r="C529">
            <v>114.233</v>
          </cell>
        </row>
        <row r="530">
          <cell r="A530">
            <v>5280</v>
          </cell>
          <cell r="C530">
            <v>114.232</v>
          </cell>
        </row>
        <row r="531">
          <cell r="A531">
            <v>5290</v>
          </cell>
          <cell r="C531">
            <v>114.23099999999999</v>
          </cell>
        </row>
        <row r="532">
          <cell r="A532">
            <v>5300</v>
          </cell>
          <cell r="C532">
            <v>114.23</v>
          </cell>
        </row>
        <row r="533">
          <cell r="A533">
            <v>5310</v>
          </cell>
          <cell r="C533">
            <v>114.229</v>
          </cell>
        </row>
        <row r="534">
          <cell r="A534">
            <v>5320</v>
          </cell>
          <cell r="C534">
            <v>114.22799999999999</v>
          </cell>
        </row>
        <row r="535">
          <cell r="A535">
            <v>5330</v>
          </cell>
          <cell r="C535">
            <v>114.227</v>
          </cell>
        </row>
        <row r="536">
          <cell r="A536">
            <v>5340</v>
          </cell>
          <cell r="C536">
            <v>114.226</v>
          </cell>
        </row>
        <row r="537">
          <cell r="A537">
            <v>5350</v>
          </cell>
          <cell r="C537">
            <v>114.22499999999999</v>
          </cell>
        </row>
        <row r="538">
          <cell r="A538">
            <v>5360</v>
          </cell>
          <cell r="C538">
            <v>114.224</v>
          </cell>
        </row>
        <row r="539">
          <cell r="A539">
            <v>5370</v>
          </cell>
          <cell r="C539">
            <v>114.223</v>
          </cell>
        </row>
        <row r="540">
          <cell r="A540">
            <v>5380</v>
          </cell>
          <cell r="C540">
            <v>114.22199999999999</v>
          </cell>
        </row>
        <row r="541">
          <cell r="A541">
            <v>5390</v>
          </cell>
          <cell r="C541">
            <v>114.221</v>
          </cell>
        </row>
        <row r="542">
          <cell r="A542">
            <v>5400</v>
          </cell>
          <cell r="C542">
            <v>114.22</v>
          </cell>
        </row>
        <row r="543">
          <cell r="A543">
            <v>5410</v>
          </cell>
          <cell r="C543">
            <v>114.21899999999999</v>
          </cell>
        </row>
        <row r="544">
          <cell r="A544">
            <v>5420</v>
          </cell>
          <cell r="C544">
            <v>114.218</v>
          </cell>
        </row>
        <row r="545">
          <cell r="A545">
            <v>5430</v>
          </cell>
          <cell r="C545">
            <v>114.217</v>
          </cell>
        </row>
        <row r="546">
          <cell r="A546">
            <v>5440</v>
          </cell>
          <cell r="C546">
            <v>114.21599999999999</v>
          </cell>
        </row>
        <row r="547">
          <cell r="A547">
            <v>5450</v>
          </cell>
          <cell r="C547">
            <v>114.215</v>
          </cell>
        </row>
        <row r="548">
          <cell r="A548">
            <v>5460</v>
          </cell>
          <cell r="C548">
            <v>114.21299999999999</v>
          </cell>
        </row>
        <row r="549">
          <cell r="A549">
            <v>5470</v>
          </cell>
          <cell r="C549">
            <v>114.212</v>
          </cell>
        </row>
        <row r="550">
          <cell r="A550">
            <v>5480</v>
          </cell>
          <cell r="C550">
            <v>114.211</v>
          </cell>
        </row>
        <row r="551">
          <cell r="A551">
            <v>5490</v>
          </cell>
          <cell r="C551">
            <v>114.21</v>
          </cell>
        </row>
        <row r="552">
          <cell r="A552">
            <v>5500</v>
          </cell>
          <cell r="C552">
            <v>114.209</v>
          </cell>
        </row>
        <row r="553">
          <cell r="A553">
            <v>5510</v>
          </cell>
          <cell r="C553">
            <v>114.208</v>
          </cell>
        </row>
        <row r="554">
          <cell r="A554">
            <v>5520</v>
          </cell>
          <cell r="C554">
            <v>114.20699999999999</v>
          </cell>
        </row>
        <row r="555">
          <cell r="A555">
            <v>5530</v>
          </cell>
          <cell r="C555">
            <v>114.206</v>
          </cell>
        </row>
        <row r="556">
          <cell r="A556">
            <v>5540</v>
          </cell>
          <cell r="C556">
            <v>114.20399999999999</v>
          </cell>
        </row>
        <row r="557">
          <cell r="A557">
            <v>5550</v>
          </cell>
          <cell r="C557">
            <v>114.203</v>
          </cell>
        </row>
        <row r="558">
          <cell r="A558">
            <v>5560</v>
          </cell>
          <cell r="C558">
            <v>114.202</v>
          </cell>
        </row>
        <row r="559">
          <cell r="A559">
            <v>5570</v>
          </cell>
          <cell r="C559">
            <v>114.20099999999999</v>
          </cell>
        </row>
        <row r="560">
          <cell r="A560">
            <v>5580</v>
          </cell>
          <cell r="C560">
            <v>114.2</v>
          </cell>
        </row>
        <row r="561">
          <cell r="A561">
            <v>5590</v>
          </cell>
          <cell r="C561">
            <v>114.199</v>
          </cell>
        </row>
        <row r="562">
          <cell r="A562">
            <v>5600</v>
          </cell>
          <cell r="C562">
            <v>114.197</v>
          </cell>
        </row>
        <row r="563">
          <cell r="A563">
            <v>5610</v>
          </cell>
          <cell r="C563">
            <v>114.196</v>
          </cell>
        </row>
        <row r="564">
          <cell r="A564">
            <v>5620</v>
          </cell>
          <cell r="C564">
            <v>114.19499999999999</v>
          </cell>
        </row>
        <row r="565">
          <cell r="A565">
            <v>5630</v>
          </cell>
          <cell r="C565">
            <v>114.194</v>
          </cell>
        </row>
        <row r="566">
          <cell r="A566">
            <v>5640</v>
          </cell>
          <cell r="C566">
            <v>114.193</v>
          </cell>
        </row>
        <row r="567">
          <cell r="A567">
            <v>5650</v>
          </cell>
          <cell r="C567">
            <v>114.191</v>
          </cell>
        </row>
        <row r="568">
          <cell r="A568">
            <v>5660</v>
          </cell>
          <cell r="C568">
            <v>114.19</v>
          </cell>
        </row>
        <row r="569">
          <cell r="A569">
            <v>5670</v>
          </cell>
          <cell r="C569">
            <v>114.18899999999999</v>
          </cell>
        </row>
        <row r="570">
          <cell r="A570">
            <v>5680</v>
          </cell>
          <cell r="C570">
            <v>114.188</v>
          </cell>
        </row>
        <row r="571">
          <cell r="A571">
            <v>5690</v>
          </cell>
          <cell r="C571">
            <v>114.18600000000001</v>
          </cell>
        </row>
        <row r="572">
          <cell r="A572">
            <v>5700</v>
          </cell>
          <cell r="C572">
            <v>114.185</v>
          </cell>
        </row>
        <row r="573">
          <cell r="A573">
            <v>5710</v>
          </cell>
          <cell r="C573">
            <v>114.184</v>
          </cell>
        </row>
        <row r="574">
          <cell r="A574">
            <v>5720</v>
          </cell>
          <cell r="C574">
            <v>114.182</v>
          </cell>
        </row>
        <row r="575">
          <cell r="A575">
            <v>5730</v>
          </cell>
          <cell r="C575">
            <v>114.181</v>
          </cell>
        </row>
        <row r="576">
          <cell r="A576">
            <v>5740</v>
          </cell>
          <cell r="C576">
            <v>114.18</v>
          </cell>
        </row>
        <row r="577">
          <cell r="A577">
            <v>5750</v>
          </cell>
          <cell r="C577">
            <v>114.178</v>
          </cell>
        </row>
        <row r="578">
          <cell r="A578">
            <v>5760</v>
          </cell>
          <cell r="C578">
            <v>114.17700000000001</v>
          </cell>
        </row>
        <row r="579">
          <cell r="A579">
            <v>5770</v>
          </cell>
          <cell r="C579">
            <v>114.176</v>
          </cell>
        </row>
        <row r="580">
          <cell r="A580">
            <v>5780</v>
          </cell>
          <cell r="C580">
            <v>114.17400000000001</v>
          </cell>
        </row>
        <row r="581">
          <cell r="A581">
            <v>5790</v>
          </cell>
          <cell r="C581">
            <v>114.173</v>
          </cell>
        </row>
        <row r="582">
          <cell r="A582">
            <v>5800</v>
          </cell>
          <cell r="C582">
            <v>114.172</v>
          </cell>
        </row>
        <row r="583">
          <cell r="A583">
            <v>5810</v>
          </cell>
          <cell r="C583">
            <v>114.17</v>
          </cell>
        </row>
        <row r="584">
          <cell r="A584">
            <v>5820</v>
          </cell>
          <cell r="C584">
            <v>114.169</v>
          </cell>
        </row>
        <row r="585">
          <cell r="A585">
            <v>5830</v>
          </cell>
          <cell r="C585">
            <v>114.16800000000001</v>
          </cell>
        </row>
        <row r="586">
          <cell r="A586">
            <v>5840</v>
          </cell>
          <cell r="C586">
            <v>114.166</v>
          </cell>
        </row>
        <row r="587">
          <cell r="A587">
            <v>5850</v>
          </cell>
          <cell r="C587">
            <v>114.16500000000001</v>
          </cell>
        </row>
        <row r="588">
          <cell r="A588">
            <v>5860</v>
          </cell>
          <cell r="C588">
            <v>114.163</v>
          </cell>
        </row>
        <row r="589">
          <cell r="A589">
            <v>5870</v>
          </cell>
          <cell r="C589">
            <v>114.16200000000001</v>
          </cell>
        </row>
        <row r="590">
          <cell r="A590">
            <v>5880</v>
          </cell>
          <cell r="C590">
            <v>114.161</v>
          </cell>
        </row>
        <row r="591">
          <cell r="A591">
            <v>5890</v>
          </cell>
          <cell r="C591">
            <v>114.15900000000001</v>
          </cell>
        </row>
        <row r="592">
          <cell r="A592">
            <v>5900</v>
          </cell>
          <cell r="C592">
            <v>114.158</v>
          </cell>
        </row>
        <row r="593">
          <cell r="A593">
            <v>5910</v>
          </cell>
          <cell r="C593">
            <v>114.15600000000001</v>
          </cell>
        </row>
        <row r="594">
          <cell r="A594">
            <v>5920</v>
          </cell>
          <cell r="C594">
            <v>114.155</v>
          </cell>
        </row>
        <row r="595">
          <cell r="A595">
            <v>5930</v>
          </cell>
          <cell r="C595">
            <v>114.154</v>
          </cell>
        </row>
        <row r="596">
          <cell r="A596">
            <v>5940</v>
          </cell>
          <cell r="C596">
            <v>114.152</v>
          </cell>
        </row>
        <row r="597">
          <cell r="A597">
            <v>5950</v>
          </cell>
          <cell r="C597">
            <v>114.151</v>
          </cell>
        </row>
        <row r="598">
          <cell r="A598">
            <v>5960</v>
          </cell>
          <cell r="C598">
            <v>114.149</v>
          </cell>
        </row>
        <row r="599">
          <cell r="A599">
            <v>5970</v>
          </cell>
          <cell r="C599">
            <v>114.148</v>
          </cell>
        </row>
        <row r="600">
          <cell r="A600">
            <v>5980</v>
          </cell>
          <cell r="C600">
            <v>114.146</v>
          </cell>
        </row>
        <row r="601">
          <cell r="A601">
            <v>5990</v>
          </cell>
          <cell r="C601">
            <v>114.145</v>
          </cell>
        </row>
        <row r="602">
          <cell r="A602">
            <v>6000</v>
          </cell>
          <cell r="C602">
            <v>114.14400000000001</v>
          </cell>
        </row>
        <row r="603">
          <cell r="A603">
            <v>6010</v>
          </cell>
          <cell r="C603">
            <v>114.142</v>
          </cell>
        </row>
        <row r="604">
          <cell r="A604">
            <v>6020</v>
          </cell>
          <cell r="C604">
            <v>114.14100000000001</v>
          </cell>
        </row>
        <row r="605">
          <cell r="A605">
            <v>6030</v>
          </cell>
          <cell r="C605">
            <v>114.139</v>
          </cell>
        </row>
        <row r="606">
          <cell r="A606">
            <v>6040</v>
          </cell>
          <cell r="C606">
            <v>114.13800000000001</v>
          </cell>
        </row>
        <row r="607">
          <cell r="A607">
            <v>6050</v>
          </cell>
          <cell r="C607">
            <v>114.136</v>
          </cell>
        </row>
        <row r="608">
          <cell r="A608">
            <v>6060</v>
          </cell>
          <cell r="C608">
            <v>114.13500000000001</v>
          </cell>
        </row>
        <row r="609">
          <cell r="A609">
            <v>6070</v>
          </cell>
          <cell r="C609">
            <v>114.133</v>
          </cell>
        </row>
        <row r="610">
          <cell r="A610">
            <v>6080</v>
          </cell>
          <cell r="C610">
            <v>114.13200000000001</v>
          </cell>
        </row>
        <row r="611">
          <cell r="A611">
            <v>6090</v>
          </cell>
          <cell r="C611">
            <v>114.13</v>
          </cell>
        </row>
        <row r="612">
          <cell r="A612">
            <v>6100</v>
          </cell>
          <cell r="C612">
            <v>114.129</v>
          </cell>
        </row>
        <row r="613">
          <cell r="A613">
            <v>6110</v>
          </cell>
          <cell r="C613">
            <v>114.127</v>
          </cell>
        </row>
        <row r="614">
          <cell r="A614">
            <v>6120</v>
          </cell>
          <cell r="C614">
            <v>114.126</v>
          </cell>
        </row>
        <row r="615">
          <cell r="A615">
            <v>6130</v>
          </cell>
          <cell r="C615">
            <v>114.124</v>
          </cell>
        </row>
        <row r="616">
          <cell r="A616">
            <v>6140</v>
          </cell>
          <cell r="C616">
            <v>114.123</v>
          </cell>
        </row>
        <row r="617">
          <cell r="A617">
            <v>6150</v>
          </cell>
          <cell r="C617">
            <v>114.121</v>
          </cell>
        </row>
        <row r="618">
          <cell r="A618">
            <v>6160</v>
          </cell>
          <cell r="C618">
            <v>114.12</v>
          </cell>
        </row>
        <row r="619">
          <cell r="A619">
            <v>6170</v>
          </cell>
          <cell r="C619">
            <v>114.11799999999999</v>
          </cell>
        </row>
        <row r="620">
          <cell r="A620">
            <v>6180</v>
          </cell>
          <cell r="C620">
            <v>114.117</v>
          </cell>
        </row>
        <row r="621">
          <cell r="A621">
            <v>6190</v>
          </cell>
          <cell r="C621">
            <v>114.11499999999999</v>
          </cell>
        </row>
        <row r="622">
          <cell r="A622">
            <v>6200</v>
          </cell>
          <cell r="C622">
            <v>114.114</v>
          </cell>
        </row>
        <row r="623">
          <cell r="A623">
            <v>6210</v>
          </cell>
          <cell r="C623">
            <v>114.11199999999999</v>
          </cell>
        </row>
        <row r="624">
          <cell r="A624">
            <v>6220</v>
          </cell>
          <cell r="C624">
            <v>114.111</v>
          </cell>
        </row>
        <row r="625">
          <cell r="A625">
            <v>6230</v>
          </cell>
          <cell r="C625">
            <v>114.10899999999999</v>
          </cell>
        </row>
        <row r="626">
          <cell r="A626">
            <v>6240</v>
          </cell>
          <cell r="C626">
            <v>114.108</v>
          </cell>
        </row>
        <row r="627">
          <cell r="A627">
            <v>6250</v>
          </cell>
          <cell r="C627">
            <v>114.10599999999999</v>
          </cell>
        </row>
        <row r="628">
          <cell r="A628">
            <v>6260</v>
          </cell>
          <cell r="C628">
            <v>114.105</v>
          </cell>
        </row>
        <row r="629">
          <cell r="A629">
            <v>6270</v>
          </cell>
          <cell r="C629">
            <v>114.10299999999999</v>
          </cell>
        </row>
        <row r="630">
          <cell r="A630">
            <v>6280</v>
          </cell>
          <cell r="C630">
            <v>114.102</v>
          </cell>
        </row>
        <row r="631">
          <cell r="A631">
            <v>6290</v>
          </cell>
          <cell r="C631">
            <v>114.1</v>
          </cell>
        </row>
        <row r="632">
          <cell r="A632">
            <v>6300</v>
          </cell>
          <cell r="C632">
            <v>114.099</v>
          </cell>
        </row>
        <row r="633">
          <cell r="A633">
            <v>6310</v>
          </cell>
          <cell r="C633">
            <v>114.09699999999999</v>
          </cell>
        </row>
        <row r="634">
          <cell r="A634">
            <v>6320</v>
          </cell>
          <cell r="C634">
            <v>114.096</v>
          </cell>
        </row>
        <row r="635">
          <cell r="A635">
            <v>6330</v>
          </cell>
          <cell r="C635">
            <v>114.095</v>
          </cell>
        </row>
        <row r="636">
          <cell r="A636">
            <v>6340</v>
          </cell>
          <cell r="C636">
            <v>114.093</v>
          </cell>
        </row>
        <row r="637">
          <cell r="A637">
            <v>6350</v>
          </cell>
          <cell r="C637">
            <v>114.092</v>
          </cell>
        </row>
        <row r="638">
          <cell r="A638">
            <v>6360</v>
          </cell>
          <cell r="C638">
            <v>114.09</v>
          </cell>
        </row>
        <row r="639">
          <cell r="A639">
            <v>6370</v>
          </cell>
          <cell r="C639">
            <v>114.08799999999999</v>
          </cell>
        </row>
        <row r="640">
          <cell r="A640">
            <v>6380</v>
          </cell>
          <cell r="C640">
            <v>114.087</v>
          </cell>
        </row>
        <row r="641">
          <cell r="A641">
            <v>6390</v>
          </cell>
          <cell r="C641">
            <v>114.08499999999999</v>
          </cell>
        </row>
        <row r="642">
          <cell r="A642">
            <v>6400</v>
          </cell>
          <cell r="C642">
            <v>114.084</v>
          </cell>
        </row>
        <row r="643">
          <cell r="A643">
            <v>6410</v>
          </cell>
          <cell r="C643">
            <v>114.08199999999999</v>
          </cell>
        </row>
        <row r="644">
          <cell r="A644">
            <v>6420</v>
          </cell>
          <cell r="C644">
            <v>114.081</v>
          </cell>
        </row>
        <row r="645">
          <cell r="A645">
            <v>6430</v>
          </cell>
          <cell r="C645">
            <v>114.07899999999999</v>
          </cell>
        </row>
        <row r="646">
          <cell r="A646">
            <v>6440</v>
          </cell>
          <cell r="C646">
            <v>114.078</v>
          </cell>
        </row>
        <row r="647">
          <cell r="A647">
            <v>6450</v>
          </cell>
          <cell r="C647">
            <v>114.07599999999999</v>
          </cell>
        </row>
        <row r="648">
          <cell r="A648">
            <v>6460</v>
          </cell>
          <cell r="C648">
            <v>114.075</v>
          </cell>
        </row>
        <row r="649">
          <cell r="A649">
            <v>6470</v>
          </cell>
          <cell r="C649">
            <v>114.07299999999999</v>
          </cell>
        </row>
        <row r="650">
          <cell r="A650">
            <v>6480</v>
          </cell>
          <cell r="C650">
            <v>114.072</v>
          </cell>
        </row>
        <row r="651">
          <cell r="A651">
            <v>6490</v>
          </cell>
          <cell r="C651">
            <v>114.07</v>
          </cell>
        </row>
        <row r="652">
          <cell r="A652">
            <v>6500</v>
          </cell>
          <cell r="C652">
            <v>114.068</v>
          </cell>
        </row>
        <row r="653">
          <cell r="A653">
            <v>6510</v>
          </cell>
          <cell r="C653">
            <v>114.06699999999999</v>
          </cell>
        </row>
        <row r="654">
          <cell r="A654">
            <v>6520</v>
          </cell>
          <cell r="C654">
            <v>114.065</v>
          </cell>
        </row>
        <row r="655">
          <cell r="A655">
            <v>6530</v>
          </cell>
          <cell r="C655">
            <v>114.06399999999999</v>
          </cell>
        </row>
        <row r="656">
          <cell r="A656">
            <v>6540</v>
          </cell>
          <cell r="C656">
            <v>114.062</v>
          </cell>
        </row>
        <row r="657">
          <cell r="A657">
            <v>6550</v>
          </cell>
          <cell r="C657">
            <v>114.06100000000001</v>
          </cell>
        </row>
        <row r="658">
          <cell r="A658">
            <v>6560</v>
          </cell>
          <cell r="C658">
            <v>114.059</v>
          </cell>
        </row>
        <row r="659">
          <cell r="A659">
            <v>6570</v>
          </cell>
          <cell r="C659">
            <v>114.057</v>
          </cell>
        </row>
        <row r="660">
          <cell r="A660">
            <v>6580</v>
          </cell>
          <cell r="C660">
            <v>114.056</v>
          </cell>
        </row>
        <row r="661">
          <cell r="A661">
            <v>6590</v>
          </cell>
          <cell r="C661">
            <v>114.054</v>
          </cell>
        </row>
        <row r="662">
          <cell r="A662">
            <v>6600</v>
          </cell>
          <cell r="C662">
            <v>114.05200000000001</v>
          </cell>
        </row>
        <row r="663">
          <cell r="A663">
            <v>6610</v>
          </cell>
          <cell r="C663">
            <v>114.051</v>
          </cell>
        </row>
        <row r="664">
          <cell r="A664">
            <v>6620</v>
          </cell>
          <cell r="C664">
            <v>114.04900000000001</v>
          </cell>
        </row>
        <row r="665">
          <cell r="A665">
            <v>6630</v>
          </cell>
          <cell r="C665">
            <v>114.048</v>
          </cell>
        </row>
        <row r="666">
          <cell r="A666">
            <v>6640</v>
          </cell>
          <cell r="C666">
            <v>114.04600000000001</v>
          </cell>
        </row>
        <row r="667">
          <cell r="A667">
            <v>6650</v>
          </cell>
          <cell r="C667">
            <v>114.044</v>
          </cell>
        </row>
        <row r="668">
          <cell r="A668">
            <v>6660</v>
          </cell>
          <cell r="C668">
            <v>114.04300000000001</v>
          </cell>
        </row>
        <row r="669">
          <cell r="A669">
            <v>6670</v>
          </cell>
          <cell r="C669">
            <v>114.041</v>
          </cell>
        </row>
        <row r="670">
          <cell r="A670">
            <v>6680</v>
          </cell>
          <cell r="C670">
            <v>114.039</v>
          </cell>
        </row>
        <row r="671">
          <cell r="A671">
            <v>6690</v>
          </cell>
          <cell r="C671">
            <v>114.038</v>
          </cell>
        </row>
        <row r="672">
          <cell r="A672">
            <v>6700</v>
          </cell>
          <cell r="C672">
            <v>114.036</v>
          </cell>
        </row>
        <row r="673">
          <cell r="A673">
            <v>6710</v>
          </cell>
          <cell r="C673">
            <v>114.03400000000001</v>
          </cell>
        </row>
        <row r="674">
          <cell r="A674">
            <v>6720</v>
          </cell>
          <cell r="C674">
            <v>114.032</v>
          </cell>
        </row>
        <row r="675">
          <cell r="A675">
            <v>6730</v>
          </cell>
          <cell r="C675">
            <v>114.03100000000001</v>
          </cell>
        </row>
        <row r="676">
          <cell r="A676">
            <v>6740</v>
          </cell>
          <cell r="C676">
            <v>114.029</v>
          </cell>
        </row>
        <row r="677">
          <cell r="A677">
            <v>6750</v>
          </cell>
          <cell r="C677">
            <v>114.027</v>
          </cell>
        </row>
        <row r="678">
          <cell r="A678">
            <v>6760</v>
          </cell>
          <cell r="C678">
            <v>114.026</v>
          </cell>
        </row>
        <row r="679">
          <cell r="A679">
            <v>6770</v>
          </cell>
          <cell r="C679">
            <v>114.024</v>
          </cell>
        </row>
        <row r="680">
          <cell r="A680">
            <v>6780</v>
          </cell>
          <cell r="C680">
            <v>114.02200000000001</v>
          </cell>
        </row>
        <row r="681">
          <cell r="A681">
            <v>6790</v>
          </cell>
          <cell r="C681">
            <v>114.02</v>
          </cell>
        </row>
        <row r="682">
          <cell r="A682">
            <v>6800</v>
          </cell>
          <cell r="C682">
            <v>114.018</v>
          </cell>
        </row>
        <row r="683">
          <cell r="A683">
            <v>6810</v>
          </cell>
          <cell r="C683">
            <v>114.017</v>
          </cell>
        </row>
        <row r="684">
          <cell r="A684">
            <v>6820</v>
          </cell>
          <cell r="C684">
            <v>114.015</v>
          </cell>
        </row>
        <row r="685">
          <cell r="A685">
            <v>6830</v>
          </cell>
          <cell r="C685">
            <v>114.01300000000001</v>
          </cell>
        </row>
        <row r="686">
          <cell r="A686">
            <v>6840</v>
          </cell>
          <cell r="C686">
            <v>114.012</v>
          </cell>
        </row>
        <row r="687">
          <cell r="A687">
            <v>6850</v>
          </cell>
          <cell r="C687">
            <v>114.01</v>
          </cell>
        </row>
        <row r="688">
          <cell r="A688">
            <v>6860</v>
          </cell>
          <cell r="C688">
            <v>114.008</v>
          </cell>
        </row>
        <row r="689">
          <cell r="A689">
            <v>6870</v>
          </cell>
          <cell r="C689">
            <v>114.006</v>
          </cell>
        </row>
        <row r="690">
          <cell r="A690">
            <v>6880</v>
          </cell>
          <cell r="C690">
            <v>114.005</v>
          </cell>
        </row>
        <row r="691">
          <cell r="A691">
            <v>6890</v>
          </cell>
          <cell r="C691">
            <v>114.003</v>
          </cell>
        </row>
        <row r="692">
          <cell r="A692">
            <v>6900</v>
          </cell>
          <cell r="C692">
            <v>114.001</v>
          </cell>
        </row>
        <row r="693">
          <cell r="A693">
            <v>6910</v>
          </cell>
          <cell r="C693">
            <v>114</v>
          </cell>
        </row>
        <row r="694">
          <cell r="A694">
            <v>6920</v>
          </cell>
          <cell r="C694">
            <v>113.998</v>
          </cell>
        </row>
        <row r="695">
          <cell r="A695">
            <v>6930</v>
          </cell>
          <cell r="C695">
            <v>113.996</v>
          </cell>
        </row>
        <row r="696">
          <cell r="A696">
            <v>6940</v>
          </cell>
          <cell r="C696">
            <v>113.995</v>
          </cell>
        </row>
        <row r="697">
          <cell r="A697">
            <v>6950</v>
          </cell>
          <cell r="C697">
            <v>113.99299999999999</v>
          </cell>
        </row>
        <row r="698">
          <cell r="A698">
            <v>6960</v>
          </cell>
          <cell r="C698">
            <v>113.991</v>
          </cell>
        </row>
        <row r="699">
          <cell r="A699">
            <v>6970</v>
          </cell>
          <cell r="C699">
            <v>113.989</v>
          </cell>
        </row>
        <row r="700">
          <cell r="A700">
            <v>6980</v>
          </cell>
          <cell r="C700">
            <v>113.988</v>
          </cell>
        </row>
        <row r="701">
          <cell r="A701">
            <v>6990</v>
          </cell>
          <cell r="C701">
            <v>113.986</v>
          </cell>
        </row>
        <row r="702">
          <cell r="A702">
            <v>7000</v>
          </cell>
          <cell r="C702">
            <v>113.985</v>
          </cell>
        </row>
        <row r="703">
          <cell r="A703">
            <v>7010</v>
          </cell>
          <cell r="C703">
            <v>113.983</v>
          </cell>
        </row>
        <row r="704">
          <cell r="A704">
            <v>7020</v>
          </cell>
          <cell r="C704">
            <v>113.98099999999999</v>
          </cell>
        </row>
        <row r="705">
          <cell r="A705">
            <v>7030</v>
          </cell>
          <cell r="C705">
            <v>113.98</v>
          </cell>
        </row>
        <row r="706">
          <cell r="A706">
            <v>7040</v>
          </cell>
          <cell r="C706">
            <v>113.97799999999999</v>
          </cell>
        </row>
        <row r="707">
          <cell r="A707">
            <v>7050</v>
          </cell>
          <cell r="C707">
            <v>113.976</v>
          </cell>
        </row>
        <row r="708">
          <cell r="A708">
            <v>7060</v>
          </cell>
          <cell r="C708">
            <v>113.97499999999999</v>
          </cell>
        </row>
        <row r="709">
          <cell r="A709">
            <v>7070</v>
          </cell>
          <cell r="C709">
            <v>113.973</v>
          </cell>
        </row>
        <row r="710">
          <cell r="A710">
            <v>7080</v>
          </cell>
          <cell r="C710">
            <v>113.971</v>
          </cell>
        </row>
        <row r="711">
          <cell r="A711">
            <v>7090</v>
          </cell>
          <cell r="C711">
            <v>113.97</v>
          </cell>
        </row>
        <row r="712">
          <cell r="A712">
            <v>7100</v>
          </cell>
          <cell r="C712">
            <v>113.968</v>
          </cell>
        </row>
        <row r="713">
          <cell r="A713">
            <v>7110</v>
          </cell>
          <cell r="C713">
            <v>113.96599999999999</v>
          </cell>
        </row>
        <row r="714">
          <cell r="A714">
            <v>7120</v>
          </cell>
          <cell r="C714">
            <v>113.965</v>
          </cell>
        </row>
        <row r="715">
          <cell r="A715">
            <v>7130</v>
          </cell>
          <cell r="C715">
            <v>113.96299999999999</v>
          </cell>
        </row>
        <row r="716">
          <cell r="A716">
            <v>7140</v>
          </cell>
          <cell r="C716">
            <v>113.961</v>
          </cell>
        </row>
        <row r="717">
          <cell r="A717">
            <v>7150</v>
          </cell>
          <cell r="C717">
            <v>113.96</v>
          </cell>
        </row>
        <row r="718">
          <cell r="A718">
            <v>7160</v>
          </cell>
          <cell r="C718">
            <v>113.958</v>
          </cell>
        </row>
        <row r="719">
          <cell r="A719">
            <v>7170</v>
          </cell>
          <cell r="C719">
            <v>113.956</v>
          </cell>
        </row>
        <row r="720">
          <cell r="A720">
            <v>7180</v>
          </cell>
          <cell r="C720">
            <v>113.95399999999999</v>
          </cell>
        </row>
        <row r="721">
          <cell r="A721">
            <v>7190</v>
          </cell>
          <cell r="C721">
            <v>113.952</v>
          </cell>
        </row>
        <row r="722">
          <cell r="A722">
            <v>7200</v>
          </cell>
          <cell r="C722">
            <v>113.95</v>
          </cell>
        </row>
        <row r="723">
          <cell r="A723">
            <v>7210</v>
          </cell>
          <cell r="C723">
            <v>113.949</v>
          </cell>
        </row>
        <row r="724">
          <cell r="A724">
            <v>7220</v>
          </cell>
          <cell r="C724">
            <v>113.947</v>
          </cell>
        </row>
        <row r="725">
          <cell r="A725">
            <v>7230</v>
          </cell>
          <cell r="C725">
            <v>113.94499999999999</v>
          </cell>
        </row>
        <row r="726">
          <cell r="A726">
            <v>7240</v>
          </cell>
          <cell r="C726">
            <v>113.943</v>
          </cell>
        </row>
        <row r="727">
          <cell r="A727">
            <v>7250</v>
          </cell>
          <cell r="C727">
            <v>113.941</v>
          </cell>
        </row>
        <row r="728">
          <cell r="A728">
            <v>7260</v>
          </cell>
          <cell r="C728">
            <v>113.93899999999999</v>
          </cell>
        </row>
        <row r="729">
          <cell r="A729">
            <v>7270</v>
          </cell>
          <cell r="C729">
            <v>113.937</v>
          </cell>
        </row>
        <row r="730">
          <cell r="A730">
            <v>7280</v>
          </cell>
          <cell r="C730">
            <v>113.935</v>
          </cell>
        </row>
        <row r="731">
          <cell r="A731">
            <v>7290</v>
          </cell>
          <cell r="C731">
            <v>113.93300000000001</v>
          </cell>
        </row>
        <row r="732">
          <cell r="A732">
            <v>7300</v>
          </cell>
          <cell r="C732">
            <v>113.931</v>
          </cell>
        </row>
        <row r="733">
          <cell r="A733">
            <v>7310</v>
          </cell>
          <cell r="C733">
            <v>113.929</v>
          </cell>
        </row>
        <row r="734">
          <cell r="A734">
            <v>7320</v>
          </cell>
          <cell r="C734">
            <v>113.928</v>
          </cell>
        </row>
        <row r="735">
          <cell r="A735">
            <v>7330</v>
          </cell>
          <cell r="C735">
            <v>113.926</v>
          </cell>
        </row>
        <row r="736">
          <cell r="A736">
            <v>7340</v>
          </cell>
          <cell r="C736">
            <v>113.92400000000001</v>
          </cell>
        </row>
        <row r="737">
          <cell r="A737">
            <v>7350</v>
          </cell>
          <cell r="C737">
            <v>113.922</v>
          </cell>
        </row>
        <row r="738">
          <cell r="A738">
            <v>7360</v>
          </cell>
          <cell r="C738">
            <v>113.92</v>
          </cell>
        </row>
        <row r="739">
          <cell r="A739">
            <v>7370</v>
          </cell>
          <cell r="C739">
            <v>113.919</v>
          </cell>
        </row>
        <row r="740">
          <cell r="A740">
            <v>7380</v>
          </cell>
          <cell r="C740">
            <v>113.917</v>
          </cell>
        </row>
        <row r="741">
          <cell r="A741">
            <v>7390</v>
          </cell>
          <cell r="C741">
            <v>113.91500000000001</v>
          </cell>
        </row>
        <row r="742">
          <cell r="A742">
            <v>7400</v>
          </cell>
          <cell r="C742">
            <v>113.914</v>
          </cell>
        </row>
        <row r="743">
          <cell r="A743">
            <v>7410</v>
          </cell>
          <cell r="C743">
            <v>113.91200000000001</v>
          </cell>
        </row>
        <row r="744">
          <cell r="A744">
            <v>7420</v>
          </cell>
          <cell r="C744">
            <v>113.91</v>
          </cell>
        </row>
        <row r="745">
          <cell r="A745">
            <v>7430</v>
          </cell>
          <cell r="C745">
            <v>113.90900000000001</v>
          </cell>
        </row>
        <row r="746">
          <cell r="A746">
            <v>7440</v>
          </cell>
          <cell r="C746">
            <v>113.907</v>
          </cell>
        </row>
        <row r="747">
          <cell r="A747">
            <v>7450</v>
          </cell>
          <cell r="C747">
            <v>113.905</v>
          </cell>
        </row>
        <row r="748">
          <cell r="A748">
            <v>7460</v>
          </cell>
          <cell r="C748">
            <v>113.904</v>
          </cell>
        </row>
        <row r="749">
          <cell r="A749">
            <v>7470</v>
          </cell>
          <cell r="C749">
            <v>113.902</v>
          </cell>
        </row>
        <row r="750">
          <cell r="A750">
            <v>7480</v>
          </cell>
          <cell r="C750">
            <v>113.901</v>
          </cell>
        </row>
        <row r="751">
          <cell r="A751">
            <v>7490</v>
          </cell>
          <cell r="C751">
            <v>113.899</v>
          </cell>
        </row>
        <row r="752">
          <cell r="A752">
            <v>7500</v>
          </cell>
          <cell r="C752">
            <v>113.898</v>
          </cell>
        </row>
        <row r="753">
          <cell r="A753">
            <v>7510</v>
          </cell>
          <cell r="C753">
            <v>113.896</v>
          </cell>
        </row>
        <row r="754">
          <cell r="A754">
            <v>7520</v>
          </cell>
          <cell r="C754">
            <v>113.895</v>
          </cell>
        </row>
        <row r="755">
          <cell r="A755">
            <v>7530</v>
          </cell>
          <cell r="C755">
            <v>113.89400000000001</v>
          </cell>
        </row>
        <row r="756">
          <cell r="A756">
            <v>7540</v>
          </cell>
          <cell r="C756">
            <v>113.892</v>
          </cell>
        </row>
        <row r="757">
          <cell r="A757">
            <v>7550</v>
          </cell>
          <cell r="C757">
            <v>113.89100000000001</v>
          </cell>
        </row>
        <row r="758">
          <cell r="A758">
            <v>7560</v>
          </cell>
          <cell r="C758">
            <v>113.889</v>
          </cell>
        </row>
        <row r="759">
          <cell r="A759">
            <v>7570</v>
          </cell>
          <cell r="C759">
            <v>113.88800000000001</v>
          </cell>
        </row>
        <row r="760">
          <cell r="A760">
            <v>7580</v>
          </cell>
          <cell r="C760">
            <v>113.887</v>
          </cell>
        </row>
        <row r="761">
          <cell r="A761">
            <v>7590</v>
          </cell>
          <cell r="C761">
            <v>113.88500000000001</v>
          </cell>
        </row>
        <row r="762">
          <cell r="A762">
            <v>7600</v>
          </cell>
          <cell r="C762">
            <v>113.884</v>
          </cell>
        </row>
        <row r="763">
          <cell r="A763">
            <v>7610</v>
          </cell>
          <cell r="C763">
            <v>113.883</v>
          </cell>
        </row>
        <row r="764">
          <cell r="A764">
            <v>7620</v>
          </cell>
          <cell r="C764">
            <v>113.88200000000001</v>
          </cell>
        </row>
        <row r="765">
          <cell r="A765">
            <v>7630</v>
          </cell>
          <cell r="C765">
            <v>113.88</v>
          </cell>
        </row>
        <row r="766">
          <cell r="A766">
            <v>7640</v>
          </cell>
          <cell r="C766">
            <v>113.879</v>
          </cell>
        </row>
        <row r="767">
          <cell r="A767">
            <v>7650</v>
          </cell>
          <cell r="C767">
            <v>113.878</v>
          </cell>
        </row>
        <row r="768">
          <cell r="A768">
            <v>7660</v>
          </cell>
          <cell r="C768">
            <v>113.877</v>
          </cell>
        </row>
        <row r="769">
          <cell r="A769">
            <v>7670</v>
          </cell>
          <cell r="C769">
            <v>113.875</v>
          </cell>
        </row>
        <row r="770">
          <cell r="A770">
            <v>7680</v>
          </cell>
          <cell r="C770">
            <v>113.874</v>
          </cell>
        </row>
        <row r="771">
          <cell r="A771">
            <v>7690</v>
          </cell>
          <cell r="C771">
            <v>113.873</v>
          </cell>
        </row>
        <row r="772">
          <cell r="A772">
            <v>7700</v>
          </cell>
          <cell r="C772">
            <v>113.872</v>
          </cell>
        </row>
        <row r="773">
          <cell r="A773">
            <v>7710</v>
          </cell>
          <cell r="C773">
            <v>113.871</v>
          </cell>
        </row>
        <row r="774">
          <cell r="A774">
            <v>7720</v>
          </cell>
          <cell r="C774">
            <v>113.87</v>
          </cell>
        </row>
        <row r="775">
          <cell r="A775">
            <v>7730</v>
          </cell>
          <cell r="C775">
            <v>113.869</v>
          </cell>
        </row>
        <row r="776">
          <cell r="A776">
            <v>7740</v>
          </cell>
          <cell r="C776">
            <v>113.867</v>
          </cell>
        </row>
        <row r="777">
          <cell r="A777">
            <v>7750</v>
          </cell>
          <cell r="C777">
            <v>113.866</v>
          </cell>
        </row>
        <row r="778">
          <cell r="A778">
            <v>7760</v>
          </cell>
          <cell r="C778">
            <v>113.86499999999999</v>
          </cell>
        </row>
        <row r="779">
          <cell r="A779">
            <v>7770</v>
          </cell>
          <cell r="C779">
            <v>113.864</v>
          </cell>
        </row>
        <row r="780">
          <cell r="A780">
            <v>7780</v>
          </cell>
          <cell r="C780">
            <v>113.863</v>
          </cell>
        </row>
        <row r="781">
          <cell r="A781">
            <v>7790</v>
          </cell>
          <cell r="C781">
            <v>113.86199999999999</v>
          </cell>
        </row>
        <row r="782">
          <cell r="A782">
            <v>7800</v>
          </cell>
          <cell r="C782">
            <v>113.861</v>
          </cell>
        </row>
        <row r="783">
          <cell r="A783">
            <v>7810</v>
          </cell>
          <cell r="C783">
            <v>113.86</v>
          </cell>
        </row>
        <row r="784">
          <cell r="A784">
            <v>7820</v>
          </cell>
          <cell r="C784">
            <v>113.85899999999999</v>
          </cell>
        </row>
        <row r="785">
          <cell r="A785">
            <v>7830</v>
          </cell>
          <cell r="C785">
            <v>113.858</v>
          </cell>
        </row>
        <row r="786">
          <cell r="A786">
            <v>7840</v>
          </cell>
          <cell r="C786">
            <v>113.857</v>
          </cell>
        </row>
        <row r="787">
          <cell r="A787">
            <v>7850</v>
          </cell>
          <cell r="C787">
            <v>113.85599999999999</v>
          </cell>
        </row>
        <row r="788">
          <cell r="A788">
            <v>7860</v>
          </cell>
          <cell r="C788">
            <v>113.855</v>
          </cell>
        </row>
        <row r="789">
          <cell r="A789">
            <v>7870</v>
          </cell>
          <cell r="C789">
            <v>113.854</v>
          </cell>
        </row>
        <row r="790">
          <cell r="A790">
            <v>7880</v>
          </cell>
          <cell r="C790">
            <v>113.85299999999999</v>
          </cell>
        </row>
        <row r="791">
          <cell r="A791">
            <v>7890</v>
          </cell>
          <cell r="C791">
            <v>113.85299999999999</v>
          </cell>
        </row>
        <row r="792">
          <cell r="A792">
            <v>7900</v>
          </cell>
          <cell r="C792">
            <v>113.852</v>
          </cell>
        </row>
        <row r="793">
          <cell r="A793">
            <v>7910</v>
          </cell>
          <cell r="C793">
            <v>113.851</v>
          </cell>
        </row>
        <row r="794">
          <cell r="A794">
            <v>7920</v>
          </cell>
          <cell r="C794">
            <v>113.85</v>
          </cell>
        </row>
        <row r="795">
          <cell r="A795">
            <v>7930</v>
          </cell>
          <cell r="C795">
            <v>113.849</v>
          </cell>
        </row>
        <row r="796">
          <cell r="A796">
            <v>7940</v>
          </cell>
          <cell r="C796">
            <v>113.848</v>
          </cell>
        </row>
        <row r="797">
          <cell r="A797">
            <v>7950</v>
          </cell>
          <cell r="C797">
            <v>113.84699999999999</v>
          </cell>
        </row>
        <row r="798">
          <cell r="A798">
            <v>7960</v>
          </cell>
          <cell r="C798">
            <v>113.84699999999999</v>
          </cell>
        </row>
        <row r="799">
          <cell r="A799">
            <v>7970</v>
          </cell>
          <cell r="C799">
            <v>113.846</v>
          </cell>
        </row>
        <row r="800">
          <cell r="A800">
            <v>7980</v>
          </cell>
          <cell r="C800">
            <v>113.845</v>
          </cell>
        </row>
        <row r="801">
          <cell r="A801">
            <v>7990</v>
          </cell>
          <cell r="C801">
            <v>113.84399999999999</v>
          </cell>
        </row>
        <row r="802">
          <cell r="A802">
            <v>8000</v>
          </cell>
          <cell r="C802">
            <v>113.84399999999999</v>
          </cell>
        </row>
        <row r="803">
          <cell r="A803">
            <v>8010</v>
          </cell>
          <cell r="C803">
            <v>113.843</v>
          </cell>
        </row>
        <row r="804">
          <cell r="A804">
            <v>8020</v>
          </cell>
          <cell r="C804">
            <v>113.842</v>
          </cell>
        </row>
        <row r="805">
          <cell r="A805">
            <v>8030</v>
          </cell>
          <cell r="C805">
            <v>113.84099999999999</v>
          </cell>
        </row>
        <row r="806">
          <cell r="A806">
            <v>8040</v>
          </cell>
          <cell r="C806">
            <v>113.84099999999999</v>
          </cell>
        </row>
        <row r="807">
          <cell r="A807">
            <v>8050</v>
          </cell>
          <cell r="C807">
            <v>113.84</v>
          </cell>
        </row>
        <row r="808">
          <cell r="A808">
            <v>8060</v>
          </cell>
          <cell r="C808">
            <v>113.839</v>
          </cell>
        </row>
        <row r="809">
          <cell r="A809">
            <v>8070</v>
          </cell>
          <cell r="C809">
            <v>113.83799999999999</v>
          </cell>
        </row>
        <row r="810">
          <cell r="A810">
            <v>8080</v>
          </cell>
          <cell r="C810">
            <v>113.83799999999999</v>
          </cell>
        </row>
        <row r="811">
          <cell r="A811">
            <v>8090</v>
          </cell>
          <cell r="C811">
            <v>113.837</v>
          </cell>
        </row>
        <row r="812">
          <cell r="A812">
            <v>8100</v>
          </cell>
          <cell r="C812">
            <v>113.836</v>
          </cell>
        </row>
        <row r="813">
          <cell r="A813">
            <v>8110</v>
          </cell>
          <cell r="C813">
            <v>113.836</v>
          </cell>
        </row>
        <row r="814">
          <cell r="A814">
            <v>8120</v>
          </cell>
          <cell r="C814">
            <v>113.83499999999999</v>
          </cell>
        </row>
        <row r="815">
          <cell r="A815">
            <v>8130</v>
          </cell>
          <cell r="C815">
            <v>113.834</v>
          </cell>
        </row>
        <row r="816">
          <cell r="A816">
            <v>8140</v>
          </cell>
          <cell r="C816">
            <v>113.834</v>
          </cell>
        </row>
        <row r="817">
          <cell r="A817">
            <v>8150</v>
          </cell>
          <cell r="C817">
            <v>113.833</v>
          </cell>
        </row>
        <row r="818">
          <cell r="A818">
            <v>8160</v>
          </cell>
          <cell r="C818">
            <v>113.83199999999999</v>
          </cell>
        </row>
        <row r="819">
          <cell r="A819">
            <v>8170</v>
          </cell>
          <cell r="C819">
            <v>113.83199999999999</v>
          </cell>
        </row>
        <row r="820">
          <cell r="A820">
            <v>8180</v>
          </cell>
          <cell r="C820">
            <v>113.831</v>
          </cell>
        </row>
        <row r="821">
          <cell r="A821">
            <v>8190</v>
          </cell>
          <cell r="C821">
            <v>113.831</v>
          </cell>
        </row>
        <row r="822">
          <cell r="A822">
            <v>8200</v>
          </cell>
          <cell r="C822">
            <v>113.83</v>
          </cell>
        </row>
        <row r="823">
          <cell r="A823">
            <v>8210</v>
          </cell>
          <cell r="C823">
            <v>113.82899999999999</v>
          </cell>
        </row>
        <row r="824">
          <cell r="A824">
            <v>8220</v>
          </cell>
          <cell r="C824">
            <v>113.82899999999999</v>
          </cell>
        </row>
        <row r="825">
          <cell r="A825">
            <v>8230</v>
          </cell>
          <cell r="C825">
            <v>113.828</v>
          </cell>
        </row>
        <row r="826">
          <cell r="A826">
            <v>8240</v>
          </cell>
          <cell r="C826">
            <v>113.828</v>
          </cell>
        </row>
        <row r="827">
          <cell r="A827">
            <v>8250</v>
          </cell>
          <cell r="C827">
            <v>113.827</v>
          </cell>
        </row>
        <row r="828">
          <cell r="A828">
            <v>8260</v>
          </cell>
          <cell r="C828">
            <v>113.82599999999999</v>
          </cell>
        </row>
        <row r="829">
          <cell r="A829">
            <v>8270</v>
          </cell>
          <cell r="C829">
            <v>113.82599999999999</v>
          </cell>
        </row>
        <row r="830">
          <cell r="A830">
            <v>8280</v>
          </cell>
          <cell r="C830">
            <v>113.825</v>
          </cell>
        </row>
        <row r="831">
          <cell r="A831">
            <v>8290</v>
          </cell>
          <cell r="C831">
            <v>113.825</v>
          </cell>
        </row>
        <row r="832">
          <cell r="A832">
            <v>8300</v>
          </cell>
          <cell r="C832">
            <v>113.824</v>
          </cell>
        </row>
        <row r="833">
          <cell r="A833">
            <v>8310</v>
          </cell>
          <cell r="C833">
            <v>113.824</v>
          </cell>
        </row>
        <row r="834">
          <cell r="A834">
            <v>8320</v>
          </cell>
          <cell r="C834">
            <v>113.82299999999999</v>
          </cell>
        </row>
        <row r="835">
          <cell r="A835">
            <v>8330</v>
          </cell>
          <cell r="C835">
            <v>113.822</v>
          </cell>
        </row>
        <row r="836">
          <cell r="A836">
            <v>8340</v>
          </cell>
          <cell r="C836">
            <v>113.822</v>
          </cell>
        </row>
        <row r="837">
          <cell r="A837">
            <v>8350</v>
          </cell>
          <cell r="C837">
            <v>113.821</v>
          </cell>
        </row>
        <row r="838">
          <cell r="A838">
            <v>8360</v>
          </cell>
          <cell r="C838">
            <v>113.821</v>
          </cell>
        </row>
        <row r="839">
          <cell r="A839">
            <v>8370</v>
          </cell>
          <cell r="C839">
            <v>113.82</v>
          </cell>
        </row>
        <row r="840">
          <cell r="A840">
            <v>8380</v>
          </cell>
          <cell r="C840">
            <v>113.82</v>
          </cell>
        </row>
        <row r="841">
          <cell r="A841">
            <v>8390</v>
          </cell>
          <cell r="C841">
            <v>113.819</v>
          </cell>
        </row>
        <row r="842">
          <cell r="A842">
            <v>8400</v>
          </cell>
          <cell r="C842">
            <v>113.819</v>
          </cell>
        </row>
        <row r="843">
          <cell r="A843">
            <v>8410</v>
          </cell>
          <cell r="C843">
            <v>113.818</v>
          </cell>
        </row>
        <row r="844">
          <cell r="A844">
            <v>8420</v>
          </cell>
          <cell r="C844">
            <v>113.818</v>
          </cell>
        </row>
        <row r="845">
          <cell r="A845">
            <v>8430</v>
          </cell>
          <cell r="C845">
            <v>113.81699999999999</v>
          </cell>
        </row>
        <row r="846">
          <cell r="A846">
            <v>8440</v>
          </cell>
          <cell r="C846">
            <v>113.81699999999999</v>
          </cell>
        </row>
        <row r="847">
          <cell r="A847">
            <v>8450</v>
          </cell>
          <cell r="C847">
            <v>113.816</v>
          </cell>
        </row>
        <row r="848">
          <cell r="A848">
            <v>8460</v>
          </cell>
          <cell r="C848">
            <v>113.815</v>
          </cell>
        </row>
        <row r="849">
          <cell r="A849">
            <v>8470</v>
          </cell>
          <cell r="C849">
            <v>113.815</v>
          </cell>
        </row>
        <row r="850">
          <cell r="A850">
            <v>8480</v>
          </cell>
          <cell r="C850">
            <v>113.81399999999999</v>
          </cell>
        </row>
        <row r="851">
          <cell r="A851">
            <v>8490</v>
          </cell>
          <cell r="C851">
            <v>113.81399999999999</v>
          </cell>
        </row>
        <row r="852">
          <cell r="A852">
            <v>8500</v>
          </cell>
          <cell r="C852">
            <v>113.813</v>
          </cell>
        </row>
        <row r="853">
          <cell r="A853">
            <v>8510</v>
          </cell>
          <cell r="C853">
            <v>113.813</v>
          </cell>
        </row>
        <row r="854">
          <cell r="A854">
            <v>8520</v>
          </cell>
          <cell r="C854">
            <v>113.813</v>
          </cell>
        </row>
        <row r="855">
          <cell r="A855">
            <v>8530</v>
          </cell>
          <cell r="C855">
            <v>113.812</v>
          </cell>
        </row>
        <row r="856">
          <cell r="A856">
            <v>8540</v>
          </cell>
          <cell r="C856">
            <v>113.812</v>
          </cell>
        </row>
        <row r="857">
          <cell r="A857">
            <v>8550</v>
          </cell>
          <cell r="C857">
            <v>113.81100000000001</v>
          </cell>
        </row>
        <row r="858">
          <cell r="A858">
            <v>8560</v>
          </cell>
          <cell r="C858">
            <v>113.81100000000001</v>
          </cell>
        </row>
        <row r="859">
          <cell r="A859">
            <v>8570</v>
          </cell>
          <cell r="C859">
            <v>113.81</v>
          </cell>
        </row>
        <row r="860">
          <cell r="A860">
            <v>8580</v>
          </cell>
          <cell r="C860">
            <v>113.81</v>
          </cell>
        </row>
        <row r="861">
          <cell r="A861">
            <v>8590</v>
          </cell>
          <cell r="C861">
            <v>113.809</v>
          </cell>
        </row>
        <row r="862">
          <cell r="A862">
            <v>8600</v>
          </cell>
          <cell r="C862">
            <v>113.809</v>
          </cell>
        </row>
        <row r="863">
          <cell r="A863">
            <v>8610</v>
          </cell>
          <cell r="C863">
            <v>113.80800000000001</v>
          </cell>
        </row>
        <row r="864">
          <cell r="A864">
            <v>8620</v>
          </cell>
          <cell r="C864">
            <v>113.80800000000001</v>
          </cell>
        </row>
        <row r="865">
          <cell r="A865">
            <v>8630</v>
          </cell>
          <cell r="C865">
            <v>113.807</v>
          </cell>
        </row>
        <row r="866">
          <cell r="A866">
            <v>8640</v>
          </cell>
          <cell r="C866">
            <v>113.807</v>
          </cell>
        </row>
        <row r="867">
          <cell r="A867">
            <v>8650</v>
          </cell>
          <cell r="C867">
            <v>113.806</v>
          </cell>
        </row>
        <row r="868">
          <cell r="A868">
            <v>8660</v>
          </cell>
          <cell r="C868">
            <v>113.806</v>
          </cell>
        </row>
        <row r="869">
          <cell r="A869">
            <v>8670</v>
          </cell>
          <cell r="C869">
            <v>113.80500000000001</v>
          </cell>
        </row>
        <row r="870">
          <cell r="A870">
            <v>8680</v>
          </cell>
          <cell r="C870">
            <v>113.80500000000001</v>
          </cell>
        </row>
        <row r="871">
          <cell r="A871">
            <v>8690</v>
          </cell>
          <cell r="C871">
            <v>113.80500000000001</v>
          </cell>
        </row>
        <row r="872">
          <cell r="A872">
            <v>8700</v>
          </cell>
          <cell r="C872">
            <v>113.804</v>
          </cell>
        </row>
        <row r="873">
          <cell r="A873">
            <v>8710</v>
          </cell>
          <cell r="C873">
            <v>113.804</v>
          </cell>
        </row>
        <row r="874">
          <cell r="A874">
            <v>8720</v>
          </cell>
          <cell r="C874">
            <v>113.803</v>
          </cell>
        </row>
        <row r="875">
          <cell r="A875">
            <v>8730</v>
          </cell>
          <cell r="C875">
            <v>113.803</v>
          </cell>
        </row>
        <row r="876">
          <cell r="A876">
            <v>8740</v>
          </cell>
          <cell r="C876">
            <v>113.80200000000001</v>
          </cell>
        </row>
        <row r="877">
          <cell r="A877">
            <v>8750</v>
          </cell>
          <cell r="C877">
            <v>113.80200000000001</v>
          </cell>
        </row>
        <row r="878">
          <cell r="A878">
            <v>8760</v>
          </cell>
          <cell r="C878">
            <v>113.801</v>
          </cell>
        </row>
        <row r="879">
          <cell r="A879">
            <v>8770</v>
          </cell>
          <cell r="C879">
            <v>113.801</v>
          </cell>
        </row>
        <row r="880">
          <cell r="A880">
            <v>8780</v>
          </cell>
          <cell r="C880">
            <v>113.8</v>
          </cell>
        </row>
        <row r="881">
          <cell r="A881">
            <v>8790</v>
          </cell>
          <cell r="C881">
            <v>113.8</v>
          </cell>
        </row>
        <row r="882">
          <cell r="A882">
            <v>8800</v>
          </cell>
          <cell r="C882">
            <v>113.79900000000001</v>
          </cell>
        </row>
        <row r="883">
          <cell r="A883">
            <v>8810</v>
          </cell>
          <cell r="C883">
            <v>113.79900000000001</v>
          </cell>
        </row>
        <row r="884">
          <cell r="A884">
            <v>8820</v>
          </cell>
          <cell r="C884">
            <v>113.79900000000001</v>
          </cell>
        </row>
        <row r="885">
          <cell r="A885">
            <v>8830</v>
          </cell>
          <cell r="C885">
            <v>113.798</v>
          </cell>
        </row>
        <row r="886">
          <cell r="A886">
            <v>8840</v>
          </cell>
          <cell r="C886">
            <v>113.798</v>
          </cell>
        </row>
        <row r="887">
          <cell r="A887">
            <v>8850</v>
          </cell>
          <cell r="C887">
            <v>113.797</v>
          </cell>
        </row>
        <row r="888">
          <cell r="A888">
            <v>8860</v>
          </cell>
          <cell r="C888">
            <v>113.797</v>
          </cell>
        </row>
        <row r="889">
          <cell r="A889">
            <v>8870</v>
          </cell>
          <cell r="C889">
            <v>113.79600000000001</v>
          </cell>
        </row>
        <row r="890">
          <cell r="A890">
            <v>8880</v>
          </cell>
          <cell r="C890">
            <v>113.79600000000001</v>
          </cell>
        </row>
        <row r="891">
          <cell r="A891">
            <v>8890</v>
          </cell>
          <cell r="C891">
            <v>113.795</v>
          </cell>
        </row>
        <row r="892">
          <cell r="A892">
            <v>8900</v>
          </cell>
          <cell r="C892">
            <v>113.795</v>
          </cell>
        </row>
        <row r="893">
          <cell r="A893">
            <v>8910</v>
          </cell>
          <cell r="C893">
            <v>113.794</v>
          </cell>
        </row>
        <row r="894">
          <cell r="A894">
            <v>8920</v>
          </cell>
          <cell r="C894">
            <v>113.794</v>
          </cell>
        </row>
        <row r="895">
          <cell r="A895">
            <v>8930</v>
          </cell>
          <cell r="C895">
            <v>113.79300000000001</v>
          </cell>
        </row>
        <row r="896">
          <cell r="A896">
            <v>8940</v>
          </cell>
          <cell r="C896">
            <v>113.79300000000001</v>
          </cell>
        </row>
        <row r="897">
          <cell r="A897">
            <v>8950</v>
          </cell>
          <cell r="C897">
            <v>113.792</v>
          </cell>
        </row>
        <row r="898">
          <cell r="A898">
            <v>8960</v>
          </cell>
          <cell r="C898">
            <v>113.792</v>
          </cell>
        </row>
        <row r="899">
          <cell r="A899">
            <v>8970</v>
          </cell>
          <cell r="C899">
            <v>113.791</v>
          </cell>
        </row>
        <row r="900">
          <cell r="A900">
            <v>8980</v>
          </cell>
          <cell r="C900">
            <v>113.791</v>
          </cell>
        </row>
        <row r="901">
          <cell r="A901">
            <v>8990</v>
          </cell>
          <cell r="C901">
            <v>113.791</v>
          </cell>
        </row>
        <row r="902">
          <cell r="A902">
            <v>9000</v>
          </cell>
          <cell r="C902">
            <v>113.79</v>
          </cell>
        </row>
        <row r="903">
          <cell r="A903">
            <v>9010</v>
          </cell>
          <cell r="C903">
            <v>113.79</v>
          </cell>
        </row>
        <row r="904">
          <cell r="A904">
            <v>9020</v>
          </cell>
          <cell r="C904">
            <v>113.789</v>
          </cell>
        </row>
        <row r="905">
          <cell r="A905">
            <v>9030</v>
          </cell>
          <cell r="C905">
            <v>113.789</v>
          </cell>
        </row>
        <row r="906">
          <cell r="A906">
            <v>9040</v>
          </cell>
          <cell r="C906">
            <v>113.788</v>
          </cell>
        </row>
        <row r="907">
          <cell r="A907">
            <v>9050</v>
          </cell>
          <cell r="C907">
            <v>113.788</v>
          </cell>
        </row>
        <row r="908">
          <cell r="A908">
            <v>9060</v>
          </cell>
          <cell r="C908">
            <v>113.78700000000001</v>
          </cell>
        </row>
        <row r="909">
          <cell r="A909">
            <v>9070</v>
          </cell>
          <cell r="C909">
            <v>113.78700000000001</v>
          </cell>
        </row>
        <row r="910">
          <cell r="A910">
            <v>9080</v>
          </cell>
          <cell r="C910">
            <v>113.786</v>
          </cell>
        </row>
        <row r="911">
          <cell r="A911">
            <v>9090</v>
          </cell>
          <cell r="C911">
            <v>113.786</v>
          </cell>
        </row>
        <row r="912">
          <cell r="A912">
            <v>9100</v>
          </cell>
          <cell r="C912">
            <v>113.785</v>
          </cell>
        </row>
        <row r="913">
          <cell r="A913">
            <v>9110</v>
          </cell>
          <cell r="C913">
            <v>113.785</v>
          </cell>
        </row>
        <row r="914">
          <cell r="A914">
            <v>9120</v>
          </cell>
          <cell r="C914">
            <v>113.78400000000001</v>
          </cell>
        </row>
        <row r="915">
          <cell r="A915">
            <v>9130</v>
          </cell>
          <cell r="C915">
            <v>113.78400000000001</v>
          </cell>
        </row>
        <row r="916">
          <cell r="A916">
            <v>9140</v>
          </cell>
          <cell r="C916">
            <v>113.783</v>
          </cell>
        </row>
        <row r="917">
          <cell r="A917">
            <v>9150</v>
          </cell>
          <cell r="C917">
            <v>113.782</v>
          </cell>
        </row>
        <row r="918">
          <cell r="A918">
            <v>9160</v>
          </cell>
          <cell r="C918">
            <v>113.782</v>
          </cell>
        </row>
        <row r="919">
          <cell r="A919">
            <v>9170</v>
          </cell>
          <cell r="C919">
            <v>113.78100000000001</v>
          </cell>
        </row>
        <row r="920">
          <cell r="A920">
            <v>9180</v>
          </cell>
          <cell r="C920">
            <v>113.78100000000001</v>
          </cell>
        </row>
        <row r="921">
          <cell r="A921">
            <v>9190</v>
          </cell>
          <cell r="C921">
            <v>113.78</v>
          </cell>
        </row>
        <row r="922">
          <cell r="A922">
            <v>9200</v>
          </cell>
          <cell r="C922">
            <v>113.78</v>
          </cell>
        </row>
        <row r="923">
          <cell r="A923">
            <v>9210</v>
          </cell>
          <cell r="C923">
            <v>113.779</v>
          </cell>
        </row>
        <row r="924">
          <cell r="A924">
            <v>9220</v>
          </cell>
          <cell r="C924">
            <v>113.779</v>
          </cell>
        </row>
        <row r="925">
          <cell r="A925">
            <v>9230</v>
          </cell>
          <cell r="C925">
            <v>113.77800000000001</v>
          </cell>
        </row>
        <row r="926">
          <cell r="A926">
            <v>9240</v>
          </cell>
          <cell r="C926">
            <v>113.77800000000001</v>
          </cell>
        </row>
        <row r="927">
          <cell r="A927">
            <v>9250</v>
          </cell>
          <cell r="C927">
            <v>113.777</v>
          </cell>
        </row>
        <row r="928">
          <cell r="A928">
            <v>9260</v>
          </cell>
          <cell r="C928">
            <v>113.776</v>
          </cell>
        </row>
        <row r="929">
          <cell r="A929">
            <v>9270</v>
          </cell>
          <cell r="C929">
            <v>113.776</v>
          </cell>
        </row>
        <row r="930">
          <cell r="A930">
            <v>9280</v>
          </cell>
          <cell r="C930">
            <v>113.77500000000001</v>
          </cell>
        </row>
        <row r="931">
          <cell r="A931">
            <v>9290</v>
          </cell>
          <cell r="C931">
            <v>113.77500000000001</v>
          </cell>
        </row>
        <row r="932">
          <cell r="A932">
            <v>9300</v>
          </cell>
          <cell r="C932">
            <v>113.774</v>
          </cell>
        </row>
        <row r="933">
          <cell r="A933">
            <v>9310</v>
          </cell>
          <cell r="C933">
            <v>113.774</v>
          </cell>
        </row>
        <row r="934">
          <cell r="A934">
            <v>9320</v>
          </cell>
          <cell r="C934">
            <v>113.773</v>
          </cell>
        </row>
        <row r="935">
          <cell r="A935">
            <v>9330</v>
          </cell>
          <cell r="C935">
            <v>113.77200000000001</v>
          </cell>
        </row>
        <row r="936">
          <cell r="A936">
            <v>9340</v>
          </cell>
          <cell r="C936">
            <v>113.77200000000001</v>
          </cell>
        </row>
        <row r="937">
          <cell r="A937">
            <v>9350</v>
          </cell>
          <cell r="C937">
            <v>113.771</v>
          </cell>
        </row>
        <row r="938">
          <cell r="A938">
            <v>9360</v>
          </cell>
          <cell r="C938">
            <v>113.77</v>
          </cell>
        </row>
        <row r="939">
          <cell r="A939">
            <v>9370</v>
          </cell>
          <cell r="C939">
            <v>113.77</v>
          </cell>
        </row>
        <row r="940">
          <cell r="A940">
            <v>9380</v>
          </cell>
          <cell r="C940">
            <v>113.76900000000001</v>
          </cell>
        </row>
        <row r="941">
          <cell r="A941">
            <v>9390</v>
          </cell>
          <cell r="C941">
            <v>113.76900000000001</v>
          </cell>
        </row>
        <row r="942">
          <cell r="A942">
            <v>9400</v>
          </cell>
          <cell r="C942">
            <v>113.768</v>
          </cell>
        </row>
        <row r="943">
          <cell r="A943">
            <v>9410</v>
          </cell>
          <cell r="C943">
            <v>113.767</v>
          </cell>
        </row>
        <row r="944">
          <cell r="A944">
            <v>9420</v>
          </cell>
          <cell r="C944">
            <v>113.76600000000001</v>
          </cell>
        </row>
        <row r="945">
          <cell r="A945">
            <v>9430</v>
          </cell>
          <cell r="C945">
            <v>113.76600000000001</v>
          </cell>
        </row>
        <row r="946">
          <cell r="A946">
            <v>9440</v>
          </cell>
          <cell r="C946">
            <v>113.765</v>
          </cell>
        </row>
        <row r="947">
          <cell r="A947">
            <v>9450</v>
          </cell>
          <cell r="C947">
            <v>113.764</v>
          </cell>
        </row>
        <row r="948">
          <cell r="A948">
            <v>9460</v>
          </cell>
          <cell r="C948">
            <v>113.764</v>
          </cell>
        </row>
        <row r="949">
          <cell r="A949">
            <v>9470</v>
          </cell>
          <cell r="C949">
            <v>113.76300000000001</v>
          </cell>
        </row>
        <row r="950">
          <cell r="A950">
            <v>9480</v>
          </cell>
          <cell r="C950">
            <v>113.762</v>
          </cell>
        </row>
        <row r="951">
          <cell r="A951">
            <v>9490</v>
          </cell>
          <cell r="C951">
            <v>113.761</v>
          </cell>
        </row>
        <row r="952">
          <cell r="A952">
            <v>9500</v>
          </cell>
          <cell r="C952">
            <v>113.76</v>
          </cell>
        </row>
        <row r="953">
          <cell r="A953">
            <v>9510</v>
          </cell>
          <cell r="C953">
            <v>113.76</v>
          </cell>
        </row>
        <row r="954">
          <cell r="A954">
            <v>9520</v>
          </cell>
          <cell r="C954">
            <v>113.759</v>
          </cell>
        </row>
        <row r="955">
          <cell r="A955">
            <v>9530</v>
          </cell>
          <cell r="C955">
            <v>113.758</v>
          </cell>
        </row>
        <row r="956">
          <cell r="A956">
            <v>9540</v>
          </cell>
          <cell r="C956">
            <v>113.75700000000001</v>
          </cell>
        </row>
        <row r="957">
          <cell r="A957">
            <v>9550</v>
          </cell>
          <cell r="C957">
            <v>113.756</v>
          </cell>
        </row>
        <row r="958">
          <cell r="A958">
            <v>9560</v>
          </cell>
          <cell r="C958">
            <v>113.755</v>
          </cell>
        </row>
        <row r="959">
          <cell r="A959">
            <v>9570</v>
          </cell>
          <cell r="C959">
            <v>113.755</v>
          </cell>
        </row>
        <row r="960">
          <cell r="A960">
            <v>9580</v>
          </cell>
          <cell r="C960">
            <v>113.754</v>
          </cell>
        </row>
        <row r="961">
          <cell r="A961">
            <v>9590</v>
          </cell>
          <cell r="C961">
            <v>113.753</v>
          </cell>
        </row>
        <row r="962">
          <cell r="A962">
            <v>9600</v>
          </cell>
          <cell r="C962">
            <v>113.752</v>
          </cell>
        </row>
        <row r="963">
          <cell r="A963">
            <v>9610</v>
          </cell>
          <cell r="C963">
            <v>113.751</v>
          </cell>
        </row>
        <row r="964">
          <cell r="A964">
            <v>9620</v>
          </cell>
          <cell r="C964">
            <v>113.75</v>
          </cell>
        </row>
        <row r="965">
          <cell r="A965">
            <v>9630</v>
          </cell>
          <cell r="C965">
            <v>113.749</v>
          </cell>
        </row>
        <row r="966">
          <cell r="A966">
            <v>9640</v>
          </cell>
          <cell r="C966">
            <v>113.748</v>
          </cell>
        </row>
        <row r="967">
          <cell r="A967">
            <v>9650</v>
          </cell>
          <cell r="C967">
            <v>113.747</v>
          </cell>
        </row>
        <row r="968">
          <cell r="A968">
            <v>9660</v>
          </cell>
          <cell r="C968">
            <v>113.746</v>
          </cell>
        </row>
        <row r="969">
          <cell r="A969">
            <v>9670</v>
          </cell>
          <cell r="C969">
            <v>113.745</v>
          </cell>
        </row>
        <row r="970">
          <cell r="A970">
            <v>9680</v>
          </cell>
          <cell r="C970">
            <v>113.744</v>
          </cell>
        </row>
        <row r="971">
          <cell r="A971">
            <v>9690</v>
          </cell>
          <cell r="C971">
            <v>113.74299999999999</v>
          </cell>
        </row>
        <row r="972">
          <cell r="A972">
            <v>9700</v>
          </cell>
          <cell r="C972">
            <v>113.742</v>
          </cell>
        </row>
        <row r="973">
          <cell r="A973">
            <v>9710</v>
          </cell>
          <cell r="C973">
            <v>113.741</v>
          </cell>
        </row>
        <row r="974">
          <cell r="A974">
            <v>9720</v>
          </cell>
          <cell r="C974">
            <v>113.74</v>
          </cell>
        </row>
        <row r="975">
          <cell r="A975">
            <v>9730</v>
          </cell>
          <cell r="C975">
            <v>113.739</v>
          </cell>
        </row>
        <row r="976">
          <cell r="A976">
            <v>9740</v>
          </cell>
          <cell r="C976">
            <v>113.738</v>
          </cell>
        </row>
        <row r="977">
          <cell r="A977">
            <v>9750</v>
          </cell>
          <cell r="C977">
            <v>113.736</v>
          </cell>
        </row>
        <row r="978">
          <cell r="A978">
            <v>9760</v>
          </cell>
          <cell r="C978">
            <v>113.735</v>
          </cell>
        </row>
        <row r="979">
          <cell r="A979">
            <v>9770</v>
          </cell>
          <cell r="C979">
            <v>113.73399999999999</v>
          </cell>
        </row>
        <row r="980">
          <cell r="A980">
            <v>9780</v>
          </cell>
          <cell r="C980">
            <v>113.733</v>
          </cell>
        </row>
        <row r="981">
          <cell r="A981">
            <v>9790</v>
          </cell>
          <cell r="C981">
            <v>113.732</v>
          </cell>
        </row>
        <row r="982">
          <cell r="A982">
            <v>9800</v>
          </cell>
          <cell r="C982">
            <v>113.73099999999999</v>
          </cell>
        </row>
        <row r="983">
          <cell r="A983">
            <v>9810</v>
          </cell>
          <cell r="C983">
            <v>113.729</v>
          </cell>
        </row>
        <row r="984">
          <cell r="A984">
            <v>9820</v>
          </cell>
          <cell r="C984">
            <v>113.72799999999999</v>
          </cell>
        </row>
        <row r="985">
          <cell r="A985">
            <v>9830</v>
          </cell>
          <cell r="C985">
            <v>113.727</v>
          </cell>
        </row>
        <row r="986">
          <cell r="A986">
            <v>9840</v>
          </cell>
          <cell r="C986">
            <v>113.726</v>
          </cell>
        </row>
        <row r="987">
          <cell r="A987">
            <v>9850</v>
          </cell>
          <cell r="C987">
            <v>113.724</v>
          </cell>
        </row>
        <row r="988">
          <cell r="A988">
            <v>9860</v>
          </cell>
          <cell r="C988">
            <v>113.723</v>
          </cell>
        </row>
        <row r="989">
          <cell r="A989">
            <v>9870</v>
          </cell>
          <cell r="C989">
            <v>113.72199999999999</v>
          </cell>
        </row>
        <row r="990">
          <cell r="A990">
            <v>9880</v>
          </cell>
          <cell r="C990">
            <v>113.72</v>
          </cell>
        </row>
        <row r="991">
          <cell r="A991">
            <v>9890</v>
          </cell>
          <cell r="C991">
            <v>113.71899999999999</v>
          </cell>
        </row>
        <row r="992">
          <cell r="A992">
            <v>9900</v>
          </cell>
          <cell r="C992">
            <v>113.717</v>
          </cell>
        </row>
        <row r="993">
          <cell r="A993">
            <v>9910</v>
          </cell>
          <cell r="C993">
            <v>113.71599999999999</v>
          </cell>
        </row>
        <row r="994">
          <cell r="A994">
            <v>9920</v>
          </cell>
          <cell r="C994">
            <v>113.715</v>
          </cell>
        </row>
        <row r="995">
          <cell r="A995">
            <v>9930</v>
          </cell>
          <cell r="C995">
            <v>113.71299999999999</v>
          </cell>
        </row>
        <row r="996">
          <cell r="A996">
            <v>9940</v>
          </cell>
          <cell r="C996">
            <v>113.712</v>
          </cell>
        </row>
        <row r="997">
          <cell r="A997">
            <v>9950</v>
          </cell>
          <cell r="C997">
            <v>113.71</v>
          </cell>
        </row>
        <row r="998">
          <cell r="A998">
            <v>9960</v>
          </cell>
          <cell r="C998">
            <v>113.709</v>
          </cell>
        </row>
        <row r="999">
          <cell r="A999">
            <v>9970</v>
          </cell>
          <cell r="C999">
            <v>113.70699999999999</v>
          </cell>
        </row>
        <row r="1000">
          <cell r="A1000">
            <v>9980</v>
          </cell>
          <cell r="C1000">
            <v>113.706</v>
          </cell>
        </row>
        <row r="1001">
          <cell r="A1001">
            <v>9990</v>
          </cell>
          <cell r="C1001">
            <v>113.705</v>
          </cell>
        </row>
        <row r="1002">
          <cell r="A1002">
            <v>10000</v>
          </cell>
          <cell r="C1002">
            <v>113.703</v>
          </cell>
        </row>
        <row r="1003">
          <cell r="A1003">
            <v>10010</v>
          </cell>
          <cell r="C1003">
            <v>113.702</v>
          </cell>
        </row>
        <row r="1004">
          <cell r="A1004">
            <v>10020</v>
          </cell>
          <cell r="C1004">
            <v>113.7</v>
          </cell>
        </row>
        <row r="1005">
          <cell r="A1005">
            <v>10030</v>
          </cell>
          <cell r="C1005">
            <v>113.699</v>
          </cell>
        </row>
        <row r="1006">
          <cell r="A1006">
            <v>10040</v>
          </cell>
          <cell r="C1006">
            <v>113.69799999999999</v>
          </cell>
        </row>
        <row r="1007">
          <cell r="A1007">
            <v>10050</v>
          </cell>
          <cell r="C1007">
            <v>113.696</v>
          </cell>
        </row>
        <row r="1008">
          <cell r="A1008">
            <v>10060</v>
          </cell>
          <cell r="C1008">
            <v>113.69499999999999</v>
          </cell>
        </row>
        <row r="1009">
          <cell r="A1009">
            <v>10070</v>
          </cell>
          <cell r="C1009">
            <v>113.694</v>
          </cell>
        </row>
        <row r="1010">
          <cell r="A1010">
            <v>10080</v>
          </cell>
          <cell r="C1010">
            <v>113.69199999999999</v>
          </cell>
        </row>
        <row r="1011">
          <cell r="A1011">
            <v>10090</v>
          </cell>
          <cell r="C1011">
            <v>113.691</v>
          </cell>
        </row>
        <row r="1012">
          <cell r="A1012">
            <v>10100</v>
          </cell>
          <cell r="C1012">
            <v>113.69</v>
          </cell>
        </row>
        <row r="1013">
          <cell r="A1013">
            <v>10110</v>
          </cell>
          <cell r="C1013">
            <v>113.688</v>
          </cell>
        </row>
        <row r="1014">
          <cell r="A1014">
            <v>10120</v>
          </cell>
          <cell r="C1014">
            <v>113.687</v>
          </cell>
        </row>
        <row r="1015">
          <cell r="A1015">
            <v>10130</v>
          </cell>
          <cell r="C1015">
            <v>113.685</v>
          </cell>
        </row>
        <row r="1016">
          <cell r="A1016">
            <v>10140</v>
          </cell>
          <cell r="C1016">
            <v>113.684</v>
          </cell>
        </row>
        <row r="1017">
          <cell r="A1017">
            <v>10150</v>
          </cell>
          <cell r="C1017">
            <v>113.68300000000001</v>
          </cell>
        </row>
        <row r="1018">
          <cell r="A1018">
            <v>10160</v>
          </cell>
          <cell r="C1018">
            <v>113.681</v>
          </cell>
        </row>
        <row r="1019">
          <cell r="A1019">
            <v>10170</v>
          </cell>
          <cell r="C1019">
            <v>113.68</v>
          </cell>
        </row>
        <row r="1020">
          <cell r="A1020">
            <v>10180</v>
          </cell>
          <cell r="C1020">
            <v>113.678</v>
          </cell>
        </row>
        <row r="1021">
          <cell r="A1021">
            <v>10190</v>
          </cell>
          <cell r="C1021">
            <v>113.67700000000001</v>
          </cell>
        </row>
        <row r="1022">
          <cell r="A1022">
            <v>10200</v>
          </cell>
          <cell r="C1022">
            <v>113.676</v>
          </cell>
        </row>
        <row r="1023">
          <cell r="A1023">
            <v>10210</v>
          </cell>
          <cell r="C1023">
            <v>113.67400000000001</v>
          </cell>
        </row>
        <row r="1024">
          <cell r="A1024">
            <v>10220</v>
          </cell>
          <cell r="C1024">
            <v>113.673</v>
          </cell>
        </row>
        <row r="1025">
          <cell r="A1025">
            <v>10230</v>
          </cell>
          <cell r="C1025">
            <v>113.67100000000001</v>
          </cell>
        </row>
        <row r="1026">
          <cell r="A1026">
            <v>10240</v>
          </cell>
          <cell r="C1026">
            <v>113.67</v>
          </cell>
        </row>
        <row r="1027">
          <cell r="A1027">
            <v>10250</v>
          </cell>
          <cell r="C1027">
            <v>113.66800000000001</v>
          </cell>
        </row>
        <row r="1028">
          <cell r="A1028">
            <v>10260</v>
          </cell>
          <cell r="C1028">
            <v>113.667</v>
          </cell>
        </row>
        <row r="1029">
          <cell r="A1029">
            <v>10270</v>
          </cell>
          <cell r="C1029">
            <v>113.66500000000001</v>
          </cell>
        </row>
        <row r="1030">
          <cell r="A1030">
            <v>10280</v>
          </cell>
          <cell r="C1030">
            <v>113.664</v>
          </cell>
        </row>
        <row r="1031">
          <cell r="A1031">
            <v>10290</v>
          </cell>
          <cell r="C1031">
            <v>113.66200000000001</v>
          </cell>
        </row>
        <row r="1032">
          <cell r="A1032">
            <v>10300</v>
          </cell>
          <cell r="C1032">
            <v>113.661</v>
          </cell>
        </row>
        <row r="1033">
          <cell r="A1033">
            <v>10310</v>
          </cell>
          <cell r="C1033">
            <v>113.65900000000001</v>
          </cell>
        </row>
        <row r="1034">
          <cell r="A1034">
            <v>10320</v>
          </cell>
          <cell r="C1034">
            <v>113.658</v>
          </cell>
        </row>
        <row r="1035">
          <cell r="A1035">
            <v>10330</v>
          </cell>
          <cell r="C1035">
            <v>113.65600000000001</v>
          </cell>
        </row>
        <row r="1036">
          <cell r="A1036">
            <v>10340</v>
          </cell>
          <cell r="C1036">
            <v>113.655</v>
          </cell>
        </row>
        <row r="1037">
          <cell r="A1037">
            <v>10350</v>
          </cell>
          <cell r="C1037">
            <v>113.65300000000001</v>
          </cell>
        </row>
        <row r="1038">
          <cell r="A1038">
            <v>10360</v>
          </cell>
          <cell r="C1038">
            <v>113.652</v>
          </cell>
        </row>
        <row r="1039">
          <cell r="A1039">
            <v>10370</v>
          </cell>
          <cell r="C1039">
            <v>113.65</v>
          </cell>
        </row>
        <row r="1040">
          <cell r="A1040">
            <v>10380</v>
          </cell>
          <cell r="C1040">
            <v>113.649</v>
          </cell>
        </row>
        <row r="1041">
          <cell r="A1041">
            <v>10390</v>
          </cell>
          <cell r="C1041">
            <v>113.64700000000001</v>
          </cell>
        </row>
        <row r="1042">
          <cell r="A1042">
            <v>10400</v>
          </cell>
          <cell r="C1042">
            <v>113.646</v>
          </cell>
        </row>
        <row r="1043">
          <cell r="A1043">
            <v>10410</v>
          </cell>
          <cell r="C1043">
            <v>113.64400000000001</v>
          </cell>
        </row>
        <row r="1044">
          <cell r="A1044">
            <v>10420</v>
          </cell>
          <cell r="C1044">
            <v>113.643</v>
          </cell>
        </row>
        <row r="1045">
          <cell r="A1045">
            <v>10430</v>
          </cell>
          <cell r="C1045">
            <v>113.64100000000001</v>
          </cell>
        </row>
        <row r="1046">
          <cell r="A1046">
            <v>10440</v>
          </cell>
          <cell r="C1046">
            <v>113.64</v>
          </cell>
        </row>
        <row r="1047">
          <cell r="A1047">
            <v>10450</v>
          </cell>
          <cell r="C1047">
            <v>113.63800000000001</v>
          </cell>
        </row>
        <row r="1048">
          <cell r="A1048">
            <v>10460</v>
          </cell>
          <cell r="C1048">
            <v>113.637</v>
          </cell>
        </row>
        <row r="1049">
          <cell r="A1049">
            <v>10470</v>
          </cell>
          <cell r="C1049">
            <v>113.63500000000001</v>
          </cell>
        </row>
        <row r="1050">
          <cell r="A1050">
            <v>10480</v>
          </cell>
          <cell r="C1050">
            <v>113.634</v>
          </cell>
        </row>
        <row r="1051">
          <cell r="A1051">
            <v>10490</v>
          </cell>
          <cell r="C1051">
            <v>113.63200000000001</v>
          </cell>
        </row>
        <row r="1052">
          <cell r="A1052">
            <v>10500</v>
          </cell>
          <cell r="C1052">
            <v>113.631</v>
          </cell>
        </row>
        <row r="1053">
          <cell r="A1053">
            <v>10510</v>
          </cell>
          <cell r="C1053">
            <v>113.629</v>
          </cell>
        </row>
        <row r="1054">
          <cell r="A1054">
            <v>10520</v>
          </cell>
          <cell r="C1054">
            <v>113.628</v>
          </cell>
        </row>
        <row r="1055">
          <cell r="A1055">
            <v>10530</v>
          </cell>
          <cell r="C1055">
            <v>113.627</v>
          </cell>
        </row>
        <row r="1056">
          <cell r="A1056">
            <v>10540</v>
          </cell>
          <cell r="C1056">
            <v>113.625</v>
          </cell>
        </row>
        <row r="1057">
          <cell r="A1057">
            <v>10550</v>
          </cell>
          <cell r="C1057">
            <v>113.624</v>
          </cell>
        </row>
        <row r="1058">
          <cell r="A1058">
            <v>10560</v>
          </cell>
          <cell r="C1058">
            <v>113.623</v>
          </cell>
        </row>
        <row r="1059">
          <cell r="A1059">
            <v>10570</v>
          </cell>
          <cell r="C1059">
            <v>113.621</v>
          </cell>
        </row>
        <row r="1060">
          <cell r="A1060">
            <v>10580</v>
          </cell>
          <cell r="C1060">
            <v>113.62</v>
          </cell>
        </row>
        <row r="1061">
          <cell r="A1061">
            <v>10590</v>
          </cell>
          <cell r="C1061">
            <v>113.619</v>
          </cell>
        </row>
        <row r="1062">
          <cell r="A1062">
            <v>10600</v>
          </cell>
          <cell r="C1062">
            <v>113.61799999999999</v>
          </cell>
        </row>
        <row r="1063">
          <cell r="A1063">
            <v>10610</v>
          </cell>
          <cell r="C1063">
            <v>113.616</v>
          </cell>
        </row>
        <row r="1064">
          <cell r="A1064">
            <v>10620</v>
          </cell>
          <cell r="C1064">
            <v>113.61499999999999</v>
          </cell>
        </row>
        <row r="1065">
          <cell r="A1065">
            <v>10630</v>
          </cell>
          <cell r="C1065">
            <v>113.614</v>
          </cell>
        </row>
        <row r="1066">
          <cell r="A1066">
            <v>10640</v>
          </cell>
          <cell r="C1066">
            <v>113.613</v>
          </cell>
        </row>
        <row r="1067">
          <cell r="A1067">
            <v>10650</v>
          </cell>
          <cell r="C1067">
            <v>113.611</v>
          </cell>
        </row>
        <row r="1068">
          <cell r="A1068">
            <v>10660</v>
          </cell>
          <cell r="C1068">
            <v>113.61</v>
          </cell>
        </row>
        <row r="1069">
          <cell r="A1069">
            <v>10670</v>
          </cell>
          <cell r="C1069">
            <v>113.60899999999999</v>
          </cell>
        </row>
        <row r="1070">
          <cell r="A1070">
            <v>10680</v>
          </cell>
          <cell r="C1070">
            <v>113.608</v>
          </cell>
        </row>
        <row r="1071">
          <cell r="A1071">
            <v>10690</v>
          </cell>
          <cell r="C1071">
            <v>113.607</v>
          </cell>
        </row>
        <row r="1072">
          <cell r="A1072">
            <v>10700</v>
          </cell>
          <cell r="C1072">
            <v>113.60599999999999</v>
          </cell>
        </row>
        <row r="1073">
          <cell r="A1073">
            <v>10710</v>
          </cell>
          <cell r="C1073">
            <v>113.605</v>
          </cell>
        </row>
        <row r="1074">
          <cell r="A1074">
            <v>10720</v>
          </cell>
          <cell r="C1074">
            <v>113.604</v>
          </cell>
        </row>
        <row r="1075">
          <cell r="A1075">
            <v>10730</v>
          </cell>
          <cell r="C1075">
            <v>113.602</v>
          </cell>
        </row>
        <row r="1076">
          <cell r="A1076">
            <v>10740</v>
          </cell>
          <cell r="C1076">
            <v>113.601</v>
          </cell>
        </row>
        <row r="1077">
          <cell r="A1077">
            <v>10750</v>
          </cell>
          <cell r="C1077">
            <v>113.6</v>
          </cell>
        </row>
        <row r="1078">
          <cell r="A1078">
            <v>10760</v>
          </cell>
          <cell r="C1078">
            <v>113.599</v>
          </cell>
        </row>
        <row r="1079">
          <cell r="A1079">
            <v>10770</v>
          </cell>
          <cell r="C1079">
            <v>113.598</v>
          </cell>
        </row>
        <row r="1080">
          <cell r="A1080">
            <v>10780</v>
          </cell>
          <cell r="C1080">
            <v>113.59699999999999</v>
          </cell>
        </row>
        <row r="1081">
          <cell r="A1081">
            <v>10790</v>
          </cell>
          <cell r="C1081">
            <v>113.596</v>
          </cell>
        </row>
        <row r="1082">
          <cell r="A1082">
            <v>10800</v>
          </cell>
          <cell r="C1082">
            <v>113.59399999999999</v>
          </cell>
        </row>
        <row r="1083">
          <cell r="A1083">
            <v>10810</v>
          </cell>
          <cell r="C1083">
            <v>113.593</v>
          </cell>
        </row>
        <row r="1084">
          <cell r="A1084">
            <v>10820</v>
          </cell>
          <cell r="C1084">
            <v>113.592</v>
          </cell>
        </row>
        <row r="1085">
          <cell r="A1085">
            <v>10830</v>
          </cell>
          <cell r="C1085">
            <v>113.59099999999999</v>
          </cell>
        </row>
        <row r="1086">
          <cell r="A1086">
            <v>10840</v>
          </cell>
          <cell r="C1086">
            <v>113.589</v>
          </cell>
        </row>
        <row r="1087">
          <cell r="A1087">
            <v>10850</v>
          </cell>
          <cell r="C1087">
            <v>113.58799999999999</v>
          </cell>
        </row>
        <row r="1088">
          <cell r="A1088">
            <v>10860</v>
          </cell>
          <cell r="C1088">
            <v>113.587</v>
          </cell>
        </row>
        <row r="1089">
          <cell r="A1089">
            <v>10870</v>
          </cell>
          <cell r="C1089">
            <v>113.58499999999999</v>
          </cell>
        </row>
        <row r="1090">
          <cell r="A1090">
            <v>10880</v>
          </cell>
          <cell r="C1090">
            <v>113.584</v>
          </cell>
        </row>
        <row r="1091">
          <cell r="A1091">
            <v>10890</v>
          </cell>
          <cell r="C1091">
            <v>113.583</v>
          </cell>
        </row>
        <row r="1092">
          <cell r="A1092">
            <v>10900</v>
          </cell>
          <cell r="C1092">
            <v>113.581</v>
          </cell>
        </row>
        <row r="1093">
          <cell r="A1093">
            <v>10910</v>
          </cell>
          <cell r="C1093">
            <v>113.58</v>
          </cell>
        </row>
        <row r="1094">
          <cell r="A1094">
            <v>10920</v>
          </cell>
          <cell r="C1094">
            <v>113.57899999999999</v>
          </cell>
        </row>
        <row r="1095">
          <cell r="A1095">
            <v>10930</v>
          </cell>
          <cell r="C1095">
            <v>113.577</v>
          </cell>
        </row>
        <row r="1096">
          <cell r="A1096">
            <v>10940</v>
          </cell>
          <cell r="C1096">
            <v>113.57599999999999</v>
          </cell>
        </row>
        <row r="1097">
          <cell r="A1097">
            <v>10950</v>
          </cell>
          <cell r="C1097">
            <v>113.574</v>
          </cell>
        </row>
        <row r="1098">
          <cell r="A1098">
            <v>10960</v>
          </cell>
          <cell r="C1098">
            <v>113.57299999999999</v>
          </cell>
        </row>
        <row r="1099">
          <cell r="A1099">
            <v>10970</v>
          </cell>
          <cell r="C1099">
            <v>113.571</v>
          </cell>
        </row>
        <row r="1100">
          <cell r="A1100">
            <v>10980</v>
          </cell>
          <cell r="C1100">
            <v>113.57</v>
          </cell>
        </row>
        <row r="1101">
          <cell r="A1101">
            <v>10990</v>
          </cell>
          <cell r="C1101">
            <v>113.568</v>
          </cell>
        </row>
        <row r="1102">
          <cell r="A1102">
            <v>11000</v>
          </cell>
          <cell r="C1102">
            <v>113.56699999999999</v>
          </cell>
        </row>
        <row r="1103">
          <cell r="A1103">
            <v>11010</v>
          </cell>
          <cell r="C1103">
            <v>113.565</v>
          </cell>
        </row>
        <row r="1104">
          <cell r="A1104">
            <v>11020</v>
          </cell>
          <cell r="C1104">
            <v>113.56399999999999</v>
          </cell>
        </row>
        <row r="1105">
          <cell r="A1105">
            <v>11030</v>
          </cell>
          <cell r="C1105">
            <v>113.562</v>
          </cell>
        </row>
        <row r="1106">
          <cell r="A1106">
            <v>11040</v>
          </cell>
          <cell r="C1106">
            <v>113.56100000000001</v>
          </cell>
        </row>
        <row r="1107">
          <cell r="A1107">
            <v>11050</v>
          </cell>
          <cell r="C1107">
            <v>113.559</v>
          </cell>
        </row>
        <row r="1108">
          <cell r="A1108">
            <v>11060</v>
          </cell>
          <cell r="C1108">
            <v>113.55800000000001</v>
          </cell>
        </row>
        <row r="1109">
          <cell r="A1109">
            <v>11070</v>
          </cell>
          <cell r="C1109">
            <v>113.556</v>
          </cell>
        </row>
        <row r="1110">
          <cell r="A1110">
            <v>11080</v>
          </cell>
          <cell r="C1110">
            <v>113.55500000000001</v>
          </cell>
        </row>
        <row r="1111">
          <cell r="A1111">
            <v>11090</v>
          </cell>
          <cell r="C1111">
            <v>113.553</v>
          </cell>
        </row>
        <row r="1112">
          <cell r="A1112">
            <v>11100</v>
          </cell>
          <cell r="C1112">
            <v>113.551</v>
          </cell>
        </row>
        <row r="1113">
          <cell r="A1113">
            <v>11110</v>
          </cell>
          <cell r="C1113">
            <v>113.55</v>
          </cell>
        </row>
        <row r="1114">
          <cell r="A1114">
            <v>11120</v>
          </cell>
          <cell r="C1114">
            <v>113.548</v>
          </cell>
        </row>
        <row r="1115">
          <cell r="A1115">
            <v>11130</v>
          </cell>
          <cell r="C1115">
            <v>113.547</v>
          </cell>
        </row>
        <row r="1116">
          <cell r="A1116">
            <v>11140</v>
          </cell>
          <cell r="C1116">
            <v>113.545</v>
          </cell>
        </row>
        <row r="1117">
          <cell r="A1117">
            <v>11150</v>
          </cell>
          <cell r="C1117">
            <v>113.54300000000001</v>
          </cell>
        </row>
        <row r="1118">
          <cell r="A1118">
            <v>11160</v>
          </cell>
          <cell r="C1118">
            <v>113.542</v>
          </cell>
        </row>
        <row r="1119">
          <cell r="A1119">
            <v>11170</v>
          </cell>
          <cell r="C1119">
            <v>113.54</v>
          </cell>
        </row>
        <row r="1120">
          <cell r="A1120">
            <v>11180</v>
          </cell>
          <cell r="C1120">
            <v>113.539</v>
          </cell>
        </row>
        <row r="1121">
          <cell r="A1121">
            <v>11190</v>
          </cell>
          <cell r="C1121">
            <v>113.53700000000001</v>
          </cell>
        </row>
        <row r="1122">
          <cell r="A1122">
            <v>11200</v>
          </cell>
          <cell r="C1122">
            <v>113.535</v>
          </cell>
        </row>
        <row r="1123">
          <cell r="A1123">
            <v>11210</v>
          </cell>
          <cell r="C1123">
            <v>113.53400000000001</v>
          </cell>
        </row>
        <row r="1124">
          <cell r="A1124">
            <v>11220</v>
          </cell>
          <cell r="C1124">
            <v>113.532</v>
          </cell>
        </row>
        <row r="1125">
          <cell r="A1125">
            <v>11230</v>
          </cell>
          <cell r="C1125">
            <v>113.53100000000001</v>
          </cell>
        </row>
        <row r="1126">
          <cell r="A1126">
            <v>11240</v>
          </cell>
          <cell r="C1126">
            <v>113.529</v>
          </cell>
        </row>
        <row r="1127">
          <cell r="A1127">
            <v>11250</v>
          </cell>
          <cell r="C1127">
            <v>113.52800000000001</v>
          </cell>
        </row>
        <row r="1128">
          <cell r="A1128">
            <v>11260</v>
          </cell>
          <cell r="C1128">
            <v>113.526</v>
          </cell>
        </row>
        <row r="1129">
          <cell r="A1129">
            <v>11270</v>
          </cell>
          <cell r="C1129">
            <v>113.524</v>
          </cell>
        </row>
        <row r="1130">
          <cell r="A1130">
            <v>11280</v>
          </cell>
          <cell r="C1130">
            <v>113.523</v>
          </cell>
        </row>
        <row r="1131">
          <cell r="A1131">
            <v>11290</v>
          </cell>
          <cell r="C1131">
            <v>113.521</v>
          </cell>
        </row>
        <row r="1132">
          <cell r="A1132">
            <v>11300</v>
          </cell>
          <cell r="C1132">
            <v>113.52</v>
          </cell>
        </row>
        <row r="1133">
          <cell r="A1133">
            <v>11310</v>
          </cell>
          <cell r="C1133">
            <v>113.518</v>
          </cell>
        </row>
        <row r="1134">
          <cell r="A1134">
            <v>11320</v>
          </cell>
          <cell r="C1134">
            <v>113.517</v>
          </cell>
        </row>
        <row r="1135">
          <cell r="A1135">
            <v>11330</v>
          </cell>
          <cell r="C1135">
            <v>113.515</v>
          </cell>
        </row>
        <row r="1136">
          <cell r="A1136">
            <v>11340</v>
          </cell>
          <cell r="C1136">
            <v>113.514</v>
          </cell>
        </row>
        <row r="1137">
          <cell r="A1137">
            <v>11350</v>
          </cell>
          <cell r="C1137">
            <v>113.512</v>
          </cell>
        </row>
        <row r="1138">
          <cell r="A1138">
            <v>11360</v>
          </cell>
          <cell r="C1138">
            <v>113.51</v>
          </cell>
        </row>
        <row r="1139">
          <cell r="A1139">
            <v>11370</v>
          </cell>
          <cell r="C1139">
            <v>113.509</v>
          </cell>
        </row>
        <row r="1140">
          <cell r="A1140">
            <v>11380</v>
          </cell>
          <cell r="C1140">
            <v>113.50700000000001</v>
          </cell>
        </row>
        <row r="1141">
          <cell r="A1141">
            <v>11390</v>
          </cell>
          <cell r="C1141">
            <v>113.506</v>
          </cell>
        </row>
        <row r="1142">
          <cell r="A1142">
            <v>11400</v>
          </cell>
          <cell r="C1142">
            <v>113.504</v>
          </cell>
        </row>
        <row r="1143">
          <cell r="A1143">
            <v>11410</v>
          </cell>
          <cell r="C1143">
            <v>113.503</v>
          </cell>
        </row>
        <row r="1144">
          <cell r="A1144">
            <v>11420</v>
          </cell>
          <cell r="C1144">
            <v>113.501</v>
          </cell>
        </row>
        <row r="1145">
          <cell r="A1145">
            <v>11430</v>
          </cell>
          <cell r="C1145">
            <v>113.5</v>
          </cell>
        </row>
        <row r="1146">
          <cell r="A1146">
            <v>11440</v>
          </cell>
          <cell r="C1146">
            <v>113.498</v>
          </cell>
        </row>
        <row r="1147">
          <cell r="A1147">
            <v>11450</v>
          </cell>
          <cell r="C1147">
            <v>113.497</v>
          </cell>
        </row>
        <row r="1148">
          <cell r="A1148">
            <v>11460</v>
          </cell>
          <cell r="C1148">
            <v>113.495</v>
          </cell>
        </row>
        <row r="1149">
          <cell r="A1149">
            <v>11470</v>
          </cell>
          <cell r="C1149">
            <v>113.494</v>
          </cell>
        </row>
        <row r="1150">
          <cell r="A1150">
            <v>11480</v>
          </cell>
          <cell r="C1150">
            <v>113.492</v>
          </cell>
        </row>
        <row r="1151">
          <cell r="A1151">
            <v>11490</v>
          </cell>
          <cell r="C1151">
            <v>113.491</v>
          </cell>
        </row>
        <row r="1152">
          <cell r="A1152">
            <v>11500</v>
          </cell>
          <cell r="C1152">
            <v>113.489</v>
          </cell>
        </row>
        <row r="1153">
          <cell r="A1153">
            <v>11510</v>
          </cell>
          <cell r="C1153">
            <v>113.488</v>
          </cell>
        </row>
        <row r="1154">
          <cell r="A1154">
            <v>11520</v>
          </cell>
          <cell r="C1154">
            <v>113.48699999999999</v>
          </cell>
        </row>
        <row r="1155">
          <cell r="A1155">
            <v>11530</v>
          </cell>
          <cell r="C1155">
            <v>113.485</v>
          </cell>
        </row>
        <row r="1156">
          <cell r="A1156">
            <v>11540</v>
          </cell>
          <cell r="C1156">
            <v>113.48399999999999</v>
          </cell>
        </row>
        <row r="1157">
          <cell r="A1157">
            <v>11550</v>
          </cell>
          <cell r="C1157">
            <v>113.482</v>
          </cell>
        </row>
        <row r="1158">
          <cell r="A1158">
            <v>11560</v>
          </cell>
          <cell r="C1158">
            <v>113.48099999999999</v>
          </cell>
        </row>
        <row r="1159">
          <cell r="A1159">
            <v>11570</v>
          </cell>
          <cell r="C1159">
            <v>113.48</v>
          </cell>
        </row>
        <row r="1160">
          <cell r="A1160">
            <v>11580</v>
          </cell>
          <cell r="C1160">
            <v>113.47799999999999</v>
          </cell>
        </row>
        <row r="1161">
          <cell r="A1161">
            <v>11590</v>
          </cell>
          <cell r="C1161">
            <v>113.477</v>
          </cell>
        </row>
        <row r="1162">
          <cell r="A1162">
            <v>11600</v>
          </cell>
          <cell r="C1162">
            <v>113.476</v>
          </cell>
        </row>
        <row r="1163">
          <cell r="A1163">
            <v>11610</v>
          </cell>
          <cell r="C1163">
            <v>113.474</v>
          </cell>
        </row>
        <row r="1164">
          <cell r="A1164">
            <v>11620</v>
          </cell>
          <cell r="C1164">
            <v>113.473</v>
          </cell>
        </row>
        <row r="1165">
          <cell r="A1165">
            <v>11630</v>
          </cell>
          <cell r="C1165">
            <v>113.47199999999999</v>
          </cell>
        </row>
        <row r="1166">
          <cell r="A1166">
            <v>11640</v>
          </cell>
          <cell r="C1166">
            <v>113.471</v>
          </cell>
        </row>
        <row r="1167">
          <cell r="A1167">
            <v>11650</v>
          </cell>
          <cell r="C1167">
            <v>113.46899999999999</v>
          </cell>
        </row>
        <row r="1168">
          <cell r="A1168">
            <v>11660</v>
          </cell>
          <cell r="C1168">
            <v>113.468</v>
          </cell>
        </row>
        <row r="1169">
          <cell r="A1169">
            <v>11670</v>
          </cell>
          <cell r="C1169">
            <v>113.467</v>
          </cell>
        </row>
        <row r="1170">
          <cell r="A1170">
            <v>11680</v>
          </cell>
          <cell r="C1170">
            <v>113.46599999999999</v>
          </cell>
        </row>
        <row r="1171">
          <cell r="A1171">
            <v>11690</v>
          </cell>
          <cell r="C1171">
            <v>113.465</v>
          </cell>
        </row>
        <row r="1172">
          <cell r="A1172">
            <v>11700</v>
          </cell>
          <cell r="C1172">
            <v>113.46299999999999</v>
          </cell>
        </row>
        <row r="1173">
          <cell r="A1173">
            <v>11710</v>
          </cell>
          <cell r="C1173">
            <v>113.462</v>
          </cell>
        </row>
        <row r="1174">
          <cell r="A1174">
            <v>11720</v>
          </cell>
          <cell r="C1174">
            <v>113.461</v>
          </cell>
        </row>
        <row r="1175">
          <cell r="A1175">
            <v>11730</v>
          </cell>
          <cell r="C1175">
            <v>113.46</v>
          </cell>
        </row>
        <row r="1176">
          <cell r="A1176">
            <v>11740</v>
          </cell>
          <cell r="C1176">
            <v>113.459</v>
          </cell>
        </row>
        <row r="1177">
          <cell r="A1177">
            <v>11750</v>
          </cell>
          <cell r="C1177">
            <v>113.45699999999999</v>
          </cell>
        </row>
        <row r="1178">
          <cell r="A1178">
            <v>11760</v>
          </cell>
          <cell r="C1178">
            <v>113.456</v>
          </cell>
        </row>
        <row r="1179">
          <cell r="A1179">
            <v>11770</v>
          </cell>
          <cell r="C1179">
            <v>113.455</v>
          </cell>
        </row>
        <row r="1180">
          <cell r="A1180">
            <v>11780</v>
          </cell>
          <cell r="C1180">
            <v>113.45399999999999</v>
          </cell>
        </row>
        <row r="1181">
          <cell r="A1181">
            <v>11790</v>
          </cell>
          <cell r="C1181">
            <v>113.453</v>
          </cell>
        </row>
        <row r="1182">
          <cell r="A1182">
            <v>11800</v>
          </cell>
          <cell r="C1182">
            <v>113.452</v>
          </cell>
        </row>
        <row r="1183">
          <cell r="A1183">
            <v>11810</v>
          </cell>
          <cell r="C1183">
            <v>113.45099999999999</v>
          </cell>
        </row>
        <row r="1184">
          <cell r="A1184">
            <v>11820</v>
          </cell>
          <cell r="C1184">
            <v>113.45</v>
          </cell>
        </row>
        <row r="1185">
          <cell r="A1185">
            <v>11830</v>
          </cell>
          <cell r="C1185">
            <v>113.449</v>
          </cell>
        </row>
        <row r="1186">
          <cell r="A1186">
            <v>11840</v>
          </cell>
          <cell r="C1186">
            <v>113.44799999999999</v>
          </cell>
        </row>
        <row r="1187">
          <cell r="A1187">
            <v>11850</v>
          </cell>
          <cell r="C1187">
            <v>113.446</v>
          </cell>
        </row>
        <row r="1188">
          <cell r="A1188">
            <v>11860</v>
          </cell>
          <cell r="C1188">
            <v>113.44499999999999</v>
          </cell>
        </row>
        <row r="1189">
          <cell r="A1189">
            <v>11870</v>
          </cell>
          <cell r="C1189">
            <v>113.444</v>
          </cell>
        </row>
        <row r="1190">
          <cell r="A1190">
            <v>11880</v>
          </cell>
          <cell r="C1190">
            <v>113.443</v>
          </cell>
        </row>
        <row r="1191">
          <cell r="A1191">
            <v>11890</v>
          </cell>
          <cell r="C1191">
            <v>113.44199999999999</v>
          </cell>
        </row>
        <row r="1192">
          <cell r="A1192">
            <v>11900</v>
          </cell>
          <cell r="C1192">
            <v>113.441</v>
          </cell>
        </row>
        <row r="1193">
          <cell r="A1193">
            <v>11910</v>
          </cell>
          <cell r="C1193">
            <v>113.44</v>
          </cell>
        </row>
        <row r="1194">
          <cell r="A1194">
            <v>11920</v>
          </cell>
          <cell r="C1194">
            <v>113.43899999999999</v>
          </cell>
        </row>
        <row r="1195">
          <cell r="A1195">
            <v>11930</v>
          </cell>
          <cell r="C1195">
            <v>113.438</v>
          </cell>
        </row>
        <row r="1196">
          <cell r="A1196">
            <v>11940</v>
          </cell>
          <cell r="C1196">
            <v>113.437</v>
          </cell>
        </row>
        <row r="1197">
          <cell r="A1197">
            <v>11950</v>
          </cell>
          <cell r="C1197">
            <v>113.43600000000001</v>
          </cell>
        </row>
        <row r="1198">
          <cell r="A1198">
            <v>11960</v>
          </cell>
          <cell r="C1198">
            <v>113.435</v>
          </cell>
        </row>
        <row r="1199">
          <cell r="A1199">
            <v>11970</v>
          </cell>
          <cell r="C1199">
            <v>113.434</v>
          </cell>
        </row>
        <row r="1200">
          <cell r="A1200">
            <v>11980</v>
          </cell>
          <cell r="C1200">
            <v>113.43300000000001</v>
          </cell>
        </row>
        <row r="1201">
          <cell r="A1201">
            <v>11990</v>
          </cell>
          <cell r="C1201">
            <v>113.432</v>
          </cell>
        </row>
        <row r="1202">
          <cell r="A1202">
            <v>12000</v>
          </cell>
          <cell r="C1202">
            <v>113.431</v>
          </cell>
        </row>
        <row r="1203">
          <cell r="A1203">
            <v>12010</v>
          </cell>
          <cell r="C1203">
            <v>113.43</v>
          </cell>
        </row>
        <row r="1204">
          <cell r="A1204">
            <v>12020</v>
          </cell>
          <cell r="C1204">
            <v>113.429</v>
          </cell>
        </row>
        <row r="1205">
          <cell r="A1205">
            <v>12030</v>
          </cell>
          <cell r="C1205">
            <v>113.428</v>
          </cell>
        </row>
        <row r="1206">
          <cell r="A1206">
            <v>12040</v>
          </cell>
          <cell r="C1206">
            <v>113.42700000000001</v>
          </cell>
        </row>
        <row r="1207">
          <cell r="A1207">
            <v>12050</v>
          </cell>
          <cell r="C1207">
            <v>113.426</v>
          </cell>
        </row>
        <row r="1208">
          <cell r="A1208">
            <v>12060</v>
          </cell>
          <cell r="C1208">
            <v>113.425</v>
          </cell>
        </row>
        <row r="1209">
          <cell r="A1209">
            <v>12070</v>
          </cell>
          <cell r="C1209">
            <v>113.42400000000001</v>
          </cell>
        </row>
        <row r="1210">
          <cell r="A1210">
            <v>12080</v>
          </cell>
          <cell r="C1210">
            <v>113.423</v>
          </cell>
        </row>
        <row r="1211">
          <cell r="A1211">
            <v>12090</v>
          </cell>
          <cell r="C1211">
            <v>113.422</v>
          </cell>
        </row>
        <row r="1212">
          <cell r="A1212">
            <v>12100</v>
          </cell>
          <cell r="C1212">
            <v>113.42100000000001</v>
          </cell>
        </row>
        <row r="1213">
          <cell r="A1213">
            <v>12110</v>
          </cell>
          <cell r="C1213">
            <v>113.42</v>
          </cell>
        </row>
        <row r="1214">
          <cell r="A1214">
            <v>12120</v>
          </cell>
          <cell r="C1214">
            <v>113.419</v>
          </cell>
        </row>
        <row r="1215">
          <cell r="A1215">
            <v>12130</v>
          </cell>
          <cell r="C1215">
            <v>113.41800000000001</v>
          </cell>
        </row>
        <row r="1216">
          <cell r="A1216">
            <v>12140</v>
          </cell>
          <cell r="C1216">
            <v>113.417</v>
          </cell>
        </row>
        <row r="1217">
          <cell r="A1217">
            <v>12150</v>
          </cell>
          <cell r="C1217">
            <v>113.416</v>
          </cell>
        </row>
        <row r="1218">
          <cell r="A1218">
            <v>12160</v>
          </cell>
          <cell r="C1218">
            <v>113.41500000000001</v>
          </cell>
        </row>
        <row r="1219">
          <cell r="A1219">
            <v>12170</v>
          </cell>
          <cell r="C1219">
            <v>113.414</v>
          </cell>
        </row>
        <row r="1220">
          <cell r="A1220">
            <v>12180</v>
          </cell>
          <cell r="C1220">
            <v>113.413</v>
          </cell>
        </row>
        <row r="1221">
          <cell r="A1221">
            <v>12190</v>
          </cell>
          <cell r="C1221">
            <v>113.41200000000001</v>
          </cell>
        </row>
        <row r="1222">
          <cell r="A1222">
            <v>12200</v>
          </cell>
          <cell r="C1222">
            <v>113.411</v>
          </cell>
        </row>
        <row r="1223">
          <cell r="A1223">
            <v>12210</v>
          </cell>
          <cell r="C1223">
            <v>113.41</v>
          </cell>
        </row>
        <row r="1224">
          <cell r="A1224">
            <v>12220</v>
          </cell>
          <cell r="C1224">
            <v>113.40900000000001</v>
          </cell>
        </row>
        <row r="1225">
          <cell r="A1225">
            <v>12230</v>
          </cell>
          <cell r="C1225">
            <v>113.408</v>
          </cell>
        </row>
        <row r="1226">
          <cell r="A1226">
            <v>12240</v>
          </cell>
          <cell r="C1226">
            <v>113.407</v>
          </cell>
        </row>
        <row r="1227">
          <cell r="A1227">
            <v>12250</v>
          </cell>
          <cell r="C1227">
            <v>113.40600000000001</v>
          </cell>
        </row>
        <row r="1228">
          <cell r="A1228">
            <v>12260</v>
          </cell>
          <cell r="C1228">
            <v>113.405</v>
          </cell>
        </row>
        <row r="1229">
          <cell r="A1229">
            <v>12270</v>
          </cell>
          <cell r="C1229">
            <v>113.404</v>
          </cell>
        </row>
        <row r="1230">
          <cell r="A1230">
            <v>12280</v>
          </cell>
          <cell r="C1230">
            <v>113.40300000000001</v>
          </cell>
        </row>
        <row r="1231">
          <cell r="A1231">
            <v>12290</v>
          </cell>
          <cell r="C1231">
            <v>113.402</v>
          </cell>
        </row>
        <row r="1232">
          <cell r="A1232">
            <v>12300</v>
          </cell>
          <cell r="C1232">
            <v>113.401</v>
          </cell>
        </row>
        <row r="1233">
          <cell r="A1233">
            <v>12310</v>
          </cell>
          <cell r="C1233">
            <v>113.4</v>
          </cell>
        </row>
        <row r="1234">
          <cell r="A1234">
            <v>12320</v>
          </cell>
          <cell r="C1234">
            <v>113.399</v>
          </cell>
        </row>
        <row r="1235">
          <cell r="A1235">
            <v>12330</v>
          </cell>
          <cell r="C1235">
            <v>113.398</v>
          </cell>
        </row>
        <row r="1236">
          <cell r="A1236">
            <v>12340</v>
          </cell>
          <cell r="C1236">
            <v>113.39700000000001</v>
          </cell>
        </row>
        <row r="1237">
          <cell r="A1237">
            <v>12350</v>
          </cell>
          <cell r="C1237">
            <v>113.396</v>
          </cell>
        </row>
        <row r="1238">
          <cell r="A1238">
            <v>12360</v>
          </cell>
          <cell r="C1238">
            <v>113.396</v>
          </cell>
        </row>
        <row r="1239">
          <cell r="A1239">
            <v>12370</v>
          </cell>
          <cell r="C1239">
            <v>113.395</v>
          </cell>
        </row>
        <row r="1240">
          <cell r="A1240">
            <v>12380</v>
          </cell>
          <cell r="C1240">
            <v>113.39400000000001</v>
          </cell>
        </row>
        <row r="1241">
          <cell r="A1241">
            <v>12390</v>
          </cell>
          <cell r="C1241">
            <v>113.393</v>
          </cell>
        </row>
        <row r="1242">
          <cell r="A1242">
            <v>12400</v>
          </cell>
          <cell r="C1242">
            <v>113.392</v>
          </cell>
        </row>
        <row r="1243">
          <cell r="A1243">
            <v>12410</v>
          </cell>
          <cell r="C1243">
            <v>113.39100000000001</v>
          </cell>
        </row>
        <row r="1244">
          <cell r="A1244">
            <v>12420</v>
          </cell>
          <cell r="C1244">
            <v>113.39</v>
          </cell>
        </row>
        <row r="1245">
          <cell r="A1245">
            <v>12430</v>
          </cell>
          <cell r="C1245">
            <v>113.389</v>
          </cell>
        </row>
        <row r="1246">
          <cell r="A1246">
            <v>12440</v>
          </cell>
          <cell r="C1246">
            <v>113.38800000000001</v>
          </cell>
        </row>
        <row r="1247">
          <cell r="A1247">
            <v>12450</v>
          </cell>
          <cell r="C1247">
            <v>113.387</v>
          </cell>
        </row>
        <row r="1248">
          <cell r="A1248">
            <v>12460</v>
          </cell>
          <cell r="C1248">
            <v>113.387</v>
          </cell>
        </row>
        <row r="1249">
          <cell r="A1249">
            <v>12470</v>
          </cell>
          <cell r="C1249">
            <v>113.386</v>
          </cell>
        </row>
        <row r="1250">
          <cell r="A1250">
            <v>12480</v>
          </cell>
          <cell r="C1250">
            <v>113.38500000000001</v>
          </cell>
        </row>
        <row r="1251">
          <cell r="A1251">
            <v>12490</v>
          </cell>
          <cell r="C1251">
            <v>113.384</v>
          </cell>
        </row>
        <row r="1252">
          <cell r="A1252">
            <v>12500</v>
          </cell>
          <cell r="C1252">
            <v>113.383</v>
          </cell>
        </row>
        <row r="1253">
          <cell r="A1253">
            <v>12510</v>
          </cell>
          <cell r="C1253">
            <v>113.38200000000001</v>
          </cell>
        </row>
        <row r="1254">
          <cell r="A1254">
            <v>12520</v>
          </cell>
          <cell r="C1254">
            <v>113.381</v>
          </cell>
        </row>
        <row r="1255">
          <cell r="A1255">
            <v>12530</v>
          </cell>
          <cell r="C1255">
            <v>113.381</v>
          </cell>
        </row>
        <row r="1256">
          <cell r="A1256">
            <v>12540</v>
          </cell>
          <cell r="C1256">
            <v>113.38</v>
          </cell>
        </row>
        <row r="1257">
          <cell r="A1257">
            <v>12550</v>
          </cell>
          <cell r="C1257">
            <v>113.379</v>
          </cell>
        </row>
        <row r="1258">
          <cell r="A1258">
            <v>12560</v>
          </cell>
          <cell r="C1258">
            <v>113.378</v>
          </cell>
        </row>
        <row r="1259">
          <cell r="A1259">
            <v>12570</v>
          </cell>
          <cell r="C1259">
            <v>113.377</v>
          </cell>
        </row>
        <row r="1260">
          <cell r="A1260">
            <v>12580</v>
          </cell>
          <cell r="C1260">
            <v>113.377</v>
          </cell>
        </row>
        <row r="1261">
          <cell r="A1261">
            <v>12590</v>
          </cell>
          <cell r="C1261">
            <v>113.376</v>
          </cell>
        </row>
        <row r="1262">
          <cell r="A1262">
            <v>12600</v>
          </cell>
          <cell r="C1262">
            <v>113.375</v>
          </cell>
        </row>
        <row r="1263">
          <cell r="A1263">
            <v>12610</v>
          </cell>
          <cell r="C1263">
            <v>113.374</v>
          </cell>
        </row>
        <row r="1264">
          <cell r="A1264">
            <v>12620</v>
          </cell>
          <cell r="C1264">
            <v>113.373</v>
          </cell>
        </row>
        <row r="1265">
          <cell r="A1265">
            <v>12630</v>
          </cell>
          <cell r="C1265">
            <v>113.372</v>
          </cell>
        </row>
        <row r="1266">
          <cell r="A1266">
            <v>12640</v>
          </cell>
          <cell r="C1266">
            <v>113.372</v>
          </cell>
        </row>
        <row r="1267">
          <cell r="A1267">
            <v>12650</v>
          </cell>
          <cell r="C1267">
            <v>113.371</v>
          </cell>
        </row>
        <row r="1268">
          <cell r="A1268">
            <v>12660</v>
          </cell>
          <cell r="C1268">
            <v>113.37</v>
          </cell>
        </row>
        <row r="1269">
          <cell r="A1269">
            <v>12670</v>
          </cell>
          <cell r="C1269">
            <v>113.369</v>
          </cell>
        </row>
        <row r="1270">
          <cell r="A1270">
            <v>12680</v>
          </cell>
          <cell r="C1270">
            <v>113.369</v>
          </cell>
        </row>
        <row r="1271">
          <cell r="A1271">
            <v>12690</v>
          </cell>
          <cell r="C1271">
            <v>113.36799999999999</v>
          </cell>
        </row>
        <row r="1272">
          <cell r="A1272">
            <v>12700</v>
          </cell>
          <cell r="C1272">
            <v>113.367</v>
          </cell>
        </row>
        <row r="1273">
          <cell r="A1273">
            <v>12710</v>
          </cell>
          <cell r="C1273">
            <v>113.366</v>
          </cell>
        </row>
        <row r="1274">
          <cell r="A1274">
            <v>12720</v>
          </cell>
          <cell r="C1274">
            <v>113.366</v>
          </cell>
        </row>
        <row r="1275">
          <cell r="A1275">
            <v>12730</v>
          </cell>
          <cell r="C1275">
            <v>113.36499999999999</v>
          </cell>
        </row>
        <row r="1276">
          <cell r="A1276">
            <v>12740</v>
          </cell>
          <cell r="C1276">
            <v>113.364</v>
          </cell>
        </row>
        <row r="1277">
          <cell r="A1277">
            <v>12750</v>
          </cell>
          <cell r="C1277">
            <v>113.364</v>
          </cell>
        </row>
        <row r="1278">
          <cell r="A1278">
            <v>12760</v>
          </cell>
          <cell r="C1278">
            <v>113.363</v>
          </cell>
        </row>
        <row r="1279">
          <cell r="A1279">
            <v>12770</v>
          </cell>
          <cell r="C1279">
            <v>113.36199999999999</v>
          </cell>
        </row>
        <row r="1280">
          <cell r="A1280">
            <v>12780</v>
          </cell>
          <cell r="C1280">
            <v>113.36199999999999</v>
          </cell>
        </row>
        <row r="1281">
          <cell r="A1281">
            <v>12790</v>
          </cell>
          <cell r="C1281">
            <v>113.361</v>
          </cell>
        </row>
        <row r="1282">
          <cell r="A1282">
            <v>12800</v>
          </cell>
          <cell r="C1282">
            <v>113.36</v>
          </cell>
        </row>
        <row r="1283">
          <cell r="A1283">
            <v>12810</v>
          </cell>
          <cell r="C1283">
            <v>113.36</v>
          </cell>
        </row>
        <row r="1284">
          <cell r="A1284">
            <v>12820</v>
          </cell>
          <cell r="C1284">
            <v>113.35899999999999</v>
          </cell>
        </row>
        <row r="1285">
          <cell r="A1285">
            <v>12830</v>
          </cell>
          <cell r="C1285">
            <v>113.358</v>
          </cell>
        </row>
        <row r="1286">
          <cell r="A1286">
            <v>12840</v>
          </cell>
          <cell r="C1286">
            <v>113.358</v>
          </cell>
        </row>
        <row r="1287">
          <cell r="A1287">
            <v>12850</v>
          </cell>
          <cell r="C1287">
            <v>113.357</v>
          </cell>
        </row>
        <row r="1288">
          <cell r="A1288">
            <v>12860</v>
          </cell>
          <cell r="C1288">
            <v>113.35599999999999</v>
          </cell>
        </row>
        <row r="1289">
          <cell r="A1289">
            <v>12870</v>
          </cell>
          <cell r="C1289">
            <v>113.35599999999999</v>
          </cell>
        </row>
        <row r="1290">
          <cell r="A1290">
            <v>12880</v>
          </cell>
          <cell r="C1290">
            <v>113.355</v>
          </cell>
        </row>
        <row r="1291">
          <cell r="A1291">
            <v>12890</v>
          </cell>
          <cell r="C1291">
            <v>113.354</v>
          </cell>
        </row>
        <row r="1292">
          <cell r="A1292">
            <v>12900</v>
          </cell>
          <cell r="C1292">
            <v>113.354</v>
          </cell>
        </row>
        <row r="1293">
          <cell r="A1293">
            <v>12910</v>
          </cell>
          <cell r="C1293">
            <v>113.35299999999999</v>
          </cell>
        </row>
        <row r="1294">
          <cell r="A1294">
            <v>12920</v>
          </cell>
          <cell r="C1294">
            <v>113.352</v>
          </cell>
        </row>
        <row r="1295">
          <cell r="A1295">
            <v>12930</v>
          </cell>
          <cell r="C1295">
            <v>113.352</v>
          </cell>
        </row>
        <row r="1296">
          <cell r="A1296">
            <v>12940</v>
          </cell>
          <cell r="C1296">
            <v>113.351</v>
          </cell>
        </row>
        <row r="1297">
          <cell r="A1297">
            <v>12950</v>
          </cell>
          <cell r="C1297">
            <v>113.35</v>
          </cell>
        </row>
        <row r="1298">
          <cell r="A1298">
            <v>12960</v>
          </cell>
          <cell r="C1298">
            <v>113.35</v>
          </cell>
        </row>
        <row r="1299">
          <cell r="A1299">
            <v>12970</v>
          </cell>
          <cell r="C1299">
            <v>113.349</v>
          </cell>
        </row>
        <row r="1300">
          <cell r="A1300">
            <v>12980</v>
          </cell>
          <cell r="C1300">
            <v>113.348</v>
          </cell>
        </row>
        <row r="1301">
          <cell r="A1301">
            <v>12990</v>
          </cell>
          <cell r="C1301">
            <v>113.348</v>
          </cell>
        </row>
        <row r="1302">
          <cell r="A1302">
            <v>13000</v>
          </cell>
          <cell r="C1302">
            <v>113.34699999999999</v>
          </cell>
        </row>
        <row r="1303">
          <cell r="A1303">
            <v>13010</v>
          </cell>
          <cell r="C1303">
            <v>113.346</v>
          </cell>
        </row>
        <row r="1304">
          <cell r="A1304">
            <v>13020</v>
          </cell>
          <cell r="C1304">
            <v>113.346</v>
          </cell>
        </row>
        <row r="1305">
          <cell r="A1305">
            <v>13030</v>
          </cell>
          <cell r="C1305">
            <v>113.345</v>
          </cell>
        </row>
        <row r="1306">
          <cell r="A1306">
            <v>13040</v>
          </cell>
          <cell r="C1306">
            <v>113.34399999999999</v>
          </cell>
        </row>
        <row r="1307">
          <cell r="A1307">
            <v>13050</v>
          </cell>
          <cell r="C1307">
            <v>113.34399999999999</v>
          </cell>
        </row>
        <row r="1308">
          <cell r="A1308">
            <v>13060</v>
          </cell>
          <cell r="C1308">
            <v>113.343</v>
          </cell>
        </row>
        <row r="1309">
          <cell r="A1309">
            <v>13070</v>
          </cell>
          <cell r="C1309">
            <v>113.342</v>
          </cell>
        </row>
        <row r="1310">
          <cell r="A1310">
            <v>13080</v>
          </cell>
          <cell r="C1310">
            <v>113.342</v>
          </cell>
        </row>
        <row r="1311">
          <cell r="A1311">
            <v>13090</v>
          </cell>
          <cell r="C1311">
            <v>113.34099999999999</v>
          </cell>
        </row>
        <row r="1312">
          <cell r="A1312">
            <v>13100</v>
          </cell>
          <cell r="C1312">
            <v>113.34</v>
          </cell>
        </row>
        <row r="1313">
          <cell r="A1313">
            <v>13110</v>
          </cell>
          <cell r="C1313">
            <v>113.34</v>
          </cell>
        </row>
        <row r="1314">
          <cell r="A1314">
            <v>13120</v>
          </cell>
          <cell r="C1314">
            <v>113.339</v>
          </cell>
        </row>
        <row r="1315">
          <cell r="A1315">
            <v>13130</v>
          </cell>
          <cell r="C1315">
            <v>113.33799999999999</v>
          </cell>
        </row>
        <row r="1316">
          <cell r="A1316">
            <v>13140</v>
          </cell>
          <cell r="C1316">
            <v>113.33799999999999</v>
          </cell>
        </row>
        <row r="1317">
          <cell r="A1317">
            <v>13150</v>
          </cell>
          <cell r="C1317">
            <v>113.337</v>
          </cell>
        </row>
        <row r="1318">
          <cell r="A1318">
            <v>13160</v>
          </cell>
          <cell r="C1318">
            <v>113.336</v>
          </cell>
        </row>
        <row r="1319">
          <cell r="A1319">
            <v>13170</v>
          </cell>
          <cell r="C1319">
            <v>113.336</v>
          </cell>
        </row>
        <row r="1320">
          <cell r="A1320">
            <v>13180</v>
          </cell>
          <cell r="C1320">
            <v>113.33499999999999</v>
          </cell>
        </row>
        <row r="1321">
          <cell r="A1321">
            <v>13190</v>
          </cell>
          <cell r="C1321">
            <v>113.334</v>
          </cell>
        </row>
        <row r="1322">
          <cell r="A1322">
            <v>13200</v>
          </cell>
          <cell r="C1322">
            <v>113.334</v>
          </cell>
        </row>
        <row r="1323">
          <cell r="A1323">
            <v>13210</v>
          </cell>
          <cell r="C1323">
            <v>113.333</v>
          </cell>
        </row>
        <row r="1324">
          <cell r="A1324">
            <v>13220</v>
          </cell>
          <cell r="C1324">
            <v>113.33199999999999</v>
          </cell>
        </row>
        <row r="1325">
          <cell r="A1325">
            <v>13230</v>
          </cell>
          <cell r="C1325">
            <v>113.33199999999999</v>
          </cell>
        </row>
        <row r="1326">
          <cell r="A1326">
            <v>13240</v>
          </cell>
          <cell r="C1326">
            <v>113.331</v>
          </cell>
        </row>
        <row r="1327">
          <cell r="A1327">
            <v>13250</v>
          </cell>
          <cell r="C1327">
            <v>113.33</v>
          </cell>
        </row>
        <row r="1328">
          <cell r="A1328">
            <v>13260</v>
          </cell>
          <cell r="C1328">
            <v>113.33</v>
          </cell>
        </row>
        <row r="1329">
          <cell r="A1329">
            <v>13270</v>
          </cell>
          <cell r="C1329">
            <v>113.32899999999999</v>
          </cell>
        </row>
        <row r="1330">
          <cell r="A1330">
            <v>13280</v>
          </cell>
          <cell r="C1330">
            <v>113.32899999999999</v>
          </cell>
        </row>
        <row r="1331">
          <cell r="A1331">
            <v>13290</v>
          </cell>
          <cell r="C1331">
            <v>113.328</v>
          </cell>
        </row>
        <row r="1332">
          <cell r="A1332">
            <v>13300</v>
          </cell>
          <cell r="C1332">
            <v>113.327</v>
          </cell>
        </row>
        <row r="1333">
          <cell r="A1333">
            <v>13310</v>
          </cell>
          <cell r="C1333">
            <v>113.32599999999999</v>
          </cell>
        </row>
        <row r="1334">
          <cell r="A1334">
            <v>13320</v>
          </cell>
          <cell r="C1334">
            <v>113.32599999999999</v>
          </cell>
        </row>
        <row r="1335">
          <cell r="A1335">
            <v>13330</v>
          </cell>
          <cell r="C1335">
            <v>113.325</v>
          </cell>
        </row>
        <row r="1336">
          <cell r="A1336">
            <v>13340</v>
          </cell>
          <cell r="C1336">
            <v>113.325</v>
          </cell>
        </row>
        <row r="1337">
          <cell r="A1337">
            <v>13350</v>
          </cell>
          <cell r="C1337">
            <v>113.324</v>
          </cell>
        </row>
        <row r="1338">
          <cell r="A1338">
            <v>13360</v>
          </cell>
          <cell r="C1338">
            <v>113.32299999999999</v>
          </cell>
        </row>
        <row r="1339">
          <cell r="A1339">
            <v>13370</v>
          </cell>
          <cell r="C1339">
            <v>113.322</v>
          </cell>
        </row>
        <row r="1340">
          <cell r="A1340">
            <v>13380</v>
          </cell>
          <cell r="C1340">
            <v>113.322</v>
          </cell>
        </row>
        <row r="1341">
          <cell r="A1341">
            <v>13390</v>
          </cell>
          <cell r="C1341">
            <v>113.321</v>
          </cell>
        </row>
        <row r="1342">
          <cell r="A1342">
            <v>13400</v>
          </cell>
          <cell r="C1342">
            <v>113.321</v>
          </cell>
        </row>
        <row r="1343">
          <cell r="A1343">
            <v>13410</v>
          </cell>
          <cell r="C1343">
            <v>113.32</v>
          </cell>
        </row>
        <row r="1344">
          <cell r="A1344">
            <v>13420</v>
          </cell>
          <cell r="C1344">
            <v>113.319</v>
          </cell>
        </row>
        <row r="1345">
          <cell r="A1345">
            <v>13430</v>
          </cell>
          <cell r="C1345">
            <v>113.318</v>
          </cell>
        </row>
        <row r="1346">
          <cell r="A1346">
            <v>13440</v>
          </cell>
          <cell r="C1346">
            <v>113.318</v>
          </cell>
        </row>
        <row r="1347">
          <cell r="A1347">
            <v>13450</v>
          </cell>
          <cell r="C1347">
            <v>113.31699999999999</v>
          </cell>
        </row>
        <row r="1348">
          <cell r="A1348">
            <v>13460</v>
          </cell>
          <cell r="C1348">
            <v>113.31699999999999</v>
          </cell>
        </row>
        <row r="1349">
          <cell r="A1349">
            <v>13470</v>
          </cell>
          <cell r="C1349">
            <v>113.316</v>
          </cell>
        </row>
        <row r="1350">
          <cell r="A1350">
            <v>13480</v>
          </cell>
          <cell r="C1350">
            <v>113.315</v>
          </cell>
        </row>
        <row r="1351">
          <cell r="A1351">
            <v>13490</v>
          </cell>
          <cell r="C1351">
            <v>113.31399999999999</v>
          </cell>
        </row>
        <row r="1352">
          <cell r="A1352">
            <v>13500</v>
          </cell>
          <cell r="C1352">
            <v>113.31399999999999</v>
          </cell>
        </row>
        <row r="1353">
          <cell r="A1353">
            <v>13510</v>
          </cell>
          <cell r="C1353">
            <v>113.313</v>
          </cell>
        </row>
        <row r="1354">
          <cell r="A1354">
            <v>13520</v>
          </cell>
          <cell r="C1354">
            <v>113.313</v>
          </cell>
        </row>
        <row r="1355">
          <cell r="A1355">
            <v>13530</v>
          </cell>
          <cell r="C1355">
            <v>113.312</v>
          </cell>
        </row>
        <row r="1356">
          <cell r="A1356">
            <v>13540</v>
          </cell>
          <cell r="C1356">
            <v>113.31100000000001</v>
          </cell>
        </row>
        <row r="1357">
          <cell r="A1357">
            <v>13550</v>
          </cell>
          <cell r="C1357">
            <v>113.31</v>
          </cell>
        </row>
        <row r="1358">
          <cell r="A1358">
            <v>13560</v>
          </cell>
          <cell r="C1358">
            <v>113.31</v>
          </cell>
        </row>
        <row r="1359">
          <cell r="A1359">
            <v>13570</v>
          </cell>
          <cell r="C1359">
            <v>113.309</v>
          </cell>
        </row>
        <row r="1360">
          <cell r="A1360">
            <v>13580</v>
          </cell>
          <cell r="C1360">
            <v>113.30800000000001</v>
          </cell>
        </row>
        <row r="1361">
          <cell r="A1361">
            <v>13590</v>
          </cell>
          <cell r="C1361">
            <v>113.30800000000001</v>
          </cell>
        </row>
        <row r="1362">
          <cell r="A1362">
            <v>13600</v>
          </cell>
          <cell r="C1362">
            <v>113.307</v>
          </cell>
        </row>
        <row r="1363">
          <cell r="A1363">
            <v>13610</v>
          </cell>
          <cell r="C1363">
            <v>113.306</v>
          </cell>
        </row>
        <row r="1364">
          <cell r="A1364">
            <v>13620</v>
          </cell>
          <cell r="C1364">
            <v>113.306</v>
          </cell>
        </row>
        <row r="1365">
          <cell r="A1365">
            <v>13630</v>
          </cell>
          <cell r="C1365">
            <v>113.30500000000001</v>
          </cell>
        </row>
        <row r="1366">
          <cell r="A1366">
            <v>13640</v>
          </cell>
          <cell r="C1366">
            <v>113.304</v>
          </cell>
        </row>
        <row r="1367">
          <cell r="A1367">
            <v>13650</v>
          </cell>
          <cell r="C1367">
            <v>113.303</v>
          </cell>
        </row>
        <row r="1368">
          <cell r="A1368">
            <v>13660</v>
          </cell>
          <cell r="C1368">
            <v>113.303</v>
          </cell>
        </row>
        <row r="1369">
          <cell r="A1369">
            <v>13670</v>
          </cell>
          <cell r="C1369">
            <v>113.30200000000001</v>
          </cell>
        </row>
        <row r="1370">
          <cell r="A1370">
            <v>13680</v>
          </cell>
          <cell r="C1370">
            <v>113.301</v>
          </cell>
        </row>
        <row r="1371">
          <cell r="A1371">
            <v>13690</v>
          </cell>
          <cell r="C1371">
            <v>113.301</v>
          </cell>
        </row>
        <row r="1372">
          <cell r="A1372">
            <v>13700</v>
          </cell>
          <cell r="C1372">
            <v>113.3</v>
          </cell>
        </row>
        <row r="1373">
          <cell r="A1373">
            <v>13710</v>
          </cell>
          <cell r="C1373">
            <v>113.29900000000001</v>
          </cell>
        </row>
        <row r="1374">
          <cell r="A1374">
            <v>13720</v>
          </cell>
          <cell r="C1374">
            <v>113.29900000000001</v>
          </cell>
        </row>
        <row r="1375">
          <cell r="A1375">
            <v>13730</v>
          </cell>
          <cell r="C1375">
            <v>113.298</v>
          </cell>
        </row>
        <row r="1376">
          <cell r="A1376">
            <v>13740</v>
          </cell>
          <cell r="C1376">
            <v>113.297</v>
          </cell>
        </row>
        <row r="1377">
          <cell r="A1377">
            <v>13750</v>
          </cell>
          <cell r="C1377">
            <v>113.29600000000001</v>
          </cell>
        </row>
        <row r="1378">
          <cell r="A1378">
            <v>13760</v>
          </cell>
          <cell r="C1378">
            <v>113.29600000000001</v>
          </cell>
        </row>
        <row r="1379">
          <cell r="A1379">
            <v>13770</v>
          </cell>
          <cell r="C1379">
            <v>113.295</v>
          </cell>
        </row>
        <row r="1380">
          <cell r="A1380">
            <v>13780</v>
          </cell>
          <cell r="C1380">
            <v>113.294</v>
          </cell>
        </row>
        <row r="1381">
          <cell r="A1381">
            <v>13790</v>
          </cell>
          <cell r="C1381">
            <v>113.29300000000001</v>
          </cell>
        </row>
        <row r="1382">
          <cell r="A1382">
            <v>13800</v>
          </cell>
          <cell r="C1382">
            <v>113.29300000000001</v>
          </cell>
        </row>
        <row r="1383">
          <cell r="A1383">
            <v>13810</v>
          </cell>
          <cell r="C1383">
            <v>113.292</v>
          </cell>
        </row>
        <row r="1384">
          <cell r="A1384">
            <v>13820</v>
          </cell>
          <cell r="C1384">
            <v>113.291</v>
          </cell>
        </row>
        <row r="1385">
          <cell r="A1385">
            <v>13830</v>
          </cell>
          <cell r="C1385">
            <v>113.29</v>
          </cell>
        </row>
        <row r="1386">
          <cell r="A1386">
            <v>13840</v>
          </cell>
          <cell r="C1386">
            <v>113.29</v>
          </cell>
        </row>
        <row r="1387">
          <cell r="A1387">
            <v>13850</v>
          </cell>
          <cell r="C1387">
            <v>113.289</v>
          </cell>
        </row>
        <row r="1388">
          <cell r="A1388">
            <v>13860</v>
          </cell>
          <cell r="C1388">
            <v>113.288</v>
          </cell>
        </row>
        <row r="1389">
          <cell r="A1389">
            <v>13870</v>
          </cell>
          <cell r="C1389">
            <v>113.28700000000001</v>
          </cell>
        </row>
        <row r="1390">
          <cell r="A1390">
            <v>13880</v>
          </cell>
          <cell r="C1390">
            <v>113.28700000000001</v>
          </cell>
        </row>
        <row r="1391">
          <cell r="A1391">
            <v>13890</v>
          </cell>
          <cell r="C1391">
            <v>113.286</v>
          </cell>
        </row>
        <row r="1392">
          <cell r="A1392">
            <v>13900</v>
          </cell>
          <cell r="C1392">
            <v>113.285</v>
          </cell>
        </row>
        <row r="1393">
          <cell r="A1393">
            <v>13910</v>
          </cell>
          <cell r="C1393">
            <v>113.28400000000001</v>
          </cell>
        </row>
        <row r="1394">
          <cell r="A1394">
            <v>13920</v>
          </cell>
          <cell r="C1394">
            <v>113.28400000000001</v>
          </cell>
        </row>
        <row r="1395">
          <cell r="A1395">
            <v>13930</v>
          </cell>
          <cell r="C1395">
            <v>113.283</v>
          </cell>
        </row>
        <row r="1396">
          <cell r="A1396">
            <v>13940</v>
          </cell>
          <cell r="C1396">
            <v>113.282</v>
          </cell>
        </row>
        <row r="1397">
          <cell r="A1397">
            <v>13950</v>
          </cell>
          <cell r="C1397">
            <v>113.28100000000001</v>
          </cell>
        </row>
        <row r="1398">
          <cell r="A1398">
            <v>13960</v>
          </cell>
          <cell r="C1398">
            <v>113.28</v>
          </cell>
        </row>
        <row r="1399">
          <cell r="A1399">
            <v>13970</v>
          </cell>
          <cell r="C1399">
            <v>113.28</v>
          </cell>
        </row>
        <row r="1400">
          <cell r="A1400">
            <v>13980</v>
          </cell>
          <cell r="C1400">
            <v>113.279</v>
          </cell>
        </row>
        <row r="1401">
          <cell r="A1401">
            <v>13990</v>
          </cell>
          <cell r="C1401">
            <v>113.27800000000001</v>
          </cell>
        </row>
        <row r="1402">
          <cell r="A1402">
            <v>14000</v>
          </cell>
          <cell r="C1402">
            <v>113.277</v>
          </cell>
        </row>
        <row r="1403">
          <cell r="A1403">
            <v>14010</v>
          </cell>
          <cell r="C1403">
            <v>113.276</v>
          </cell>
        </row>
        <row r="1404">
          <cell r="A1404">
            <v>14020</v>
          </cell>
          <cell r="C1404">
            <v>113.276</v>
          </cell>
        </row>
        <row r="1405">
          <cell r="A1405">
            <v>14030</v>
          </cell>
          <cell r="C1405">
            <v>113.27500000000001</v>
          </cell>
        </row>
        <row r="1406">
          <cell r="A1406">
            <v>14040</v>
          </cell>
          <cell r="C1406">
            <v>113.274</v>
          </cell>
        </row>
        <row r="1407">
          <cell r="A1407">
            <v>14050</v>
          </cell>
          <cell r="C1407">
            <v>113.273</v>
          </cell>
        </row>
        <row r="1408">
          <cell r="A1408">
            <v>14060</v>
          </cell>
          <cell r="C1408">
            <v>113.27200000000001</v>
          </cell>
        </row>
        <row r="1409">
          <cell r="A1409">
            <v>14070</v>
          </cell>
          <cell r="C1409">
            <v>113.27200000000001</v>
          </cell>
        </row>
        <row r="1410">
          <cell r="A1410">
            <v>14080</v>
          </cell>
          <cell r="C1410">
            <v>113.271</v>
          </cell>
        </row>
        <row r="1411">
          <cell r="A1411">
            <v>14090</v>
          </cell>
          <cell r="C1411">
            <v>113.27</v>
          </cell>
        </row>
        <row r="1412">
          <cell r="A1412">
            <v>14100</v>
          </cell>
          <cell r="C1412">
            <v>113.26900000000001</v>
          </cell>
        </row>
        <row r="1413">
          <cell r="A1413">
            <v>14110</v>
          </cell>
          <cell r="C1413">
            <v>113.268</v>
          </cell>
        </row>
        <row r="1414">
          <cell r="A1414">
            <v>14120</v>
          </cell>
          <cell r="C1414">
            <v>113.268</v>
          </cell>
        </row>
        <row r="1415">
          <cell r="A1415">
            <v>14130</v>
          </cell>
          <cell r="C1415">
            <v>113.267</v>
          </cell>
        </row>
        <row r="1416">
          <cell r="A1416">
            <v>14140</v>
          </cell>
          <cell r="C1416">
            <v>113.26600000000001</v>
          </cell>
        </row>
        <row r="1417">
          <cell r="A1417">
            <v>14150</v>
          </cell>
          <cell r="C1417">
            <v>113.265</v>
          </cell>
        </row>
        <row r="1418">
          <cell r="A1418">
            <v>14160</v>
          </cell>
          <cell r="C1418">
            <v>113.264</v>
          </cell>
        </row>
        <row r="1419">
          <cell r="A1419">
            <v>14170</v>
          </cell>
          <cell r="C1419">
            <v>113.26300000000001</v>
          </cell>
        </row>
        <row r="1420">
          <cell r="A1420">
            <v>14180</v>
          </cell>
          <cell r="C1420">
            <v>113.26300000000001</v>
          </cell>
        </row>
        <row r="1421">
          <cell r="A1421">
            <v>14190</v>
          </cell>
          <cell r="C1421">
            <v>113.262</v>
          </cell>
        </row>
        <row r="1422">
          <cell r="A1422">
            <v>14200</v>
          </cell>
          <cell r="C1422">
            <v>113.261</v>
          </cell>
        </row>
        <row r="1423">
          <cell r="A1423">
            <v>14210</v>
          </cell>
          <cell r="C1423">
            <v>113.26</v>
          </cell>
        </row>
        <row r="1424">
          <cell r="A1424">
            <v>14220</v>
          </cell>
          <cell r="C1424">
            <v>113.259</v>
          </cell>
        </row>
        <row r="1425">
          <cell r="A1425">
            <v>14230</v>
          </cell>
          <cell r="C1425">
            <v>113.258</v>
          </cell>
        </row>
        <row r="1426">
          <cell r="A1426">
            <v>14240</v>
          </cell>
          <cell r="C1426">
            <v>113.25700000000001</v>
          </cell>
        </row>
        <row r="1427">
          <cell r="A1427">
            <v>14250</v>
          </cell>
          <cell r="C1427">
            <v>113.25700000000001</v>
          </cell>
        </row>
        <row r="1428">
          <cell r="A1428">
            <v>14260</v>
          </cell>
          <cell r="C1428">
            <v>113.256</v>
          </cell>
        </row>
        <row r="1429">
          <cell r="A1429">
            <v>14270</v>
          </cell>
          <cell r="C1429">
            <v>113.255</v>
          </cell>
        </row>
        <row r="1430">
          <cell r="A1430">
            <v>14280</v>
          </cell>
          <cell r="C1430">
            <v>113.254</v>
          </cell>
        </row>
        <row r="1431">
          <cell r="A1431">
            <v>14290</v>
          </cell>
          <cell r="C1431">
            <v>113.253</v>
          </cell>
        </row>
        <row r="1432">
          <cell r="A1432">
            <v>14300</v>
          </cell>
          <cell r="C1432">
            <v>113.252</v>
          </cell>
        </row>
        <row r="1433">
          <cell r="A1433">
            <v>14310</v>
          </cell>
          <cell r="C1433">
            <v>113.251</v>
          </cell>
        </row>
        <row r="1434">
          <cell r="A1434">
            <v>14320</v>
          </cell>
          <cell r="C1434">
            <v>113.25</v>
          </cell>
        </row>
        <row r="1435">
          <cell r="A1435">
            <v>14330</v>
          </cell>
          <cell r="C1435">
            <v>113.249</v>
          </cell>
        </row>
        <row r="1436">
          <cell r="A1436">
            <v>14340</v>
          </cell>
          <cell r="C1436">
            <v>113.249</v>
          </cell>
        </row>
        <row r="1437">
          <cell r="A1437">
            <v>14350</v>
          </cell>
          <cell r="C1437">
            <v>113.248</v>
          </cell>
        </row>
        <row r="1438">
          <cell r="A1438">
            <v>14360</v>
          </cell>
          <cell r="C1438">
            <v>113.247</v>
          </cell>
        </row>
        <row r="1439">
          <cell r="A1439">
            <v>14370</v>
          </cell>
          <cell r="C1439">
            <v>113.246</v>
          </cell>
        </row>
        <row r="1440">
          <cell r="A1440">
            <v>14380</v>
          </cell>
          <cell r="C1440">
            <v>113.245</v>
          </cell>
        </row>
        <row r="1441">
          <cell r="A1441">
            <v>14390</v>
          </cell>
          <cell r="C1441">
            <v>113.244</v>
          </cell>
        </row>
        <row r="1442">
          <cell r="A1442">
            <v>14400</v>
          </cell>
          <cell r="C1442">
            <v>113.24299999999999</v>
          </cell>
        </row>
        <row r="1443">
          <cell r="A1443">
            <v>14410</v>
          </cell>
          <cell r="C1443">
            <v>113.242</v>
          </cell>
        </row>
        <row r="1444">
          <cell r="A1444">
            <v>14420</v>
          </cell>
          <cell r="C1444">
            <v>113.241</v>
          </cell>
        </row>
        <row r="1445">
          <cell r="A1445">
            <v>14430</v>
          </cell>
          <cell r="C1445">
            <v>113.24</v>
          </cell>
        </row>
        <row r="1446">
          <cell r="A1446">
            <v>14440</v>
          </cell>
          <cell r="C1446">
            <v>113.239</v>
          </cell>
        </row>
        <row r="1447">
          <cell r="A1447">
            <v>14450</v>
          </cell>
          <cell r="C1447">
            <v>113.238</v>
          </cell>
        </row>
        <row r="1448">
          <cell r="A1448">
            <v>14460</v>
          </cell>
          <cell r="C1448">
            <v>113.23699999999999</v>
          </cell>
        </row>
        <row r="1449">
          <cell r="A1449">
            <v>14470</v>
          </cell>
          <cell r="C1449">
            <v>113.236</v>
          </cell>
        </row>
        <row r="1450">
          <cell r="A1450">
            <v>14480</v>
          </cell>
          <cell r="C1450">
            <v>113.235</v>
          </cell>
        </row>
        <row r="1451">
          <cell r="A1451">
            <v>14490</v>
          </cell>
          <cell r="C1451">
            <v>113.23399999999999</v>
          </cell>
        </row>
        <row r="1452">
          <cell r="A1452">
            <v>14500</v>
          </cell>
          <cell r="C1452">
            <v>113.233</v>
          </cell>
        </row>
        <row r="1453">
          <cell r="A1453">
            <v>14510</v>
          </cell>
          <cell r="C1453">
            <v>113.232</v>
          </cell>
        </row>
        <row r="1454">
          <cell r="A1454">
            <v>14520</v>
          </cell>
          <cell r="C1454">
            <v>113.23099999999999</v>
          </cell>
        </row>
        <row r="1455">
          <cell r="A1455">
            <v>14530</v>
          </cell>
          <cell r="C1455">
            <v>113.23</v>
          </cell>
        </row>
        <row r="1456">
          <cell r="A1456">
            <v>14540</v>
          </cell>
          <cell r="C1456">
            <v>113.229</v>
          </cell>
        </row>
        <row r="1457">
          <cell r="A1457">
            <v>14550</v>
          </cell>
          <cell r="C1457">
            <v>113.22799999999999</v>
          </cell>
        </row>
        <row r="1458">
          <cell r="A1458">
            <v>14560</v>
          </cell>
          <cell r="C1458">
            <v>113.227</v>
          </cell>
        </row>
        <row r="1459">
          <cell r="A1459">
            <v>14570</v>
          </cell>
          <cell r="C1459">
            <v>113.226</v>
          </cell>
        </row>
        <row r="1460">
          <cell r="A1460">
            <v>14580</v>
          </cell>
          <cell r="C1460">
            <v>113.22499999999999</v>
          </cell>
        </row>
        <row r="1461">
          <cell r="A1461">
            <v>14590</v>
          </cell>
          <cell r="C1461">
            <v>113.224</v>
          </cell>
        </row>
        <row r="1462">
          <cell r="A1462">
            <v>14600</v>
          </cell>
          <cell r="C1462">
            <v>113.223</v>
          </cell>
        </row>
        <row r="1463">
          <cell r="A1463">
            <v>14610</v>
          </cell>
          <cell r="C1463">
            <v>113.22199999999999</v>
          </cell>
        </row>
        <row r="1464">
          <cell r="A1464">
            <v>14620</v>
          </cell>
          <cell r="C1464">
            <v>113.221</v>
          </cell>
        </row>
        <row r="1465">
          <cell r="A1465">
            <v>14630</v>
          </cell>
          <cell r="C1465">
            <v>113.22</v>
          </cell>
        </row>
        <row r="1466">
          <cell r="A1466">
            <v>14640</v>
          </cell>
          <cell r="C1466">
            <v>113.21899999999999</v>
          </cell>
        </row>
        <row r="1467">
          <cell r="A1467">
            <v>14650</v>
          </cell>
          <cell r="C1467">
            <v>113.218</v>
          </cell>
        </row>
        <row r="1468">
          <cell r="A1468">
            <v>14660</v>
          </cell>
          <cell r="C1468">
            <v>113.21599999999999</v>
          </cell>
        </row>
        <row r="1469">
          <cell r="A1469">
            <v>14670</v>
          </cell>
          <cell r="C1469">
            <v>113.215</v>
          </cell>
        </row>
        <row r="1470">
          <cell r="A1470">
            <v>14680</v>
          </cell>
          <cell r="C1470">
            <v>113.214</v>
          </cell>
        </row>
        <row r="1471">
          <cell r="A1471">
            <v>14690</v>
          </cell>
          <cell r="C1471">
            <v>113.21299999999999</v>
          </cell>
        </row>
        <row r="1472">
          <cell r="A1472">
            <v>14700</v>
          </cell>
          <cell r="C1472">
            <v>113.212</v>
          </cell>
        </row>
        <row r="1473">
          <cell r="A1473">
            <v>14710</v>
          </cell>
          <cell r="C1473">
            <v>113.211</v>
          </cell>
        </row>
        <row r="1474">
          <cell r="A1474">
            <v>14720</v>
          </cell>
          <cell r="C1474">
            <v>113.21</v>
          </cell>
        </row>
        <row r="1475">
          <cell r="A1475">
            <v>14730</v>
          </cell>
          <cell r="C1475">
            <v>113.208</v>
          </cell>
        </row>
        <row r="1476">
          <cell r="A1476">
            <v>14740</v>
          </cell>
          <cell r="C1476">
            <v>113.20699999999999</v>
          </cell>
        </row>
        <row r="1477">
          <cell r="A1477">
            <v>14750</v>
          </cell>
          <cell r="C1477">
            <v>113.206</v>
          </cell>
        </row>
        <row r="1478">
          <cell r="A1478">
            <v>14760</v>
          </cell>
          <cell r="C1478">
            <v>113.205</v>
          </cell>
        </row>
        <row r="1479">
          <cell r="A1479">
            <v>14770</v>
          </cell>
          <cell r="C1479">
            <v>113.203</v>
          </cell>
        </row>
        <row r="1480">
          <cell r="A1480">
            <v>14780</v>
          </cell>
          <cell r="C1480">
            <v>113.202</v>
          </cell>
        </row>
        <row r="1481">
          <cell r="A1481">
            <v>14790</v>
          </cell>
          <cell r="C1481">
            <v>113.20099999999999</v>
          </cell>
        </row>
        <row r="1482">
          <cell r="A1482">
            <v>14800</v>
          </cell>
          <cell r="C1482">
            <v>113.2</v>
          </cell>
        </row>
        <row r="1483">
          <cell r="A1483">
            <v>14810</v>
          </cell>
          <cell r="C1483">
            <v>113.19799999999999</v>
          </cell>
        </row>
        <row r="1484">
          <cell r="A1484">
            <v>14820</v>
          </cell>
          <cell r="C1484">
            <v>113.197</v>
          </cell>
        </row>
        <row r="1485">
          <cell r="A1485">
            <v>14830</v>
          </cell>
          <cell r="C1485">
            <v>113.196</v>
          </cell>
        </row>
        <row r="1486">
          <cell r="A1486">
            <v>14840</v>
          </cell>
          <cell r="C1486">
            <v>113.194</v>
          </cell>
        </row>
        <row r="1487">
          <cell r="A1487">
            <v>14850</v>
          </cell>
          <cell r="C1487">
            <v>113.193</v>
          </cell>
        </row>
        <row r="1488">
          <cell r="A1488">
            <v>14860</v>
          </cell>
          <cell r="C1488">
            <v>113.19199999999999</v>
          </cell>
        </row>
        <row r="1489">
          <cell r="A1489">
            <v>14870</v>
          </cell>
          <cell r="C1489">
            <v>113.19</v>
          </cell>
        </row>
        <row r="1490">
          <cell r="A1490">
            <v>14880</v>
          </cell>
          <cell r="C1490">
            <v>113.18899999999999</v>
          </cell>
        </row>
        <row r="1491">
          <cell r="A1491">
            <v>14890</v>
          </cell>
          <cell r="C1491">
            <v>113.188</v>
          </cell>
        </row>
        <row r="1492">
          <cell r="A1492">
            <v>14900</v>
          </cell>
          <cell r="C1492">
            <v>113.18600000000001</v>
          </cell>
        </row>
        <row r="1493">
          <cell r="A1493">
            <v>14910</v>
          </cell>
          <cell r="C1493">
            <v>113.185</v>
          </cell>
        </row>
        <row r="1494">
          <cell r="A1494">
            <v>14920</v>
          </cell>
          <cell r="C1494">
            <v>113.184</v>
          </cell>
        </row>
        <row r="1495">
          <cell r="A1495">
            <v>14930</v>
          </cell>
          <cell r="C1495">
            <v>113.182</v>
          </cell>
        </row>
        <row r="1496">
          <cell r="A1496">
            <v>14940</v>
          </cell>
          <cell r="C1496">
            <v>113.181</v>
          </cell>
        </row>
        <row r="1497">
          <cell r="A1497">
            <v>14950</v>
          </cell>
          <cell r="C1497">
            <v>113.18</v>
          </cell>
        </row>
        <row r="1498">
          <cell r="A1498">
            <v>14960</v>
          </cell>
          <cell r="C1498">
            <v>113.178</v>
          </cell>
        </row>
        <row r="1499">
          <cell r="A1499">
            <v>14970</v>
          </cell>
          <cell r="C1499">
            <v>113.17700000000001</v>
          </cell>
        </row>
        <row r="1500">
          <cell r="A1500">
            <v>14980</v>
          </cell>
          <cell r="C1500">
            <v>113.176</v>
          </cell>
        </row>
        <row r="1501">
          <cell r="A1501">
            <v>14990</v>
          </cell>
          <cell r="C1501">
            <v>113.17400000000001</v>
          </cell>
        </row>
        <row r="1502">
          <cell r="A1502">
            <v>15000</v>
          </cell>
          <cell r="C1502">
            <v>113.173</v>
          </cell>
        </row>
        <row r="1503">
          <cell r="A1503">
            <v>15010</v>
          </cell>
          <cell r="C1503">
            <v>113.172</v>
          </cell>
        </row>
        <row r="1504">
          <cell r="A1504">
            <v>15020</v>
          </cell>
          <cell r="C1504">
            <v>113.17</v>
          </cell>
        </row>
        <row r="1505">
          <cell r="A1505">
            <v>15030</v>
          </cell>
          <cell r="C1505">
            <v>113.169</v>
          </cell>
        </row>
        <row r="1506">
          <cell r="A1506">
            <v>15040</v>
          </cell>
          <cell r="C1506">
            <v>113.16800000000001</v>
          </cell>
        </row>
        <row r="1507">
          <cell r="A1507">
            <v>15050</v>
          </cell>
          <cell r="C1507">
            <v>113.166</v>
          </cell>
        </row>
        <row r="1508">
          <cell r="A1508">
            <v>15060</v>
          </cell>
          <cell r="C1508">
            <v>113.16500000000001</v>
          </cell>
        </row>
        <row r="1509">
          <cell r="A1509">
            <v>15070</v>
          </cell>
          <cell r="C1509">
            <v>113.164</v>
          </cell>
        </row>
        <row r="1510">
          <cell r="A1510">
            <v>15080</v>
          </cell>
          <cell r="C1510">
            <v>113.16200000000001</v>
          </cell>
        </row>
        <row r="1511">
          <cell r="A1511">
            <v>15090</v>
          </cell>
          <cell r="C1511">
            <v>113.161</v>
          </cell>
        </row>
        <row r="1512">
          <cell r="A1512">
            <v>15100</v>
          </cell>
          <cell r="C1512">
            <v>113.16</v>
          </cell>
        </row>
        <row r="1513">
          <cell r="A1513">
            <v>15110</v>
          </cell>
          <cell r="C1513">
            <v>113.158</v>
          </cell>
        </row>
        <row r="1514">
          <cell r="A1514">
            <v>15120</v>
          </cell>
          <cell r="C1514">
            <v>113.157</v>
          </cell>
        </row>
        <row r="1515">
          <cell r="A1515">
            <v>15130</v>
          </cell>
          <cell r="C1515">
            <v>113.15600000000001</v>
          </cell>
        </row>
        <row r="1516">
          <cell r="A1516">
            <v>15140</v>
          </cell>
          <cell r="C1516">
            <v>113.155</v>
          </cell>
        </row>
        <row r="1517">
          <cell r="A1517">
            <v>15150</v>
          </cell>
          <cell r="C1517">
            <v>113.15300000000001</v>
          </cell>
        </row>
        <row r="1518">
          <cell r="A1518">
            <v>15160</v>
          </cell>
          <cell r="C1518">
            <v>113.152</v>
          </cell>
        </row>
        <row r="1519">
          <cell r="A1519">
            <v>15170</v>
          </cell>
          <cell r="C1519">
            <v>113.151</v>
          </cell>
        </row>
        <row r="1520">
          <cell r="A1520">
            <v>15180</v>
          </cell>
          <cell r="C1520">
            <v>113.15</v>
          </cell>
        </row>
        <row r="1521">
          <cell r="A1521">
            <v>15190</v>
          </cell>
          <cell r="C1521">
            <v>113.148</v>
          </cell>
        </row>
        <row r="1522">
          <cell r="A1522">
            <v>15200</v>
          </cell>
          <cell r="C1522">
            <v>113.14700000000001</v>
          </cell>
        </row>
        <row r="1523">
          <cell r="A1523">
            <v>15210</v>
          </cell>
          <cell r="C1523">
            <v>113.146</v>
          </cell>
        </row>
        <row r="1524">
          <cell r="A1524">
            <v>15220</v>
          </cell>
          <cell r="C1524">
            <v>113.145</v>
          </cell>
        </row>
        <row r="1525">
          <cell r="A1525">
            <v>15230</v>
          </cell>
          <cell r="C1525">
            <v>113.14400000000001</v>
          </cell>
        </row>
        <row r="1526">
          <cell r="A1526">
            <v>15240</v>
          </cell>
          <cell r="C1526">
            <v>113.143</v>
          </cell>
        </row>
        <row r="1527">
          <cell r="A1527">
            <v>15250</v>
          </cell>
          <cell r="C1527">
            <v>113.14100000000001</v>
          </cell>
        </row>
        <row r="1528">
          <cell r="A1528">
            <v>15260</v>
          </cell>
          <cell r="C1528">
            <v>113.14</v>
          </cell>
        </row>
        <row r="1529">
          <cell r="A1529">
            <v>15270</v>
          </cell>
          <cell r="C1529">
            <v>113.139</v>
          </cell>
        </row>
        <row r="1530">
          <cell r="A1530">
            <v>15280</v>
          </cell>
          <cell r="C1530">
            <v>113.13800000000001</v>
          </cell>
        </row>
        <row r="1531">
          <cell r="A1531">
            <v>15290</v>
          </cell>
          <cell r="C1531">
            <v>113.137</v>
          </cell>
        </row>
        <row r="1532">
          <cell r="A1532">
            <v>15300</v>
          </cell>
          <cell r="C1532">
            <v>113.136</v>
          </cell>
        </row>
        <row r="1533">
          <cell r="A1533">
            <v>15310</v>
          </cell>
          <cell r="C1533">
            <v>113.13500000000001</v>
          </cell>
        </row>
        <row r="1534">
          <cell r="A1534">
            <v>15320</v>
          </cell>
          <cell r="C1534">
            <v>113.134</v>
          </cell>
        </row>
        <row r="1535">
          <cell r="A1535">
            <v>15330</v>
          </cell>
          <cell r="C1535">
            <v>113.133</v>
          </cell>
        </row>
        <row r="1536">
          <cell r="A1536">
            <v>15340</v>
          </cell>
          <cell r="C1536">
            <v>113.13200000000001</v>
          </cell>
        </row>
        <row r="1537">
          <cell r="A1537">
            <v>15350</v>
          </cell>
          <cell r="C1537">
            <v>113.131</v>
          </cell>
        </row>
        <row r="1538">
          <cell r="A1538">
            <v>15360</v>
          </cell>
          <cell r="C1538">
            <v>113.13</v>
          </cell>
        </row>
        <row r="1539">
          <cell r="A1539">
            <v>15370</v>
          </cell>
          <cell r="C1539">
            <v>113.129</v>
          </cell>
        </row>
        <row r="1540">
          <cell r="A1540">
            <v>15380</v>
          </cell>
          <cell r="C1540">
            <v>113.128</v>
          </cell>
        </row>
        <row r="1541">
          <cell r="A1541">
            <v>15390</v>
          </cell>
          <cell r="C1541">
            <v>113.127</v>
          </cell>
        </row>
        <row r="1542">
          <cell r="A1542">
            <v>15400</v>
          </cell>
          <cell r="C1542">
            <v>113.126</v>
          </cell>
        </row>
        <row r="1543">
          <cell r="A1543">
            <v>15410</v>
          </cell>
          <cell r="C1543">
            <v>113.125</v>
          </cell>
        </row>
        <row r="1544">
          <cell r="A1544">
            <v>15420</v>
          </cell>
          <cell r="C1544">
            <v>113.124</v>
          </cell>
        </row>
        <row r="1545">
          <cell r="A1545">
            <v>15430</v>
          </cell>
          <cell r="C1545">
            <v>113.123</v>
          </cell>
        </row>
        <row r="1546">
          <cell r="A1546">
            <v>15440</v>
          </cell>
          <cell r="C1546">
            <v>113.122</v>
          </cell>
        </row>
        <row r="1547">
          <cell r="A1547">
            <v>15450</v>
          </cell>
          <cell r="C1547">
            <v>113.121</v>
          </cell>
        </row>
        <row r="1548">
          <cell r="A1548">
            <v>15460</v>
          </cell>
          <cell r="C1548">
            <v>113.121</v>
          </cell>
        </row>
        <row r="1549">
          <cell r="A1549">
            <v>15470</v>
          </cell>
          <cell r="C1549">
            <v>113.119</v>
          </cell>
        </row>
        <row r="1550">
          <cell r="A1550">
            <v>15480</v>
          </cell>
          <cell r="C1550">
            <v>113.119</v>
          </cell>
        </row>
        <row r="1551">
          <cell r="A1551">
            <v>15490</v>
          </cell>
          <cell r="C1551">
            <v>113.11799999999999</v>
          </cell>
        </row>
        <row r="1552">
          <cell r="A1552">
            <v>15500</v>
          </cell>
          <cell r="C1552">
            <v>113.117</v>
          </cell>
        </row>
        <row r="1553">
          <cell r="A1553">
            <v>15510</v>
          </cell>
          <cell r="C1553">
            <v>113.116</v>
          </cell>
        </row>
        <row r="1554">
          <cell r="A1554">
            <v>15520</v>
          </cell>
          <cell r="C1554">
            <v>113.11499999999999</v>
          </cell>
        </row>
        <row r="1555">
          <cell r="A1555">
            <v>15530</v>
          </cell>
          <cell r="C1555">
            <v>113.114</v>
          </cell>
        </row>
        <row r="1556">
          <cell r="A1556">
            <v>15540</v>
          </cell>
          <cell r="C1556">
            <v>113.113</v>
          </cell>
        </row>
        <row r="1557">
          <cell r="A1557">
            <v>15550</v>
          </cell>
          <cell r="C1557">
            <v>113.11199999999999</v>
          </cell>
        </row>
        <row r="1558">
          <cell r="A1558">
            <v>15560</v>
          </cell>
          <cell r="C1558">
            <v>113.111</v>
          </cell>
        </row>
        <row r="1559">
          <cell r="A1559">
            <v>15570</v>
          </cell>
          <cell r="C1559">
            <v>113.11</v>
          </cell>
        </row>
        <row r="1560">
          <cell r="A1560">
            <v>15580</v>
          </cell>
          <cell r="C1560">
            <v>113.11</v>
          </cell>
        </row>
        <row r="1561">
          <cell r="A1561">
            <v>15590</v>
          </cell>
          <cell r="C1561">
            <v>113.10899999999999</v>
          </cell>
        </row>
        <row r="1562">
          <cell r="A1562">
            <v>15600</v>
          </cell>
          <cell r="C1562">
            <v>113.108</v>
          </cell>
        </row>
        <row r="1563">
          <cell r="A1563">
            <v>15610</v>
          </cell>
          <cell r="C1563">
            <v>113.107</v>
          </cell>
        </row>
        <row r="1564">
          <cell r="A1564">
            <v>15620</v>
          </cell>
          <cell r="C1564">
            <v>113.10599999999999</v>
          </cell>
        </row>
        <row r="1565">
          <cell r="A1565">
            <v>15630</v>
          </cell>
          <cell r="C1565">
            <v>113.105</v>
          </cell>
        </row>
        <row r="1566">
          <cell r="A1566">
            <v>15640</v>
          </cell>
          <cell r="C1566">
            <v>113.105</v>
          </cell>
        </row>
        <row r="1567">
          <cell r="A1567">
            <v>15650</v>
          </cell>
          <cell r="C1567">
            <v>113.104</v>
          </cell>
        </row>
        <row r="1568">
          <cell r="A1568">
            <v>15660</v>
          </cell>
          <cell r="C1568">
            <v>113.10299999999999</v>
          </cell>
        </row>
        <row r="1569">
          <cell r="A1569">
            <v>15670</v>
          </cell>
          <cell r="C1569">
            <v>113.102</v>
          </cell>
        </row>
        <row r="1570">
          <cell r="A1570">
            <v>15680</v>
          </cell>
          <cell r="C1570">
            <v>113.101</v>
          </cell>
        </row>
        <row r="1571">
          <cell r="A1571">
            <v>15690</v>
          </cell>
          <cell r="C1571">
            <v>113.1</v>
          </cell>
        </row>
        <row r="1572">
          <cell r="A1572">
            <v>15700</v>
          </cell>
          <cell r="C1572">
            <v>113.1</v>
          </cell>
        </row>
        <row r="1573">
          <cell r="A1573">
            <v>15710</v>
          </cell>
          <cell r="C1573">
            <v>113.099</v>
          </cell>
        </row>
        <row r="1574">
          <cell r="A1574">
            <v>15720</v>
          </cell>
          <cell r="C1574">
            <v>113.098</v>
          </cell>
        </row>
        <row r="1575">
          <cell r="A1575">
            <v>15730</v>
          </cell>
          <cell r="C1575">
            <v>113.09699999999999</v>
          </cell>
        </row>
        <row r="1576">
          <cell r="A1576">
            <v>15740</v>
          </cell>
          <cell r="C1576">
            <v>113.096</v>
          </cell>
        </row>
        <row r="1577">
          <cell r="A1577">
            <v>15750</v>
          </cell>
          <cell r="C1577">
            <v>113.096</v>
          </cell>
        </row>
        <row r="1578">
          <cell r="A1578">
            <v>15760</v>
          </cell>
          <cell r="C1578">
            <v>113.095</v>
          </cell>
        </row>
        <row r="1579">
          <cell r="A1579">
            <v>15770</v>
          </cell>
          <cell r="C1579">
            <v>113.09399999999999</v>
          </cell>
        </row>
        <row r="1580">
          <cell r="A1580">
            <v>15780</v>
          </cell>
          <cell r="C1580">
            <v>113.093</v>
          </cell>
        </row>
        <row r="1581">
          <cell r="A1581">
            <v>15790</v>
          </cell>
          <cell r="C1581">
            <v>113.092</v>
          </cell>
        </row>
        <row r="1582">
          <cell r="A1582">
            <v>15800</v>
          </cell>
          <cell r="C1582">
            <v>113.092</v>
          </cell>
        </row>
        <row r="1583">
          <cell r="A1583">
            <v>15810</v>
          </cell>
          <cell r="C1583">
            <v>113.09099999999999</v>
          </cell>
        </row>
        <row r="1584">
          <cell r="A1584">
            <v>15820</v>
          </cell>
          <cell r="C1584">
            <v>113.09</v>
          </cell>
        </row>
        <row r="1585">
          <cell r="A1585">
            <v>15830</v>
          </cell>
          <cell r="C1585">
            <v>113.089</v>
          </cell>
        </row>
        <row r="1586">
          <cell r="A1586">
            <v>15840</v>
          </cell>
          <cell r="C1586">
            <v>113.08799999999999</v>
          </cell>
        </row>
        <row r="1587">
          <cell r="A1587">
            <v>15850</v>
          </cell>
          <cell r="C1587">
            <v>113.087</v>
          </cell>
        </row>
        <row r="1588">
          <cell r="A1588">
            <v>15860</v>
          </cell>
          <cell r="C1588">
            <v>113.086</v>
          </cell>
        </row>
        <row r="1589">
          <cell r="A1589">
            <v>15870</v>
          </cell>
          <cell r="C1589">
            <v>113.08499999999999</v>
          </cell>
        </row>
        <row r="1590">
          <cell r="A1590">
            <v>15880</v>
          </cell>
          <cell r="C1590">
            <v>113.08499999999999</v>
          </cell>
        </row>
        <row r="1591">
          <cell r="A1591">
            <v>15890</v>
          </cell>
          <cell r="C1591">
            <v>113.084</v>
          </cell>
        </row>
        <row r="1592">
          <cell r="A1592">
            <v>15900</v>
          </cell>
          <cell r="C1592">
            <v>113.083</v>
          </cell>
        </row>
        <row r="1593">
          <cell r="A1593">
            <v>15910</v>
          </cell>
          <cell r="C1593">
            <v>113.08199999999999</v>
          </cell>
        </row>
        <row r="1594">
          <cell r="A1594">
            <v>15920</v>
          </cell>
          <cell r="C1594">
            <v>113.081</v>
          </cell>
        </row>
        <row r="1595">
          <cell r="A1595">
            <v>15930</v>
          </cell>
          <cell r="C1595">
            <v>113.08</v>
          </cell>
        </row>
        <row r="1596">
          <cell r="A1596">
            <v>15940</v>
          </cell>
          <cell r="C1596">
            <v>113.07899999999999</v>
          </cell>
        </row>
        <row r="1597">
          <cell r="A1597">
            <v>15950</v>
          </cell>
          <cell r="C1597">
            <v>113.078</v>
          </cell>
        </row>
        <row r="1598">
          <cell r="A1598">
            <v>15960</v>
          </cell>
          <cell r="C1598">
            <v>113.077</v>
          </cell>
        </row>
        <row r="1599">
          <cell r="A1599">
            <v>15970</v>
          </cell>
          <cell r="C1599">
            <v>113.07599999999999</v>
          </cell>
        </row>
        <row r="1600">
          <cell r="A1600">
            <v>15980</v>
          </cell>
          <cell r="C1600">
            <v>113.075</v>
          </cell>
        </row>
        <row r="1601">
          <cell r="A1601">
            <v>15990</v>
          </cell>
          <cell r="C1601">
            <v>113.074</v>
          </cell>
        </row>
        <row r="1602">
          <cell r="A1602">
            <v>16000</v>
          </cell>
          <cell r="C1602">
            <v>113.07299999999999</v>
          </cell>
        </row>
        <row r="1603">
          <cell r="A1603">
            <v>16010</v>
          </cell>
          <cell r="C1603">
            <v>113.072</v>
          </cell>
        </row>
        <row r="1604">
          <cell r="A1604">
            <v>16020</v>
          </cell>
          <cell r="C1604">
            <v>113.071</v>
          </cell>
        </row>
        <row r="1605">
          <cell r="A1605">
            <v>16030</v>
          </cell>
          <cell r="C1605">
            <v>113.07</v>
          </cell>
        </row>
        <row r="1606">
          <cell r="A1606">
            <v>16040</v>
          </cell>
          <cell r="C1606">
            <v>113.069</v>
          </cell>
        </row>
        <row r="1607">
          <cell r="A1607">
            <v>16050</v>
          </cell>
          <cell r="C1607">
            <v>113.068</v>
          </cell>
        </row>
        <row r="1608">
          <cell r="A1608">
            <v>16060</v>
          </cell>
          <cell r="C1608">
            <v>113.06699999999999</v>
          </cell>
        </row>
        <row r="1609">
          <cell r="A1609">
            <v>16070</v>
          </cell>
          <cell r="C1609">
            <v>113.066</v>
          </cell>
        </row>
        <row r="1610">
          <cell r="A1610">
            <v>16080</v>
          </cell>
          <cell r="C1610">
            <v>113.065</v>
          </cell>
        </row>
        <row r="1611">
          <cell r="A1611">
            <v>16090</v>
          </cell>
          <cell r="C1611">
            <v>113.06399999999999</v>
          </cell>
        </row>
        <row r="1612">
          <cell r="A1612">
            <v>16100</v>
          </cell>
          <cell r="C1612">
            <v>113.063</v>
          </cell>
        </row>
        <row r="1613">
          <cell r="A1613">
            <v>16110</v>
          </cell>
          <cell r="C1613">
            <v>113.062</v>
          </cell>
        </row>
        <row r="1614">
          <cell r="A1614">
            <v>16120</v>
          </cell>
          <cell r="C1614">
            <v>113.06100000000001</v>
          </cell>
        </row>
        <row r="1615">
          <cell r="A1615">
            <v>16130</v>
          </cell>
          <cell r="C1615">
            <v>113.06</v>
          </cell>
        </row>
        <row r="1616">
          <cell r="A1616">
            <v>16140</v>
          </cell>
          <cell r="C1616">
            <v>113.059</v>
          </cell>
        </row>
        <row r="1617">
          <cell r="A1617">
            <v>16150</v>
          </cell>
          <cell r="C1617">
            <v>113.05800000000001</v>
          </cell>
        </row>
        <row r="1618">
          <cell r="A1618">
            <v>16160</v>
          </cell>
          <cell r="C1618">
            <v>113.057</v>
          </cell>
        </row>
        <row r="1619">
          <cell r="A1619">
            <v>16170</v>
          </cell>
          <cell r="C1619">
            <v>113.056</v>
          </cell>
        </row>
        <row r="1620">
          <cell r="A1620">
            <v>16180</v>
          </cell>
          <cell r="C1620">
            <v>113.05500000000001</v>
          </cell>
        </row>
        <row r="1621">
          <cell r="A1621">
            <v>16190</v>
          </cell>
          <cell r="C1621">
            <v>113.054</v>
          </cell>
        </row>
        <row r="1622">
          <cell r="A1622">
            <v>16200</v>
          </cell>
          <cell r="C1622">
            <v>113.053</v>
          </cell>
        </row>
        <row r="1623">
          <cell r="A1623">
            <v>16210</v>
          </cell>
          <cell r="C1623">
            <v>113.05200000000001</v>
          </cell>
        </row>
        <row r="1624">
          <cell r="A1624">
            <v>16220</v>
          </cell>
          <cell r="C1624">
            <v>113.051</v>
          </cell>
        </row>
        <row r="1625">
          <cell r="A1625">
            <v>16230</v>
          </cell>
          <cell r="C1625">
            <v>113.05</v>
          </cell>
        </row>
        <row r="1626">
          <cell r="A1626">
            <v>16240</v>
          </cell>
          <cell r="C1626">
            <v>113.05</v>
          </cell>
        </row>
        <row r="1627">
          <cell r="A1627">
            <v>16250</v>
          </cell>
          <cell r="C1627">
            <v>113.04900000000001</v>
          </cell>
        </row>
        <row r="1628">
          <cell r="A1628">
            <v>16260</v>
          </cell>
          <cell r="C1628">
            <v>113.048</v>
          </cell>
        </row>
        <row r="1629">
          <cell r="A1629">
            <v>16270</v>
          </cell>
          <cell r="C1629">
            <v>113.047</v>
          </cell>
        </row>
        <row r="1630">
          <cell r="A1630">
            <v>16280</v>
          </cell>
          <cell r="C1630">
            <v>113.04600000000001</v>
          </cell>
        </row>
        <row r="1631">
          <cell r="A1631">
            <v>16290</v>
          </cell>
          <cell r="C1631">
            <v>113.045</v>
          </cell>
        </row>
        <row r="1632">
          <cell r="A1632">
            <v>16300</v>
          </cell>
          <cell r="C1632">
            <v>113.044</v>
          </cell>
        </row>
        <row r="1633">
          <cell r="A1633">
            <v>16310</v>
          </cell>
          <cell r="C1633">
            <v>113.04300000000001</v>
          </cell>
        </row>
        <row r="1634">
          <cell r="A1634">
            <v>16320</v>
          </cell>
          <cell r="C1634">
            <v>113.042</v>
          </cell>
        </row>
        <row r="1635">
          <cell r="A1635">
            <v>16330</v>
          </cell>
          <cell r="C1635">
            <v>113.041</v>
          </cell>
        </row>
        <row r="1636">
          <cell r="A1636">
            <v>16340</v>
          </cell>
          <cell r="C1636">
            <v>113.04</v>
          </cell>
        </row>
        <row r="1637">
          <cell r="A1637">
            <v>16350</v>
          </cell>
          <cell r="C1637">
            <v>113.04</v>
          </cell>
        </row>
        <row r="1638">
          <cell r="A1638">
            <v>16360</v>
          </cell>
          <cell r="C1638">
            <v>113.039</v>
          </cell>
        </row>
        <row r="1639">
          <cell r="A1639">
            <v>16370</v>
          </cell>
          <cell r="C1639">
            <v>113.038</v>
          </cell>
        </row>
        <row r="1640">
          <cell r="A1640">
            <v>16380</v>
          </cell>
          <cell r="C1640">
            <v>113.03700000000001</v>
          </cell>
        </row>
        <row r="1641">
          <cell r="A1641">
            <v>16390</v>
          </cell>
          <cell r="C1641">
            <v>113.036</v>
          </cell>
        </row>
        <row r="1642">
          <cell r="A1642">
            <v>16400</v>
          </cell>
          <cell r="C1642">
            <v>113.035</v>
          </cell>
        </row>
        <row r="1643">
          <cell r="A1643">
            <v>16410</v>
          </cell>
          <cell r="C1643">
            <v>113.03400000000001</v>
          </cell>
        </row>
        <row r="1644">
          <cell r="A1644">
            <v>16420</v>
          </cell>
          <cell r="C1644">
            <v>113.033</v>
          </cell>
        </row>
        <row r="1645">
          <cell r="A1645">
            <v>16430</v>
          </cell>
          <cell r="C1645">
            <v>113.032</v>
          </cell>
        </row>
        <row r="1646">
          <cell r="A1646">
            <v>16440</v>
          </cell>
          <cell r="C1646">
            <v>113.03100000000001</v>
          </cell>
        </row>
        <row r="1647">
          <cell r="A1647">
            <v>16450</v>
          </cell>
          <cell r="C1647">
            <v>113.03</v>
          </cell>
        </row>
        <row r="1648">
          <cell r="A1648">
            <v>16460</v>
          </cell>
          <cell r="C1648">
            <v>113.03</v>
          </cell>
        </row>
        <row r="1649">
          <cell r="A1649">
            <v>16470</v>
          </cell>
          <cell r="C1649">
            <v>113.029</v>
          </cell>
        </row>
        <row r="1650">
          <cell r="A1650">
            <v>16480</v>
          </cell>
          <cell r="C1650">
            <v>113.02800000000001</v>
          </cell>
        </row>
        <row r="1651">
          <cell r="A1651">
            <v>16490</v>
          </cell>
          <cell r="C1651">
            <v>113.027</v>
          </cell>
        </row>
        <row r="1652">
          <cell r="A1652">
            <v>16500</v>
          </cell>
          <cell r="C1652">
            <v>113.026</v>
          </cell>
        </row>
        <row r="1653">
          <cell r="A1653">
            <v>16510</v>
          </cell>
          <cell r="C1653">
            <v>113.02500000000001</v>
          </cell>
        </row>
        <row r="1654">
          <cell r="A1654">
            <v>16520</v>
          </cell>
          <cell r="C1654">
            <v>113.024</v>
          </cell>
        </row>
        <row r="1655">
          <cell r="A1655">
            <v>16530</v>
          </cell>
          <cell r="C1655">
            <v>113.023</v>
          </cell>
        </row>
        <row r="1656">
          <cell r="A1656">
            <v>16540</v>
          </cell>
          <cell r="C1656">
            <v>113.02200000000001</v>
          </cell>
        </row>
        <row r="1657">
          <cell r="A1657">
            <v>16550</v>
          </cell>
          <cell r="C1657">
            <v>113.021</v>
          </cell>
        </row>
        <row r="1658">
          <cell r="A1658">
            <v>16560</v>
          </cell>
          <cell r="C1658">
            <v>113.02</v>
          </cell>
        </row>
        <row r="1659">
          <cell r="A1659">
            <v>16570</v>
          </cell>
          <cell r="C1659">
            <v>113.01900000000001</v>
          </cell>
        </row>
        <row r="1660">
          <cell r="A1660">
            <v>16580</v>
          </cell>
          <cell r="C1660">
            <v>113.018</v>
          </cell>
        </row>
        <row r="1661">
          <cell r="A1661">
            <v>16590</v>
          </cell>
          <cell r="C1661">
            <v>113.017</v>
          </cell>
        </row>
        <row r="1662">
          <cell r="A1662">
            <v>16600</v>
          </cell>
          <cell r="C1662">
            <v>113.01600000000001</v>
          </cell>
        </row>
        <row r="1663">
          <cell r="A1663">
            <v>16610</v>
          </cell>
          <cell r="C1663">
            <v>113.015</v>
          </cell>
        </row>
        <row r="1664">
          <cell r="A1664">
            <v>16620</v>
          </cell>
          <cell r="C1664">
            <v>113.014</v>
          </cell>
        </row>
        <row r="1665">
          <cell r="A1665">
            <v>16630</v>
          </cell>
          <cell r="C1665">
            <v>113.01300000000001</v>
          </cell>
        </row>
        <row r="1666">
          <cell r="A1666">
            <v>16640</v>
          </cell>
          <cell r="C1666">
            <v>113.01300000000001</v>
          </cell>
        </row>
        <row r="1667">
          <cell r="A1667">
            <v>16650</v>
          </cell>
          <cell r="C1667">
            <v>113.012</v>
          </cell>
        </row>
        <row r="1668">
          <cell r="A1668">
            <v>16660</v>
          </cell>
          <cell r="C1668">
            <v>113.011</v>
          </cell>
        </row>
        <row r="1669">
          <cell r="A1669">
            <v>16670</v>
          </cell>
          <cell r="C1669">
            <v>113.01</v>
          </cell>
        </row>
        <row r="1670">
          <cell r="A1670">
            <v>16680</v>
          </cell>
          <cell r="C1670">
            <v>113.009</v>
          </cell>
        </row>
        <row r="1671">
          <cell r="A1671">
            <v>16690</v>
          </cell>
          <cell r="C1671">
            <v>113.008</v>
          </cell>
        </row>
        <row r="1672">
          <cell r="A1672">
            <v>16700</v>
          </cell>
          <cell r="C1672">
            <v>113.00700000000001</v>
          </cell>
        </row>
        <row r="1673">
          <cell r="A1673">
            <v>16710</v>
          </cell>
          <cell r="C1673">
            <v>113.006</v>
          </cell>
        </row>
        <row r="1674">
          <cell r="A1674">
            <v>16720</v>
          </cell>
          <cell r="C1674">
            <v>113.005</v>
          </cell>
        </row>
        <row r="1675">
          <cell r="A1675">
            <v>16730</v>
          </cell>
          <cell r="C1675">
            <v>113.004</v>
          </cell>
        </row>
        <row r="1676">
          <cell r="A1676">
            <v>16740</v>
          </cell>
          <cell r="C1676">
            <v>113.003</v>
          </cell>
        </row>
        <row r="1677">
          <cell r="A1677">
            <v>16750</v>
          </cell>
          <cell r="C1677">
            <v>113.002</v>
          </cell>
        </row>
        <row r="1678">
          <cell r="A1678">
            <v>16760</v>
          </cell>
          <cell r="C1678">
            <v>113.001</v>
          </cell>
        </row>
        <row r="1679">
          <cell r="A1679">
            <v>16770</v>
          </cell>
          <cell r="C1679">
            <v>113</v>
          </cell>
        </row>
        <row r="1680">
          <cell r="A1680">
            <v>16780</v>
          </cell>
          <cell r="C1680">
            <v>112.999</v>
          </cell>
        </row>
        <row r="1681">
          <cell r="A1681">
            <v>16790</v>
          </cell>
          <cell r="C1681">
            <v>112.998</v>
          </cell>
        </row>
        <row r="1682">
          <cell r="A1682">
            <v>16800</v>
          </cell>
          <cell r="C1682">
            <v>112.997</v>
          </cell>
        </row>
        <row r="1683">
          <cell r="A1683">
            <v>16810</v>
          </cell>
          <cell r="C1683">
            <v>112.996</v>
          </cell>
        </row>
        <row r="1684">
          <cell r="A1684">
            <v>16820</v>
          </cell>
          <cell r="C1684">
            <v>112.995</v>
          </cell>
        </row>
        <row r="1685">
          <cell r="A1685">
            <v>16830</v>
          </cell>
          <cell r="C1685">
            <v>112.994</v>
          </cell>
        </row>
        <row r="1686">
          <cell r="A1686">
            <v>16840</v>
          </cell>
          <cell r="C1686">
            <v>112.99299999999999</v>
          </cell>
        </row>
        <row r="1687">
          <cell r="A1687">
            <v>16850</v>
          </cell>
          <cell r="C1687">
            <v>112.992</v>
          </cell>
        </row>
        <row r="1688">
          <cell r="A1688">
            <v>16860</v>
          </cell>
          <cell r="C1688">
            <v>112.991</v>
          </cell>
        </row>
        <row r="1689">
          <cell r="A1689">
            <v>16870</v>
          </cell>
          <cell r="C1689">
            <v>112.99</v>
          </cell>
        </row>
        <row r="1690">
          <cell r="A1690">
            <v>16880</v>
          </cell>
          <cell r="C1690">
            <v>112.989</v>
          </cell>
        </row>
        <row r="1691">
          <cell r="A1691">
            <v>16890</v>
          </cell>
          <cell r="C1691">
            <v>112.988</v>
          </cell>
        </row>
        <row r="1692">
          <cell r="A1692">
            <v>16900</v>
          </cell>
          <cell r="C1692">
            <v>112.98699999999999</v>
          </cell>
        </row>
        <row r="1693">
          <cell r="A1693">
            <v>16910</v>
          </cell>
          <cell r="C1693">
            <v>112.986</v>
          </cell>
        </row>
        <row r="1694">
          <cell r="A1694">
            <v>16920</v>
          </cell>
          <cell r="C1694">
            <v>112.985</v>
          </cell>
        </row>
        <row r="1695">
          <cell r="A1695">
            <v>16930</v>
          </cell>
          <cell r="C1695">
            <v>112.98399999999999</v>
          </cell>
        </row>
        <row r="1696">
          <cell r="A1696">
            <v>16940</v>
          </cell>
          <cell r="C1696">
            <v>112.983</v>
          </cell>
        </row>
        <row r="1697">
          <cell r="A1697">
            <v>16950</v>
          </cell>
          <cell r="C1697">
            <v>112.98099999999999</v>
          </cell>
        </row>
        <row r="1698">
          <cell r="A1698">
            <v>16960</v>
          </cell>
          <cell r="C1698">
            <v>112.98</v>
          </cell>
        </row>
        <row r="1699">
          <cell r="A1699">
            <v>16970</v>
          </cell>
          <cell r="C1699">
            <v>112.979</v>
          </cell>
        </row>
        <row r="1700">
          <cell r="A1700">
            <v>16980</v>
          </cell>
          <cell r="C1700">
            <v>112.97799999999999</v>
          </cell>
        </row>
        <row r="1701">
          <cell r="A1701">
            <v>16990</v>
          </cell>
          <cell r="C1701">
            <v>112.977</v>
          </cell>
        </row>
        <row r="1702">
          <cell r="A1702">
            <v>17000</v>
          </cell>
          <cell r="C1702">
            <v>112.976</v>
          </cell>
        </row>
        <row r="1703">
          <cell r="A1703">
            <v>17010</v>
          </cell>
          <cell r="C1703">
            <v>112.97499999999999</v>
          </cell>
        </row>
        <row r="1704">
          <cell r="A1704">
            <v>17020</v>
          </cell>
          <cell r="C1704">
            <v>112.974</v>
          </cell>
        </row>
        <row r="1705">
          <cell r="A1705">
            <v>17030</v>
          </cell>
          <cell r="C1705">
            <v>112.973</v>
          </cell>
        </row>
        <row r="1706">
          <cell r="A1706">
            <v>17040</v>
          </cell>
          <cell r="C1706">
            <v>112.97199999999999</v>
          </cell>
        </row>
        <row r="1707">
          <cell r="A1707">
            <v>17050</v>
          </cell>
          <cell r="C1707">
            <v>112.971</v>
          </cell>
        </row>
        <row r="1708">
          <cell r="A1708">
            <v>17060</v>
          </cell>
          <cell r="C1708">
            <v>112.97</v>
          </cell>
        </row>
        <row r="1709">
          <cell r="A1709">
            <v>17070</v>
          </cell>
          <cell r="C1709">
            <v>112.96899999999999</v>
          </cell>
        </row>
        <row r="1710">
          <cell r="A1710">
            <v>17080</v>
          </cell>
          <cell r="C1710">
            <v>112.968</v>
          </cell>
        </row>
        <row r="1711">
          <cell r="A1711">
            <v>17090</v>
          </cell>
          <cell r="C1711">
            <v>112.967</v>
          </cell>
        </row>
        <row r="1712">
          <cell r="A1712">
            <v>17100</v>
          </cell>
          <cell r="C1712">
            <v>112.96599999999999</v>
          </cell>
        </row>
        <row r="1713">
          <cell r="A1713">
            <v>17110</v>
          </cell>
          <cell r="C1713">
            <v>112.965</v>
          </cell>
        </row>
        <row r="1714">
          <cell r="A1714">
            <v>17120</v>
          </cell>
          <cell r="C1714">
            <v>112.964</v>
          </cell>
        </row>
        <row r="1715">
          <cell r="A1715">
            <v>17130</v>
          </cell>
          <cell r="C1715">
            <v>112.96299999999999</v>
          </cell>
        </row>
        <row r="1716">
          <cell r="A1716">
            <v>17140</v>
          </cell>
          <cell r="C1716">
            <v>112.962</v>
          </cell>
        </row>
        <row r="1717">
          <cell r="A1717">
            <v>17150</v>
          </cell>
          <cell r="C1717">
            <v>112.961</v>
          </cell>
        </row>
        <row r="1718">
          <cell r="A1718">
            <v>17160</v>
          </cell>
          <cell r="C1718">
            <v>112.96</v>
          </cell>
        </row>
        <row r="1719">
          <cell r="A1719">
            <v>17170</v>
          </cell>
          <cell r="C1719">
            <v>112.959</v>
          </cell>
        </row>
        <row r="1720">
          <cell r="A1720">
            <v>17180</v>
          </cell>
          <cell r="C1720">
            <v>112.95699999999999</v>
          </cell>
        </row>
        <row r="1721">
          <cell r="A1721">
            <v>17190</v>
          </cell>
          <cell r="C1721">
            <v>112.956</v>
          </cell>
        </row>
        <row r="1722">
          <cell r="A1722">
            <v>17200</v>
          </cell>
          <cell r="C1722">
            <v>112.955</v>
          </cell>
        </row>
        <row r="1723">
          <cell r="A1723">
            <v>17210</v>
          </cell>
          <cell r="C1723">
            <v>112.95399999999999</v>
          </cell>
        </row>
        <row r="1724">
          <cell r="A1724">
            <v>17220</v>
          </cell>
          <cell r="C1724">
            <v>112.953</v>
          </cell>
        </row>
        <row r="1725">
          <cell r="A1725">
            <v>17230</v>
          </cell>
          <cell r="C1725">
            <v>112.952</v>
          </cell>
        </row>
        <row r="1726">
          <cell r="A1726">
            <v>17240</v>
          </cell>
          <cell r="C1726">
            <v>112.95099999999999</v>
          </cell>
        </row>
        <row r="1727">
          <cell r="A1727">
            <v>17250</v>
          </cell>
          <cell r="C1727">
            <v>112.95</v>
          </cell>
        </row>
        <row r="1728">
          <cell r="A1728">
            <v>17260</v>
          </cell>
          <cell r="C1728">
            <v>112.949</v>
          </cell>
        </row>
        <row r="1729">
          <cell r="A1729">
            <v>17270</v>
          </cell>
          <cell r="C1729">
            <v>112.947</v>
          </cell>
        </row>
        <row r="1730">
          <cell r="A1730">
            <v>17280</v>
          </cell>
          <cell r="C1730">
            <v>112.946</v>
          </cell>
        </row>
        <row r="1731">
          <cell r="A1731">
            <v>17290</v>
          </cell>
          <cell r="C1731">
            <v>112.94499999999999</v>
          </cell>
        </row>
        <row r="1732">
          <cell r="A1732">
            <v>17300</v>
          </cell>
          <cell r="C1732">
            <v>112.944</v>
          </cell>
        </row>
        <row r="1733">
          <cell r="A1733">
            <v>17310</v>
          </cell>
          <cell r="C1733">
            <v>112.943</v>
          </cell>
        </row>
        <row r="1734">
          <cell r="A1734">
            <v>17320</v>
          </cell>
          <cell r="C1734">
            <v>112.94199999999999</v>
          </cell>
        </row>
        <row r="1735">
          <cell r="A1735">
            <v>17330</v>
          </cell>
          <cell r="C1735">
            <v>112.941</v>
          </cell>
        </row>
        <row r="1736">
          <cell r="A1736">
            <v>17340</v>
          </cell>
          <cell r="C1736">
            <v>112.93899999999999</v>
          </cell>
        </row>
        <row r="1737">
          <cell r="A1737">
            <v>17350</v>
          </cell>
          <cell r="C1737">
            <v>112.938</v>
          </cell>
        </row>
        <row r="1738">
          <cell r="A1738">
            <v>17360</v>
          </cell>
          <cell r="C1738">
            <v>112.937</v>
          </cell>
        </row>
        <row r="1739">
          <cell r="A1739">
            <v>17370</v>
          </cell>
          <cell r="C1739">
            <v>112.93600000000001</v>
          </cell>
        </row>
        <row r="1740">
          <cell r="A1740">
            <v>17380</v>
          </cell>
          <cell r="C1740">
            <v>112.935</v>
          </cell>
        </row>
        <row r="1741">
          <cell r="A1741">
            <v>17390</v>
          </cell>
          <cell r="C1741">
            <v>112.93300000000001</v>
          </cell>
        </row>
        <row r="1742">
          <cell r="A1742">
            <v>17400</v>
          </cell>
          <cell r="C1742">
            <v>112.932</v>
          </cell>
        </row>
        <row r="1743">
          <cell r="A1743">
            <v>17410</v>
          </cell>
          <cell r="C1743">
            <v>112.931</v>
          </cell>
        </row>
        <row r="1744">
          <cell r="A1744">
            <v>17420</v>
          </cell>
          <cell r="C1744">
            <v>112.93</v>
          </cell>
        </row>
        <row r="1745">
          <cell r="A1745">
            <v>17430</v>
          </cell>
          <cell r="C1745">
            <v>112.928</v>
          </cell>
        </row>
        <row r="1746">
          <cell r="A1746">
            <v>17440</v>
          </cell>
          <cell r="C1746">
            <v>112.92700000000001</v>
          </cell>
        </row>
        <row r="1747">
          <cell r="A1747">
            <v>17450</v>
          </cell>
          <cell r="C1747">
            <v>112.926</v>
          </cell>
        </row>
        <row r="1748">
          <cell r="A1748">
            <v>17460</v>
          </cell>
          <cell r="C1748">
            <v>112.925</v>
          </cell>
        </row>
        <row r="1749">
          <cell r="A1749">
            <v>17470</v>
          </cell>
          <cell r="C1749">
            <v>112.923</v>
          </cell>
        </row>
        <row r="1750">
          <cell r="A1750">
            <v>17480</v>
          </cell>
          <cell r="C1750">
            <v>112.922</v>
          </cell>
        </row>
        <row r="1751">
          <cell r="A1751">
            <v>17490</v>
          </cell>
          <cell r="C1751">
            <v>112.92</v>
          </cell>
        </row>
        <row r="1752">
          <cell r="A1752">
            <v>17500</v>
          </cell>
          <cell r="C1752">
            <v>112.919</v>
          </cell>
        </row>
        <row r="1753">
          <cell r="A1753">
            <v>17510</v>
          </cell>
          <cell r="C1753">
            <v>112.91800000000001</v>
          </cell>
        </row>
        <row r="1754">
          <cell r="A1754">
            <v>17520</v>
          </cell>
          <cell r="C1754">
            <v>112.916</v>
          </cell>
        </row>
        <row r="1755">
          <cell r="A1755">
            <v>17530</v>
          </cell>
          <cell r="C1755">
            <v>112.91500000000001</v>
          </cell>
        </row>
        <row r="1756">
          <cell r="A1756">
            <v>17540</v>
          </cell>
          <cell r="C1756">
            <v>112.913</v>
          </cell>
        </row>
        <row r="1757">
          <cell r="A1757">
            <v>17550</v>
          </cell>
          <cell r="C1757">
            <v>112.91200000000001</v>
          </cell>
        </row>
        <row r="1758">
          <cell r="A1758">
            <v>17560</v>
          </cell>
          <cell r="C1758">
            <v>112.91</v>
          </cell>
        </row>
        <row r="1759">
          <cell r="A1759">
            <v>17570</v>
          </cell>
          <cell r="C1759">
            <v>112.90900000000001</v>
          </cell>
        </row>
        <row r="1760">
          <cell r="A1760">
            <v>17580</v>
          </cell>
          <cell r="C1760">
            <v>112.907</v>
          </cell>
        </row>
        <row r="1761">
          <cell r="A1761">
            <v>17590</v>
          </cell>
          <cell r="C1761">
            <v>112.905</v>
          </cell>
        </row>
        <row r="1762">
          <cell r="A1762">
            <v>17600</v>
          </cell>
          <cell r="C1762">
            <v>112.904</v>
          </cell>
        </row>
        <row r="1763">
          <cell r="A1763">
            <v>17610</v>
          </cell>
          <cell r="C1763">
            <v>112.902</v>
          </cell>
        </row>
        <row r="1764">
          <cell r="A1764">
            <v>17620</v>
          </cell>
          <cell r="C1764">
            <v>112.9</v>
          </cell>
        </row>
        <row r="1765">
          <cell r="A1765">
            <v>17630</v>
          </cell>
          <cell r="C1765">
            <v>112.899</v>
          </cell>
        </row>
        <row r="1766">
          <cell r="A1766">
            <v>17640</v>
          </cell>
          <cell r="C1766">
            <v>112.89700000000001</v>
          </cell>
        </row>
        <row r="1767">
          <cell r="A1767">
            <v>17650</v>
          </cell>
          <cell r="C1767">
            <v>112.895</v>
          </cell>
        </row>
        <row r="1768">
          <cell r="A1768">
            <v>17660</v>
          </cell>
          <cell r="C1768">
            <v>112.893</v>
          </cell>
        </row>
        <row r="1769">
          <cell r="A1769">
            <v>17670</v>
          </cell>
          <cell r="C1769">
            <v>112.892</v>
          </cell>
        </row>
        <row r="1770">
          <cell r="A1770">
            <v>17680</v>
          </cell>
          <cell r="C1770">
            <v>112.89</v>
          </cell>
        </row>
        <row r="1771">
          <cell r="A1771">
            <v>17690</v>
          </cell>
          <cell r="C1771">
            <v>112.88800000000001</v>
          </cell>
        </row>
        <row r="1772">
          <cell r="A1772">
            <v>17700</v>
          </cell>
          <cell r="C1772">
            <v>112.887</v>
          </cell>
        </row>
        <row r="1773">
          <cell r="A1773">
            <v>17710</v>
          </cell>
          <cell r="C1773">
            <v>112.88500000000001</v>
          </cell>
        </row>
        <row r="1774">
          <cell r="A1774">
            <v>17720</v>
          </cell>
          <cell r="C1774">
            <v>112.883</v>
          </cell>
        </row>
        <row r="1775">
          <cell r="A1775">
            <v>17730</v>
          </cell>
          <cell r="C1775">
            <v>112.881</v>
          </cell>
        </row>
        <row r="1776">
          <cell r="A1776">
            <v>17740</v>
          </cell>
          <cell r="C1776">
            <v>112.88</v>
          </cell>
        </row>
        <row r="1777">
          <cell r="A1777">
            <v>17750</v>
          </cell>
          <cell r="C1777">
            <v>112.878</v>
          </cell>
        </row>
        <row r="1778">
          <cell r="A1778">
            <v>17760</v>
          </cell>
          <cell r="C1778">
            <v>112.876</v>
          </cell>
        </row>
        <row r="1779">
          <cell r="A1779">
            <v>17770</v>
          </cell>
          <cell r="C1779">
            <v>112.875</v>
          </cell>
        </row>
        <row r="1780">
          <cell r="A1780">
            <v>17780</v>
          </cell>
          <cell r="C1780">
            <v>112.873</v>
          </cell>
        </row>
        <row r="1781">
          <cell r="A1781">
            <v>17790</v>
          </cell>
          <cell r="C1781">
            <v>112.871</v>
          </cell>
        </row>
        <row r="1782">
          <cell r="A1782">
            <v>17800</v>
          </cell>
          <cell r="C1782">
            <v>112.87</v>
          </cell>
        </row>
        <row r="1783">
          <cell r="A1783">
            <v>17810</v>
          </cell>
          <cell r="C1783">
            <v>112.86799999999999</v>
          </cell>
        </row>
        <row r="1784">
          <cell r="A1784">
            <v>17820</v>
          </cell>
          <cell r="C1784">
            <v>112.867</v>
          </cell>
        </row>
        <row r="1785">
          <cell r="A1785">
            <v>17830</v>
          </cell>
          <cell r="C1785">
            <v>112.86499999999999</v>
          </cell>
        </row>
        <row r="1786">
          <cell r="A1786">
            <v>17840</v>
          </cell>
          <cell r="C1786">
            <v>112.863</v>
          </cell>
        </row>
        <row r="1787">
          <cell r="A1787">
            <v>17850</v>
          </cell>
          <cell r="C1787">
            <v>112.86199999999999</v>
          </cell>
        </row>
        <row r="1788">
          <cell r="A1788">
            <v>17860</v>
          </cell>
          <cell r="C1788">
            <v>112.86</v>
          </cell>
        </row>
        <row r="1789">
          <cell r="A1789">
            <v>17870</v>
          </cell>
          <cell r="C1789">
            <v>112.85899999999999</v>
          </cell>
        </row>
        <row r="1790">
          <cell r="A1790">
            <v>17880</v>
          </cell>
          <cell r="C1790">
            <v>112.857</v>
          </cell>
        </row>
        <row r="1791">
          <cell r="A1791">
            <v>17890</v>
          </cell>
          <cell r="C1791">
            <v>112.855</v>
          </cell>
        </row>
        <row r="1792">
          <cell r="A1792">
            <v>17900</v>
          </cell>
          <cell r="C1792">
            <v>112.854</v>
          </cell>
        </row>
        <row r="1793">
          <cell r="A1793">
            <v>17910</v>
          </cell>
          <cell r="C1793">
            <v>112.852</v>
          </cell>
        </row>
        <row r="1794">
          <cell r="A1794">
            <v>17920</v>
          </cell>
          <cell r="C1794">
            <v>112.851</v>
          </cell>
        </row>
        <row r="1795">
          <cell r="A1795">
            <v>17930</v>
          </cell>
          <cell r="C1795">
            <v>112.849</v>
          </cell>
        </row>
        <row r="1796">
          <cell r="A1796">
            <v>17940</v>
          </cell>
          <cell r="C1796">
            <v>112.848</v>
          </cell>
        </row>
        <row r="1797">
          <cell r="A1797">
            <v>17950</v>
          </cell>
          <cell r="C1797">
            <v>112.846</v>
          </cell>
        </row>
        <row r="1798">
          <cell r="A1798">
            <v>17960</v>
          </cell>
          <cell r="C1798">
            <v>112.845</v>
          </cell>
        </row>
        <row r="1799">
          <cell r="A1799">
            <v>17970</v>
          </cell>
          <cell r="C1799">
            <v>112.843</v>
          </cell>
        </row>
        <row r="1800">
          <cell r="A1800">
            <v>17980</v>
          </cell>
          <cell r="C1800">
            <v>112.842</v>
          </cell>
        </row>
        <row r="1801">
          <cell r="A1801">
            <v>17990</v>
          </cell>
          <cell r="C1801">
            <v>112.84</v>
          </cell>
        </row>
        <row r="1802">
          <cell r="A1802">
            <v>18000</v>
          </cell>
          <cell r="C1802">
            <v>112.839</v>
          </cell>
        </row>
        <row r="1803">
          <cell r="A1803">
            <v>18010</v>
          </cell>
          <cell r="C1803">
            <v>112.837</v>
          </cell>
        </row>
        <row r="1804">
          <cell r="A1804">
            <v>18020</v>
          </cell>
          <cell r="C1804">
            <v>112.836</v>
          </cell>
        </row>
        <row r="1805">
          <cell r="A1805">
            <v>18030</v>
          </cell>
          <cell r="C1805">
            <v>112.834</v>
          </cell>
        </row>
        <row r="1806">
          <cell r="A1806">
            <v>18040</v>
          </cell>
          <cell r="C1806">
            <v>112.833</v>
          </cell>
        </row>
        <row r="1807">
          <cell r="A1807">
            <v>18050</v>
          </cell>
          <cell r="C1807">
            <v>112.831</v>
          </cell>
        </row>
        <row r="1808">
          <cell r="A1808">
            <v>18060</v>
          </cell>
          <cell r="C1808">
            <v>112.83</v>
          </cell>
        </row>
        <row r="1809">
          <cell r="A1809">
            <v>18070</v>
          </cell>
          <cell r="C1809">
            <v>112.82899999999999</v>
          </cell>
        </row>
        <row r="1810">
          <cell r="A1810">
            <v>18080</v>
          </cell>
          <cell r="C1810">
            <v>112.827</v>
          </cell>
        </row>
        <row r="1811">
          <cell r="A1811">
            <v>18090</v>
          </cell>
          <cell r="C1811">
            <v>112.82599999999999</v>
          </cell>
        </row>
        <row r="1812">
          <cell r="A1812">
            <v>18100</v>
          </cell>
          <cell r="C1812">
            <v>112.824</v>
          </cell>
        </row>
        <row r="1813">
          <cell r="A1813">
            <v>18110</v>
          </cell>
          <cell r="C1813">
            <v>112.82299999999999</v>
          </cell>
        </row>
        <row r="1814">
          <cell r="A1814">
            <v>18120</v>
          </cell>
          <cell r="C1814">
            <v>112.821</v>
          </cell>
        </row>
        <row r="1815">
          <cell r="A1815">
            <v>18130</v>
          </cell>
          <cell r="C1815">
            <v>112.82</v>
          </cell>
        </row>
        <row r="1816">
          <cell r="A1816">
            <v>18140</v>
          </cell>
          <cell r="C1816">
            <v>112.818</v>
          </cell>
        </row>
        <row r="1817">
          <cell r="A1817">
            <v>18150</v>
          </cell>
          <cell r="C1817">
            <v>112.81699999999999</v>
          </cell>
        </row>
        <row r="1818">
          <cell r="A1818">
            <v>18160</v>
          </cell>
          <cell r="C1818">
            <v>112.816</v>
          </cell>
        </row>
        <row r="1819">
          <cell r="A1819">
            <v>18170</v>
          </cell>
          <cell r="C1819">
            <v>112.81399999999999</v>
          </cell>
        </row>
        <row r="1820">
          <cell r="A1820">
            <v>18180</v>
          </cell>
          <cell r="C1820">
            <v>112.813</v>
          </cell>
        </row>
        <row r="1821">
          <cell r="A1821">
            <v>18190</v>
          </cell>
          <cell r="C1821">
            <v>112.81100000000001</v>
          </cell>
        </row>
        <row r="1822">
          <cell r="A1822">
            <v>18200</v>
          </cell>
          <cell r="C1822">
            <v>112.81</v>
          </cell>
        </row>
        <row r="1823">
          <cell r="A1823">
            <v>18210</v>
          </cell>
          <cell r="C1823">
            <v>112.80800000000001</v>
          </cell>
        </row>
        <row r="1824">
          <cell r="A1824">
            <v>18220</v>
          </cell>
          <cell r="C1824">
            <v>112.807</v>
          </cell>
        </row>
        <row r="1825">
          <cell r="A1825">
            <v>18230</v>
          </cell>
          <cell r="C1825">
            <v>112.806</v>
          </cell>
        </row>
        <row r="1826">
          <cell r="A1826">
            <v>18240</v>
          </cell>
          <cell r="C1826">
            <v>112.804</v>
          </cell>
        </row>
        <row r="1827">
          <cell r="A1827">
            <v>18250</v>
          </cell>
          <cell r="C1827">
            <v>112.803</v>
          </cell>
        </row>
        <row r="1828">
          <cell r="A1828">
            <v>18260</v>
          </cell>
          <cell r="C1828">
            <v>112.80200000000001</v>
          </cell>
        </row>
        <row r="1829">
          <cell r="A1829">
            <v>18270</v>
          </cell>
          <cell r="C1829">
            <v>112.8</v>
          </cell>
        </row>
        <row r="1830">
          <cell r="A1830">
            <v>18280</v>
          </cell>
          <cell r="C1830">
            <v>112.79900000000001</v>
          </cell>
        </row>
        <row r="1831">
          <cell r="A1831">
            <v>18290</v>
          </cell>
          <cell r="C1831">
            <v>112.797</v>
          </cell>
        </row>
        <row r="1832">
          <cell r="A1832">
            <v>18300</v>
          </cell>
          <cell r="C1832">
            <v>112.79600000000001</v>
          </cell>
        </row>
        <row r="1833">
          <cell r="A1833">
            <v>18310</v>
          </cell>
          <cell r="C1833">
            <v>112.795</v>
          </cell>
        </row>
        <row r="1834">
          <cell r="A1834">
            <v>18320</v>
          </cell>
          <cell r="C1834">
            <v>112.79300000000001</v>
          </cell>
        </row>
        <row r="1835">
          <cell r="A1835">
            <v>18330</v>
          </cell>
          <cell r="C1835">
            <v>112.792</v>
          </cell>
        </row>
        <row r="1836">
          <cell r="A1836">
            <v>18340</v>
          </cell>
          <cell r="C1836">
            <v>112.791</v>
          </cell>
        </row>
        <row r="1837">
          <cell r="A1837">
            <v>18350</v>
          </cell>
          <cell r="C1837">
            <v>112.789</v>
          </cell>
        </row>
        <row r="1838">
          <cell r="A1838">
            <v>18360</v>
          </cell>
          <cell r="C1838">
            <v>112.788</v>
          </cell>
        </row>
        <row r="1839">
          <cell r="A1839">
            <v>18370</v>
          </cell>
          <cell r="C1839">
            <v>112.78700000000001</v>
          </cell>
        </row>
        <row r="1840">
          <cell r="A1840">
            <v>18380</v>
          </cell>
          <cell r="C1840">
            <v>112.785</v>
          </cell>
        </row>
        <row r="1841">
          <cell r="A1841">
            <v>18390</v>
          </cell>
          <cell r="C1841">
            <v>112.78400000000001</v>
          </cell>
        </row>
        <row r="1842">
          <cell r="A1842">
            <v>18400</v>
          </cell>
          <cell r="C1842">
            <v>112.783</v>
          </cell>
        </row>
        <row r="1843">
          <cell r="A1843">
            <v>18410</v>
          </cell>
          <cell r="C1843">
            <v>112.78100000000001</v>
          </cell>
        </row>
        <row r="1844">
          <cell r="A1844">
            <v>18420</v>
          </cell>
          <cell r="C1844">
            <v>112.78</v>
          </cell>
        </row>
        <row r="1845">
          <cell r="A1845">
            <v>18430</v>
          </cell>
          <cell r="C1845">
            <v>112.779</v>
          </cell>
        </row>
        <row r="1846">
          <cell r="A1846">
            <v>18440</v>
          </cell>
          <cell r="C1846">
            <v>112.777</v>
          </cell>
        </row>
        <row r="1847">
          <cell r="A1847">
            <v>18450</v>
          </cell>
          <cell r="C1847">
            <v>112.776</v>
          </cell>
        </row>
        <row r="1848">
          <cell r="A1848">
            <v>18460</v>
          </cell>
          <cell r="C1848">
            <v>112.77500000000001</v>
          </cell>
        </row>
        <row r="1849">
          <cell r="A1849">
            <v>18470</v>
          </cell>
          <cell r="C1849">
            <v>112.773</v>
          </cell>
        </row>
        <row r="1850">
          <cell r="A1850">
            <v>18480</v>
          </cell>
          <cell r="C1850">
            <v>112.77200000000001</v>
          </cell>
        </row>
        <row r="1851">
          <cell r="A1851">
            <v>18490</v>
          </cell>
          <cell r="C1851">
            <v>112.771</v>
          </cell>
        </row>
        <row r="1852">
          <cell r="A1852">
            <v>18500</v>
          </cell>
          <cell r="C1852">
            <v>112.77</v>
          </cell>
        </row>
        <row r="1853">
          <cell r="A1853">
            <v>18510</v>
          </cell>
          <cell r="C1853">
            <v>112.768</v>
          </cell>
        </row>
        <row r="1854">
          <cell r="A1854">
            <v>18520</v>
          </cell>
          <cell r="C1854">
            <v>112.767</v>
          </cell>
        </row>
        <row r="1855">
          <cell r="A1855">
            <v>18530</v>
          </cell>
          <cell r="C1855">
            <v>112.76600000000001</v>
          </cell>
        </row>
        <row r="1856">
          <cell r="A1856">
            <v>18540</v>
          </cell>
          <cell r="C1856">
            <v>112.764</v>
          </cell>
        </row>
        <row r="1857">
          <cell r="A1857">
            <v>18550</v>
          </cell>
          <cell r="C1857">
            <v>112.76300000000001</v>
          </cell>
        </row>
        <row r="1858">
          <cell r="A1858">
            <v>18560</v>
          </cell>
          <cell r="C1858">
            <v>112.762</v>
          </cell>
        </row>
        <row r="1859">
          <cell r="A1859">
            <v>18570</v>
          </cell>
          <cell r="C1859">
            <v>112.761</v>
          </cell>
        </row>
        <row r="1860">
          <cell r="A1860">
            <v>18580</v>
          </cell>
          <cell r="C1860">
            <v>112.759</v>
          </cell>
        </row>
        <row r="1861">
          <cell r="A1861">
            <v>18590</v>
          </cell>
          <cell r="C1861">
            <v>112.758</v>
          </cell>
        </row>
        <row r="1862">
          <cell r="A1862">
            <v>18600</v>
          </cell>
          <cell r="C1862">
            <v>112.75700000000001</v>
          </cell>
        </row>
        <row r="1863">
          <cell r="A1863">
            <v>18610</v>
          </cell>
          <cell r="C1863">
            <v>112.756</v>
          </cell>
        </row>
        <row r="1864">
          <cell r="A1864">
            <v>18620</v>
          </cell>
          <cell r="C1864">
            <v>112.754</v>
          </cell>
        </row>
        <row r="1865">
          <cell r="A1865">
            <v>18630</v>
          </cell>
          <cell r="C1865">
            <v>112.753</v>
          </cell>
        </row>
        <row r="1866">
          <cell r="A1866">
            <v>18640</v>
          </cell>
          <cell r="C1866">
            <v>112.752</v>
          </cell>
        </row>
        <row r="1867">
          <cell r="A1867">
            <v>18650</v>
          </cell>
          <cell r="C1867">
            <v>112.751</v>
          </cell>
        </row>
        <row r="1868">
          <cell r="A1868">
            <v>18660</v>
          </cell>
          <cell r="C1868">
            <v>112.749</v>
          </cell>
        </row>
        <row r="1869">
          <cell r="A1869">
            <v>18670</v>
          </cell>
          <cell r="C1869">
            <v>112.748</v>
          </cell>
        </row>
        <row r="1870">
          <cell r="A1870">
            <v>18680</v>
          </cell>
          <cell r="C1870">
            <v>112.747</v>
          </cell>
        </row>
        <row r="1871">
          <cell r="A1871">
            <v>18690</v>
          </cell>
          <cell r="C1871">
            <v>112.746</v>
          </cell>
        </row>
        <row r="1872">
          <cell r="A1872">
            <v>18700</v>
          </cell>
          <cell r="C1872">
            <v>112.744</v>
          </cell>
        </row>
        <row r="1873">
          <cell r="A1873">
            <v>18710</v>
          </cell>
          <cell r="C1873">
            <v>112.74299999999999</v>
          </cell>
        </row>
        <row r="1874">
          <cell r="A1874">
            <v>18720</v>
          </cell>
          <cell r="C1874">
            <v>112.742</v>
          </cell>
        </row>
        <row r="1875">
          <cell r="A1875">
            <v>18730</v>
          </cell>
          <cell r="C1875">
            <v>112.741</v>
          </cell>
        </row>
        <row r="1876">
          <cell r="A1876">
            <v>18740</v>
          </cell>
          <cell r="C1876">
            <v>112.74</v>
          </cell>
        </row>
        <row r="1877">
          <cell r="A1877">
            <v>18750</v>
          </cell>
          <cell r="C1877">
            <v>112.738</v>
          </cell>
        </row>
        <row r="1878">
          <cell r="A1878">
            <v>18760</v>
          </cell>
          <cell r="C1878">
            <v>112.73699999999999</v>
          </cell>
        </row>
        <row r="1879">
          <cell r="A1879">
            <v>18770</v>
          </cell>
          <cell r="C1879">
            <v>112.736</v>
          </cell>
        </row>
        <row r="1880">
          <cell r="A1880">
            <v>18780</v>
          </cell>
          <cell r="C1880">
            <v>112.735</v>
          </cell>
        </row>
        <row r="1881">
          <cell r="A1881">
            <v>18790</v>
          </cell>
          <cell r="C1881">
            <v>112.73399999999999</v>
          </cell>
        </row>
        <row r="1882">
          <cell r="A1882">
            <v>18800</v>
          </cell>
          <cell r="C1882">
            <v>112.732</v>
          </cell>
        </row>
        <row r="1883">
          <cell r="A1883">
            <v>18810</v>
          </cell>
          <cell r="C1883">
            <v>112.73099999999999</v>
          </cell>
        </row>
        <row r="1884">
          <cell r="A1884">
            <v>18820</v>
          </cell>
          <cell r="C1884">
            <v>112.73</v>
          </cell>
        </row>
        <row r="1885">
          <cell r="A1885">
            <v>18830</v>
          </cell>
          <cell r="C1885">
            <v>112.729</v>
          </cell>
        </row>
        <row r="1886">
          <cell r="A1886">
            <v>18840</v>
          </cell>
          <cell r="C1886">
            <v>112.72799999999999</v>
          </cell>
        </row>
        <row r="1887">
          <cell r="A1887">
            <v>18850</v>
          </cell>
          <cell r="C1887">
            <v>112.726</v>
          </cell>
        </row>
        <row r="1888">
          <cell r="A1888">
            <v>18860</v>
          </cell>
          <cell r="C1888">
            <v>112.72499999999999</v>
          </cell>
        </row>
        <row r="1889">
          <cell r="A1889">
            <v>18870</v>
          </cell>
          <cell r="C1889">
            <v>112.724</v>
          </cell>
        </row>
        <row r="1890">
          <cell r="A1890">
            <v>18880</v>
          </cell>
          <cell r="C1890">
            <v>112.723</v>
          </cell>
        </row>
        <row r="1891">
          <cell r="A1891">
            <v>18890</v>
          </cell>
          <cell r="C1891">
            <v>112.72199999999999</v>
          </cell>
        </row>
        <row r="1892">
          <cell r="A1892">
            <v>18900</v>
          </cell>
          <cell r="C1892">
            <v>112.721</v>
          </cell>
        </row>
        <row r="1893">
          <cell r="A1893">
            <v>18910</v>
          </cell>
          <cell r="C1893">
            <v>112.72</v>
          </cell>
        </row>
        <row r="1894">
          <cell r="A1894">
            <v>18920</v>
          </cell>
          <cell r="C1894">
            <v>112.718</v>
          </cell>
        </row>
        <row r="1895">
          <cell r="A1895">
            <v>18930</v>
          </cell>
          <cell r="C1895">
            <v>112.717</v>
          </cell>
        </row>
        <row r="1896">
          <cell r="A1896">
            <v>18940</v>
          </cell>
          <cell r="C1896">
            <v>112.71599999999999</v>
          </cell>
        </row>
        <row r="1897">
          <cell r="A1897">
            <v>18950</v>
          </cell>
          <cell r="C1897">
            <v>112.715</v>
          </cell>
        </row>
        <row r="1898">
          <cell r="A1898">
            <v>18960</v>
          </cell>
          <cell r="C1898">
            <v>112.714</v>
          </cell>
        </row>
        <row r="1899">
          <cell r="A1899">
            <v>18970</v>
          </cell>
          <cell r="C1899">
            <v>112.71299999999999</v>
          </cell>
        </row>
        <row r="1900">
          <cell r="A1900">
            <v>18980</v>
          </cell>
          <cell r="C1900">
            <v>112.711</v>
          </cell>
        </row>
        <row r="1901">
          <cell r="A1901">
            <v>18990</v>
          </cell>
          <cell r="C1901">
            <v>112.71</v>
          </cell>
        </row>
        <row r="1902">
          <cell r="A1902">
            <v>19000</v>
          </cell>
          <cell r="C1902">
            <v>112.709</v>
          </cell>
        </row>
        <row r="1903">
          <cell r="A1903">
            <v>19010</v>
          </cell>
          <cell r="C1903">
            <v>112.708</v>
          </cell>
        </row>
        <row r="1904">
          <cell r="A1904">
            <v>19020</v>
          </cell>
          <cell r="C1904">
            <v>112.70699999999999</v>
          </cell>
        </row>
        <row r="1905">
          <cell r="A1905">
            <v>19030</v>
          </cell>
          <cell r="C1905">
            <v>112.705</v>
          </cell>
        </row>
        <row r="1906">
          <cell r="A1906">
            <v>19040</v>
          </cell>
          <cell r="C1906">
            <v>112.70399999999999</v>
          </cell>
        </row>
        <row r="1907">
          <cell r="A1907">
            <v>19050</v>
          </cell>
          <cell r="C1907">
            <v>112.703</v>
          </cell>
        </row>
        <row r="1908">
          <cell r="A1908">
            <v>19060</v>
          </cell>
          <cell r="C1908">
            <v>112.70099999999999</v>
          </cell>
        </row>
        <row r="1909">
          <cell r="A1909">
            <v>19070</v>
          </cell>
          <cell r="C1909">
            <v>112.7</v>
          </cell>
        </row>
        <row r="1910">
          <cell r="A1910">
            <v>19080</v>
          </cell>
          <cell r="C1910">
            <v>112.699</v>
          </cell>
        </row>
        <row r="1911">
          <cell r="A1911">
            <v>19090</v>
          </cell>
          <cell r="C1911">
            <v>112.69799999999999</v>
          </cell>
        </row>
        <row r="1912">
          <cell r="A1912">
            <v>19100</v>
          </cell>
          <cell r="C1912">
            <v>112.696</v>
          </cell>
        </row>
        <row r="1913">
          <cell r="A1913">
            <v>19110</v>
          </cell>
          <cell r="C1913">
            <v>112.69499999999999</v>
          </cell>
        </row>
        <row r="1914">
          <cell r="A1914">
            <v>19120</v>
          </cell>
          <cell r="C1914">
            <v>112.694</v>
          </cell>
        </row>
        <row r="1915">
          <cell r="A1915">
            <v>19130</v>
          </cell>
          <cell r="C1915">
            <v>112.69199999999999</v>
          </cell>
        </row>
        <row r="1916">
          <cell r="A1916">
            <v>19140</v>
          </cell>
          <cell r="C1916">
            <v>112.691</v>
          </cell>
        </row>
        <row r="1917">
          <cell r="A1917">
            <v>19150</v>
          </cell>
          <cell r="C1917">
            <v>112.68899999999999</v>
          </cell>
        </row>
        <row r="1918">
          <cell r="A1918">
            <v>19160</v>
          </cell>
          <cell r="C1918">
            <v>112.688</v>
          </cell>
        </row>
        <row r="1919">
          <cell r="A1919">
            <v>19170</v>
          </cell>
          <cell r="C1919">
            <v>112.687</v>
          </cell>
        </row>
        <row r="1920">
          <cell r="A1920">
            <v>19180</v>
          </cell>
          <cell r="C1920">
            <v>112.685</v>
          </cell>
        </row>
        <row r="1921">
          <cell r="A1921">
            <v>19190</v>
          </cell>
          <cell r="C1921">
            <v>112.684</v>
          </cell>
        </row>
        <row r="1922">
          <cell r="A1922">
            <v>19200</v>
          </cell>
          <cell r="C1922">
            <v>112.682</v>
          </cell>
        </row>
        <row r="1923">
          <cell r="A1923">
            <v>19210</v>
          </cell>
          <cell r="C1923">
            <v>112.681</v>
          </cell>
        </row>
        <row r="1924">
          <cell r="A1924">
            <v>19220</v>
          </cell>
          <cell r="C1924">
            <v>112.679</v>
          </cell>
        </row>
        <row r="1925">
          <cell r="A1925">
            <v>19230</v>
          </cell>
          <cell r="C1925">
            <v>112.678</v>
          </cell>
        </row>
        <row r="1926">
          <cell r="A1926">
            <v>19240</v>
          </cell>
          <cell r="C1926">
            <v>112.676</v>
          </cell>
        </row>
        <row r="1927">
          <cell r="A1927">
            <v>19250</v>
          </cell>
          <cell r="C1927">
            <v>112.67400000000001</v>
          </cell>
        </row>
        <row r="1928">
          <cell r="A1928">
            <v>19260</v>
          </cell>
          <cell r="C1928">
            <v>112.673</v>
          </cell>
        </row>
        <row r="1929">
          <cell r="A1929">
            <v>19270</v>
          </cell>
          <cell r="C1929">
            <v>112.67100000000001</v>
          </cell>
        </row>
        <row r="1930">
          <cell r="A1930">
            <v>19280</v>
          </cell>
          <cell r="C1930">
            <v>112.67</v>
          </cell>
        </row>
        <row r="1931">
          <cell r="A1931">
            <v>19290</v>
          </cell>
          <cell r="C1931">
            <v>112.66800000000001</v>
          </cell>
        </row>
        <row r="1932">
          <cell r="A1932">
            <v>19300</v>
          </cell>
          <cell r="C1932">
            <v>112.666</v>
          </cell>
        </row>
        <row r="1933">
          <cell r="A1933">
            <v>19310</v>
          </cell>
          <cell r="C1933">
            <v>112.66500000000001</v>
          </cell>
        </row>
        <row r="1934">
          <cell r="A1934">
            <v>19320</v>
          </cell>
          <cell r="C1934">
            <v>112.663</v>
          </cell>
        </row>
        <row r="1935">
          <cell r="A1935">
            <v>19330</v>
          </cell>
          <cell r="C1935">
            <v>112.661</v>
          </cell>
        </row>
        <row r="1936">
          <cell r="A1936">
            <v>19340</v>
          </cell>
          <cell r="C1936">
            <v>112.66</v>
          </cell>
        </row>
        <row r="1937">
          <cell r="A1937">
            <v>19350</v>
          </cell>
          <cell r="C1937">
            <v>112.658</v>
          </cell>
        </row>
        <row r="1938">
          <cell r="A1938">
            <v>19360</v>
          </cell>
          <cell r="C1938">
            <v>112.65600000000001</v>
          </cell>
        </row>
        <row r="1939">
          <cell r="A1939">
            <v>19370</v>
          </cell>
          <cell r="C1939">
            <v>112.655</v>
          </cell>
        </row>
        <row r="1940">
          <cell r="A1940">
            <v>19380</v>
          </cell>
          <cell r="C1940">
            <v>112.65300000000001</v>
          </cell>
        </row>
        <row r="1941">
          <cell r="A1941">
            <v>19390</v>
          </cell>
          <cell r="C1941">
            <v>112.651</v>
          </cell>
        </row>
        <row r="1942">
          <cell r="A1942">
            <v>19400</v>
          </cell>
          <cell r="C1942">
            <v>112.65</v>
          </cell>
        </row>
        <row r="1943">
          <cell r="A1943">
            <v>19410</v>
          </cell>
          <cell r="C1943">
            <v>112.648</v>
          </cell>
        </row>
        <row r="1944">
          <cell r="A1944">
            <v>19420</v>
          </cell>
          <cell r="C1944">
            <v>112.646</v>
          </cell>
        </row>
        <row r="1945">
          <cell r="A1945">
            <v>19430</v>
          </cell>
          <cell r="C1945">
            <v>112.64400000000001</v>
          </cell>
        </row>
        <row r="1946">
          <cell r="A1946">
            <v>19440</v>
          </cell>
          <cell r="C1946">
            <v>112.642</v>
          </cell>
        </row>
        <row r="1947">
          <cell r="A1947">
            <v>19450</v>
          </cell>
          <cell r="C1947">
            <v>112.64</v>
          </cell>
        </row>
        <row r="1948">
          <cell r="A1948">
            <v>19460</v>
          </cell>
          <cell r="C1948">
            <v>112.63800000000001</v>
          </cell>
        </row>
        <row r="1949">
          <cell r="A1949">
            <v>19470</v>
          </cell>
          <cell r="C1949">
            <v>112.636</v>
          </cell>
        </row>
        <row r="1950">
          <cell r="A1950">
            <v>19480</v>
          </cell>
          <cell r="C1950">
            <v>112.634</v>
          </cell>
        </row>
        <row r="1951">
          <cell r="A1951">
            <v>19490</v>
          </cell>
          <cell r="C1951">
            <v>112.63200000000001</v>
          </cell>
        </row>
        <row r="1952">
          <cell r="A1952">
            <v>19500</v>
          </cell>
          <cell r="C1952">
            <v>112.631</v>
          </cell>
        </row>
        <row r="1953">
          <cell r="A1953">
            <v>19510</v>
          </cell>
          <cell r="C1953">
            <v>112.629</v>
          </cell>
        </row>
        <row r="1954">
          <cell r="A1954">
            <v>19520</v>
          </cell>
          <cell r="C1954">
            <v>112.627</v>
          </cell>
        </row>
        <row r="1955">
          <cell r="A1955">
            <v>19530</v>
          </cell>
          <cell r="C1955">
            <v>112.625</v>
          </cell>
        </row>
        <row r="1956">
          <cell r="A1956">
            <v>19540</v>
          </cell>
          <cell r="C1956">
            <v>112.623</v>
          </cell>
        </row>
        <row r="1957">
          <cell r="A1957">
            <v>19550</v>
          </cell>
          <cell r="C1957">
            <v>112.621</v>
          </cell>
        </row>
        <row r="1958">
          <cell r="A1958">
            <v>19560</v>
          </cell>
          <cell r="C1958">
            <v>112.619</v>
          </cell>
        </row>
        <row r="1959">
          <cell r="A1959">
            <v>19570</v>
          </cell>
          <cell r="C1959">
            <v>112.617</v>
          </cell>
        </row>
        <row r="1960">
          <cell r="A1960">
            <v>19580</v>
          </cell>
          <cell r="C1960">
            <v>112.61499999999999</v>
          </cell>
        </row>
        <row r="1961">
          <cell r="A1961">
            <v>19590</v>
          </cell>
          <cell r="C1961">
            <v>112.613</v>
          </cell>
        </row>
        <row r="1962">
          <cell r="A1962">
            <v>19600</v>
          </cell>
          <cell r="C1962">
            <v>112.611</v>
          </cell>
        </row>
        <row r="1963">
          <cell r="A1963">
            <v>19610</v>
          </cell>
          <cell r="C1963">
            <v>112.60899999999999</v>
          </cell>
        </row>
        <row r="1964">
          <cell r="A1964">
            <v>19620</v>
          </cell>
          <cell r="C1964">
            <v>112.608</v>
          </cell>
        </row>
        <row r="1965">
          <cell r="A1965">
            <v>19630</v>
          </cell>
          <cell r="C1965">
            <v>112.60599999999999</v>
          </cell>
        </row>
        <row r="1966">
          <cell r="A1966">
            <v>19640</v>
          </cell>
          <cell r="C1966">
            <v>112.604</v>
          </cell>
        </row>
        <row r="1967">
          <cell r="A1967">
            <v>19650</v>
          </cell>
          <cell r="C1967">
            <v>112.602</v>
          </cell>
        </row>
        <row r="1968">
          <cell r="A1968">
            <v>19660</v>
          </cell>
          <cell r="C1968">
            <v>112.6</v>
          </cell>
        </row>
        <row r="1969">
          <cell r="A1969">
            <v>19670</v>
          </cell>
          <cell r="C1969">
            <v>112.598</v>
          </cell>
        </row>
        <row r="1970">
          <cell r="A1970">
            <v>19680</v>
          </cell>
          <cell r="C1970">
            <v>112.596</v>
          </cell>
        </row>
        <row r="1971">
          <cell r="A1971">
            <v>19690</v>
          </cell>
          <cell r="C1971">
            <v>112.59399999999999</v>
          </cell>
        </row>
        <row r="1972">
          <cell r="A1972">
            <v>19700</v>
          </cell>
          <cell r="C1972">
            <v>112.593</v>
          </cell>
        </row>
        <row r="1973">
          <cell r="A1973">
            <v>19710</v>
          </cell>
          <cell r="C1973">
            <v>112.59099999999999</v>
          </cell>
        </row>
        <row r="1974">
          <cell r="A1974">
            <v>19720</v>
          </cell>
          <cell r="C1974">
            <v>112.589</v>
          </cell>
        </row>
        <row r="1975">
          <cell r="A1975">
            <v>19730</v>
          </cell>
          <cell r="C1975">
            <v>112.587</v>
          </cell>
        </row>
        <row r="1976">
          <cell r="A1976">
            <v>19740</v>
          </cell>
          <cell r="C1976">
            <v>112.58499999999999</v>
          </cell>
        </row>
        <row r="1977">
          <cell r="A1977">
            <v>19750</v>
          </cell>
          <cell r="C1977">
            <v>112.584</v>
          </cell>
        </row>
        <row r="1978">
          <cell r="A1978">
            <v>19760</v>
          </cell>
          <cell r="C1978">
            <v>112.58199999999999</v>
          </cell>
        </row>
        <row r="1979">
          <cell r="A1979">
            <v>19770</v>
          </cell>
          <cell r="C1979">
            <v>112.58</v>
          </cell>
        </row>
        <row r="1980">
          <cell r="A1980">
            <v>19780</v>
          </cell>
          <cell r="C1980">
            <v>112.57899999999999</v>
          </cell>
        </row>
        <row r="1981">
          <cell r="A1981">
            <v>19790</v>
          </cell>
          <cell r="C1981">
            <v>112.577</v>
          </cell>
        </row>
        <row r="1982">
          <cell r="A1982">
            <v>19800</v>
          </cell>
          <cell r="C1982">
            <v>112.57599999999999</v>
          </cell>
        </row>
        <row r="1983">
          <cell r="A1983">
            <v>19810</v>
          </cell>
          <cell r="C1983">
            <v>112.574</v>
          </cell>
        </row>
        <row r="1984">
          <cell r="A1984">
            <v>19820</v>
          </cell>
          <cell r="C1984">
            <v>112.57299999999999</v>
          </cell>
        </row>
        <row r="1985">
          <cell r="A1985">
            <v>19830</v>
          </cell>
          <cell r="C1985">
            <v>112.571</v>
          </cell>
        </row>
        <row r="1986">
          <cell r="A1986">
            <v>19840</v>
          </cell>
          <cell r="C1986">
            <v>112.57</v>
          </cell>
        </row>
        <row r="1987">
          <cell r="A1987">
            <v>19850</v>
          </cell>
          <cell r="C1987">
            <v>112.568</v>
          </cell>
        </row>
        <row r="1988">
          <cell r="A1988">
            <v>19860</v>
          </cell>
          <cell r="C1988">
            <v>112.56699999999999</v>
          </cell>
        </row>
        <row r="1989">
          <cell r="A1989">
            <v>19870</v>
          </cell>
          <cell r="C1989">
            <v>112.565</v>
          </cell>
        </row>
        <row r="1990">
          <cell r="A1990">
            <v>19880</v>
          </cell>
          <cell r="C1990">
            <v>112.56399999999999</v>
          </cell>
        </row>
        <row r="1991">
          <cell r="A1991">
            <v>19890</v>
          </cell>
          <cell r="C1991">
            <v>112.562</v>
          </cell>
        </row>
        <row r="1992">
          <cell r="A1992">
            <v>19900</v>
          </cell>
          <cell r="C1992">
            <v>112.56100000000001</v>
          </cell>
        </row>
        <row r="1993">
          <cell r="A1993">
            <v>19910</v>
          </cell>
          <cell r="C1993">
            <v>112.559</v>
          </cell>
        </row>
        <row r="1994">
          <cell r="A1994">
            <v>19920</v>
          </cell>
          <cell r="C1994">
            <v>112.55800000000001</v>
          </cell>
        </row>
        <row r="1995">
          <cell r="A1995">
            <v>19930</v>
          </cell>
          <cell r="C1995">
            <v>112.557</v>
          </cell>
        </row>
        <row r="1996">
          <cell r="A1996">
            <v>19940</v>
          </cell>
          <cell r="C1996">
            <v>112.55500000000001</v>
          </cell>
        </row>
        <row r="1997">
          <cell r="A1997">
            <v>19950</v>
          </cell>
          <cell r="C1997">
            <v>112.554</v>
          </cell>
        </row>
        <row r="1998">
          <cell r="A1998">
            <v>19960</v>
          </cell>
          <cell r="C1998">
            <v>112.55200000000001</v>
          </cell>
        </row>
        <row r="1999">
          <cell r="A1999">
            <v>19970</v>
          </cell>
          <cell r="C1999">
            <v>112.551</v>
          </cell>
        </row>
        <row r="2000">
          <cell r="A2000">
            <v>19980</v>
          </cell>
          <cell r="C2000">
            <v>112.55</v>
          </cell>
        </row>
        <row r="2001">
          <cell r="A2001">
            <v>19990</v>
          </cell>
          <cell r="C2001">
            <v>112.548</v>
          </cell>
        </row>
        <row r="2002">
          <cell r="A2002">
            <v>20000</v>
          </cell>
          <cell r="C2002">
            <v>112.547</v>
          </cell>
        </row>
        <row r="2003">
          <cell r="A2003">
            <v>20010</v>
          </cell>
          <cell r="C2003">
            <v>112.54600000000001</v>
          </cell>
        </row>
        <row r="2004">
          <cell r="A2004">
            <v>20020</v>
          </cell>
          <cell r="C2004">
            <v>112.544</v>
          </cell>
        </row>
        <row r="2005">
          <cell r="A2005">
            <v>20030</v>
          </cell>
          <cell r="C2005">
            <v>112.54300000000001</v>
          </cell>
        </row>
        <row r="2006">
          <cell r="A2006">
            <v>20040</v>
          </cell>
          <cell r="C2006">
            <v>112.542</v>
          </cell>
        </row>
        <row r="2007">
          <cell r="A2007">
            <v>20050</v>
          </cell>
          <cell r="C2007">
            <v>112.54</v>
          </cell>
        </row>
        <row r="2008">
          <cell r="A2008">
            <v>20060</v>
          </cell>
          <cell r="C2008">
            <v>112.539</v>
          </cell>
        </row>
        <row r="2009">
          <cell r="A2009">
            <v>20070</v>
          </cell>
          <cell r="C2009">
            <v>112.53700000000001</v>
          </cell>
        </row>
        <row r="2010">
          <cell r="A2010">
            <v>20080</v>
          </cell>
          <cell r="C2010">
            <v>112.536</v>
          </cell>
        </row>
        <row r="2011">
          <cell r="A2011">
            <v>20090</v>
          </cell>
          <cell r="C2011">
            <v>112.535</v>
          </cell>
        </row>
        <row r="2012">
          <cell r="A2012">
            <v>20100</v>
          </cell>
          <cell r="C2012">
            <v>112.533</v>
          </cell>
        </row>
        <row r="2013">
          <cell r="A2013">
            <v>20110</v>
          </cell>
          <cell r="C2013">
            <v>112.532</v>
          </cell>
        </row>
        <row r="2014">
          <cell r="A2014">
            <v>20120</v>
          </cell>
          <cell r="C2014">
            <v>112.53100000000001</v>
          </cell>
        </row>
        <row r="2015">
          <cell r="A2015">
            <v>20130</v>
          </cell>
          <cell r="C2015">
            <v>112.529</v>
          </cell>
        </row>
        <row r="2016">
          <cell r="A2016">
            <v>20140</v>
          </cell>
          <cell r="C2016">
            <v>112.52800000000001</v>
          </cell>
        </row>
        <row r="2017">
          <cell r="A2017">
            <v>20150</v>
          </cell>
          <cell r="C2017">
            <v>112.527</v>
          </cell>
        </row>
        <row r="2018">
          <cell r="A2018">
            <v>20160</v>
          </cell>
          <cell r="C2018">
            <v>112.52500000000001</v>
          </cell>
        </row>
        <row r="2019">
          <cell r="A2019">
            <v>20170</v>
          </cell>
          <cell r="C2019">
            <v>112.524</v>
          </cell>
        </row>
        <row r="2020">
          <cell r="A2020">
            <v>20180</v>
          </cell>
          <cell r="C2020">
            <v>112.523</v>
          </cell>
        </row>
        <row r="2021">
          <cell r="A2021">
            <v>20190</v>
          </cell>
          <cell r="C2021">
            <v>112.521</v>
          </cell>
        </row>
        <row r="2022">
          <cell r="A2022">
            <v>20200</v>
          </cell>
          <cell r="C2022">
            <v>112.52</v>
          </cell>
        </row>
        <row r="2023">
          <cell r="A2023">
            <v>20210</v>
          </cell>
          <cell r="C2023">
            <v>112.51900000000001</v>
          </cell>
        </row>
        <row r="2024">
          <cell r="A2024">
            <v>20220</v>
          </cell>
          <cell r="C2024">
            <v>112.517</v>
          </cell>
        </row>
        <row r="2025">
          <cell r="A2025">
            <v>20230</v>
          </cell>
          <cell r="C2025">
            <v>112.51600000000001</v>
          </cell>
        </row>
        <row r="2026">
          <cell r="A2026">
            <v>20240</v>
          </cell>
          <cell r="C2026">
            <v>112.515</v>
          </cell>
        </row>
        <row r="2027">
          <cell r="A2027">
            <v>20250</v>
          </cell>
          <cell r="C2027">
            <v>112.51300000000001</v>
          </cell>
        </row>
        <row r="2028">
          <cell r="A2028">
            <v>20260</v>
          </cell>
          <cell r="C2028">
            <v>112.512</v>
          </cell>
        </row>
        <row r="2029">
          <cell r="A2029">
            <v>20270</v>
          </cell>
          <cell r="C2029">
            <v>112.511</v>
          </cell>
        </row>
        <row r="2030">
          <cell r="A2030">
            <v>20280</v>
          </cell>
          <cell r="C2030">
            <v>112.509</v>
          </cell>
        </row>
        <row r="2031">
          <cell r="A2031">
            <v>20290</v>
          </cell>
          <cell r="C2031">
            <v>112.508</v>
          </cell>
        </row>
        <row r="2032">
          <cell r="A2032">
            <v>20300</v>
          </cell>
          <cell r="C2032">
            <v>112.50700000000001</v>
          </cell>
        </row>
        <row r="2033">
          <cell r="A2033">
            <v>20310</v>
          </cell>
          <cell r="C2033">
            <v>112.505</v>
          </cell>
        </row>
        <row r="2034">
          <cell r="A2034">
            <v>20320</v>
          </cell>
          <cell r="C2034">
            <v>112.504</v>
          </cell>
        </row>
        <row r="2035">
          <cell r="A2035">
            <v>20330</v>
          </cell>
          <cell r="C2035">
            <v>112.503</v>
          </cell>
        </row>
        <row r="2036">
          <cell r="A2036">
            <v>20340</v>
          </cell>
          <cell r="C2036">
            <v>112.501</v>
          </cell>
        </row>
        <row r="2037">
          <cell r="A2037">
            <v>20350</v>
          </cell>
          <cell r="C2037">
            <v>112.5</v>
          </cell>
        </row>
        <row r="2038">
          <cell r="A2038">
            <v>20360</v>
          </cell>
          <cell r="C2038">
            <v>112.499</v>
          </cell>
        </row>
        <row r="2039">
          <cell r="A2039">
            <v>20370</v>
          </cell>
          <cell r="C2039">
            <v>112.498</v>
          </cell>
        </row>
        <row r="2040">
          <cell r="A2040">
            <v>20380</v>
          </cell>
          <cell r="C2040">
            <v>112.496</v>
          </cell>
        </row>
        <row r="2041">
          <cell r="A2041">
            <v>20390</v>
          </cell>
          <cell r="C2041">
            <v>112.495</v>
          </cell>
        </row>
        <row r="2042">
          <cell r="A2042">
            <v>20400</v>
          </cell>
          <cell r="C2042">
            <v>112.494</v>
          </cell>
        </row>
        <row r="2043">
          <cell r="A2043">
            <v>20410</v>
          </cell>
          <cell r="C2043">
            <v>112.492</v>
          </cell>
        </row>
        <row r="2044">
          <cell r="A2044">
            <v>20420</v>
          </cell>
          <cell r="C2044">
            <v>112.491</v>
          </cell>
        </row>
        <row r="2045">
          <cell r="A2045">
            <v>20430</v>
          </cell>
          <cell r="C2045">
            <v>112.49</v>
          </cell>
        </row>
        <row r="2046">
          <cell r="A2046">
            <v>20440</v>
          </cell>
          <cell r="C2046">
            <v>112.489</v>
          </cell>
        </row>
        <row r="2047">
          <cell r="A2047">
            <v>20450</v>
          </cell>
          <cell r="C2047">
            <v>112.48699999999999</v>
          </cell>
        </row>
        <row r="2048">
          <cell r="A2048">
            <v>20460</v>
          </cell>
          <cell r="C2048">
            <v>112.486</v>
          </cell>
        </row>
        <row r="2049">
          <cell r="A2049">
            <v>20470</v>
          </cell>
          <cell r="C2049">
            <v>112.485</v>
          </cell>
        </row>
        <row r="2050">
          <cell r="A2050">
            <v>20480</v>
          </cell>
          <cell r="C2050">
            <v>112.483</v>
          </cell>
        </row>
        <row r="2051">
          <cell r="A2051">
            <v>20490</v>
          </cell>
          <cell r="C2051">
            <v>112.482</v>
          </cell>
        </row>
        <row r="2052">
          <cell r="A2052">
            <v>20500</v>
          </cell>
          <cell r="C2052">
            <v>112.48099999999999</v>
          </cell>
        </row>
        <row r="2053">
          <cell r="A2053">
            <v>20510</v>
          </cell>
          <cell r="C2053">
            <v>112.48</v>
          </cell>
        </row>
        <row r="2054">
          <cell r="A2054">
            <v>20520</v>
          </cell>
          <cell r="C2054">
            <v>112.47799999999999</v>
          </cell>
        </row>
        <row r="2055">
          <cell r="A2055">
            <v>20530</v>
          </cell>
          <cell r="C2055">
            <v>112.477</v>
          </cell>
        </row>
        <row r="2056">
          <cell r="A2056">
            <v>20540</v>
          </cell>
          <cell r="C2056">
            <v>112.476</v>
          </cell>
        </row>
        <row r="2057">
          <cell r="A2057">
            <v>20550</v>
          </cell>
          <cell r="C2057">
            <v>112.47499999999999</v>
          </cell>
        </row>
        <row r="2058">
          <cell r="A2058">
            <v>20560</v>
          </cell>
          <cell r="C2058">
            <v>112.473</v>
          </cell>
        </row>
        <row r="2059">
          <cell r="A2059">
            <v>20570</v>
          </cell>
          <cell r="C2059">
            <v>112.47199999999999</v>
          </cell>
        </row>
        <row r="2060">
          <cell r="A2060">
            <v>20580</v>
          </cell>
          <cell r="C2060">
            <v>112.471</v>
          </cell>
        </row>
        <row r="2061">
          <cell r="A2061">
            <v>20590</v>
          </cell>
          <cell r="C2061">
            <v>112.47</v>
          </cell>
        </row>
        <row r="2062">
          <cell r="A2062">
            <v>20600</v>
          </cell>
          <cell r="C2062">
            <v>112.46899999999999</v>
          </cell>
        </row>
        <row r="2063">
          <cell r="A2063">
            <v>20610</v>
          </cell>
          <cell r="C2063">
            <v>112.467</v>
          </cell>
        </row>
        <row r="2064">
          <cell r="A2064">
            <v>20620</v>
          </cell>
          <cell r="C2064">
            <v>112.46599999999999</v>
          </cell>
        </row>
        <row r="2065">
          <cell r="A2065">
            <v>20630</v>
          </cell>
          <cell r="C2065">
            <v>112.465</v>
          </cell>
        </row>
        <row r="2066">
          <cell r="A2066">
            <v>20640</v>
          </cell>
          <cell r="C2066">
            <v>112.464</v>
          </cell>
        </row>
        <row r="2067">
          <cell r="A2067">
            <v>20650</v>
          </cell>
          <cell r="C2067">
            <v>112.462</v>
          </cell>
        </row>
        <row r="2068">
          <cell r="A2068">
            <v>20660</v>
          </cell>
          <cell r="C2068">
            <v>112.461</v>
          </cell>
        </row>
        <row r="2069">
          <cell r="A2069">
            <v>20670</v>
          </cell>
          <cell r="C2069">
            <v>112.46</v>
          </cell>
        </row>
        <row r="2070">
          <cell r="A2070">
            <v>20680</v>
          </cell>
          <cell r="C2070">
            <v>112.459</v>
          </cell>
        </row>
        <row r="2071">
          <cell r="A2071">
            <v>20690</v>
          </cell>
          <cell r="C2071">
            <v>112.458</v>
          </cell>
        </row>
        <row r="2072">
          <cell r="A2072">
            <v>20700</v>
          </cell>
          <cell r="C2072">
            <v>112.45699999999999</v>
          </cell>
        </row>
        <row r="2073">
          <cell r="A2073">
            <v>20710</v>
          </cell>
          <cell r="C2073">
            <v>112.455</v>
          </cell>
        </row>
        <row r="2074">
          <cell r="A2074">
            <v>20720</v>
          </cell>
          <cell r="C2074">
            <v>112.45399999999999</v>
          </cell>
        </row>
        <row r="2075">
          <cell r="A2075">
            <v>20730</v>
          </cell>
          <cell r="C2075">
            <v>112.453</v>
          </cell>
        </row>
        <row r="2076">
          <cell r="A2076">
            <v>20740</v>
          </cell>
          <cell r="C2076">
            <v>112.452</v>
          </cell>
        </row>
        <row r="2077">
          <cell r="A2077">
            <v>20750</v>
          </cell>
          <cell r="C2077">
            <v>112.45099999999999</v>
          </cell>
        </row>
        <row r="2078">
          <cell r="A2078">
            <v>20760</v>
          </cell>
          <cell r="C2078">
            <v>112.45</v>
          </cell>
        </row>
        <row r="2079">
          <cell r="A2079">
            <v>20770</v>
          </cell>
          <cell r="C2079">
            <v>112.44799999999999</v>
          </cell>
        </row>
        <row r="2080">
          <cell r="A2080">
            <v>20780</v>
          </cell>
          <cell r="C2080">
            <v>112.447</v>
          </cell>
        </row>
        <row r="2081">
          <cell r="A2081">
            <v>20790</v>
          </cell>
          <cell r="C2081">
            <v>112.446</v>
          </cell>
        </row>
        <row r="2082">
          <cell r="A2082">
            <v>20800</v>
          </cell>
          <cell r="C2082">
            <v>112.44499999999999</v>
          </cell>
        </row>
        <row r="2083">
          <cell r="A2083">
            <v>20810</v>
          </cell>
          <cell r="C2083">
            <v>112.444</v>
          </cell>
        </row>
        <row r="2084">
          <cell r="A2084">
            <v>20820</v>
          </cell>
          <cell r="C2084">
            <v>112.443</v>
          </cell>
        </row>
        <row r="2085">
          <cell r="A2085">
            <v>20830</v>
          </cell>
          <cell r="C2085">
            <v>112.44199999999999</v>
          </cell>
        </row>
        <row r="2086">
          <cell r="A2086">
            <v>20840</v>
          </cell>
          <cell r="C2086">
            <v>112.441</v>
          </cell>
        </row>
        <row r="2087">
          <cell r="A2087">
            <v>20850</v>
          </cell>
          <cell r="C2087">
            <v>112.44</v>
          </cell>
        </row>
        <row r="2088">
          <cell r="A2088">
            <v>20860</v>
          </cell>
          <cell r="C2088">
            <v>112.43899999999999</v>
          </cell>
        </row>
        <row r="2089">
          <cell r="A2089">
            <v>20870</v>
          </cell>
          <cell r="C2089">
            <v>112.438</v>
          </cell>
        </row>
        <row r="2090">
          <cell r="A2090">
            <v>20880</v>
          </cell>
          <cell r="C2090">
            <v>112.437</v>
          </cell>
        </row>
        <row r="2091">
          <cell r="A2091">
            <v>20890</v>
          </cell>
          <cell r="C2091">
            <v>112.43600000000001</v>
          </cell>
        </row>
        <row r="2092">
          <cell r="A2092">
            <v>20900</v>
          </cell>
          <cell r="C2092">
            <v>112.435</v>
          </cell>
        </row>
        <row r="2093">
          <cell r="A2093">
            <v>20910</v>
          </cell>
          <cell r="C2093">
            <v>112.43300000000001</v>
          </cell>
        </row>
        <row r="2094">
          <cell r="A2094">
            <v>20920</v>
          </cell>
          <cell r="C2094">
            <v>112.432</v>
          </cell>
        </row>
        <row r="2095">
          <cell r="A2095">
            <v>20930</v>
          </cell>
          <cell r="C2095">
            <v>112.431</v>
          </cell>
        </row>
        <row r="2096">
          <cell r="A2096">
            <v>20940</v>
          </cell>
          <cell r="C2096">
            <v>112.43</v>
          </cell>
        </row>
        <row r="2097">
          <cell r="A2097">
            <v>20950</v>
          </cell>
          <cell r="C2097">
            <v>112.429</v>
          </cell>
        </row>
        <row r="2098">
          <cell r="A2098">
            <v>20960</v>
          </cell>
          <cell r="C2098">
            <v>112.428</v>
          </cell>
        </row>
        <row r="2099">
          <cell r="A2099">
            <v>20970</v>
          </cell>
          <cell r="C2099">
            <v>112.42700000000001</v>
          </cell>
        </row>
        <row r="2100">
          <cell r="A2100">
            <v>20980</v>
          </cell>
          <cell r="C2100">
            <v>112.426</v>
          </cell>
        </row>
        <row r="2101">
          <cell r="A2101">
            <v>20990</v>
          </cell>
          <cell r="C2101">
            <v>112.425</v>
          </cell>
        </row>
        <row r="2102">
          <cell r="A2102">
            <v>21000</v>
          </cell>
          <cell r="C2102">
            <v>112.425</v>
          </cell>
        </row>
        <row r="2103">
          <cell r="A2103">
            <v>21010</v>
          </cell>
          <cell r="C2103">
            <v>112.42400000000001</v>
          </cell>
        </row>
        <row r="2104">
          <cell r="A2104">
            <v>21020</v>
          </cell>
          <cell r="C2104">
            <v>112.423</v>
          </cell>
        </row>
        <row r="2105">
          <cell r="A2105">
            <v>21030</v>
          </cell>
          <cell r="C2105">
            <v>112.422</v>
          </cell>
        </row>
        <row r="2106">
          <cell r="A2106">
            <v>21040</v>
          </cell>
          <cell r="C2106">
            <v>112.42100000000001</v>
          </cell>
        </row>
        <row r="2107">
          <cell r="A2107">
            <v>21050</v>
          </cell>
          <cell r="C2107">
            <v>112.42</v>
          </cell>
        </row>
        <row r="2108">
          <cell r="A2108">
            <v>21060</v>
          </cell>
          <cell r="C2108">
            <v>112.419</v>
          </cell>
        </row>
        <row r="2109">
          <cell r="A2109">
            <v>21070</v>
          </cell>
          <cell r="C2109">
            <v>112.41800000000001</v>
          </cell>
        </row>
        <row r="2110">
          <cell r="A2110">
            <v>21080</v>
          </cell>
          <cell r="C2110">
            <v>112.417</v>
          </cell>
        </row>
        <row r="2111">
          <cell r="A2111">
            <v>21090</v>
          </cell>
          <cell r="C2111">
            <v>112.416</v>
          </cell>
        </row>
        <row r="2112">
          <cell r="A2112">
            <v>21100</v>
          </cell>
          <cell r="C2112">
            <v>112.41500000000001</v>
          </cell>
        </row>
        <row r="2113">
          <cell r="A2113">
            <v>21110</v>
          </cell>
          <cell r="C2113">
            <v>112.414</v>
          </cell>
        </row>
        <row r="2114">
          <cell r="A2114">
            <v>21120</v>
          </cell>
          <cell r="C2114">
            <v>112.413</v>
          </cell>
        </row>
        <row r="2115">
          <cell r="A2115">
            <v>21130</v>
          </cell>
          <cell r="C2115">
            <v>112.41200000000001</v>
          </cell>
        </row>
        <row r="2116">
          <cell r="A2116">
            <v>21140</v>
          </cell>
          <cell r="C2116">
            <v>112.41200000000001</v>
          </cell>
        </row>
        <row r="2117">
          <cell r="A2117">
            <v>21150</v>
          </cell>
          <cell r="C2117">
            <v>112.411</v>
          </cell>
        </row>
        <row r="2118">
          <cell r="A2118">
            <v>21160</v>
          </cell>
          <cell r="C2118">
            <v>112.41</v>
          </cell>
        </row>
        <row r="2119">
          <cell r="A2119">
            <v>21170</v>
          </cell>
          <cell r="C2119">
            <v>112.40900000000001</v>
          </cell>
        </row>
        <row r="2120">
          <cell r="A2120">
            <v>21180</v>
          </cell>
          <cell r="C2120">
            <v>112.408</v>
          </cell>
        </row>
        <row r="2121">
          <cell r="A2121">
            <v>21190</v>
          </cell>
          <cell r="C2121">
            <v>112.407</v>
          </cell>
        </row>
        <row r="2122">
          <cell r="A2122">
            <v>21200</v>
          </cell>
          <cell r="C2122">
            <v>112.40600000000001</v>
          </cell>
        </row>
        <row r="2123">
          <cell r="A2123">
            <v>21210</v>
          </cell>
          <cell r="C2123">
            <v>112.405</v>
          </cell>
        </row>
        <row r="2124">
          <cell r="A2124">
            <v>21220</v>
          </cell>
          <cell r="C2124">
            <v>112.404</v>
          </cell>
        </row>
        <row r="2125">
          <cell r="A2125">
            <v>21230</v>
          </cell>
          <cell r="C2125">
            <v>112.40300000000001</v>
          </cell>
        </row>
        <row r="2126">
          <cell r="A2126">
            <v>21240</v>
          </cell>
          <cell r="C2126">
            <v>112.402</v>
          </cell>
        </row>
        <row r="2127">
          <cell r="A2127">
            <v>21250</v>
          </cell>
          <cell r="C2127">
            <v>112.401</v>
          </cell>
        </row>
        <row r="2128">
          <cell r="A2128">
            <v>21260</v>
          </cell>
          <cell r="C2128">
            <v>112.4</v>
          </cell>
        </row>
        <row r="2129">
          <cell r="A2129">
            <v>21270</v>
          </cell>
          <cell r="C2129">
            <v>112.399</v>
          </cell>
        </row>
        <row r="2130">
          <cell r="A2130">
            <v>21280</v>
          </cell>
          <cell r="C2130">
            <v>112.398</v>
          </cell>
        </row>
        <row r="2131">
          <cell r="A2131">
            <v>21290</v>
          </cell>
          <cell r="C2131">
            <v>112.39700000000001</v>
          </cell>
        </row>
        <row r="2132">
          <cell r="A2132">
            <v>21300</v>
          </cell>
          <cell r="C2132">
            <v>112.396</v>
          </cell>
        </row>
        <row r="2133">
          <cell r="A2133">
            <v>21310</v>
          </cell>
          <cell r="C2133">
            <v>112.395</v>
          </cell>
        </row>
        <row r="2134">
          <cell r="A2134">
            <v>21320</v>
          </cell>
          <cell r="C2134">
            <v>112.39400000000001</v>
          </cell>
        </row>
        <row r="2135">
          <cell r="A2135">
            <v>21330</v>
          </cell>
          <cell r="C2135">
            <v>112.393</v>
          </cell>
        </row>
        <row r="2136">
          <cell r="A2136">
            <v>21340</v>
          </cell>
          <cell r="C2136">
            <v>112.39100000000001</v>
          </cell>
        </row>
        <row r="2137">
          <cell r="A2137">
            <v>21350</v>
          </cell>
          <cell r="C2137">
            <v>112.39</v>
          </cell>
        </row>
        <row r="2138">
          <cell r="A2138">
            <v>21360</v>
          </cell>
          <cell r="C2138">
            <v>112.389</v>
          </cell>
        </row>
        <row r="2139">
          <cell r="A2139">
            <v>21370</v>
          </cell>
          <cell r="C2139">
            <v>112.38800000000001</v>
          </cell>
        </row>
        <row r="2140">
          <cell r="A2140">
            <v>21380</v>
          </cell>
          <cell r="C2140">
            <v>112.387</v>
          </cell>
        </row>
        <row r="2141">
          <cell r="A2141">
            <v>21390</v>
          </cell>
          <cell r="C2141">
            <v>112.38500000000001</v>
          </cell>
        </row>
        <row r="2142">
          <cell r="A2142">
            <v>21400</v>
          </cell>
          <cell r="C2142">
            <v>112.384</v>
          </cell>
        </row>
        <row r="2143">
          <cell r="A2143">
            <v>21410</v>
          </cell>
          <cell r="C2143">
            <v>112.383</v>
          </cell>
        </row>
        <row r="2144">
          <cell r="A2144">
            <v>21420</v>
          </cell>
          <cell r="C2144">
            <v>112.381</v>
          </cell>
        </row>
        <row r="2145">
          <cell r="A2145">
            <v>21430</v>
          </cell>
          <cell r="C2145">
            <v>112.38</v>
          </cell>
        </row>
        <row r="2146">
          <cell r="A2146">
            <v>21440</v>
          </cell>
          <cell r="C2146">
            <v>112.379</v>
          </cell>
        </row>
        <row r="2147">
          <cell r="A2147">
            <v>21450</v>
          </cell>
          <cell r="C2147">
            <v>112.378</v>
          </cell>
        </row>
        <row r="2148">
          <cell r="A2148">
            <v>21460</v>
          </cell>
          <cell r="C2148">
            <v>112.376</v>
          </cell>
        </row>
        <row r="2149">
          <cell r="A2149">
            <v>21470</v>
          </cell>
          <cell r="C2149">
            <v>112.375</v>
          </cell>
        </row>
        <row r="2150">
          <cell r="A2150">
            <v>21480</v>
          </cell>
          <cell r="C2150">
            <v>112.374</v>
          </cell>
        </row>
        <row r="2151">
          <cell r="A2151">
            <v>21490</v>
          </cell>
          <cell r="C2151">
            <v>112.373</v>
          </cell>
        </row>
        <row r="2152">
          <cell r="A2152">
            <v>21500</v>
          </cell>
          <cell r="C2152">
            <v>112.371</v>
          </cell>
        </row>
        <row r="2153">
          <cell r="A2153">
            <v>21510</v>
          </cell>
          <cell r="C2153">
            <v>112.37</v>
          </cell>
        </row>
        <row r="2154">
          <cell r="A2154">
            <v>21520</v>
          </cell>
          <cell r="C2154">
            <v>112.369</v>
          </cell>
        </row>
        <row r="2155">
          <cell r="A2155">
            <v>21530</v>
          </cell>
          <cell r="C2155">
            <v>112.36799999999999</v>
          </cell>
        </row>
        <row r="2156">
          <cell r="A2156">
            <v>21540</v>
          </cell>
          <cell r="C2156">
            <v>112.367</v>
          </cell>
        </row>
        <row r="2157">
          <cell r="A2157">
            <v>21550</v>
          </cell>
          <cell r="C2157">
            <v>112.36499999999999</v>
          </cell>
        </row>
        <row r="2158">
          <cell r="A2158">
            <v>21560</v>
          </cell>
          <cell r="C2158">
            <v>112.364</v>
          </cell>
        </row>
        <row r="2159">
          <cell r="A2159">
            <v>21570</v>
          </cell>
          <cell r="C2159">
            <v>112.363</v>
          </cell>
        </row>
        <row r="2160">
          <cell r="A2160">
            <v>21580</v>
          </cell>
          <cell r="C2160">
            <v>112.36199999999999</v>
          </cell>
        </row>
        <row r="2161">
          <cell r="A2161">
            <v>21590</v>
          </cell>
          <cell r="C2161">
            <v>112.361</v>
          </cell>
        </row>
        <row r="2162">
          <cell r="A2162">
            <v>21600</v>
          </cell>
          <cell r="C2162">
            <v>112.35899999999999</v>
          </cell>
        </row>
        <row r="2163">
          <cell r="A2163">
            <v>21610</v>
          </cell>
          <cell r="C2163">
            <v>112.358</v>
          </cell>
        </row>
        <row r="2164">
          <cell r="A2164">
            <v>21620</v>
          </cell>
          <cell r="C2164">
            <v>112.357</v>
          </cell>
        </row>
        <row r="2165">
          <cell r="A2165">
            <v>21630</v>
          </cell>
          <cell r="C2165">
            <v>112.35599999999999</v>
          </cell>
        </row>
        <row r="2166">
          <cell r="A2166">
            <v>21640</v>
          </cell>
          <cell r="C2166">
            <v>112.355</v>
          </cell>
        </row>
        <row r="2167">
          <cell r="A2167">
            <v>21650</v>
          </cell>
          <cell r="C2167">
            <v>112.354</v>
          </cell>
        </row>
        <row r="2168">
          <cell r="A2168">
            <v>21660</v>
          </cell>
          <cell r="C2168">
            <v>112.35299999999999</v>
          </cell>
        </row>
        <row r="2169">
          <cell r="A2169">
            <v>21670</v>
          </cell>
          <cell r="C2169">
            <v>112.352</v>
          </cell>
        </row>
        <row r="2170">
          <cell r="A2170">
            <v>21680</v>
          </cell>
          <cell r="C2170">
            <v>112.35</v>
          </cell>
        </row>
        <row r="2171">
          <cell r="A2171">
            <v>21690</v>
          </cell>
          <cell r="C2171">
            <v>112.349</v>
          </cell>
        </row>
        <row r="2172">
          <cell r="A2172">
            <v>21700</v>
          </cell>
          <cell r="C2172">
            <v>112.348</v>
          </cell>
        </row>
        <row r="2173">
          <cell r="A2173">
            <v>21710</v>
          </cell>
          <cell r="C2173">
            <v>112.34699999999999</v>
          </cell>
        </row>
        <row r="2174">
          <cell r="A2174">
            <v>21720</v>
          </cell>
          <cell r="C2174">
            <v>112.346</v>
          </cell>
        </row>
        <row r="2175">
          <cell r="A2175">
            <v>21730</v>
          </cell>
          <cell r="C2175">
            <v>112.345</v>
          </cell>
        </row>
        <row r="2176">
          <cell r="A2176">
            <v>21740</v>
          </cell>
          <cell r="C2176">
            <v>112.34399999999999</v>
          </cell>
        </row>
        <row r="2177">
          <cell r="A2177">
            <v>21750</v>
          </cell>
          <cell r="C2177">
            <v>112.343</v>
          </cell>
        </row>
        <row r="2178">
          <cell r="A2178">
            <v>21760</v>
          </cell>
          <cell r="C2178">
            <v>112.342</v>
          </cell>
        </row>
        <row r="2179">
          <cell r="A2179">
            <v>21770</v>
          </cell>
          <cell r="C2179">
            <v>112.34099999999999</v>
          </cell>
        </row>
        <row r="2180">
          <cell r="A2180">
            <v>21780</v>
          </cell>
          <cell r="C2180">
            <v>112.34</v>
          </cell>
        </row>
        <row r="2181">
          <cell r="A2181">
            <v>21790</v>
          </cell>
          <cell r="C2181">
            <v>112.339</v>
          </cell>
        </row>
        <row r="2182">
          <cell r="A2182">
            <v>21800</v>
          </cell>
          <cell r="C2182">
            <v>112.33799999999999</v>
          </cell>
        </row>
        <row r="2183">
          <cell r="A2183">
            <v>21810</v>
          </cell>
          <cell r="C2183">
            <v>112.337</v>
          </cell>
        </row>
        <row r="2184">
          <cell r="A2184">
            <v>21820</v>
          </cell>
          <cell r="C2184">
            <v>112.336</v>
          </cell>
        </row>
        <row r="2185">
          <cell r="A2185">
            <v>21830</v>
          </cell>
          <cell r="C2185">
            <v>112.33499999999999</v>
          </cell>
        </row>
        <row r="2186">
          <cell r="A2186">
            <v>21840</v>
          </cell>
          <cell r="C2186">
            <v>112.334</v>
          </cell>
        </row>
        <row r="2187">
          <cell r="A2187">
            <v>21850</v>
          </cell>
          <cell r="C2187">
            <v>112.333</v>
          </cell>
        </row>
        <row r="2188">
          <cell r="A2188">
            <v>21860</v>
          </cell>
          <cell r="C2188">
            <v>112.33199999999999</v>
          </cell>
        </row>
        <row r="2189">
          <cell r="A2189">
            <v>21870</v>
          </cell>
          <cell r="C2189">
            <v>112.331</v>
          </cell>
        </row>
        <row r="2190">
          <cell r="A2190">
            <v>21880</v>
          </cell>
          <cell r="C2190">
            <v>112.331</v>
          </cell>
        </row>
        <row r="2191">
          <cell r="A2191">
            <v>21890</v>
          </cell>
          <cell r="C2191">
            <v>112.33</v>
          </cell>
        </row>
        <row r="2192">
          <cell r="A2192">
            <v>21900</v>
          </cell>
          <cell r="C2192">
            <v>112.32899999999999</v>
          </cell>
        </row>
        <row r="2193">
          <cell r="A2193">
            <v>21910</v>
          </cell>
          <cell r="C2193">
            <v>112.328</v>
          </cell>
        </row>
        <row r="2194">
          <cell r="A2194">
            <v>21920</v>
          </cell>
          <cell r="C2194">
            <v>112.327</v>
          </cell>
        </row>
        <row r="2195">
          <cell r="A2195">
            <v>21930</v>
          </cell>
          <cell r="C2195">
            <v>112.32599999999999</v>
          </cell>
        </row>
        <row r="2196">
          <cell r="A2196">
            <v>21940</v>
          </cell>
          <cell r="C2196">
            <v>112.325</v>
          </cell>
        </row>
        <row r="2197">
          <cell r="A2197">
            <v>21950</v>
          </cell>
          <cell r="C2197">
            <v>112.324</v>
          </cell>
        </row>
        <row r="2198">
          <cell r="A2198">
            <v>21960</v>
          </cell>
          <cell r="C2198">
            <v>112.324</v>
          </cell>
        </row>
        <row r="2199">
          <cell r="A2199">
            <v>21970</v>
          </cell>
          <cell r="C2199">
            <v>112.32299999999999</v>
          </cell>
        </row>
        <row r="2200">
          <cell r="A2200">
            <v>21980</v>
          </cell>
          <cell r="C2200">
            <v>112.322</v>
          </cell>
        </row>
        <row r="2201">
          <cell r="A2201">
            <v>21990</v>
          </cell>
          <cell r="C2201">
            <v>112.321</v>
          </cell>
        </row>
        <row r="2202">
          <cell r="A2202">
            <v>22000</v>
          </cell>
          <cell r="C2202">
            <v>112.32</v>
          </cell>
        </row>
        <row r="2203">
          <cell r="A2203">
            <v>22010</v>
          </cell>
          <cell r="C2203">
            <v>112.319</v>
          </cell>
        </row>
        <row r="2204">
          <cell r="A2204">
            <v>22020</v>
          </cell>
          <cell r="C2204">
            <v>112.319</v>
          </cell>
        </row>
        <row r="2205">
          <cell r="A2205">
            <v>22030</v>
          </cell>
          <cell r="C2205">
            <v>112.318</v>
          </cell>
        </row>
        <row r="2206">
          <cell r="A2206">
            <v>22040</v>
          </cell>
          <cell r="C2206">
            <v>112.31699999999999</v>
          </cell>
        </row>
        <row r="2207">
          <cell r="A2207">
            <v>22050</v>
          </cell>
          <cell r="C2207">
            <v>112.316</v>
          </cell>
        </row>
        <row r="2208">
          <cell r="A2208">
            <v>22060</v>
          </cell>
          <cell r="C2208">
            <v>112.316</v>
          </cell>
        </row>
        <row r="2209">
          <cell r="A2209">
            <v>22070</v>
          </cell>
          <cell r="C2209">
            <v>112.315</v>
          </cell>
        </row>
        <row r="2210">
          <cell r="A2210">
            <v>22080</v>
          </cell>
          <cell r="C2210">
            <v>112.31399999999999</v>
          </cell>
        </row>
        <row r="2211">
          <cell r="A2211">
            <v>22090</v>
          </cell>
          <cell r="C2211">
            <v>112.313</v>
          </cell>
        </row>
        <row r="2212">
          <cell r="A2212">
            <v>22100</v>
          </cell>
          <cell r="C2212">
            <v>112.313</v>
          </cell>
        </row>
        <row r="2213">
          <cell r="A2213">
            <v>22110</v>
          </cell>
          <cell r="C2213">
            <v>112.312</v>
          </cell>
        </row>
        <row r="2214">
          <cell r="A2214">
            <v>22120</v>
          </cell>
          <cell r="C2214">
            <v>112.31100000000001</v>
          </cell>
        </row>
        <row r="2215">
          <cell r="A2215">
            <v>22130</v>
          </cell>
          <cell r="C2215">
            <v>112.31</v>
          </cell>
        </row>
        <row r="2216">
          <cell r="A2216">
            <v>22140</v>
          </cell>
          <cell r="C2216">
            <v>112.31</v>
          </cell>
        </row>
        <row r="2217">
          <cell r="A2217">
            <v>22150</v>
          </cell>
          <cell r="C2217">
            <v>112.309</v>
          </cell>
        </row>
        <row r="2218">
          <cell r="A2218">
            <v>22160</v>
          </cell>
          <cell r="C2218">
            <v>112.30800000000001</v>
          </cell>
        </row>
        <row r="2219">
          <cell r="A2219">
            <v>22170</v>
          </cell>
          <cell r="C2219">
            <v>112.30800000000001</v>
          </cell>
        </row>
        <row r="2220">
          <cell r="A2220">
            <v>22180</v>
          </cell>
          <cell r="C2220">
            <v>112.307</v>
          </cell>
        </row>
        <row r="2221">
          <cell r="A2221">
            <v>22190</v>
          </cell>
          <cell r="C2221">
            <v>112.306</v>
          </cell>
        </row>
        <row r="2222">
          <cell r="A2222">
            <v>22200</v>
          </cell>
          <cell r="C2222">
            <v>112.306</v>
          </cell>
        </row>
        <row r="2223">
          <cell r="A2223">
            <v>22210</v>
          </cell>
          <cell r="C2223">
            <v>112.30500000000001</v>
          </cell>
        </row>
        <row r="2224">
          <cell r="A2224">
            <v>22220</v>
          </cell>
          <cell r="C2224">
            <v>112.304</v>
          </cell>
        </row>
        <row r="2225">
          <cell r="A2225">
            <v>22230</v>
          </cell>
          <cell r="C2225">
            <v>112.304</v>
          </cell>
        </row>
        <row r="2226">
          <cell r="A2226">
            <v>22240</v>
          </cell>
          <cell r="C2226">
            <v>112.303</v>
          </cell>
        </row>
        <row r="2227">
          <cell r="A2227">
            <v>22250</v>
          </cell>
          <cell r="C2227">
            <v>112.30200000000001</v>
          </cell>
        </row>
        <row r="2228">
          <cell r="A2228">
            <v>22260</v>
          </cell>
          <cell r="C2228">
            <v>112.30200000000001</v>
          </cell>
        </row>
        <row r="2229">
          <cell r="A2229">
            <v>22270</v>
          </cell>
          <cell r="C2229">
            <v>112.301</v>
          </cell>
        </row>
        <row r="2230">
          <cell r="A2230">
            <v>22280</v>
          </cell>
          <cell r="C2230">
            <v>112.301</v>
          </cell>
        </row>
        <row r="2231">
          <cell r="A2231">
            <v>22290</v>
          </cell>
          <cell r="C2231">
            <v>112.3</v>
          </cell>
        </row>
        <row r="2232">
          <cell r="A2232">
            <v>22300</v>
          </cell>
          <cell r="C2232">
            <v>112.29900000000001</v>
          </cell>
        </row>
        <row r="2233">
          <cell r="A2233">
            <v>22310</v>
          </cell>
          <cell r="C2233">
            <v>112.29900000000001</v>
          </cell>
        </row>
        <row r="2234">
          <cell r="A2234">
            <v>22320</v>
          </cell>
          <cell r="C2234">
            <v>112.298</v>
          </cell>
        </row>
        <row r="2235">
          <cell r="A2235">
            <v>22330</v>
          </cell>
          <cell r="C2235">
            <v>112.298</v>
          </cell>
        </row>
        <row r="2236">
          <cell r="A2236">
            <v>22340</v>
          </cell>
          <cell r="C2236">
            <v>112.297</v>
          </cell>
        </row>
        <row r="2237">
          <cell r="A2237">
            <v>22350</v>
          </cell>
          <cell r="C2237">
            <v>112.297</v>
          </cell>
        </row>
        <row r="2238">
          <cell r="A2238">
            <v>22360</v>
          </cell>
          <cell r="C2238">
            <v>112.29600000000001</v>
          </cell>
        </row>
        <row r="2239">
          <cell r="A2239">
            <v>22370</v>
          </cell>
          <cell r="C2239">
            <v>112.295</v>
          </cell>
        </row>
        <row r="2240">
          <cell r="A2240">
            <v>22380</v>
          </cell>
          <cell r="C2240">
            <v>112.295</v>
          </cell>
        </row>
        <row r="2241">
          <cell r="A2241">
            <v>22390</v>
          </cell>
          <cell r="C2241">
            <v>112.294</v>
          </cell>
        </row>
        <row r="2242">
          <cell r="A2242">
            <v>22400</v>
          </cell>
          <cell r="C2242">
            <v>112.294</v>
          </cell>
        </row>
        <row r="2243">
          <cell r="A2243">
            <v>22410</v>
          </cell>
          <cell r="C2243">
            <v>112.29300000000001</v>
          </cell>
        </row>
        <row r="2244">
          <cell r="A2244">
            <v>22420</v>
          </cell>
          <cell r="C2244">
            <v>112.29300000000001</v>
          </cell>
        </row>
        <row r="2245">
          <cell r="A2245">
            <v>22430</v>
          </cell>
          <cell r="C2245">
            <v>112.292</v>
          </cell>
        </row>
        <row r="2246">
          <cell r="A2246">
            <v>22440</v>
          </cell>
          <cell r="C2246">
            <v>112.291</v>
          </cell>
        </row>
        <row r="2247">
          <cell r="A2247">
            <v>22450</v>
          </cell>
          <cell r="C2247">
            <v>112.291</v>
          </cell>
        </row>
        <row r="2248">
          <cell r="A2248">
            <v>22460</v>
          </cell>
          <cell r="C2248">
            <v>112.29</v>
          </cell>
        </row>
        <row r="2249">
          <cell r="A2249">
            <v>22470</v>
          </cell>
          <cell r="C2249">
            <v>112.29</v>
          </cell>
        </row>
        <row r="2250">
          <cell r="A2250">
            <v>22480</v>
          </cell>
          <cell r="C2250">
            <v>112.289</v>
          </cell>
        </row>
        <row r="2251">
          <cell r="A2251">
            <v>22490</v>
          </cell>
          <cell r="C2251">
            <v>112.288</v>
          </cell>
        </row>
        <row r="2252">
          <cell r="A2252">
            <v>22500</v>
          </cell>
          <cell r="C2252">
            <v>112.288</v>
          </cell>
        </row>
        <row r="2253">
          <cell r="A2253">
            <v>22510</v>
          </cell>
          <cell r="C2253">
            <v>112.28700000000001</v>
          </cell>
        </row>
        <row r="2254">
          <cell r="A2254">
            <v>22520</v>
          </cell>
          <cell r="C2254">
            <v>112.28700000000001</v>
          </cell>
        </row>
        <row r="2255">
          <cell r="A2255">
            <v>22530</v>
          </cell>
          <cell r="C2255">
            <v>112.286</v>
          </cell>
        </row>
        <row r="2256">
          <cell r="A2256">
            <v>22540</v>
          </cell>
          <cell r="C2256">
            <v>112.285</v>
          </cell>
        </row>
        <row r="2257">
          <cell r="A2257">
            <v>22550</v>
          </cell>
          <cell r="C2257">
            <v>112.285</v>
          </cell>
        </row>
        <row r="2258">
          <cell r="A2258">
            <v>22560</v>
          </cell>
          <cell r="C2258">
            <v>112.28400000000001</v>
          </cell>
        </row>
        <row r="2259">
          <cell r="A2259">
            <v>22570</v>
          </cell>
          <cell r="C2259">
            <v>112.28400000000001</v>
          </cell>
        </row>
        <row r="2260">
          <cell r="A2260">
            <v>22580</v>
          </cell>
          <cell r="C2260">
            <v>112.283</v>
          </cell>
        </row>
        <row r="2261">
          <cell r="A2261">
            <v>22590</v>
          </cell>
          <cell r="C2261">
            <v>112.282</v>
          </cell>
        </row>
        <row r="2262">
          <cell r="A2262">
            <v>22600</v>
          </cell>
          <cell r="C2262">
            <v>112.282</v>
          </cell>
        </row>
        <row r="2263">
          <cell r="A2263">
            <v>22610</v>
          </cell>
          <cell r="C2263">
            <v>112.28100000000001</v>
          </cell>
        </row>
        <row r="2264">
          <cell r="A2264">
            <v>22620</v>
          </cell>
          <cell r="C2264">
            <v>112.28100000000001</v>
          </cell>
        </row>
        <row r="2265">
          <cell r="A2265">
            <v>22630</v>
          </cell>
          <cell r="C2265">
            <v>112.28</v>
          </cell>
        </row>
        <row r="2266">
          <cell r="A2266">
            <v>22640</v>
          </cell>
          <cell r="C2266">
            <v>112.28</v>
          </cell>
        </row>
        <row r="2267">
          <cell r="A2267">
            <v>22650</v>
          </cell>
          <cell r="C2267">
            <v>112.279</v>
          </cell>
        </row>
        <row r="2268">
          <cell r="A2268">
            <v>22660</v>
          </cell>
          <cell r="C2268">
            <v>112.27800000000001</v>
          </cell>
        </row>
        <row r="2269">
          <cell r="A2269">
            <v>22670</v>
          </cell>
          <cell r="C2269">
            <v>112.27800000000001</v>
          </cell>
        </row>
        <row r="2270">
          <cell r="A2270">
            <v>22680</v>
          </cell>
          <cell r="C2270">
            <v>112.277</v>
          </cell>
        </row>
        <row r="2271">
          <cell r="A2271">
            <v>22690</v>
          </cell>
          <cell r="C2271">
            <v>112.277</v>
          </cell>
        </row>
        <row r="2272">
          <cell r="A2272">
            <v>22700</v>
          </cell>
          <cell r="C2272">
            <v>112.276</v>
          </cell>
        </row>
        <row r="2273">
          <cell r="A2273">
            <v>22710</v>
          </cell>
          <cell r="C2273">
            <v>112.27500000000001</v>
          </cell>
        </row>
        <row r="2274">
          <cell r="A2274">
            <v>22720</v>
          </cell>
          <cell r="C2274">
            <v>112.27500000000001</v>
          </cell>
        </row>
        <row r="2275">
          <cell r="A2275">
            <v>22730</v>
          </cell>
          <cell r="C2275">
            <v>112.274</v>
          </cell>
        </row>
        <row r="2276">
          <cell r="A2276">
            <v>22740</v>
          </cell>
          <cell r="C2276">
            <v>112.274</v>
          </cell>
        </row>
        <row r="2277">
          <cell r="A2277">
            <v>22750</v>
          </cell>
          <cell r="C2277">
            <v>112.273</v>
          </cell>
        </row>
        <row r="2278">
          <cell r="A2278">
            <v>22760</v>
          </cell>
          <cell r="C2278">
            <v>112.27200000000001</v>
          </cell>
        </row>
        <row r="2279">
          <cell r="A2279">
            <v>22770</v>
          </cell>
          <cell r="C2279">
            <v>112.27200000000001</v>
          </cell>
        </row>
        <row r="2280">
          <cell r="A2280">
            <v>22780</v>
          </cell>
          <cell r="C2280">
            <v>112.271</v>
          </cell>
        </row>
        <row r="2281">
          <cell r="A2281">
            <v>22790</v>
          </cell>
          <cell r="C2281">
            <v>112.271</v>
          </cell>
        </row>
        <row r="2282">
          <cell r="A2282">
            <v>22800</v>
          </cell>
          <cell r="C2282">
            <v>112.27</v>
          </cell>
        </row>
        <row r="2283">
          <cell r="A2283">
            <v>22810</v>
          </cell>
          <cell r="C2283">
            <v>112.26900000000001</v>
          </cell>
        </row>
        <row r="2284">
          <cell r="A2284">
            <v>22820</v>
          </cell>
          <cell r="C2284">
            <v>112.26900000000001</v>
          </cell>
        </row>
        <row r="2285">
          <cell r="A2285">
            <v>22830</v>
          </cell>
          <cell r="C2285">
            <v>112.268</v>
          </cell>
        </row>
        <row r="2286">
          <cell r="A2286">
            <v>22840</v>
          </cell>
          <cell r="C2286">
            <v>112.268</v>
          </cell>
        </row>
        <row r="2287">
          <cell r="A2287">
            <v>22850</v>
          </cell>
          <cell r="C2287">
            <v>112.267</v>
          </cell>
        </row>
        <row r="2288">
          <cell r="A2288">
            <v>22860</v>
          </cell>
          <cell r="C2288">
            <v>112.26600000000001</v>
          </cell>
        </row>
        <row r="2289">
          <cell r="A2289">
            <v>22870</v>
          </cell>
          <cell r="C2289">
            <v>112.26600000000001</v>
          </cell>
        </row>
        <row r="2290">
          <cell r="A2290">
            <v>22880</v>
          </cell>
          <cell r="C2290">
            <v>112.265</v>
          </cell>
        </row>
        <row r="2291">
          <cell r="A2291">
            <v>22890</v>
          </cell>
          <cell r="C2291">
            <v>112.264</v>
          </cell>
        </row>
        <row r="2292">
          <cell r="A2292">
            <v>22900</v>
          </cell>
          <cell r="C2292">
            <v>112.264</v>
          </cell>
        </row>
        <row r="2293">
          <cell r="A2293">
            <v>22910</v>
          </cell>
          <cell r="C2293">
            <v>112.26300000000001</v>
          </cell>
        </row>
        <row r="2294">
          <cell r="A2294">
            <v>22920</v>
          </cell>
          <cell r="C2294">
            <v>112.26300000000001</v>
          </cell>
        </row>
        <row r="2295">
          <cell r="A2295">
            <v>22930</v>
          </cell>
          <cell r="C2295">
            <v>112.262</v>
          </cell>
        </row>
        <row r="2296">
          <cell r="A2296">
            <v>22940</v>
          </cell>
          <cell r="C2296">
            <v>112.261</v>
          </cell>
        </row>
        <row r="2297">
          <cell r="A2297">
            <v>22950</v>
          </cell>
          <cell r="C2297">
            <v>112.261</v>
          </cell>
        </row>
        <row r="2298">
          <cell r="A2298">
            <v>22960</v>
          </cell>
          <cell r="C2298">
            <v>112.26</v>
          </cell>
        </row>
        <row r="2299">
          <cell r="A2299">
            <v>22970</v>
          </cell>
          <cell r="C2299">
            <v>112.26</v>
          </cell>
        </row>
        <row r="2300">
          <cell r="A2300">
            <v>22980</v>
          </cell>
          <cell r="C2300">
            <v>112.259</v>
          </cell>
        </row>
        <row r="2301">
          <cell r="A2301">
            <v>22990</v>
          </cell>
          <cell r="C2301">
            <v>112.258</v>
          </cell>
        </row>
        <row r="2302">
          <cell r="A2302">
            <v>23000</v>
          </cell>
          <cell r="C2302">
            <v>112.258</v>
          </cell>
        </row>
        <row r="2303">
          <cell r="A2303">
            <v>23010</v>
          </cell>
          <cell r="C2303">
            <v>112.25700000000001</v>
          </cell>
        </row>
        <row r="2304">
          <cell r="A2304">
            <v>23020</v>
          </cell>
          <cell r="C2304">
            <v>112.25700000000001</v>
          </cell>
        </row>
        <row r="2305">
          <cell r="A2305">
            <v>23030</v>
          </cell>
          <cell r="C2305">
            <v>112.256</v>
          </cell>
        </row>
        <row r="2306">
          <cell r="A2306">
            <v>23040</v>
          </cell>
          <cell r="C2306">
            <v>112.255</v>
          </cell>
        </row>
        <row r="2307">
          <cell r="A2307">
            <v>23050</v>
          </cell>
          <cell r="C2307">
            <v>112.255</v>
          </cell>
        </row>
        <row r="2308">
          <cell r="A2308">
            <v>23060</v>
          </cell>
          <cell r="C2308">
            <v>112.254</v>
          </cell>
        </row>
        <row r="2309">
          <cell r="A2309">
            <v>23070</v>
          </cell>
          <cell r="C2309">
            <v>112.253</v>
          </cell>
        </row>
        <row r="2310">
          <cell r="A2310">
            <v>23080</v>
          </cell>
          <cell r="C2310">
            <v>112.253</v>
          </cell>
        </row>
        <row r="2311">
          <cell r="A2311">
            <v>23090</v>
          </cell>
          <cell r="C2311">
            <v>112.252</v>
          </cell>
        </row>
        <row r="2312">
          <cell r="A2312">
            <v>23100</v>
          </cell>
          <cell r="C2312">
            <v>112.252</v>
          </cell>
        </row>
        <row r="2313">
          <cell r="A2313">
            <v>23110</v>
          </cell>
          <cell r="C2313">
            <v>112.251</v>
          </cell>
        </row>
        <row r="2314">
          <cell r="A2314">
            <v>23120</v>
          </cell>
          <cell r="C2314">
            <v>112.25</v>
          </cell>
        </row>
        <row r="2315">
          <cell r="A2315">
            <v>23130</v>
          </cell>
          <cell r="C2315">
            <v>112.25</v>
          </cell>
        </row>
        <row r="2316">
          <cell r="A2316">
            <v>23140</v>
          </cell>
          <cell r="C2316">
            <v>112.249</v>
          </cell>
        </row>
        <row r="2317">
          <cell r="A2317">
            <v>23150</v>
          </cell>
          <cell r="C2317">
            <v>112.249</v>
          </cell>
        </row>
        <row r="2318">
          <cell r="A2318">
            <v>23160</v>
          </cell>
          <cell r="C2318">
            <v>112.248</v>
          </cell>
        </row>
        <row r="2319">
          <cell r="A2319">
            <v>23170</v>
          </cell>
          <cell r="C2319">
            <v>112.247</v>
          </cell>
        </row>
        <row r="2320">
          <cell r="A2320">
            <v>23180</v>
          </cell>
          <cell r="C2320">
            <v>112.247</v>
          </cell>
        </row>
        <row r="2321">
          <cell r="A2321">
            <v>23190</v>
          </cell>
          <cell r="C2321">
            <v>112.246</v>
          </cell>
        </row>
        <row r="2322">
          <cell r="A2322">
            <v>23200</v>
          </cell>
          <cell r="C2322">
            <v>112.245</v>
          </cell>
        </row>
        <row r="2323">
          <cell r="A2323">
            <v>23210</v>
          </cell>
          <cell r="C2323">
            <v>112.245</v>
          </cell>
        </row>
        <row r="2324">
          <cell r="A2324">
            <v>23220</v>
          </cell>
          <cell r="C2324">
            <v>112.244</v>
          </cell>
        </row>
        <row r="2325">
          <cell r="A2325">
            <v>23230</v>
          </cell>
          <cell r="C2325">
            <v>112.244</v>
          </cell>
        </row>
        <row r="2326">
          <cell r="A2326">
            <v>23240</v>
          </cell>
          <cell r="C2326">
            <v>112.24299999999999</v>
          </cell>
        </row>
        <row r="2327">
          <cell r="A2327">
            <v>23250</v>
          </cell>
          <cell r="C2327">
            <v>112.242</v>
          </cell>
        </row>
        <row r="2328">
          <cell r="A2328">
            <v>23260</v>
          </cell>
          <cell r="C2328">
            <v>112.242</v>
          </cell>
        </row>
        <row r="2329">
          <cell r="A2329">
            <v>23270</v>
          </cell>
          <cell r="C2329">
            <v>112.241</v>
          </cell>
        </row>
        <row r="2330">
          <cell r="A2330">
            <v>23280</v>
          </cell>
          <cell r="C2330">
            <v>112.24</v>
          </cell>
        </row>
        <row r="2331">
          <cell r="A2331">
            <v>23290</v>
          </cell>
          <cell r="C2331">
            <v>112.24</v>
          </cell>
        </row>
        <row r="2332">
          <cell r="A2332">
            <v>23300</v>
          </cell>
          <cell r="C2332">
            <v>112.239</v>
          </cell>
        </row>
        <row r="2333">
          <cell r="A2333">
            <v>23310</v>
          </cell>
          <cell r="C2333">
            <v>112.239</v>
          </cell>
        </row>
        <row r="2334">
          <cell r="A2334">
            <v>23320</v>
          </cell>
          <cell r="C2334">
            <v>112.238</v>
          </cell>
        </row>
        <row r="2335">
          <cell r="A2335">
            <v>23330</v>
          </cell>
          <cell r="C2335">
            <v>112.23699999999999</v>
          </cell>
        </row>
        <row r="2336">
          <cell r="A2336">
            <v>23340</v>
          </cell>
          <cell r="C2336">
            <v>112.23699999999999</v>
          </cell>
        </row>
        <row r="2337">
          <cell r="A2337">
            <v>23350</v>
          </cell>
          <cell r="C2337">
            <v>112.236</v>
          </cell>
        </row>
        <row r="2338">
          <cell r="A2338">
            <v>23360</v>
          </cell>
          <cell r="C2338">
            <v>112.235</v>
          </cell>
        </row>
        <row r="2339">
          <cell r="A2339">
            <v>23370</v>
          </cell>
          <cell r="C2339">
            <v>112.235</v>
          </cell>
        </row>
        <row r="2340">
          <cell r="A2340">
            <v>23380</v>
          </cell>
          <cell r="C2340">
            <v>112.23399999999999</v>
          </cell>
        </row>
        <row r="2341">
          <cell r="A2341">
            <v>23390</v>
          </cell>
          <cell r="C2341">
            <v>112.23399999999999</v>
          </cell>
        </row>
        <row r="2342">
          <cell r="A2342">
            <v>23400</v>
          </cell>
          <cell r="C2342">
            <v>112.233</v>
          </cell>
        </row>
        <row r="2343">
          <cell r="A2343">
            <v>23410</v>
          </cell>
          <cell r="C2343">
            <v>112.232</v>
          </cell>
        </row>
        <row r="2344">
          <cell r="A2344">
            <v>23420</v>
          </cell>
          <cell r="C2344">
            <v>112.232</v>
          </cell>
        </row>
        <row r="2345">
          <cell r="A2345">
            <v>23430</v>
          </cell>
          <cell r="C2345">
            <v>112.23099999999999</v>
          </cell>
        </row>
        <row r="2346">
          <cell r="A2346">
            <v>23440</v>
          </cell>
          <cell r="C2346">
            <v>112.23</v>
          </cell>
        </row>
        <row r="2347">
          <cell r="A2347">
            <v>23450</v>
          </cell>
          <cell r="C2347">
            <v>112.23</v>
          </cell>
        </row>
        <row r="2348">
          <cell r="A2348">
            <v>23460</v>
          </cell>
          <cell r="C2348">
            <v>112.229</v>
          </cell>
        </row>
        <row r="2349">
          <cell r="A2349">
            <v>23470</v>
          </cell>
          <cell r="C2349">
            <v>112.229</v>
          </cell>
        </row>
        <row r="2350">
          <cell r="A2350">
            <v>23480</v>
          </cell>
          <cell r="C2350">
            <v>112.22799999999999</v>
          </cell>
        </row>
        <row r="2351">
          <cell r="A2351">
            <v>23490</v>
          </cell>
          <cell r="C2351">
            <v>112.227</v>
          </cell>
        </row>
        <row r="2352">
          <cell r="A2352">
            <v>23500</v>
          </cell>
          <cell r="C2352">
            <v>112.227</v>
          </cell>
        </row>
        <row r="2353">
          <cell r="A2353">
            <v>23510</v>
          </cell>
          <cell r="C2353">
            <v>112.226</v>
          </cell>
        </row>
        <row r="2354">
          <cell r="A2354">
            <v>23520</v>
          </cell>
          <cell r="C2354">
            <v>112.22499999999999</v>
          </cell>
        </row>
        <row r="2355">
          <cell r="A2355">
            <v>23530</v>
          </cell>
          <cell r="C2355">
            <v>112.22499999999999</v>
          </cell>
        </row>
        <row r="2356">
          <cell r="A2356">
            <v>23540</v>
          </cell>
          <cell r="C2356">
            <v>112.224</v>
          </cell>
        </row>
        <row r="2357">
          <cell r="A2357">
            <v>23550</v>
          </cell>
          <cell r="C2357">
            <v>112.224</v>
          </cell>
        </row>
        <row r="2358">
          <cell r="A2358">
            <v>23560</v>
          </cell>
          <cell r="C2358">
            <v>112.223</v>
          </cell>
        </row>
        <row r="2359">
          <cell r="A2359">
            <v>23570</v>
          </cell>
          <cell r="C2359">
            <v>112.22199999999999</v>
          </cell>
        </row>
        <row r="2360">
          <cell r="A2360">
            <v>23580</v>
          </cell>
          <cell r="C2360">
            <v>112.22199999999999</v>
          </cell>
        </row>
        <row r="2361">
          <cell r="A2361">
            <v>23590</v>
          </cell>
          <cell r="C2361">
            <v>112.221</v>
          </cell>
        </row>
        <row r="2362">
          <cell r="A2362">
            <v>23600</v>
          </cell>
          <cell r="C2362">
            <v>112.22</v>
          </cell>
        </row>
        <row r="2363">
          <cell r="A2363">
            <v>23610</v>
          </cell>
          <cell r="C2363">
            <v>112.22</v>
          </cell>
        </row>
        <row r="2364">
          <cell r="A2364">
            <v>23620</v>
          </cell>
          <cell r="C2364">
            <v>112.21899999999999</v>
          </cell>
        </row>
        <row r="2365">
          <cell r="A2365">
            <v>23630</v>
          </cell>
          <cell r="C2365">
            <v>112.218</v>
          </cell>
        </row>
        <row r="2366">
          <cell r="A2366">
            <v>23640</v>
          </cell>
          <cell r="C2366">
            <v>112.218</v>
          </cell>
        </row>
        <row r="2367">
          <cell r="A2367">
            <v>23650</v>
          </cell>
          <cell r="C2367">
            <v>112.217</v>
          </cell>
        </row>
        <row r="2368">
          <cell r="A2368">
            <v>23660</v>
          </cell>
          <cell r="C2368">
            <v>112.217</v>
          </cell>
        </row>
        <row r="2369">
          <cell r="A2369">
            <v>23670</v>
          </cell>
          <cell r="C2369">
            <v>112.21599999999999</v>
          </cell>
        </row>
        <row r="2370">
          <cell r="A2370">
            <v>23680</v>
          </cell>
          <cell r="C2370">
            <v>112.215</v>
          </cell>
        </row>
        <row r="2371">
          <cell r="A2371">
            <v>23690</v>
          </cell>
          <cell r="C2371">
            <v>112.215</v>
          </cell>
        </row>
        <row r="2372">
          <cell r="A2372">
            <v>23700</v>
          </cell>
          <cell r="C2372">
            <v>112.214</v>
          </cell>
        </row>
        <row r="2373">
          <cell r="A2373">
            <v>23710</v>
          </cell>
          <cell r="C2373">
            <v>112.21299999999999</v>
          </cell>
        </row>
        <row r="2374">
          <cell r="A2374">
            <v>23720</v>
          </cell>
          <cell r="C2374">
            <v>112.21299999999999</v>
          </cell>
        </row>
        <row r="2375">
          <cell r="A2375">
            <v>23730</v>
          </cell>
          <cell r="C2375">
            <v>112.212</v>
          </cell>
        </row>
        <row r="2376">
          <cell r="A2376">
            <v>23740</v>
          </cell>
          <cell r="C2376">
            <v>112.211</v>
          </cell>
        </row>
        <row r="2377">
          <cell r="A2377">
            <v>23750</v>
          </cell>
          <cell r="C2377">
            <v>112.211</v>
          </cell>
        </row>
        <row r="2378">
          <cell r="A2378">
            <v>23760</v>
          </cell>
          <cell r="C2378">
            <v>112.21</v>
          </cell>
        </row>
        <row r="2379">
          <cell r="A2379">
            <v>23770</v>
          </cell>
          <cell r="C2379">
            <v>112.209</v>
          </cell>
        </row>
        <row r="2380">
          <cell r="A2380">
            <v>23780</v>
          </cell>
          <cell r="C2380">
            <v>112.209</v>
          </cell>
        </row>
        <row r="2381">
          <cell r="A2381">
            <v>23790</v>
          </cell>
          <cell r="C2381">
            <v>112.208</v>
          </cell>
        </row>
        <row r="2382">
          <cell r="A2382">
            <v>23800</v>
          </cell>
          <cell r="C2382">
            <v>112.20699999999999</v>
          </cell>
        </row>
        <row r="2383">
          <cell r="A2383">
            <v>23810</v>
          </cell>
          <cell r="C2383">
            <v>112.20699999999999</v>
          </cell>
        </row>
        <row r="2384">
          <cell r="A2384">
            <v>23820</v>
          </cell>
          <cell r="C2384">
            <v>112.206</v>
          </cell>
        </row>
        <row r="2385">
          <cell r="A2385">
            <v>23830</v>
          </cell>
          <cell r="C2385">
            <v>112.205</v>
          </cell>
        </row>
        <row r="2386">
          <cell r="A2386">
            <v>23840</v>
          </cell>
          <cell r="C2386">
            <v>112.205</v>
          </cell>
        </row>
        <row r="2387">
          <cell r="A2387">
            <v>23850</v>
          </cell>
          <cell r="C2387">
            <v>112.20399999999999</v>
          </cell>
        </row>
        <row r="2388">
          <cell r="A2388">
            <v>23860</v>
          </cell>
          <cell r="C2388">
            <v>112.203</v>
          </cell>
        </row>
        <row r="2389">
          <cell r="A2389">
            <v>23870</v>
          </cell>
          <cell r="C2389">
            <v>112.203</v>
          </cell>
        </row>
        <row r="2390">
          <cell r="A2390">
            <v>23880</v>
          </cell>
          <cell r="C2390">
            <v>112.202</v>
          </cell>
        </row>
        <row r="2391">
          <cell r="A2391">
            <v>23890</v>
          </cell>
          <cell r="C2391">
            <v>112.20099999999999</v>
          </cell>
        </row>
        <row r="2392">
          <cell r="A2392">
            <v>23900</v>
          </cell>
          <cell r="C2392">
            <v>112.2</v>
          </cell>
        </row>
        <row r="2393">
          <cell r="A2393">
            <v>23910</v>
          </cell>
          <cell r="C2393">
            <v>112.2</v>
          </cell>
        </row>
        <row r="2394">
          <cell r="A2394">
            <v>23920</v>
          </cell>
          <cell r="C2394">
            <v>112.199</v>
          </cell>
        </row>
        <row r="2395">
          <cell r="A2395">
            <v>23930</v>
          </cell>
          <cell r="C2395">
            <v>112.19799999999999</v>
          </cell>
        </row>
        <row r="2396">
          <cell r="A2396">
            <v>23940</v>
          </cell>
          <cell r="C2396">
            <v>112.19799999999999</v>
          </cell>
        </row>
        <row r="2397">
          <cell r="A2397">
            <v>23950</v>
          </cell>
          <cell r="C2397">
            <v>112.197</v>
          </cell>
        </row>
        <row r="2398">
          <cell r="A2398">
            <v>23960</v>
          </cell>
          <cell r="C2398">
            <v>112.196</v>
          </cell>
        </row>
        <row r="2399">
          <cell r="A2399">
            <v>23970</v>
          </cell>
          <cell r="C2399">
            <v>112.19499999999999</v>
          </cell>
        </row>
        <row r="2400">
          <cell r="A2400">
            <v>23980</v>
          </cell>
          <cell r="C2400">
            <v>112.19499999999999</v>
          </cell>
        </row>
        <row r="2401">
          <cell r="A2401">
            <v>23990</v>
          </cell>
          <cell r="C2401">
            <v>112.194</v>
          </cell>
        </row>
        <row r="2402">
          <cell r="A2402">
            <v>24000</v>
          </cell>
          <cell r="C2402">
            <v>112.193</v>
          </cell>
        </row>
        <row r="2403">
          <cell r="A2403">
            <v>24010</v>
          </cell>
          <cell r="C2403">
            <v>112.19199999999999</v>
          </cell>
        </row>
        <row r="2404">
          <cell r="A2404">
            <v>24020</v>
          </cell>
          <cell r="C2404">
            <v>112.191</v>
          </cell>
        </row>
        <row r="2405">
          <cell r="A2405">
            <v>24030</v>
          </cell>
          <cell r="C2405">
            <v>112.191</v>
          </cell>
        </row>
        <row r="2406">
          <cell r="A2406">
            <v>24040</v>
          </cell>
          <cell r="C2406">
            <v>112.19</v>
          </cell>
        </row>
        <row r="2407">
          <cell r="A2407">
            <v>24050</v>
          </cell>
          <cell r="C2407">
            <v>112.18899999999999</v>
          </cell>
        </row>
        <row r="2408">
          <cell r="A2408">
            <v>24060</v>
          </cell>
          <cell r="C2408">
            <v>112.188</v>
          </cell>
        </row>
        <row r="2409">
          <cell r="A2409">
            <v>24070</v>
          </cell>
          <cell r="C2409">
            <v>112.188</v>
          </cell>
        </row>
        <row r="2410">
          <cell r="A2410">
            <v>24080</v>
          </cell>
          <cell r="C2410">
            <v>112.187</v>
          </cell>
        </row>
        <row r="2411">
          <cell r="A2411">
            <v>24090</v>
          </cell>
          <cell r="C2411">
            <v>112.18600000000001</v>
          </cell>
        </row>
        <row r="2412">
          <cell r="A2412">
            <v>24100</v>
          </cell>
          <cell r="C2412">
            <v>112.185</v>
          </cell>
        </row>
        <row r="2413">
          <cell r="A2413">
            <v>24110</v>
          </cell>
          <cell r="C2413">
            <v>112.184</v>
          </cell>
        </row>
        <row r="2414">
          <cell r="A2414">
            <v>24120</v>
          </cell>
          <cell r="C2414">
            <v>112.184</v>
          </cell>
        </row>
        <row r="2415">
          <cell r="A2415">
            <v>24130</v>
          </cell>
          <cell r="C2415">
            <v>112.18300000000001</v>
          </cell>
        </row>
        <row r="2416">
          <cell r="A2416">
            <v>24140</v>
          </cell>
          <cell r="C2416">
            <v>112.182</v>
          </cell>
        </row>
        <row r="2417">
          <cell r="A2417">
            <v>24150</v>
          </cell>
          <cell r="C2417">
            <v>112.181</v>
          </cell>
        </row>
        <row r="2418">
          <cell r="A2418">
            <v>24160</v>
          </cell>
          <cell r="C2418">
            <v>112.18</v>
          </cell>
        </row>
        <row r="2419">
          <cell r="A2419">
            <v>24170</v>
          </cell>
          <cell r="C2419">
            <v>112.18</v>
          </cell>
        </row>
        <row r="2420">
          <cell r="A2420">
            <v>24180</v>
          </cell>
          <cell r="C2420">
            <v>112.179</v>
          </cell>
        </row>
        <row r="2421">
          <cell r="A2421">
            <v>24190</v>
          </cell>
          <cell r="C2421">
            <v>112.178</v>
          </cell>
        </row>
        <row r="2422">
          <cell r="A2422">
            <v>24200</v>
          </cell>
          <cell r="C2422">
            <v>112.17700000000001</v>
          </cell>
        </row>
        <row r="2423">
          <cell r="A2423">
            <v>24210</v>
          </cell>
          <cell r="C2423">
            <v>112.176</v>
          </cell>
        </row>
        <row r="2424">
          <cell r="A2424">
            <v>24220</v>
          </cell>
          <cell r="C2424">
            <v>112.175</v>
          </cell>
        </row>
        <row r="2425">
          <cell r="A2425">
            <v>24230</v>
          </cell>
          <cell r="C2425">
            <v>112.17400000000001</v>
          </cell>
        </row>
        <row r="2426">
          <cell r="A2426">
            <v>24240</v>
          </cell>
          <cell r="C2426">
            <v>112.17400000000001</v>
          </cell>
        </row>
        <row r="2427">
          <cell r="A2427">
            <v>24250</v>
          </cell>
          <cell r="C2427">
            <v>112.173</v>
          </cell>
        </row>
        <row r="2428">
          <cell r="A2428">
            <v>24260</v>
          </cell>
          <cell r="C2428">
            <v>112.172</v>
          </cell>
        </row>
        <row r="2429">
          <cell r="A2429">
            <v>24270</v>
          </cell>
          <cell r="C2429">
            <v>112.17100000000001</v>
          </cell>
        </row>
        <row r="2430">
          <cell r="A2430">
            <v>24280</v>
          </cell>
          <cell r="C2430">
            <v>112.17</v>
          </cell>
        </row>
        <row r="2431">
          <cell r="A2431">
            <v>24290</v>
          </cell>
          <cell r="C2431">
            <v>112.169</v>
          </cell>
        </row>
        <row r="2432">
          <cell r="A2432">
            <v>24300</v>
          </cell>
          <cell r="C2432">
            <v>112.16800000000001</v>
          </cell>
        </row>
        <row r="2433">
          <cell r="A2433">
            <v>24310</v>
          </cell>
          <cell r="C2433">
            <v>112.16800000000001</v>
          </cell>
        </row>
        <row r="2434">
          <cell r="A2434">
            <v>24320</v>
          </cell>
          <cell r="C2434">
            <v>112.167</v>
          </cell>
        </row>
        <row r="2435">
          <cell r="A2435">
            <v>24330</v>
          </cell>
          <cell r="C2435">
            <v>112.166</v>
          </cell>
        </row>
        <row r="2436">
          <cell r="A2436">
            <v>24340</v>
          </cell>
          <cell r="C2436">
            <v>112.16500000000001</v>
          </cell>
        </row>
        <row r="2437">
          <cell r="A2437">
            <v>24350</v>
          </cell>
          <cell r="C2437">
            <v>112.164</v>
          </cell>
        </row>
        <row r="2438">
          <cell r="A2438">
            <v>24360</v>
          </cell>
          <cell r="C2438">
            <v>112.163</v>
          </cell>
        </row>
        <row r="2439">
          <cell r="A2439">
            <v>24370</v>
          </cell>
          <cell r="C2439">
            <v>112.16200000000001</v>
          </cell>
        </row>
        <row r="2440">
          <cell r="A2440">
            <v>24380</v>
          </cell>
          <cell r="C2440">
            <v>112.161</v>
          </cell>
        </row>
        <row r="2441">
          <cell r="A2441">
            <v>24390</v>
          </cell>
          <cell r="C2441">
            <v>112.16</v>
          </cell>
        </row>
        <row r="2442">
          <cell r="A2442">
            <v>24400</v>
          </cell>
          <cell r="C2442">
            <v>112.16</v>
          </cell>
        </row>
        <row r="2443">
          <cell r="A2443">
            <v>24410</v>
          </cell>
          <cell r="C2443">
            <v>112.15900000000001</v>
          </cell>
        </row>
        <row r="2444">
          <cell r="A2444">
            <v>24420</v>
          </cell>
          <cell r="C2444">
            <v>112.158</v>
          </cell>
        </row>
        <row r="2445">
          <cell r="A2445">
            <v>24430</v>
          </cell>
          <cell r="C2445">
            <v>112.157</v>
          </cell>
        </row>
        <row r="2446">
          <cell r="A2446">
            <v>24440</v>
          </cell>
          <cell r="C2446">
            <v>112.15600000000001</v>
          </cell>
        </row>
        <row r="2447">
          <cell r="A2447">
            <v>24450</v>
          </cell>
          <cell r="C2447">
            <v>112.155</v>
          </cell>
        </row>
        <row r="2448">
          <cell r="A2448">
            <v>24460</v>
          </cell>
          <cell r="C2448">
            <v>112.154</v>
          </cell>
        </row>
        <row r="2449">
          <cell r="A2449">
            <v>24470</v>
          </cell>
          <cell r="C2449">
            <v>112.15300000000001</v>
          </cell>
        </row>
        <row r="2450">
          <cell r="A2450">
            <v>24480</v>
          </cell>
          <cell r="C2450">
            <v>112.152</v>
          </cell>
        </row>
        <row r="2451">
          <cell r="A2451">
            <v>24490</v>
          </cell>
          <cell r="C2451">
            <v>112.151</v>
          </cell>
        </row>
        <row r="2452">
          <cell r="A2452">
            <v>24500</v>
          </cell>
          <cell r="C2452">
            <v>112.151</v>
          </cell>
        </row>
        <row r="2453">
          <cell r="A2453">
            <v>24510</v>
          </cell>
          <cell r="C2453">
            <v>112.15</v>
          </cell>
        </row>
        <row r="2454">
          <cell r="A2454">
            <v>24520</v>
          </cell>
          <cell r="C2454">
            <v>112.149</v>
          </cell>
        </row>
        <row r="2455">
          <cell r="A2455">
            <v>24530</v>
          </cell>
          <cell r="C2455">
            <v>112.148</v>
          </cell>
        </row>
        <row r="2456">
          <cell r="A2456">
            <v>24540</v>
          </cell>
          <cell r="C2456">
            <v>112.14700000000001</v>
          </cell>
        </row>
        <row r="2457">
          <cell r="A2457">
            <v>24550</v>
          </cell>
          <cell r="C2457">
            <v>112.146</v>
          </cell>
        </row>
        <row r="2458">
          <cell r="A2458">
            <v>24560</v>
          </cell>
          <cell r="C2458">
            <v>112.145</v>
          </cell>
        </row>
        <row r="2459">
          <cell r="A2459">
            <v>24570</v>
          </cell>
          <cell r="C2459">
            <v>112.14400000000001</v>
          </cell>
        </row>
        <row r="2460">
          <cell r="A2460">
            <v>24580</v>
          </cell>
          <cell r="C2460">
            <v>112.143</v>
          </cell>
        </row>
        <row r="2461">
          <cell r="A2461">
            <v>24590</v>
          </cell>
          <cell r="C2461">
            <v>112.142</v>
          </cell>
        </row>
        <row r="2462">
          <cell r="A2462">
            <v>24600</v>
          </cell>
          <cell r="C2462">
            <v>112.142</v>
          </cell>
        </row>
        <row r="2463">
          <cell r="A2463">
            <v>24610</v>
          </cell>
          <cell r="C2463">
            <v>112.14100000000001</v>
          </cell>
        </row>
        <row r="2464">
          <cell r="A2464">
            <v>24620</v>
          </cell>
          <cell r="C2464">
            <v>112.14</v>
          </cell>
        </row>
        <row r="2465">
          <cell r="A2465">
            <v>24630</v>
          </cell>
          <cell r="C2465">
            <v>112.139</v>
          </cell>
        </row>
        <row r="2466">
          <cell r="A2466">
            <v>24640</v>
          </cell>
          <cell r="C2466">
            <v>112.13800000000001</v>
          </cell>
        </row>
        <row r="2467">
          <cell r="A2467">
            <v>24650</v>
          </cell>
          <cell r="C2467">
            <v>112.137</v>
          </cell>
        </row>
        <row r="2468">
          <cell r="A2468">
            <v>24660</v>
          </cell>
          <cell r="C2468">
            <v>112.136</v>
          </cell>
        </row>
        <row r="2469">
          <cell r="A2469">
            <v>24670</v>
          </cell>
          <cell r="C2469">
            <v>112.136</v>
          </cell>
        </row>
        <row r="2470">
          <cell r="A2470">
            <v>24680</v>
          </cell>
          <cell r="C2470">
            <v>112.13500000000001</v>
          </cell>
        </row>
        <row r="2471">
          <cell r="A2471">
            <v>24690</v>
          </cell>
          <cell r="C2471">
            <v>112.134</v>
          </cell>
        </row>
        <row r="2472">
          <cell r="A2472">
            <v>24700</v>
          </cell>
          <cell r="C2472">
            <v>112.133</v>
          </cell>
        </row>
        <row r="2473">
          <cell r="A2473">
            <v>24710</v>
          </cell>
          <cell r="C2473">
            <v>112.13200000000001</v>
          </cell>
        </row>
        <row r="2474">
          <cell r="A2474">
            <v>24720</v>
          </cell>
          <cell r="C2474">
            <v>112.131</v>
          </cell>
        </row>
        <row r="2475">
          <cell r="A2475">
            <v>24730</v>
          </cell>
          <cell r="C2475">
            <v>112.13</v>
          </cell>
        </row>
        <row r="2476">
          <cell r="A2476">
            <v>24740</v>
          </cell>
          <cell r="C2476">
            <v>112.129</v>
          </cell>
        </row>
        <row r="2477">
          <cell r="A2477">
            <v>24750</v>
          </cell>
          <cell r="C2477">
            <v>112.129</v>
          </cell>
        </row>
        <row r="2478">
          <cell r="A2478">
            <v>24760</v>
          </cell>
          <cell r="C2478">
            <v>112.128</v>
          </cell>
        </row>
        <row r="2479">
          <cell r="A2479">
            <v>24770</v>
          </cell>
          <cell r="C2479">
            <v>112.127</v>
          </cell>
        </row>
        <row r="2480">
          <cell r="A2480">
            <v>24780</v>
          </cell>
          <cell r="C2480">
            <v>112.126</v>
          </cell>
        </row>
        <row r="2481">
          <cell r="A2481">
            <v>24790</v>
          </cell>
          <cell r="C2481">
            <v>112.125</v>
          </cell>
        </row>
        <row r="2482">
          <cell r="A2482">
            <v>24800</v>
          </cell>
          <cell r="C2482">
            <v>112.124</v>
          </cell>
        </row>
        <row r="2483">
          <cell r="A2483">
            <v>24810</v>
          </cell>
          <cell r="C2483">
            <v>112.123</v>
          </cell>
        </row>
        <row r="2484">
          <cell r="A2484">
            <v>24820</v>
          </cell>
          <cell r="C2484">
            <v>112.123</v>
          </cell>
        </row>
        <row r="2485">
          <cell r="A2485">
            <v>24830</v>
          </cell>
          <cell r="C2485">
            <v>112.122</v>
          </cell>
        </row>
        <row r="2486">
          <cell r="A2486">
            <v>24840</v>
          </cell>
          <cell r="C2486">
            <v>112.121</v>
          </cell>
        </row>
        <row r="2487">
          <cell r="A2487">
            <v>24850</v>
          </cell>
          <cell r="C2487">
            <v>112.12</v>
          </cell>
        </row>
        <row r="2488">
          <cell r="A2488">
            <v>24860</v>
          </cell>
          <cell r="C2488">
            <v>112.119</v>
          </cell>
        </row>
        <row r="2489">
          <cell r="A2489">
            <v>24870</v>
          </cell>
          <cell r="C2489">
            <v>112.11799999999999</v>
          </cell>
        </row>
        <row r="2490">
          <cell r="A2490">
            <v>24880</v>
          </cell>
          <cell r="C2490">
            <v>112.117</v>
          </cell>
        </row>
        <row r="2491">
          <cell r="A2491">
            <v>24890</v>
          </cell>
          <cell r="C2491">
            <v>112.116</v>
          </cell>
        </row>
        <row r="2492">
          <cell r="A2492">
            <v>24900</v>
          </cell>
          <cell r="C2492">
            <v>112.116</v>
          </cell>
        </row>
        <row r="2493">
          <cell r="A2493">
            <v>24910</v>
          </cell>
          <cell r="C2493">
            <v>112.11499999999999</v>
          </cell>
        </row>
        <row r="2494">
          <cell r="A2494">
            <v>24920</v>
          </cell>
          <cell r="C2494">
            <v>112.114</v>
          </cell>
        </row>
        <row r="2495">
          <cell r="A2495">
            <v>24930</v>
          </cell>
          <cell r="C2495">
            <v>112.113</v>
          </cell>
        </row>
        <row r="2496">
          <cell r="A2496">
            <v>24940</v>
          </cell>
          <cell r="C2496">
            <v>112.11199999999999</v>
          </cell>
        </row>
        <row r="2497">
          <cell r="A2497">
            <v>24950</v>
          </cell>
          <cell r="C2497">
            <v>112.111</v>
          </cell>
        </row>
        <row r="2498">
          <cell r="A2498">
            <v>24960</v>
          </cell>
          <cell r="C2498">
            <v>112.11</v>
          </cell>
        </row>
        <row r="2499">
          <cell r="A2499">
            <v>24970</v>
          </cell>
          <cell r="C2499">
            <v>112.10899999999999</v>
          </cell>
        </row>
        <row r="2500">
          <cell r="A2500">
            <v>24980</v>
          </cell>
          <cell r="C2500">
            <v>112.108</v>
          </cell>
        </row>
        <row r="2501">
          <cell r="A2501">
            <v>24990</v>
          </cell>
          <cell r="C2501">
            <v>112.107</v>
          </cell>
        </row>
        <row r="2502">
          <cell r="A2502">
            <v>25000</v>
          </cell>
          <cell r="C2502">
            <v>112.10599999999999</v>
          </cell>
        </row>
        <row r="2503">
          <cell r="A2503">
            <v>25010</v>
          </cell>
          <cell r="C2503">
            <v>112.105</v>
          </cell>
        </row>
        <row r="2504">
          <cell r="A2504">
            <v>25020</v>
          </cell>
          <cell r="C2504">
            <v>112.104</v>
          </cell>
        </row>
        <row r="2505">
          <cell r="A2505">
            <v>25030</v>
          </cell>
          <cell r="C2505">
            <v>112.10299999999999</v>
          </cell>
        </row>
        <row r="2506">
          <cell r="A2506">
            <v>25040</v>
          </cell>
          <cell r="C2506">
            <v>112.10299999999999</v>
          </cell>
        </row>
        <row r="2507">
          <cell r="A2507">
            <v>25050</v>
          </cell>
          <cell r="C2507">
            <v>112.102</v>
          </cell>
        </row>
        <row r="2508">
          <cell r="A2508">
            <v>25060</v>
          </cell>
          <cell r="C2508">
            <v>112.101</v>
          </cell>
        </row>
        <row r="2509">
          <cell r="A2509">
            <v>25070</v>
          </cell>
          <cell r="C2509">
            <v>112.1</v>
          </cell>
        </row>
        <row r="2510">
          <cell r="A2510">
            <v>25080</v>
          </cell>
          <cell r="C2510">
            <v>112.099</v>
          </cell>
        </row>
        <row r="2511">
          <cell r="A2511">
            <v>25090</v>
          </cell>
          <cell r="C2511">
            <v>112.098</v>
          </cell>
        </row>
        <row r="2512">
          <cell r="A2512">
            <v>25100</v>
          </cell>
          <cell r="C2512">
            <v>112.09699999999999</v>
          </cell>
        </row>
        <row r="2513">
          <cell r="A2513">
            <v>25110</v>
          </cell>
          <cell r="C2513">
            <v>112.096</v>
          </cell>
        </row>
        <row r="2514">
          <cell r="A2514">
            <v>25120</v>
          </cell>
          <cell r="C2514">
            <v>112.095</v>
          </cell>
        </row>
        <row r="2515">
          <cell r="A2515">
            <v>25130</v>
          </cell>
          <cell r="C2515">
            <v>112.09399999999999</v>
          </cell>
        </row>
        <row r="2516">
          <cell r="A2516">
            <v>25140</v>
          </cell>
          <cell r="C2516">
            <v>112.093</v>
          </cell>
        </row>
        <row r="2517">
          <cell r="A2517">
            <v>25150</v>
          </cell>
          <cell r="C2517">
            <v>112.09099999999999</v>
          </cell>
        </row>
        <row r="2518">
          <cell r="A2518">
            <v>25160</v>
          </cell>
          <cell r="C2518">
            <v>112.09</v>
          </cell>
        </row>
        <row r="2519">
          <cell r="A2519">
            <v>25170</v>
          </cell>
          <cell r="C2519">
            <v>112.089</v>
          </cell>
        </row>
        <row r="2520">
          <cell r="A2520">
            <v>25180</v>
          </cell>
          <cell r="C2520">
            <v>112.08799999999999</v>
          </cell>
        </row>
        <row r="2521">
          <cell r="A2521">
            <v>25190</v>
          </cell>
          <cell r="C2521">
            <v>112.087</v>
          </cell>
        </row>
        <row r="2522">
          <cell r="A2522">
            <v>25200</v>
          </cell>
          <cell r="C2522">
            <v>112.086</v>
          </cell>
        </row>
        <row r="2523">
          <cell r="A2523">
            <v>25210</v>
          </cell>
          <cell r="C2523">
            <v>112.08499999999999</v>
          </cell>
        </row>
        <row r="2524">
          <cell r="A2524">
            <v>25220</v>
          </cell>
          <cell r="C2524">
            <v>112.084</v>
          </cell>
        </row>
        <row r="2525">
          <cell r="A2525">
            <v>25230</v>
          </cell>
          <cell r="C2525">
            <v>112.083</v>
          </cell>
        </row>
        <row r="2526">
          <cell r="A2526">
            <v>25240</v>
          </cell>
          <cell r="C2526">
            <v>112.08199999999999</v>
          </cell>
        </row>
        <row r="2527">
          <cell r="A2527">
            <v>25250</v>
          </cell>
          <cell r="C2527">
            <v>112.081</v>
          </cell>
        </row>
        <row r="2528">
          <cell r="A2528">
            <v>25260</v>
          </cell>
          <cell r="C2528">
            <v>112.08</v>
          </cell>
        </row>
        <row r="2529">
          <cell r="A2529">
            <v>25270</v>
          </cell>
          <cell r="C2529">
            <v>112.07899999999999</v>
          </cell>
        </row>
        <row r="2530">
          <cell r="A2530">
            <v>25280</v>
          </cell>
          <cell r="C2530">
            <v>112.078</v>
          </cell>
        </row>
        <row r="2531">
          <cell r="A2531">
            <v>25290</v>
          </cell>
          <cell r="C2531">
            <v>112.077</v>
          </cell>
        </row>
        <row r="2532">
          <cell r="A2532">
            <v>25300</v>
          </cell>
          <cell r="C2532">
            <v>112.07599999999999</v>
          </cell>
        </row>
        <row r="2533">
          <cell r="A2533">
            <v>25310</v>
          </cell>
          <cell r="C2533">
            <v>112.075</v>
          </cell>
        </row>
        <row r="2534">
          <cell r="A2534">
            <v>25320</v>
          </cell>
          <cell r="C2534">
            <v>112.074</v>
          </cell>
        </row>
        <row r="2535">
          <cell r="A2535">
            <v>25330</v>
          </cell>
          <cell r="C2535">
            <v>112.07299999999999</v>
          </cell>
        </row>
        <row r="2536">
          <cell r="A2536">
            <v>25340</v>
          </cell>
          <cell r="C2536">
            <v>112.072</v>
          </cell>
        </row>
        <row r="2537">
          <cell r="A2537">
            <v>25350</v>
          </cell>
          <cell r="C2537">
            <v>112.071</v>
          </cell>
        </row>
        <row r="2538">
          <cell r="A2538">
            <v>25360</v>
          </cell>
          <cell r="C2538">
            <v>112.07</v>
          </cell>
        </row>
        <row r="2539">
          <cell r="A2539">
            <v>25370</v>
          </cell>
          <cell r="C2539">
            <v>112.068</v>
          </cell>
        </row>
        <row r="2540">
          <cell r="A2540">
            <v>25380</v>
          </cell>
          <cell r="C2540">
            <v>112.06699999999999</v>
          </cell>
        </row>
        <row r="2541">
          <cell r="A2541">
            <v>25390</v>
          </cell>
          <cell r="C2541">
            <v>112.066</v>
          </cell>
        </row>
        <row r="2542">
          <cell r="A2542">
            <v>25400</v>
          </cell>
          <cell r="C2542">
            <v>112.065</v>
          </cell>
        </row>
        <row r="2543">
          <cell r="A2543">
            <v>25410</v>
          </cell>
          <cell r="C2543">
            <v>112.06399999999999</v>
          </cell>
        </row>
        <row r="2544">
          <cell r="A2544">
            <v>25420</v>
          </cell>
          <cell r="C2544">
            <v>112.063</v>
          </cell>
        </row>
        <row r="2545">
          <cell r="A2545">
            <v>25430</v>
          </cell>
          <cell r="C2545">
            <v>112.062</v>
          </cell>
        </row>
        <row r="2546">
          <cell r="A2546">
            <v>25440</v>
          </cell>
          <cell r="C2546">
            <v>112.06100000000001</v>
          </cell>
        </row>
        <row r="2547">
          <cell r="A2547">
            <v>25450</v>
          </cell>
          <cell r="C2547">
            <v>112.06</v>
          </cell>
        </row>
        <row r="2548">
          <cell r="A2548">
            <v>25460</v>
          </cell>
          <cell r="C2548">
            <v>112.059</v>
          </cell>
        </row>
        <row r="2549">
          <cell r="A2549">
            <v>25470</v>
          </cell>
          <cell r="C2549">
            <v>112.05800000000001</v>
          </cell>
        </row>
        <row r="2550">
          <cell r="A2550">
            <v>25480</v>
          </cell>
          <cell r="C2550">
            <v>112.057</v>
          </cell>
        </row>
        <row r="2551">
          <cell r="A2551">
            <v>25490</v>
          </cell>
          <cell r="C2551">
            <v>112.056</v>
          </cell>
        </row>
        <row r="2552">
          <cell r="A2552">
            <v>25500</v>
          </cell>
          <cell r="C2552">
            <v>112.05500000000001</v>
          </cell>
        </row>
        <row r="2553">
          <cell r="A2553">
            <v>25510</v>
          </cell>
          <cell r="C2553">
            <v>112.054</v>
          </cell>
        </row>
        <row r="2554">
          <cell r="A2554">
            <v>25520</v>
          </cell>
          <cell r="C2554">
            <v>112.053</v>
          </cell>
        </row>
        <row r="2555">
          <cell r="A2555">
            <v>25530</v>
          </cell>
          <cell r="C2555">
            <v>112.05200000000001</v>
          </cell>
        </row>
        <row r="2556">
          <cell r="A2556">
            <v>25540</v>
          </cell>
          <cell r="C2556">
            <v>112.051</v>
          </cell>
        </row>
        <row r="2557">
          <cell r="A2557">
            <v>25550</v>
          </cell>
          <cell r="C2557">
            <v>112.05</v>
          </cell>
        </row>
        <row r="2558">
          <cell r="A2558">
            <v>25560</v>
          </cell>
          <cell r="C2558">
            <v>112.04900000000001</v>
          </cell>
        </row>
        <row r="2559">
          <cell r="A2559">
            <v>25570</v>
          </cell>
          <cell r="C2559">
            <v>112.048</v>
          </cell>
        </row>
        <row r="2560">
          <cell r="A2560">
            <v>25580</v>
          </cell>
          <cell r="C2560">
            <v>112.047</v>
          </cell>
        </row>
        <row r="2561">
          <cell r="A2561">
            <v>25590</v>
          </cell>
          <cell r="C2561">
            <v>112.04600000000001</v>
          </cell>
        </row>
        <row r="2562">
          <cell r="A2562">
            <v>25600</v>
          </cell>
          <cell r="C2562">
            <v>112.045</v>
          </cell>
        </row>
        <row r="2563">
          <cell r="A2563">
            <v>25610</v>
          </cell>
          <cell r="C2563">
            <v>112.044</v>
          </cell>
        </row>
        <row r="2564">
          <cell r="A2564">
            <v>25620</v>
          </cell>
          <cell r="C2564">
            <v>112.04300000000001</v>
          </cell>
        </row>
        <row r="2565">
          <cell r="A2565">
            <v>25630</v>
          </cell>
          <cell r="C2565">
            <v>112.042</v>
          </cell>
        </row>
        <row r="2566">
          <cell r="A2566">
            <v>25640</v>
          </cell>
          <cell r="C2566">
            <v>112.041</v>
          </cell>
        </row>
        <row r="2567">
          <cell r="A2567">
            <v>25650</v>
          </cell>
          <cell r="C2567">
            <v>112.04</v>
          </cell>
        </row>
        <row r="2568">
          <cell r="A2568">
            <v>25660</v>
          </cell>
          <cell r="C2568">
            <v>112.039</v>
          </cell>
        </row>
        <row r="2569">
          <cell r="A2569">
            <v>25670</v>
          </cell>
          <cell r="C2569">
            <v>112.038</v>
          </cell>
        </row>
        <row r="2570">
          <cell r="A2570">
            <v>25680</v>
          </cell>
          <cell r="C2570">
            <v>112.03700000000001</v>
          </cell>
        </row>
        <row r="2571">
          <cell r="A2571">
            <v>25690</v>
          </cell>
          <cell r="C2571">
            <v>112.036</v>
          </cell>
        </row>
        <row r="2572">
          <cell r="A2572">
            <v>25700</v>
          </cell>
          <cell r="C2572">
            <v>112.035</v>
          </cell>
        </row>
        <row r="2573">
          <cell r="A2573">
            <v>25710</v>
          </cell>
          <cell r="C2573">
            <v>112.03400000000001</v>
          </cell>
        </row>
        <row r="2574">
          <cell r="A2574">
            <v>25720</v>
          </cell>
          <cell r="C2574">
            <v>112.03400000000001</v>
          </cell>
        </row>
        <row r="2575">
          <cell r="A2575">
            <v>25730</v>
          </cell>
          <cell r="C2575">
            <v>112.033</v>
          </cell>
        </row>
        <row r="2576">
          <cell r="A2576">
            <v>25740</v>
          </cell>
          <cell r="C2576">
            <v>112.032</v>
          </cell>
        </row>
        <row r="2577">
          <cell r="A2577">
            <v>25750</v>
          </cell>
          <cell r="C2577">
            <v>112.03100000000001</v>
          </cell>
        </row>
        <row r="2578">
          <cell r="A2578">
            <v>25760</v>
          </cell>
          <cell r="C2578">
            <v>112.03</v>
          </cell>
        </row>
        <row r="2579">
          <cell r="A2579">
            <v>25770</v>
          </cell>
          <cell r="C2579">
            <v>112.029</v>
          </cell>
        </row>
        <row r="2580">
          <cell r="A2580">
            <v>25780</v>
          </cell>
          <cell r="C2580">
            <v>112.02800000000001</v>
          </cell>
        </row>
        <row r="2581">
          <cell r="A2581">
            <v>25790</v>
          </cell>
          <cell r="C2581">
            <v>112.027</v>
          </cell>
        </row>
        <row r="2582">
          <cell r="A2582">
            <v>25800</v>
          </cell>
          <cell r="C2582">
            <v>112.026</v>
          </cell>
        </row>
        <row r="2583">
          <cell r="A2583">
            <v>25810</v>
          </cell>
          <cell r="C2583">
            <v>112.02500000000001</v>
          </cell>
        </row>
        <row r="2584">
          <cell r="A2584">
            <v>25820</v>
          </cell>
          <cell r="C2584">
            <v>112.024</v>
          </cell>
        </row>
        <row r="2585">
          <cell r="A2585">
            <v>25830</v>
          </cell>
          <cell r="C2585">
            <v>112.023</v>
          </cell>
        </row>
        <row r="2586">
          <cell r="A2586">
            <v>25840</v>
          </cell>
          <cell r="C2586">
            <v>112.023</v>
          </cell>
        </row>
        <row r="2587">
          <cell r="A2587">
            <v>25850</v>
          </cell>
          <cell r="C2587">
            <v>112.02200000000001</v>
          </cell>
        </row>
        <row r="2588">
          <cell r="A2588">
            <v>25860</v>
          </cell>
          <cell r="C2588">
            <v>112.021</v>
          </cell>
        </row>
        <row r="2589">
          <cell r="A2589">
            <v>25870</v>
          </cell>
          <cell r="C2589">
            <v>112.02</v>
          </cell>
        </row>
        <row r="2590">
          <cell r="A2590">
            <v>25880</v>
          </cell>
          <cell r="C2590">
            <v>112.01900000000001</v>
          </cell>
        </row>
        <row r="2591">
          <cell r="A2591">
            <v>25890</v>
          </cell>
          <cell r="C2591">
            <v>112.018</v>
          </cell>
        </row>
        <row r="2592">
          <cell r="A2592">
            <v>25900</v>
          </cell>
          <cell r="C2592">
            <v>112.017</v>
          </cell>
        </row>
        <row r="2593">
          <cell r="A2593">
            <v>25910</v>
          </cell>
          <cell r="C2593">
            <v>112.01600000000001</v>
          </cell>
        </row>
        <row r="2594">
          <cell r="A2594">
            <v>25920</v>
          </cell>
          <cell r="C2594">
            <v>112.01600000000001</v>
          </cell>
        </row>
        <row r="2595">
          <cell r="A2595">
            <v>25930</v>
          </cell>
          <cell r="C2595">
            <v>112.015</v>
          </cell>
        </row>
        <row r="2596">
          <cell r="A2596">
            <v>25940</v>
          </cell>
          <cell r="C2596">
            <v>112.014</v>
          </cell>
        </row>
        <row r="2597">
          <cell r="A2597">
            <v>25950</v>
          </cell>
          <cell r="C2597">
            <v>112.01300000000001</v>
          </cell>
        </row>
        <row r="2598">
          <cell r="A2598">
            <v>25960</v>
          </cell>
          <cell r="C2598">
            <v>112.012</v>
          </cell>
        </row>
        <row r="2599">
          <cell r="A2599">
            <v>25970</v>
          </cell>
          <cell r="C2599">
            <v>112.011</v>
          </cell>
        </row>
        <row r="2600">
          <cell r="A2600">
            <v>25980</v>
          </cell>
          <cell r="C2600">
            <v>112.01</v>
          </cell>
        </row>
        <row r="2601">
          <cell r="A2601">
            <v>25990</v>
          </cell>
          <cell r="C2601">
            <v>112.01</v>
          </cell>
        </row>
        <row r="2602">
          <cell r="A2602">
            <v>26000</v>
          </cell>
          <cell r="C2602">
            <v>112.009</v>
          </cell>
        </row>
        <row r="2603">
          <cell r="A2603">
            <v>26010</v>
          </cell>
          <cell r="C2603">
            <v>112.008</v>
          </cell>
        </row>
        <row r="2604">
          <cell r="A2604">
            <v>26020</v>
          </cell>
          <cell r="C2604">
            <v>112.00700000000001</v>
          </cell>
        </row>
        <row r="2605">
          <cell r="A2605">
            <v>26030</v>
          </cell>
          <cell r="C2605">
            <v>112.006</v>
          </cell>
        </row>
        <row r="2606">
          <cell r="A2606">
            <v>26040</v>
          </cell>
          <cell r="C2606">
            <v>112.006</v>
          </cell>
        </row>
        <row r="2607">
          <cell r="A2607">
            <v>26050</v>
          </cell>
          <cell r="C2607">
            <v>112.005</v>
          </cell>
        </row>
        <row r="2608">
          <cell r="A2608">
            <v>26060</v>
          </cell>
          <cell r="C2608">
            <v>112.004</v>
          </cell>
        </row>
        <row r="2609">
          <cell r="A2609">
            <v>26070</v>
          </cell>
          <cell r="C2609">
            <v>112.003</v>
          </cell>
        </row>
        <row r="2610">
          <cell r="A2610">
            <v>26080</v>
          </cell>
          <cell r="C2610">
            <v>112.002</v>
          </cell>
        </row>
        <row r="2611">
          <cell r="A2611">
            <v>26090</v>
          </cell>
          <cell r="C2611">
            <v>112.002</v>
          </cell>
        </row>
        <row r="2612">
          <cell r="A2612">
            <v>26100</v>
          </cell>
          <cell r="C2612">
            <v>112.001</v>
          </cell>
        </row>
        <row r="2613">
          <cell r="A2613">
            <v>26110</v>
          </cell>
          <cell r="C2613">
            <v>112</v>
          </cell>
        </row>
        <row r="2614">
          <cell r="A2614">
            <v>26120</v>
          </cell>
          <cell r="C2614">
            <v>111.999</v>
          </cell>
        </row>
        <row r="2615">
          <cell r="A2615">
            <v>26130</v>
          </cell>
          <cell r="C2615">
            <v>111.998</v>
          </cell>
        </row>
        <row r="2616">
          <cell r="A2616">
            <v>26140</v>
          </cell>
          <cell r="C2616">
            <v>111.998</v>
          </cell>
        </row>
        <row r="2617">
          <cell r="A2617">
            <v>26150</v>
          </cell>
          <cell r="C2617">
            <v>111.997</v>
          </cell>
        </row>
        <row r="2618">
          <cell r="A2618">
            <v>26160</v>
          </cell>
          <cell r="C2618">
            <v>111.996</v>
          </cell>
        </row>
        <row r="2619">
          <cell r="A2619">
            <v>26170</v>
          </cell>
          <cell r="C2619">
            <v>111.995</v>
          </cell>
        </row>
        <row r="2620">
          <cell r="A2620">
            <v>26180</v>
          </cell>
          <cell r="C2620">
            <v>111.994</v>
          </cell>
        </row>
        <row r="2621">
          <cell r="A2621">
            <v>26190</v>
          </cell>
          <cell r="C2621">
            <v>111.99299999999999</v>
          </cell>
        </row>
        <row r="2622">
          <cell r="A2622">
            <v>26200</v>
          </cell>
          <cell r="C2622">
            <v>111.99299999999999</v>
          </cell>
        </row>
        <row r="2623">
          <cell r="A2623">
            <v>26210</v>
          </cell>
          <cell r="C2623">
            <v>111.992</v>
          </cell>
        </row>
        <row r="2624">
          <cell r="A2624">
            <v>26220</v>
          </cell>
          <cell r="C2624">
            <v>111.991</v>
          </cell>
        </row>
        <row r="2625">
          <cell r="A2625">
            <v>26230</v>
          </cell>
          <cell r="C2625">
            <v>111.99</v>
          </cell>
        </row>
        <row r="2626">
          <cell r="A2626">
            <v>26240</v>
          </cell>
          <cell r="C2626">
            <v>111.989</v>
          </cell>
        </row>
        <row r="2627">
          <cell r="A2627">
            <v>26250</v>
          </cell>
          <cell r="C2627">
            <v>111.989</v>
          </cell>
        </row>
        <row r="2628">
          <cell r="A2628">
            <v>26260</v>
          </cell>
          <cell r="C2628">
            <v>111.988</v>
          </cell>
        </row>
        <row r="2629">
          <cell r="A2629">
            <v>26270</v>
          </cell>
          <cell r="C2629">
            <v>111.98699999999999</v>
          </cell>
        </row>
        <row r="2630">
          <cell r="A2630">
            <v>26280</v>
          </cell>
          <cell r="C2630">
            <v>111.986</v>
          </cell>
        </row>
        <row r="2631">
          <cell r="A2631">
            <v>26290</v>
          </cell>
          <cell r="C2631">
            <v>111.985</v>
          </cell>
        </row>
        <row r="2632">
          <cell r="A2632">
            <v>26300</v>
          </cell>
          <cell r="C2632">
            <v>111.985</v>
          </cell>
        </row>
        <row r="2633">
          <cell r="A2633">
            <v>26310</v>
          </cell>
          <cell r="C2633">
            <v>111.98399999999999</v>
          </cell>
        </row>
        <row r="2634">
          <cell r="A2634">
            <v>26320</v>
          </cell>
          <cell r="C2634">
            <v>111.983</v>
          </cell>
        </row>
        <row r="2635">
          <cell r="A2635">
            <v>26330</v>
          </cell>
          <cell r="C2635">
            <v>111.982</v>
          </cell>
        </row>
        <row r="2636">
          <cell r="A2636">
            <v>26340</v>
          </cell>
          <cell r="C2636">
            <v>111.98099999999999</v>
          </cell>
        </row>
        <row r="2637">
          <cell r="A2637">
            <v>26350</v>
          </cell>
          <cell r="C2637">
            <v>111.98</v>
          </cell>
        </row>
        <row r="2638">
          <cell r="A2638">
            <v>26360</v>
          </cell>
          <cell r="C2638">
            <v>111.98</v>
          </cell>
        </row>
        <row r="2639">
          <cell r="A2639">
            <v>26370</v>
          </cell>
          <cell r="C2639">
            <v>111.979</v>
          </cell>
        </row>
        <row r="2640">
          <cell r="A2640">
            <v>26380</v>
          </cell>
          <cell r="C2640">
            <v>111.97799999999999</v>
          </cell>
        </row>
        <row r="2641">
          <cell r="A2641">
            <v>26390</v>
          </cell>
          <cell r="C2641">
            <v>111.977</v>
          </cell>
        </row>
        <row r="2642">
          <cell r="A2642">
            <v>26400</v>
          </cell>
          <cell r="C2642">
            <v>111.976</v>
          </cell>
        </row>
        <row r="2643">
          <cell r="A2643">
            <v>26410</v>
          </cell>
          <cell r="C2643">
            <v>111.976</v>
          </cell>
        </row>
        <row r="2644">
          <cell r="A2644">
            <v>26420</v>
          </cell>
          <cell r="C2644">
            <v>111.97499999999999</v>
          </cell>
        </row>
        <row r="2645">
          <cell r="A2645">
            <v>26430</v>
          </cell>
          <cell r="C2645">
            <v>111.974</v>
          </cell>
        </row>
        <row r="2646">
          <cell r="A2646">
            <v>26440</v>
          </cell>
          <cell r="C2646">
            <v>111.973</v>
          </cell>
        </row>
        <row r="2647">
          <cell r="A2647">
            <v>26450</v>
          </cell>
          <cell r="C2647">
            <v>111.97199999999999</v>
          </cell>
        </row>
        <row r="2648">
          <cell r="A2648">
            <v>26460</v>
          </cell>
          <cell r="C2648">
            <v>111.97199999999999</v>
          </cell>
        </row>
        <row r="2649">
          <cell r="A2649">
            <v>26470</v>
          </cell>
          <cell r="C2649">
            <v>111.971</v>
          </cell>
        </row>
        <row r="2650">
          <cell r="A2650">
            <v>26480</v>
          </cell>
          <cell r="C2650">
            <v>111.97</v>
          </cell>
        </row>
        <row r="2651">
          <cell r="A2651">
            <v>26490</v>
          </cell>
          <cell r="C2651">
            <v>111.96899999999999</v>
          </cell>
        </row>
        <row r="2652">
          <cell r="A2652">
            <v>26500</v>
          </cell>
          <cell r="C2652">
            <v>111.968</v>
          </cell>
        </row>
        <row r="2653">
          <cell r="A2653">
            <v>26510</v>
          </cell>
          <cell r="C2653">
            <v>111.967</v>
          </cell>
        </row>
        <row r="2654">
          <cell r="A2654">
            <v>26520</v>
          </cell>
          <cell r="C2654">
            <v>111.967</v>
          </cell>
        </row>
        <row r="2655">
          <cell r="A2655">
            <v>26530</v>
          </cell>
          <cell r="C2655">
            <v>111.96599999999999</v>
          </cell>
        </row>
        <row r="2656">
          <cell r="A2656">
            <v>26540</v>
          </cell>
          <cell r="C2656">
            <v>111.965</v>
          </cell>
        </row>
        <row r="2657">
          <cell r="A2657">
            <v>26550</v>
          </cell>
          <cell r="C2657">
            <v>111.964</v>
          </cell>
        </row>
        <row r="2658">
          <cell r="A2658">
            <v>26560</v>
          </cell>
          <cell r="C2658">
            <v>111.96299999999999</v>
          </cell>
        </row>
        <row r="2659">
          <cell r="A2659">
            <v>26570</v>
          </cell>
          <cell r="C2659">
            <v>111.962</v>
          </cell>
        </row>
        <row r="2660">
          <cell r="A2660">
            <v>26580</v>
          </cell>
          <cell r="C2660">
            <v>111.962</v>
          </cell>
        </row>
        <row r="2661">
          <cell r="A2661">
            <v>26590</v>
          </cell>
          <cell r="C2661">
            <v>111.961</v>
          </cell>
        </row>
        <row r="2662">
          <cell r="A2662">
            <v>26600</v>
          </cell>
          <cell r="C2662">
            <v>111.96</v>
          </cell>
        </row>
        <row r="2663">
          <cell r="A2663">
            <v>26610</v>
          </cell>
          <cell r="C2663">
            <v>111.959</v>
          </cell>
        </row>
        <row r="2664">
          <cell r="A2664">
            <v>26620</v>
          </cell>
          <cell r="C2664">
            <v>111.958</v>
          </cell>
        </row>
        <row r="2665">
          <cell r="A2665">
            <v>26630</v>
          </cell>
          <cell r="C2665">
            <v>111.958</v>
          </cell>
        </row>
        <row r="2666">
          <cell r="A2666">
            <v>26640</v>
          </cell>
          <cell r="C2666">
            <v>111.95699999999999</v>
          </cell>
        </row>
        <row r="2667">
          <cell r="A2667">
            <v>26650</v>
          </cell>
          <cell r="C2667">
            <v>111.956</v>
          </cell>
        </row>
        <row r="2668">
          <cell r="A2668">
            <v>26660</v>
          </cell>
          <cell r="C2668">
            <v>111.955</v>
          </cell>
        </row>
        <row r="2669">
          <cell r="A2669">
            <v>26670</v>
          </cell>
          <cell r="C2669">
            <v>111.95399999999999</v>
          </cell>
        </row>
        <row r="2670">
          <cell r="A2670">
            <v>26680</v>
          </cell>
          <cell r="C2670">
            <v>111.953</v>
          </cell>
        </row>
        <row r="2671">
          <cell r="A2671">
            <v>26690</v>
          </cell>
          <cell r="C2671">
            <v>111.953</v>
          </cell>
        </row>
        <row r="2672">
          <cell r="A2672">
            <v>26700</v>
          </cell>
          <cell r="C2672">
            <v>111.952</v>
          </cell>
        </row>
        <row r="2673">
          <cell r="A2673">
            <v>26710</v>
          </cell>
          <cell r="C2673">
            <v>111.95099999999999</v>
          </cell>
        </row>
        <row r="2674">
          <cell r="A2674">
            <v>26720</v>
          </cell>
          <cell r="C2674">
            <v>111.95</v>
          </cell>
        </row>
        <row r="2675">
          <cell r="A2675">
            <v>26730</v>
          </cell>
          <cell r="C2675">
            <v>111.949</v>
          </cell>
        </row>
        <row r="2676">
          <cell r="A2676">
            <v>26740</v>
          </cell>
          <cell r="C2676">
            <v>111.949</v>
          </cell>
        </row>
        <row r="2677">
          <cell r="A2677">
            <v>26750</v>
          </cell>
          <cell r="C2677">
            <v>111.94799999999999</v>
          </cell>
        </row>
        <row r="2678">
          <cell r="A2678">
            <v>26760</v>
          </cell>
          <cell r="C2678">
            <v>111.947</v>
          </cell>
        </row>
        <row r="2679">
          <cell r="A2679">
            <v>26770</v>
          </cell>
          <cell r="C2679">
            <v>111.946</v>
          </cell>
        </row>
        <row r="2680">
          <cell r="A2680">
            <v>26780</v>
          </cell>
          <cell r="C2680">
            <v>111.94499999999999</v>
          </cell>
        </row>
        <row r="2681">
          <cell r="A2681">
            <v>26790</v>
          </cell>
          <cell r="C2681">
            <v>111.944</v>
          </cell>
        </row>
        <row r="2682">
          <cell r="A2682">
            <v>26800</v>
          </cell>
          <cell r="C2682">
            <v>111.944</v>
          </cell>
        </row>
        <row r="2683">
          <cell r="A2683">
            <v>26810</v>
          </cell>
          <cell r="C2683">
            <v>111.943</v>
          </cell>
        </row>
        <row r="2684">
          <cell r="A2684">
            <v>26820</v>
          </cell>
          <cell r="C2684">
            <v>111.94199999999999</v>
          </cell>
        </row>
        <row r="2685">
          <cell r="A2685">
            <v>26830</v>
          </cell>
          <cell r="C2685">
            <v>111.941</v>
          </cell>
        </row>
        <row r="2686">
          <cell r="A2686">
            <v>26840</v>
          </cell>
          <cell r="C2686">
            <v>111.94</v>
          </cell>
        </row>
        <row r="2687">
          <cell r="A2687">
            <v>26850</v>
          </cell>
          <cell r="C2687">
            <v>111.93899999999999</v>
          </cell>
        </row>
        <row r="2688">
          <cell r="A2688">
            <v>26860</v>
          </cell>
          <cell r="C2688">
            <v>111.93899999999999</v>
          </cell>
        </row>
        <row r="2689">
          <cell r="A2689">
            <v>26870</v>
          </cell>
          <cell r="C2689">
            <v>111.938</v>
          </cell>
        </row>
        <row r="2690">
          <cell r="A2690">
            <v>26880</v>
          </cell>
          <cell r="C2690">
            <v>111.937</v>
          </cell>
        </row>
        <row r="2691">
          <cell r="A2691">
            <v>26890</v>
          </cell>
          <cell r="C2691">
            <v>111.93600000000001</v>
          </cell>
        </row>
        <row r="2692">
          <cell r="A2692">
            <v>26900</v>
          </cell>
          <cell r="C2692">
            <v>111.935</v>
          </cell>
        </row>
        <row r="2693">
          <cell r="A2693">
            <v>26910</v>
          </cell>
          <cell r="C2693">
            <v>111.935</v>
          </cell>
        </row>
        <row r="2694">
          <cell r="A2694">
            <v>26920</v>
          </cell>
          <cell r="C2694">
            <v>111.934</v>
          </cell>
        </row>
        <row r="2695">
          <cell r="A2695">
            <v>26930</v>
          </cell>
          <cell r="C2695">
            <v>111.93300000000001</v>
          </cell>
        </row>
        <row r="2696">
          <cell r="A2696">
            <v>26940</v>
          </cell>
          <cell r="C2696">
            <v>111.932</v>
          </cell>
        </row>
        <row r="2697">
          <cell r="A2697">
            <v>26950</v>
          </cell>
          <cell r="C2697">
            <v>111.931</v>
          </cell>
        </row>
        <row r="2698">
          <cell r="A2698">
            <v>26960</v>
          </cell>
          <cell r="C2698">
            <v>111.93</v>
          </cell>
        </row>
        <row r="2699">
          <cell r="A2699">
            <v>26970</v>
          </cell>
          <cell r="C2699">
            <v>111.93</v>
          </cell>
        </row>
        <row r="2700">
          <cell r="A2700">
            <v>26980</v>
          </cell>
          <cell r="C2700">
            <v>111.929</v>
          </cell>
        </row>
        <row r="2701">
          <cell r="A2701">
            <v>26990</v>
          </cell>
          <cell r="C2701">
            <v>111.928</v>
          </cell>
        </row>
        <row r="2702">
          <cell r="A2702">
            <v>27000</v>
          </cell>
          <cell r="C2702">
            <v>111.92700000000001</v>
          </cell>
        </row>
        <row r="2703">
          <cell r="A2703">
            <v>27010</v>
          </cell>
          <cell r="C2703">
            <v>111.926</v>
          </cell>
        </row>
        <row r="2704">
          <cell r="A2704">
            <v>27020</v>
          </cell>
          <cell r="C2704">
            <v>111.926</v>
          </cell>
        </row>
        <row r="2705">
          <cell r="A2705">
            <v>27030</v>
          </cell>
          <cell r="C2705">
            <v>111.925</v>
          </cell>
        </row>
        <row r="2706">
          <cell r="A2706">
            <v>27040</v>
          </cell>
          <cell r="C2706">
            <v>111.92400000000001</v>
          </cell>
        </row>
        <row r="2707">
          <cell r="A2707">
            <v>27050</v>
          </cell>
          <cell r="C2707">
            <v>111.923</v>
          </cell>
        </row>
        <row r="2708">
          <cell r="A2708">
            <v>27060</v>
          </cell>
          <cell r="C2708">
            <v>111.922</v>
          </cell>
        </row>
        <row r="2709">
          <cell r="A2709">
            <v>27070</v>
          </cell>
          <cell r="C2709">
            <v>111.922</v>
          </cell>
        </row>
        <row r="2710">
          <cell r="A2710">
            <v>27080</v>
          </cell>
          <cell r="C2710">
            <v>111.92100000000001</v>
          </cell>
        </row>
        <row r="2711">
          <cell r="A2711">
            <v>27090</v>
          </cell>
          <cell r="C2711">
            <v>111.92</v>
          </cell>
        </row>
        <row r="2712">
          <cell r="A2712">
            <v>27100</v>
          </cell>
          <cell r="C2712">
            <v>111.919</v>
          </cell>
        </row>
        <row r="2713">
          <cell r="A2713">
            <v>27110</v>
          </cell>
          <cell r="C2713">
            <v>111.91800000000001</v>
          </cell>
        </row>
        <row r="2714">
          <cell r="A2714">
            <v>27120</v>
          </cell>
          <cell r="C2714">
            <v>111.91800000000001</v>
          </cell>
        </row>
        <row r="2715">
          <cell r="A2715">
            <v>27130</v>
          </cell>
          <cell r="C2715">
            <v>111.917</v>
          </cell>
        </row>
        <row r="2716">
          <cell r="A2716">
            <v>27140</v>
          </cell>
          <cell r="C2716">
            <v>111.916</v>
          </cell>
        </row>
        <row r="2717">
          <cell r="A2717">
            <v>27150</v>
          </cell>
          <cell r="C2717">
            <v>111.91500000000001</v>
          </cell>
        </row>
        <row r="2718">
          <cell r="A2718">
            <v>27160</v>
          </cell>
          <cell r="C2718">
            <v>111.914</v>
          </cell>
        </row>
        <row r="2719">
          <cell r="A2719">
            <v>27170</v>
          </cell>
          <cell r="C2719">
            <v>111.914</v>
          </cell>
        </row>
        <row r="2720">
          <cell r="A2720">
            <v>27180</v>
          </cell>
          <cell r="C2720">
            <v>111.913</v>
          </cell>
        </row>
        <row r="2721">
          <cell r="A2721">
            <v>27190</v>
          </cell>
          <cell r="C2721">
            <v>111.91200000000001</v>
          </cell>
        </row>
        <row r="2722">
          <cell r="A2722">
            <v>27200</v>
          </cell>
          <cell r="C2722">
            <v>111.911</v>
          </cell>
        </row>
        <row r="2723">
          <cell r="A2723">
            <v>27210</v>
          </cell>
          <cell r="C2723">
            <v>111.91</v>
          </cell>
        </row>
        <row r="2724">
          <cell r="A2724">
            <v>27220</v>
          </cell>
          <cell r="C2724">
            <v>111.91</v>
          </cell>
        </row>
        <row r="2725">
          <cell r="A2725">
            <v>27230</v>
          </cell>
          <cell r="C2725">
            <v>111.90900000000001</v>
          </cell>
        </row>
        <row r="2726">
          <cell r="A2726">
            <v>27240</v>
          </cell>
          <cell r="C2726">
            <v>111.908</v>
          </cell>
        </row>
        <row r="2727">
          <cell r="A2727">
            <v>27250</v>
          </cell>
          <cell r="C2727">
            <v>111.907</v>
          </cell>
        </row>
        <row r="2728">
          <cell r="A2728">
            <v>27260</v>
          </cell>
          <cell r="C2728">
            <v>111.907</v>
          </cell>
        </row>
        <row r="2729">
          <cell r="A2729">
            <v>27270</v>
          </cell>
          <cell r="C2729">
            <v>111.90600000000001</v>
          </cell>
        </row>
        <row r="2730">
          <cell r="A2730">
            <v>27280</v>
          </cell>
          <cell r="C2730">
            <v>111.905</v>
          </cell>
        </row>
        <row r="2731">
          <cell r="A2731">
            <v>27290</v>
          </cell>
          <cell r="C2731">
            <v>111.904</v>
          </cell>
        </row>
        <row r="2732">
          <cell r="A2732">
            <v>27300</v>
          </cell>
          <cell r="C2732">
            <v>111.90300000000001</v>
          </cell>
        </row>
        <row r="2733">
          <cell r="A2733">
            <v>27310</v>
          </cell>
          <cell r="C2733">
            <v>111.90300000000001</v>
          </cell>
        </row>
        <row r="2734">
          <cell r="A2734">
            <v>27320</v>
          </cell>
          <cell r="C2734">
            <v>111.902</v>
          </cell>
        </row>
        <row r="2735">
          <cell r="A2735">
            <v>27330</v>
          </cell>
          <cell r="C2735">
            <v>111.901</v>
          </cell>
        </row>
        <row r="2736">
          <cell r="A2736">
            <v>27340</v>
          </cell>
          <cell r="C2736">
            <v>111.9</v>
          </cell>
        </row>
        <row r="2737">
          <cell r="A2737">
            <v>27350</v>
          </cell>
          <cell r="C2737">
            <v>111.899</v>
          </cell>
        </row>
        <row r="2738">
          <cell r="A2738">
            <v>27360</v>
          </cell>
          <cell r="C2738">
            <v>111.899</v>
          </cell>
        </row>
        <row r="2739">
          <cell r="A2739">
            <v>27370</v>
          </cell>
          <cell r="C2739">
            <v>111.898</v>
          </cell>
        </row>
        <row r="2740">
          <cell r="A2740">
            <v>27380</v>
          </cell>
          <cell r="C2740">
            <v>111.89700000000001</v>
          </cell>
        </row>
        <row r="2741">
          <cell r="A2741">
            <v>27390</v>
          </cell>
          <cell r="C2741">
            <v>111.896</v>
          </cell>
        </row>
        <row r="2742">
          <cell r="A2742">
            <v>27400</v>
          </cell>
          <cell r="C2742">
            <v>111.895</v>
          </cell>
        </row>
        <row r="2743">
          <cell r="A2743">
            <v>27410</v>
          </cell>
          <cell r="C2743">
            <v>111.89400000000001</v>
          </cell>
        </row>
        <row r="2744">
          <cell r="A2744">
            <v>27420</v>
          </cell>
          <cell r="C2744">
            <v>111.89400000000001</v>
          </cell>
        </row>
        <row r="2745">
          <cell r="A2745">
            <v>27430</v>
          </cell>
          <cell r="C2745">
            <v>111.893</v>
          </cell>
        </row>
        <row r="2746">
          <cell r="A2746">
            <v>27440</v>
          </cell>
          <cell r="C2746">
            <v>111.892</v>
          </cell>
        </row>
        <row r="2747">
          <cell r="A2747">
            <v>27450</v>
          </cell>
          <cell r="C2747">
            <v>111.89100000000001</v>
          </cell>
        </row>
        <row r="2748">
          <cell r="A2748">
            <v>27460</v>
          </cell>
          <cell r="C2748">
            <v>111.89</v>
          </cell>
        </row>
        <row r="2749">
          <cell r="A2749">
            <v>27470</v>
          </cell>
          <cell r="C2749">
            <v>111.889</v>
          </cell>
        </row>
        <row r="2750">
          <cell r="A2750">
            <v>27480</v>
          </cell>
          <cell r="C2750">
            <v>111.889</v>
          </cell>
        </row>
        <row r="2751">
          <cell r="A2751">
            <v>27490</v>
          </cell>
          <cell r="C2751">
            <v>111.88800000000001</v>
          </cell>
        </row>
        <row r="2752">
          <cell r="A2752">
            <v>27500</v>
          </cell>
          <cell r="C2752">
            <v>111.887</v>
          </cell>
        </row>
        <row r="2753">
          <cell r="A2753">
            <v>27510</v>
          </cell>
          <cell r="C2753">
            <v>111.886</v>
          </cell>
        </row>
        <row r="2754">
          <cell r="A2754">
            <v>27520</v>
          </cell>
          <cell r="C2754">
            <v>111.88500000000001</v>
          </cell>
        </row>
        <row r="2755">
          <cell r="A2755">
            <v>27530</v>
          </cell>
          <cell r="C2755">
            <v>111.884</v>
          </cell>
        </row>
        <row r="2756">
          <cell r="A2756">
            <v>27540</v>
          </cell>
          <cell r="C2756">
            <v>111.883</v>
          </cell>
        </row>
        <row r="2757">
          <cell r="A2757">
            <v>27550</v>
          </cell>
          <cell r="C2757">
            <v>111.883</v>
          </cell>
        </row>
        <row r="2758">
          <cell r="A2758">
            <v>27560</v>
          </cell>
          <cell r="C2758">
            <v>111.88200000000001</v>
          </cell>
        </row>
        <row r="2759">
          <cell r="A2759">
            <v>27570</v>
          </cell>
          <cell r="C2759">
            <v>111.881</v>
          </cell>
        </row>
        <row r="2760">
          <cell r="A2760">
            <v>27580</v>
          </cell>
          <cell r="C2760">
            <v>111.88</v>
          </cell>
        </row>
        <row r="2761">
          <cell r="A2761">
            <v>27590</v>
          </cell>
          <cell r="C2761">
            <v>111.879</v>
          </cell>
        </row>
        <row r="2762">
          <cell r="A2762">
            <v>27600</v>
          </cell>
          <cell r="C2762">
            <v>111.878</v>
          </cell>
        </row>
        <row r="2763">
          <cell r="A2763">
            <v>27610</v>
          </cell>
          <cell r="C2763">
            <v>111.877</v>
          </cell>
        </row>
        <row r="2764">
          <cell r="A2764">
            <v>27620</v>
          </cell>
          <cell r="C2764">
            <v>111.876</v>
          </cell>
        </row>
        <row r="2765">
          <cell r="A2765">
            <v>27630</v>
          </cell>
          <cell r="C2765">
            <v>111.875</v>
          </cell>
        </row>
        <row r="2766">
          <cell r="A2766">
            <v>27640</v>
          </cell>
          <cell r="C2766">
            <v>111.875</v>
          </cell>
        </row>
        <row r="2767">
          <cell r="A2767">
            <v>27650</v>
          </cell>
          <cell r="C2767">
            <v>111.874</v>
          </cell>
        </row>
        <row r="2768">
          <cell r="A2768">
            <v>27660</v>
          </cell>
          <cell r="C2768">
            <v>111.873</v>
          </cell>
        </row>
        <row r="2769">
          <cell r="A2769">
            <v>27670</v>
          </cell>
          <cell r="C2769">
            <v>111.872</v>
          </cell>
        </row>
        <row r="2770">
          <cell r="A2770">
            <v>27680</v>
          </cell>
          <cell r="C2770">
            <v>111.871</v>
          </cell>
        </row>
        <row r="2771">
          <cell r="A2771">
            <v>27690</v>
          </cell>
          <cell r="C2771">
            <v>111.87</v>
          </cell>
        </row>
        <row r="2772">
          <cell r="A2772">
            <v>27700</v>
          </cell>
          <cell r="C2772">
            <v>111.869</v>
          </cell>
        </row>
        <row r="2773">
          <cell r="A2773">
            <v>27710</v>
          </cell>
          <cell r="C2773">
            <v>111.86799999999999</v>
          </cell>
        </row>
        <row r="2774">
          <cell r="A2774">
            <v>27720</v>
          </cell>
          <cell r="C2774">
            <v>111.867</v>
          </cell>
        </row>
        <row r="2775">
          <cell r="A2775">
            <v>27730</v>
          </cell>
          <cell r="C2775">
            <v>111.866</v>
          </cell>
        </row>
        <row r="2776">
          <cell r="A2776">
            <v>27740</v>
          </cell>
          <cell r="C2776">
            <v>111.86499999999999</v>
          </cell>
        </row>
        <row r="2777">
          <cell r="A2777">
            <v>27750</v>
          </cell>
          <cell r="C2777">
            <v>111.86499999999999</v>
          </cell>
        </row>
        <row r="2778">
          <cell r="A2778">
            <v>27760</v>
          </cell>
          <cell r="C2778">
            <v>111.864</v>
          </cell>
        </row>
        <row r="2779">
          <cell r="A2779">
            <v>27770</v>
          </cell>
          <cell r="C2779">
            <v>111.863</v>
          </cell>
        </row>
        <row r="2780">
          <cell r="A2780">
            <v>27780</v>
          </cell>
          <cell r="C2780">
            <v>111.86199999999999</v>
          </cell>
        </row>
        <row r="2781">
          <cell r="A2781">
            <v>27790</v>
          </cell>
          <cell r="C2781">
            <v>111.861</v>
          </cell>
        </row>
        <row r="2782">
          <cell r="A2782">
            <v>27800</v>
          </cell>
          <cell r="C2782">
            <v>111.86</v>
          </cell>
        </row>
        <row r="2783">
          <cell r="A2783">
            <v>27810</v>
          </cell>
          <cell r="C2783">
            <v>111.85899999999999</v>
          </cell>
        </row>
        <row r="2784">
          <cell r="A2784">
            <v>27820</v>
          </cell>
          <cell r="C2784">
            <v>111.858</v>
          </cell>
        </row>
        <row r="2785">
          <cell r="A2785">
            <v>27830</v>
          </cell>
          <cell r="C2785">
            <v>111.857</v>
          </cell>
        </row>
        <row r="2786">
          <cell r="A2786">
            <v>27840</v>
          </cell>
          <cell r="C2786">
            <v>111.85599999999999</v>
          </cell>
        </row>
        <row r="2787">
          <cell r="A2787">
            <v>27850</v>
          </cell>
          <cell r="C2787">
            <v>111.855</v>
          </cell>
        </row>
        <row r="2788">
          <cell r="A2788">
            <v>27860</v>
          </cell>
          <cell r="C2788">
            <v>111.854</v>
          </cell>
        </row>
        <row r="2789">
          <cell r="A2789">
            <v>27870</v>
          </cell>
          <cell r="C2789">
            <v>111.85299999999999</v>
          </cell>
        </row>
        <row r="2790">
          <cell r="A2790">
            <v>27880</v>
          </cell>
          <cell r="C2790">
            <v>111.852</v>
          </cell>
        </row>
        <row r="2791">
          <cell r="A2791">
            <v>27890</v>
          </cell>
          <cell r="C2791">
            <v>111.851</v>
          </cell>
        </row>
        <row r="2792">
          <cell r="A2792">
            <v>27900</v>
          </cell>
          <cell r="C2792">
            <v>111.85</v>
          </cell>
        </row>
        <row r="2793">
          <cell r="A2793">
            <v>27910</v>
          </cell>
          <cell r="C2793">
            <v>111.849</v>
          </cell>
        </row>
        <row r="2794">
          <cell r="A2794">
            <v>27920</v>
          </cell>
          <cell r="C2794">
            <v>111.848</v>
          </cell>
        </row>
        <row r="2795">
          <cell r="A2795">
            <v>27930</v>
          </cell>
          <cell r="C2795">
            <v>111.84699999999999</v>
          </cell>
        </row>
        <row r="2796">
          <cell r="A2796">
            <v>27940</v>
          </cell>
          <cell r="C2796">
            <v>111.846</v>
          </cell>
        </row>
        <row r="2797">
          <cell r="A2797">
            <v>27950</v>
          </cell>
          <cell r="C2797">
            <v>111.845</v>
          </cell>
        </row>
        <row r="2798">
          <cell r="A2798">
            <v>27960</v>
          </cell>
          <cell r="C2798">
            <v>111.84399999999999</v>
          </cell>
        </row>
        <row r="2799">
          <cell r="A2799">
            <v>27970</v>
          </cell>
          <cell r="C2799">
            <v>111.843</v>
          </cell>
        </row>
        <row r="2800">
          <cell r="A2800">
            <v>27980</v>
          </cell>
          <cell r="C2800">
            <v>111.842</v>
          </cell>
        </row>
        <row r="2801">
          <cell r="A2801">
            <v>27990</v>
          </cell>
          <cell r="C2801">
            <v>111.84099999999999</v>
          </cell>
        </row>
        <row r="2802">
          <cell r="A2802">
            <v>28000</v>
          </cell>
          <cell r="C2802">
            <v>111.84</v>
          </cell>
        </row>
        <row r="2803">
          <cell r="A2803">
            <v>28010</v>
          </cell>
          <cell r="C2803">
            <v>111.839</v>
          </cell>
        </row>
        <row r="2804">
          <cell r="A2804">
            <v>28020</v>
          </cell>
          <cell r="C2804">
            <v>111.83799999999999</v>
          </cell>
        </row>
        <row r="2805">
          <cell r="A2805">
            <v>28030</v>
          </cell>
          <cell r="C2805">
            <v>111.837</v>
          </cell>
        </row>
        <row r="2806">
          <cell r="A2806">
            <v>28040</v>
          </cell>
          <cell r="C2806">
            <v>111.836</v>
          </cell>
        </row>
        <row r="2807">
          <cell r="A2807">
            <v>28050</v>
          </cell>
          <cell r="C2807">
            <v>111.83499999999999</v>
          </cell>
        </row>
        <row r="2808">
          <cell r="A2808">
            <v>28060</v>
          </cell>
          <cell r="C2808">
            <v>111.834</v>
          </cell>
        </row>
        <row r="2809">
          <cell r="A2809">
            <v>28070</v>
          </cell>
          <cell r="C2809">
            <v>111.833</v>
          </cell>
        </row>
        <row r="2810">
          <cell r="A2810">
            <v>28080</v>
          </cell>
          <cell r="C2810">
            <v>111.83199999999999</v>
          </cell>
        </row>
        <row r="2811">
          <cell r="A2811">
            <v>28090</v>
          </cell>
          <cell r="C2811">
            <v>111.831</v>
          </cell>
        </row>
        <row r="2812">
          <cell r="A2812">
            <v>28100</v>
          </cell>
          <cell r="C2812">
            <v>111.83</v>
          </cell>
        </row>
        <row r="2813">
          <cell r="A2813">
            <v>28110</v>
          </cell>
          <cell r="C2813">
            <v>111.82899999999999</v>
          </cell>
        </row>
        <row r="2814">
          <cell r="A2814">
            <v>28120</v>
          </cell>
          <cell r="C2814">
            <v>111.828</v>
          </cell>
        </row>
        <row r="2815">
          <cell r="A2815">
            <v>28130</v>
          </cell>
          <cell r="C2815">
            <v>111.827</v>
          </cell>
        </row>
        <row r="2816">
          <cell r="A2816">
            <v>28140</v>
          </cell>
          <cell r="C2816">
            <v>111.825</v>
          </cell>
        </row>
        <row r="2817">
          <cell r="A2817">
            <v>28150</v>
          </cell>
          <cell r="C2817">
            <v>111.824</v>
          </cell>
        </row>
        <row r="2818">
          <cell r="A2818">
            <v>28160</v>
          </cell>
          <cell r="C2818">
            <v>111.82299999999999</v>
          </cell>
        </row>
        <row r="2819">
          <cell r="A2819">
            <v>28170</v>
          </cell>
          <cell r="C2819">
            <v>111.822</v>
          </cell>
        </row>
        <row r="2820">
          <cell r="A2820">
            <v>28180</v>
          </cell>
          <cell r="C2820">
            <v>111.821</v>
          </cell>
        </row>
        <row r="2821">
          <cell r="A2821">
            <v>28190</v>
          </cell>
          <cell r="C2821">
            <v>111.82</v>
          </cell>
        </row>
        <row r="2822">
          <cell r="A2822">
            <v>28200</v>
          </cell>
          <cell r="C2822">
            <v>111.819</v>
          </cell>
        </row>
        <row r="2823">
          <cell r="A2823">
            <v>28210</v>
          </cell>
          <cell r="C2823">
            <v>111.818</v>
          </cell>
        </row>
        <row r="2824">
          <cell r="A2824">
            <v>28220</v>
          </cell>
          <cell r="C2824">
            <v>111.81699999999999</v>
          </cell>
        </row>
        <row r="2825">
          <cell r="A2825">
            <v>28230</v>
          </cell>
          <cell r="C2825">
            <v>111.815</v>
          </cell>
        </row>
        <row r="2826">
          <cell r="A2826">
            <v>28240</v>
          </cell>
          <cell r="C2826">
            <v>111.81399999999999</v>
          </cell>
        </row>
        <row r="2827">
          <cell r="A2827">
            <v>28250</v>
          </cell>
          <cell r="C2827">
            <v>111.813</v>
          </cell>
        </row>
        <row r="2828">
          <cell r="A2828">
            <v>28260</v>
          </cell>
          <cell r="C2828">
            <v>111.812</v>
          </cell>
        </row>
        <row r="2829">
          <cell r="A2829">
            <v>28270</v>
          </cell>
          <cell r="C2829">
            <v>111.81100000000001</v>
          </cell>
        </row>
        <row r="2830">
          <cell r="A2830">
            <v>28280</v>
          </cell>
          <cell r="C2830">
            <v>111.81</v>
          </cell>
        </row>
        <row r="2831">
          <cell r="A2831">
            <v>28290</v>
          </cell>
          <cell r="C2831">
            <v>111.809</v>
          </cell>
        </row>
        <row r="2832">
          <cell r="A2832">
            <v>28300</v>
          </cell>
          <cell r="C2832">
            <v>111.80800000000001</v>
          </cell>
        </row>
        <row r="2833">
          <cell r="A2833">
            <v>28310</v>
          </cell>
          <cell r="C2833">
            <v>111.807</v>
          </cell>
        </row>
        <row r="2834">
          <cell r="A2834">
            <v>28320</v>
          </cell>
          <cell r="C2834">
            <v>111.806</v>
          </cell>
        </row>
        <row r="2835">
          <cell r="A2835">
            <v>28330</v>
          </cell>
          <cell r="C2835">
            <v>111.804</v>
          </cell>
        </row>
        <row r="2836">
          <cell r="A2836">
            <v>28340</v>
          </cell>
          <cell r="C2836">
            <v>111.803</v>
          </cell>
        </row>
        <row r="2837">
          <cell r="A2837">
            <v>28350</v>
          </cell>
          <cell r="C2837">
            <v>111.80200000000001</v>
          </cell>
        </row>
        <row r="2838">
          <cell r="A2838">
            <v>28360</v>
          </cell>
          <cell r="C2838">
            <v>111.801</v>
          </cell>
        </row>
        <row r="2839">
          <cell r="A2839">
            <v>28370</v>
          </cell>
          <cell r="C2839">
            <v>111.8</v>
          </cell>
        </row>
        <row r="2840">
          <cell r="A2840">
            <v>28380</v>
          </cell>
          <cell r="C2840">
            <v>111.79900000000001</v>
          </cell>
        </row>
        <row r="2841">
          <cell r="A2841">
            <v>28390</v>
          </cell>
          <cell r="C2841">
            <v>111.798</v>
          </cell>
        </row>
        <row r="2842">
          <cell r="A2842">
            <v>28400</v>
          </cell>
          <cell r="C2842">
            <v>111.797</v>
          </cell>
        </row>
        <row r="2843">
          <cell r="A2843">
            <v>28410</v>
          </cell>
          <cell r="C2843">
            <v>111.79600000000001</v>
          </cell>
        </row>
        <row r="2844">
          <cell r="A2844">
            <v>28420</v>
          </cell>
          <cell r="C2844">
            <v>111.795</v>
          </cell>
        </row>
        <row r="2845">
          <cell r="A2845">
            <v>28430</v>
          </cell>
          <cell r="C2845">
            <v>111.794</v>
          </cell>
        </row>
        <row r="2846">
          <cell r="A2846">
            <v>28440</v>
          </cell>
          <cell r="C2846">
            <v>111.79300000000001</v>
          </cell>
        </row>
        <row r="2847">
          <cell r="A2847">
            <v>28450</v>
          </cell>
          <cell r="C2847">
            <v>111.791</v>
          </cell>
        </row>
        <row r="2848">
          <cell r="A2848">
            <v>28460</v>
          </cell>
          <cell r="C2848">
            <v>111.79</v>
          </cell>
        </row>
        <row r="2849">
          <cell r="A2849">
            <v>28470</v>
          </cell>
          <cell r="C2849">
            <v>111.789</v>
          </cell>
        </row>
        <row r="2850">
          <cell r="A2850">
            <v>28480</v>
          </cell>
          <cell r="C2850">
            <v>111.788</v>
          </cell>
        </row>
        <row r="2851">
          <cell r="A2851">
            <v>28490</v>
          </cell>
          <cell r="C2851">
            <v>111.78700000000001</v>
          </cell>
        </row>
        <row r="2852">
          <cell r="A2852">
            <v>28500</v>
          </cell>
          <cell r="C2852">
            <v>111.786</v>
          </cell>
        </row>
        <row r="2853">
          <cell r="A2853">
            <v>28510</v>
          </cell>
          <cell r="C2853">
            <v>111.785</v>
          </cell>
        </row>
        <row r="2854">
          <cell r="A2854">
            <v>28520</v>
          </cell>
          <cell r="C2854">
            <v>111.78400000000001</v>
          </cell>
        </row>
        <row r="2855">
          <cell r="A2855">
            <v>28530</v>
          </cell>
          <cell r="C2855">
            <v>111.783</v>
          </cell>
        </row>
        <row r="2856">
          <cell r="A2856">
            <v>28540</v>
          </cell>
          <cell r="C2856">
            <v>111.782</v>
          </cell>
        </row>
        <row r="2857">
          <cell r="A2857">
            <v>28550</v>
          </cell>
          <cell r="C2857">
            <v>111.78100000000001</v>
          </cell>
        </row>
        <row r="2858">
          <cell r="A2858">
            <v>28560</v>
          </cell>
          <cell r="C2858">
            <v>111.78</v>
          </cell>
        </row>
        <row r="2859">
          <cell r="A2859">
            <v>28570</v>
          </cell>
          <cell r="C2859">
            <v>111.779</v>
          </cell>
        </row>
        <row r="2860">
          <cell r="A2860">
            <v>28580</v>
          </cell>
          <cell r="C2860">
            <v>111.77800000000001</v>
          </cell>
        </row>
        <row r="2861">
          <cell r="A2861">
            <v>28590</v>
          </cell>
          <cell r="C2861">
            <v>111.777</v>
          </cell>
        </row>
        <row r="2862">
          <cell r="A2862">
            <v>28600</v>
          </cell>
          <cell r="C2862">
            <v>111.776</v>
          </cell>
        </row>
        <row r="2863">
          <cell r="A2863">
            <v>28610</v>
          </cell>
          <cell r="C2863">
            <v>111.77500000000001</v>
          </cell>
        </row>
        <row r="2864">
          <cell r="A2864">
            <v>28620</v>
          </cell>
          <cell r="C2864">
            <v>111.774</v>
          </cell>
        </row>
        <row r="2865">
          <cell r="A2865">
            <v>28630</v>
          </cell>
          <cell r="C2865">
            <v>111.773</v>
          </cell>
        </row>
        <row r="2866">
          <cell r="A2866">
            <v>28640</v>
          </cell>
          <cell r="C2866">
            <v>111.77200000000001</v>
          </cell>
        </row>
        <row r="2867">
          <cell r="A2867">
            <v>28650</v>
          </cell>
          <cell r="C2867">
            <v>111.771</v>
          </cell>
        </row>
        <row r="2868">
          <cell r="A2868">
            <v>28660</v>
          </cell>
          <cell r="C2868">
            <v>111.77</v>
          </cell>
        </row>
        <row r="2869">
          <cell r="A2869">
            <v>28670</v>
          </cell>
          <cell r="C2869">
            <v>111.76900000000001</v>
          </cell>
        </row>
        <row r="2870">
          <cell r="A2870">
            <v>28680</v>
          </cell>
          <cell r="C2870">
            <v>111.767</v>
          </cell>
        </row>
        <row r="2871">
          <cell r="A2871">
            <v>28690</v>
          </cell>
          <cell r="C2871">
            <v>111.76600000000001</v>
          </cell>
        </row>
        <row r="2872">
          <cell r="A2872">
            <v>28700</v>
          </cell>
          <cell r="C2872">
            <v>111.765</v>
          </cell>
        </row>
        <row r="2873">
          <cell r="A2873">
            <v>28710</v>
          </cell>
          <cell r="C2873">
            <v>111.764</v>
          </cell>
        </row>
        <row r="2874">
          <cell r="A2874">
            <v>28720</v>
          </cell>
          <cell r="C2874">
            <v>111.76300000000001</v>
          </cell>
        </row>
        <row r="2875">
          <cell r="A2875">
            <v>28730</v>
          </cell>
          <cell r="C2875">
            <v>111.762</v>
          </cell>
        </row>
        <row r="2876">
          <cell r="A2876">
            <v>28740</v>
          </cell>
          <cell r="C2876">
            <v>111.761</v>
          </cell>
        </row>
        <row r="2877">
          <cell r="A2877">
            <v>28750</v>
          </cell>
          <cell r="C2877">
            <v>111.76</v>
          </cell>
        </row>
        <row r="2878">
          <cell r="A2878">
            <v>28760</v>
          </cell>
          <cell r="C2878">
            <v>111.759</v>
          </cell>
        </row>
        <row r="2879">
          <cell r="A2879">
            <v>28770</v>
          </cell>
          <cell r="C2879">
            <v>111.758</v>
          </cell>
        </row>
        <row r="2880">
          <cell r="A2880">
            <v>28780</v>
          </cell>
          <cell r="C2880">
            <v>111.75700000000001</v>
          </cell>
        </row>
        <row r="2881">
          <cell r="A2881">
            <v>28790</v>
          </cell>
          <cell r="C2881">
            <v>111.756</v>
          </cell>
        </row>
        <row r="2882">
          <cell r="A2882">
            <v>28800</v>
          </cell>
          <cell r="C2882">
            <v>111.755</v>
          </cell>
        </row>
        <row r="2883">
          <cell r="A2883">
            <v>28810</v>
          </cell>
          <cell r="C2883">
            <v>111.754</v>
          </cell>
        </row>
        <row r="2884">
          <cell r="A2884">
            <v>28820</v>
          </cell>
          <cell r="C2884">
            <v>111.753</v>
          </cell>
        </row>
        <row r="2885">
          <cell r="A2885">
            <v>28830</v>
          </cell>
          <cell r="C2885">
            <v>111.752</v>
          </cell>
        </row>
        <row r="2886">
          <cell r="A2886">
            <v>28840</v>
          </cell>
          <cell r="C2886">
            <v>111.751</v>
          </cell>
        </row>
        <row r="2887">
          <cell r="A2887">
            <v>28850</v>
          </cell>
          <cell r="C2887">
            <v>111.75</v>
          </cell>
        </row>
        <row r="2888">
          <cell r="A2888">
            <v>28860</v>
          </cell>
          <cell r="C2888">
            <v>111.749</v>
          </cell>
        </row>
        <row r="2889">
          <cell r="A2889">
            <v>28870</v>
          </cell>
          <cell r="C2889">
            <v>111.748</v>
          </cell>
        </row>
        <row r="2890">
          <cell r="A2890">
            <v>28880</v>
          </cell>
          <cell r="C2890">
            <v>111.747</v>
          </cell>
        </row>
        <row r="2891">
          <cell r="A2891">
            <v>28890</v>
          </cell>
          <cell r="C2891">
            <v>111.746</v>
          </cell>
        </row>
        <row r="2892">
          <cell r="A2892">
            <v>28900</v>
          </cell>
          <cell r="C2892">
            <v>111.745</v>
          </cell>
        </row>
        <row r="2893">
          <cell r="A2893">
            <v>28910</v>
          </cell>
          <cell r="C2893">
            <v>111.744</v>
          </cell>
        </row>
        <row r="2894">
          <cell r="A2894">
            <v>28920</v>
          </cell>
          <cell r="C2894">
            <v>111.74299999999999</v>
          </cell>
        </row>
        <row r="2895">
          <cell r="A2895">
            <v>28930</v>
          </cell>
          <cell r="C2895">
            <v>111.742</v>
          </cell>
        </row>
        <row r="2896">
          <cell r="A2896">
            <v>28940</v>
          </cell>
          <cell r="C2896">
            <v>111.741</v>
          </cell>
        </row>
        <row r="2897">
          <cell r="A2897">
            <v>28950</v>
          </cell>
          <cell r="C2897">
            <v>111.74</v>
          </cell>
        </row>
        <row r="2898">
          <cell r="A2898">
            <v>28960</v>
          </cell>
          <cell r="C2898">
            <v>111.739</v>
          </cell>
        </row>
        <row r="2899">
          <cell r="A2899">
            <v>28970</v>
          </cell>
          <cell r="C2899">
            <v>111.738</v>
          </cell>
        </row>
        <row r="2900">
          <cell r="A2900">
            <v>28980</v>
          </cell>
          <cell r="C2900">
            <v>111.73699999999999</v>
          </cell>
        </row>
        <row r="2901">
          <cell r="A2901">
            <v>28990</v>
          </cell>
          <cell r="C2901">
            <v>111.736</v>
          </cell>
        </row>
        <row r="2902">
          <cell r="A2902">
            <v>29000</v>
          </cell>
          <cell r="C2902">
            <v>111.735</v>
          </cell>
        </row>
        <row r="2903">
          <cell r="A2903">
            <v>29010</v>
          </cell>
          <cell r="C2903">
            <v>111.73399999999999</v>
          </cell>
        </row>
        <row r="2904">
          <cell r="A2904">
            <v>29020</v>
          </cell>
          <cell r="C2904">
            <v>111.733</v>
          </cell>
        </row>
        <row r="2905">
          <cell r="A2905">
            <v>29030</v>
          </cell>
          <cell r="C2905">
            <v>111.732</v>
          </cell>
        </row>
        <row r="2906">
          <cell r="A2906">
            <v>29040</v>
          </cell>
          <cell r="C2906">
            <v>111.73099999999999</v>
          </cell>
        </row>
        <row r="2907">
          <cell r="A2907">
            <v>29050</v>
          </cell>
          <cell r="C2907">
            <v>111.73</v>
          </cell>
        </row>
        <row r="2908">
          <cell r="A2908">
            <v>29060</v>
          </cell>
          <cell r="C2908">
            <v>111.729</v>
          </cell>
        </row>
        <row r="2909">
          <cell r="A2909">
            <v>29070</v>
          </cell>
          <cell r="C2909">
            <v>111.72799999999999</v>
          </cell>
        </row>
        <row r="2910">
          <cell r="A2910">
            <v>29080</v>
          </cell>
          <cell r="C2910">
            <v>111.727</v>
          </cell>
        </row>
        <row r="2911">
          <cell r="A2911">
            <v>29090</v>
          </cell>
          <cell r="C2911">
            <v>111.726</v>
          </cell>
        </row>
        <row r="2912">
          <cell r="A2912">
            <v>29100</v>
          </cell>
          <cell r="C2912">
            <v>111.72499999999999</v>
          </cell>
        </row>
        <row r="2913">
          <cell r="A2913">
            <v>29110</v>
          </cell>
          <cell r="C2913">
            <v>111.724</v>
          </cell>
        </row>
        <row r="2914">
          <cell r="A2914">
            <v>29120</v>
          </cell>
          <cell r="C2914">
            <v>111.723</v>
          </cell>
        </row>
        <row r="2915">
          <cell r="A2915">
            <v>29130</v>
          </cell>
          <cell r="C2915">
            <v>111.72199999999999</v>
          </cell>
        </row>
        <row r="2916">
          <cell r="A2916">
            <v>29140</v>
          </cell>
          <cell r="C2916">
            <v>111.721</v>
          </cell>
        </row>
        <row r="2917">
          <cell r="A2917">
            <v>29150</v>
          </cell>
          <cell r="C2917">
            <v>111.72</v>
          </cell>
        </row>
        <row r="2918">
          <cell r="A2918">
            <v>29160</v>
          </cell>
          <cell r="C2918">
            <v>111.71899999999999</v>
          </cell>
        </row>
        <row r="2919">
          <cell r="A2919">
            <v>29170</v>
          </cell>
          <cell r="C2919">
            <v>111.718</v>
          </cell>
        </row>
        <row r="2920">
          <cell r="A2920">
            <v>29180</v>
          </cell>
          <cell r="C2920">
            <v>111.717</v>
          </cell>
        </row>
        <row r="2921">
          <cell r="A2921">
            <v>29190</v>
          </cell>
          <cell r="C2921">
            <v>111.71599999999999</v>
          </cell>
        </row>
        <row r="2922">
          <cell r="A2922">
            <v>29200</v>
          </cell>
          <cell r="C2922">
            <v>111.715</v>
          </cell>
        </row>
        <row r="2923">
          <cell r="A2923">
            <v>29210</v>
          </cell>
          <cell r="C2923">
            <v>111.714</v>
          </cell>
        </row>
        <row r="2924">
          <cell r="A2924">
            <v>29220</v>
          </cell>
          <cell r="C2924">
            <v>111.71299999999999</v>
          </cell>
        </row>
        <row r="2925">
          <cell r="A2925">
            <v>29230</v>
          </cell>
          <cell r="C2925">
            <v>111.712</v>
          </cell>
        </row>
        <row r="2926">
          <cell r="A2926">
            <v>29240</v>
          </cell>
          <cell r="C2926">
            <v>111.711</v>
          </cell>
        </row>
        <row r="2927">
          <cell r="A2927">
            <v>29250</v>
          </cell>
          <cell r="C2927">
            <v>111.71</v>
          </cell>
        </row>
        <row r="2928">
          <cell r="A2928">
            <v>29260</v>
          </cell>
          <cell r="C2928">
            <v>111.709</v>
          </cell>
        </row>
        <row r="2929">
          <cell r="A2929">
            <v>29270</v>
          </cell>
          <cell r="C2929">
            <v>111.708</v>
          </cell>
        </row>
        <row r="2930">
          <cell r="A2930">
            <v>29280</v>
          </cell>
          <cell r="C2930">
            <v>111.70699999999999</v>
          </cell>
        </row>
        <row r="2931">
          <cell r="A2931">
            <v>29290</v>
          </cell>
          <cell r="C2931">
            <v>111.706</v>
          </cell>
        </row>
        <row r="2932">
          <cell r="A2932">
            <v>29300</v>
          </cell>
          <cell r="C2932">
            <v>111.705</v>
          </cell>
        </row>
        <row r="2933">
          <cell r="A2933">
            <v>29310</v>
          </cell>
          <cell r="C2933">
            <v>111.70399999999999</v>
          </cell>
        </row>
        <row r="2934">
          <cell r="A2934">
            <v>29320</v>
          </cell>
          <cell r="C2934">
            <v>111.703</v>
          </cell>
        </row>
        <row r="2935">
          <cell r="A2935">
            <v>29330</v>
          </cell>
          <cell r="C2935">
            <v>111.702</v>
          </cell>
        </row>
        <row r="2936">
          <cell r="A2936">
            <v>29340</v>
          </cell>
          <cell r="C2936">
            <v>111.70099999999999</v>
          </cell>
        </row>
        <row r="2937">
          <cell r="A2937">
            <v>29350</v>
          </cell>
          <cell r="C2937">
            <v>111.7</v>
          </cell>
        </row>
        <row r="2938">
          <cell r="A2938">
            <v>29360</v>
          </cell>
          <cell r="C2938">
            <v>111.699</v>
          </cell>
        </row>
        <row r="2939">
          <cell r="A2939">
            <v>29370</v>
          </cell>
          <cell r="C2939">
            <v>111.69799999999999</v>
          </cell>
        </row>
        <row r="2940">
          <cell r="A2940">
            <v>29380</v>
          </cell>
          <cell r="C2940">
            <v>111.697</v>
          </cell>
        </row>
        <row r="2941">
          <cell r="A2941">
            <v>29390</v>
          </cell>
          <cell r="C2941">
            <v>111.696</v>
          </cell>
        </row>
        <row r="2942">
          <cell r="A2942">
            <v>29400</v>
          </cell>
          <cell r="C2942">
            <v>111.69499999999999</v>
          </cell>
        </row>
        <row r="2943">
          <cell r="A2943">
            <v>29410</v>
          </cell>
          <cell r="C2943">
            <v>111.693</v>
          </cell>
        </row>
        <row r="2944">
          <cell r="A2944">
            <v>29420</v>
          </cell>
          <cell r="C2944">
            <v>111.69199999999999</v>
          </cell>
        </row>
        <row r="2945">
          <cell r="A2945">
            <v>29430</v>
          </cell>
          <cell r="C2945">
            <v>111.691</v>
          </cell>
        </row>
        <row r="2946">
          <cell r="A2946">
            <v>29440</v>
          </cell>
          <cell r="C2946">
            <v>111.69</v>
          </cell>
        </row>
        <row r="2947">
          <cell r="A2947">
            <v>29450</v>
          </cell>
          <cell r="C2947">
            <v>111.68899999999999</v>
          </cell>
        </row>
        <row r="2948">
          <cell r="A2948">
            <v>29460</v>
          </cell>
          <cell r="C2948">
            <v>111.688</v>
          </cell>
        </row>
        <row r="2949">
          <cell r="A2949">
            <v>29470</v>
          </cell>
          <cell r="C2949">
            <v>111.687</v>
          </cell>
        </row>
        <row r="2950">
          <cell r="A2950">
            <v>29480</v>
          </cell>
          <cell r="C2950">
            <v>111.68600000000001</v>
          </cell>
        </row>
        <row r="2951">
          <cell r="A2951">
            <v>29490</v>
          </cell>
          <cell r="C2951">
            <v>111.685</v>
          </cell>
        </row>
        <row r="2952">
          <cell r="A2952">
            <v>29500</v>
          </cell>
          <cell r="C2952">
            <v>111.684</v>
          </cell>
        </row>
        <row r="2953">
          <cell r="A2953">
            <v>29510</v>
          </cell>
          <cell r="C2953">
            <v>111.682</v>
          </cell>
        </row>
        <row r="2954">
          <cell r="A2954">
            <v>29520</v>
          </cell>
          <cell r="C2954">
            <v>111.681</v>
          </cell>
        </row>
        <row r="2955">
          <cell r="A2955">
            <v>29530</v>
          </cell>
          <cell r="C2955">
            <v>111.68</v>
          </cell>
        </row>
        <row r="2956">
          <cell r="A2956">
            <v>29540</v>
          </cell>
          <cell r="C2956">
            <v>111.679</v>
          </cell>
        </row>
        <row r="2957">
          <cell r="A2957">
            <v>29550</v>
          </cell>
          <cell r="C2957">
            <v>111.678</v>
          </cell>
        </row>
        <row r="2958">
          <cell r="A2958">
            <v>29560</v>
          </cell>
          <cell r="C2958">
            <v>111.67700000000001</v>
          </cell>
        </row>
        <row r="2959">
          <cell r="A2959">
            <v>29570</v>
          </cell>
          <cell r="C2959">
            <v>111.676</v>
          </cell>
        </row>
        <row r="2960">
          <cell r="A2960">
            <v>29580</v>
          </cell>
          <cell r="C2960">
            <v>111.67400000000001</v>
          </cell>
        </row>
        <row r="2961">
          <cell r="A2961">
            <v>29590</v>
          </cell>
          <cell r="C2961">
            <v>111.673</v>
          </cell>
        </row>
        <row r="2962">
          <cell r="A2962">
            <v>29600</v>
          </cell>
          <cell r="C2962">
            <v>111.672</v>
          </cell>
        </row>
        <row r="2963">
          <cell r="A2963">
            <v>29610</v>
          </cell>
          <cell r="C2963">
            <v>111.67100000000001</v>
          </cell>
        </row>
        <row r="2964">
          <cell r="A2964">
            <v>29620</v>
          </cell>
          <cell r="C2964">
            <v>111.67</v>
          </cell>
        </row>
        <row r="2965">
          <cell r="A2965">
            <v>29630</v>
          </cell>
          <cell r="C2965">
            <v>111.66800000000001</v>
          </cell>
        </row>
        <row r="2966">
          <cell r="A2966">
            <v>29640</v>
          </cell>
          <cell r="C2966">
            <v>111.667</v>
          </cell>
        </row>
        <row r="2967">
          <cell r="A2967">
            <v>29650</v>
          </cell>
          <cell r="C2967">
            <v>111.666</v>
          </cell>
        </row>
        <row r="2968">
          <cell r="A2968">
            <v>29660</v>
          </cell>
          <cell r="C2968">
            <v>111.66500000000001</v>
          </cell>
        </row>
        <row r="2969">
          <cell r="A2969">
            <v>29670</v>
          </cell>
          <cell r="C2969">
            <v>111.664</v>
          </cell>
        </row>
        <row r="2970">
          <cell r="A2970">
            <v>29680</v>
          </cell>
          <cell r="C2970">
            <v>111.66200000000001</v>
          </cell>
        </row>
        <row r="2971">
          <cell r="A2971">
            <v>29690</v>
          </cell>
          <cell r="C2971">
            <v>111.661</v>
          </cell>
        </row>
        <row r="2972">
          <cell r="A2972">
            <v>29700</v>
          </cell>
          <cell r="C2972">
            <v>111.66</v>
          </cell>
        </row>
        <row r="2973">
          <cell r="A2973">
            <v>29710</v>
          </cell>
          <cell r="C2973">
            <v>111.65900000000001</v>
          </cell>
        </row>
        <row r="2974">
          <cell r="A2974">
            <v>29720</v>
          </cell>
          <cell r="C2974">
            <v>111.657</v>
          </cell>
        </row>
        <row r="2975">
          <cell r="A2975">
            <v>29730</v>
          </cell>
          <cell r="C2975">
            <v>111.65600000000001</v>
          </cell>
        </row>
        <row r="2976">
          <cell r="A2976">
            <v>29740</v>
          </cell>
          <cell r="C2976">
            <v>111.655</v>
          </cell>
        </row>
        <row r="2977">
          <cell r="A2977">
            <v>29750</v>
          </cell>
          <cell r="C2977">
            <v>111.654</v>
          </cell>
        </row>
        <row r="2978">
          <cell r="A2978">
            <v>29760</v>
          </cell>
          <cell r="C2978">
            <v>111.652</v>
          </cell>
        </row>
        <row r="2979">
          <cell r="A2979">
            <v>29770</v>
          </cell>
          <cell r="C2979">
            <v>111.651</v>
          </cell>
        </row>
        <row r="2980">
          <cell r="A2980">
            <v>29780</v>
          </cell>
          <cell r="C2980">
            <v>111.65</v>
          </cell>
        </row>
        <row r="2981">
          <cell r="A2981">
            <v>29790</v>
          </cell>
          <cell r="C2981">
            <v>111.649</v>
          </cell>
        </row>
        <row r="2982">
          <cell r="A2982">
            <v>29800</v>
          </cell>
          <cell r="C2982">
            <v>111.64700000000001</v>
          </cell>
        </row>
        <row r="2983">
          <cell r="A2983">
            <v>29810</v>
          </cell>
          <cell r="C2983">
            <v>111.646</v>
          </cell>
        </row>
        <row r="2984">
          <cell r="A2984">
            <v>29820</v>
          </cell>
          <cell r="C2984">
            <v>111.645</v>
          </cell>
        </row>
        <row r="2985">
          <cell r="A2985">
            <v>29830</v>
          </cell>
          <cell r="C2985">
            <v>111.643</v>
          </cell>
        </row>
        <row r="2986">
          <cell r="A2986">
            <v>29840</v>
          </cell>
          <cell r="C2986">
            <v>111.642</v>
          </cell>
        </row>
        <row r="2987">
          <cell r="A2987">
            <v>29850</v>
          </cell>
          <cell r="C2987">
            <v>111.64100000000001</v>
          </cell>
        </row>
        <row r="2988">
          <cell r="A2988">
            <v>29860</v>
          </cell>
          <cell r="C2988">
            <v>111.639</v>
          </cell>
        </row>
        <row r="2989">
          <cell r="A2989">
            <v>29870</v>
          </cell>
          <cell r="C2989">
            <v>111.63800000000001</v>
          </cell>
        </row>
        <row r="2990">
          <cell r="A2990">
            <v>29880</v>
          </cell>
          <cell r="C2990">
            <v>111.636</v>
          </cell>
        </row>
        <row r="2991">
          <cell r="A2991">
            <v>29890</v>
          </cell>
          <cell r="C2991">
            <v>111.63500000000001</v>
          </cell>
        </row>
        <row r="2992">
          <cell r="A2992">
            <v>29900</v>
          </cell>
          <cell r="C2992">
            <v>111.634</v>
          </cell>
        </row>
        <row r="2993">
          <cell r="A2993">
            <v>29910</v>
          </cell>
          <cell r="C2993">
            <v>111.63200000000001</v>
          </cell>
        </row>
        <row r="2994">
          <cell r="A2994">
            <v>29920</v>
          </cell>
          <cell r="C2994">
            <v>111.631</v>
          </cell>
        </row>
        <row r="2995">
          <cell r="A2995">
            <v>29930</v>
          </cell>
          <cell r="C2995">
            <v>111.629</v>
          </cell>
        </row>
        <row r="2996">
          <cell r="A2996">
            <v>29940</v>
          </cell>
          <cell r="C2996">
            <v>111.628</v>
          </cell>
        </row>
        <row r="2997">
          <cell r="A2997">
            <v>29950</v>
          </cell>
          <cell r="C2997">
            <v>111.627</v>
          </cell>
        </row>
        <row r="2998">
          <cell r="A2998">
            <v>29960</v>
          </cell>
          <cell r="C2998">
            <v>111.625</v>
          </cell>
        </row>
        <row r="2999">
          <cell r="A2999">
            <v>29970</v>
          </cell>
          <cell r="C2999">
            <v>111.624</v>
          </cell>
        </row>
        <row r="3000">
          <cell r="A3000">
            <v>29980</v>
          </cell>
          <cell r="C3000">
            <v>111.622</v>
          </cell>
        </row>
        <row r="3001">
          <cell r="A3001">
            <v>29990</v>
          </cell>
          <cell r="C3001">
            <v>111.621</v>
          </cell>
        </row>
        <row r="3002">
          <cell r="A3002">
            <v>30000</v>
          </cell>
          <cell r="C3002">
            <v>111.619</v>
          </cell>
        </row>
        <row r="3003">
          <cell r="A3003">
            <v>30010</v>
          </cell>
          <cell r="C3003">
            <v>111.61799999999999</v>
          </cell>
        </row>
        <row r="3004">
          <cell r="A3004">
            <v>30020</v>
          </cell>
          <cell r="C3004">
            <v>111.616</v>
          </cell>
        </row>
        <row r="3005">
          <cell r="A3005">
            <v>30030</v>
          </cell>
          <cell r="C3005">
            <v>111.61499999999999</v>
          </cell>
        </row>
        <row r="3006">
          <cell r="A3006">
            <v>30040</v>
          </cell>
          <cell r="C3006">
            <v>111.613</v>
          </cell>
        </row>
        <row r="3007">
          <cell r="A3007">
            <v>30050</v>
          </cell>
          <cell r="C3007">
            <v>111.61199999999999</v>
          </cell>
        </row>
        <row r="3008">
          <cell r="A3008">
            <v>30060</v>
          </cell>
          <cell r="C3008">
            <v>111.61</v>
          </cell>
        </row>
        <row r="3009">
          <cell r="A3009">
            <v>30070</v>
          </cell>
          <cell r="C3009">
            <v>111.608</v>
          </cell>
        </row>
        <row r="3010">
          <cell r="A3010">
            <v>30080</v>
          </cell>
          <cell r="C3010">
            <v>111.607</v>
          </cell>
        </row>
        <row r="3011">
          <cell r="A3011">
            <v>30090</v>
          </cell>
          <cell r="C3011">
            <v>111.605</v>
          </cell>
        </row>
        <row r="3012">
          <cell r="A3012">
            <v>30100</v>
          </cell>
          <cell r="C3012">
            <v>111.604</v>
          </cell>
        </row>
        <row r="3013">
          <cell r="A3013">
            <v>30110</v>
          </cell>
          <cell r="C3013">
            <v>111.602</v>
          </cell>
        </row>
        <row r="3014">
          <cell r="A3014">
            <v>30120</v>
          </cell>
          <cell r="C3014">
            <v>111.6</v>
          </cell>
        </row>
        <row r="3015">
          <cell r="A3015">
            <v>30130</v>
          </cell>
          <cell r="C3015">
            <v>111.599</v>
          </cell>
        </row>
        <row r="3016">
          <cell r="A3016">
            <v>30140</v>
          </cell>
          <cell r="C3016">
            <v>111.59699999999999</v>
          </cell>
        </row>
        <row r="3017">
          <cell r="A3017">
            <v>30150</v>
          </cell>
          <cell r="C3017">
            <v>111.595</v>
          </cell>
        </row>
        <row r="3018">
          <cell r="A3018">
            <v>30160</v>
          </cell>
          <cell r="C3018">
            <v>111.59399999999999</v>
          </cell>
        </row>
        <row r="3019">
          <cell r="A3019">
            <v>30170</v>
          </cell>
          <cell r="C3019">
            <v>111.592</v>
          </cell>
        </row>
        <row r="3020">
          <cell r="A3020">
            <v>30180</v>
          </cell>
          <cell r="C3020">
            <v>111.59</v>
          </cell>
        </row>
        <row r="3021">
          <cell r="A3021">
            <v>30190</v>
          </cell>
          <cell r="C3021">
            <v>111.58799999999999</v>
          </cell>
        </row>
        <row r="3022">
          <cell r="A3022">
            <v>30200</v>
          </cell>
          <cell r="C3022">
            <v>111.587</v>
          </cell>
        </row>
        <row r="3023">
          <cell r="A3023">
            <v>30210</v>
          </cell>
          <cell r="C3023">
            <v>111.58499999999999</v>
          </cell>
        </row>
        <row r="3024">
          <cell r="A3024">
            <v>30220</v>
          </cell>
          <cell r="C3024">
            <v>111.583</v>
          </cell>
        </row>
        <row r="3025">
          <cell r="A3025">
            <v>30230</v>
          </cell>
          <cell r="C3025">
            <v>111.58199999999999</v>
          </cell>
        </row>
        <row r="3026">
          <cell r="A3026">
            <v>30240</v>
          </cell>
          <cell r="C3026">
            <v>111.58</v>
          </cell>
        </row>
        <row r="3027">
          <cell r="A3027">
            <v>30250</v>
          </cell>
          <cell r="C3027">
            <v>111.578</v>
          </cell>
        </row>
        <row r="3028">
          <cell r="A3028">
            <v>30260</v>
          </cell>
          <cell r="C3028">
            <v>111.577</v>
          </cell>
        </row>
        <row r="3029">
          <cell r="A3029">
            <v>30270</v>
          </cell>
          <cell r="C3029">
            <v>111.575</v>
          </cell>
        </row>
        <row r="3030">
          <cell r="A3030">
            <v>30280</v>
          </cell>
          <cell r="C3030">
            <v>111.57299999999999</v>
          </cell>
        </row>
        <row r="3031">
          <cell r="A3031">
            <v>30290</v>
          </cell>
          <cell r="C3031">
            <v>111.572</v>
          </cell>
        </row>
        <row r="3032">
          <cell r="A3032">
            <v>30300</v>
          </cell>
          <cell r="C3032">
            <v>111.57</v>
          </cell>
        </row>
        <row r="3033">
          <cell r="A3033">
            <v>30310</v>
          </cell>
          <cell r="C3033">
            <v>111.568</v>
          </cell>
        </row>
        <row r="3034">
          <cell r="A3034">
            <v>30320</v>
          </cell>
          <cell r="C3034">
            <v>111.56699999999999</v>
          </cell>
        </row>
        <row r="3035">
          <cell r="A3035">
            <v>30330</v>
          </cell>
          <cell r="C3035">
            <v>111.565</v>
          </cell>
        </row>
        <row r="3036">
          <cell r="A3036">
            <v>30340</v>
          </cell>
          <cell r="C3036">
            <v>111.563</v>
          </cell>
        </row>
        <row r="3037">
          <cell r="A3037">
            <v>30350</v>
          </cell>
          <cell r="C3037">
            <v>111.562</v>
          </cell>
        </row>
        <row r="3038">
          <cell r="A3038">
            <v>30360</v>
          </cell>
          <cell r="C3038">
            <v>111.56</v>
          </cell>
        </row>
        <row r="3039">
          <cell r="A3039">
            <v>30370</v>
          </cell>
          <cell r="C3039">
            <v>111.55800000000001</v>
          </cell>
        </row>
        <row r="3040">
          <cell r="A3040">
            <v>30380</v>
          </cell>
          <cell r="C3040">
            <v>111.557</v>
          </cell>
        </row>
        <row r="3041">
          <cell r="A3041">
            <v>30390</v>
          </cell>
          <cell r="C3041">
            <v>111.55500000000001</v>
          </cell>
        </row>
        <row r="3042">
          <cell r="A3042">
            <v>30400</v>
          </cell>
          <cell r="C3042">
            <v>111.553</v>
          </cell>
        </row>
        <row r="3043">
          <cell r="A3043">
            <v>30410</v>
          </cell>
          <cell r="C3043">
            <v>111.55200000000001</v>
          </cell>
        </row>
        <row r="3044">
          <cell r="A3044">
            <v>30420</v>
          </cell>
          <cell r="C3044">
            <v>111.55</v>
          </cell>
        </row>
        <row r="3045">
          <cell r="A3045">
            <v>30430</v>
          </cell>
          <cell r="C3045">
            <v>111.548</v>
          </cell>
        </row>
        <row r="3046">
          <cell r="A3046">
            <v>30440</v>
          </cell>
          <cell r="C3046">
            <v>111.547</v>
          </cell>
        </row>
        <row r="3047">
          <cell r="A3047">
            <v>30450</v>
          </cell>
          <cell r="C3047">
            <v>111.545</v>
          </cell>
        </row>
        <row r="3048">
          <cell r="A3048">
            <v>30460</v>
          </cell>
          <cell r="C3048">
            <v>111.544</v>
          </cell>
        </row>
        <row r="3049">
          <cell r="A3049">
            <v>30470</v>
          </cell>
          <cell r="C3049">
            <v>111.542</v>
          </cell>
        </row>
        <row r="3050">
          <cell r="A3050">
            <v>30480</v>
          </cell>
          <cell r="C3050">
            <v>111.54</v>
          </cell>
        </row>
        <row r="3051">
          <cell r="A3051">
            <v>30490</v>
          </cell>
          <cell r="C3051">
            <v>111.539</v>
          </cell>
        </row>
        <row r="3052">
          <cell r="A3052">
            <v>30500</v>
          </cell>
          <cell r="C3052">
            <v>111.53700000000001</v>
          </cell>
        </row>
        <row r="3053">
          <cell r="A3053">
            <v>30510</v>
          </cell>
          <cell r="C3053">
            <v>111.536</v>
          </cell>
        </row>
        <row r="3054">
          <cell r="A3054">
            <v>30520</v>
          </cell>
          <cell r="C3054">
            <v>111.53400000000001</v>
          </cell>
        </row>
        <row r="3055">
          <cell r="A3055">
            <v>30530</v>
          </cell>
          <cell r="C3055">
            <v>111.532</v>
          </cell>
        </row>
        <row r="3056">
          <cell r="A3056">
            <v>30540</v>
          </cell>
          <cell r="C3056">
            <v>111.53100000000001</v>
          </cell>
        </row>
        <row r="3057">
          <cell r="A3057">
            <v>30550</v>
          </cell>
          <cell r="C3057">
            <v>111.529</v>
          </cell>
        </row>
        <row r="3058">
          <cell r="A3058">
            <v>30560</v>
          </cell>
          <cell r="C3058">
            <v>111.52800000000001</v>
          </cell>
        </row>
        <row r="3059">
          <cell r="A3059">
            <v>30570</v>
          </cell>
          <cell r="C3059">
            <v>111.526</v>
          </cell>
        </row>
        <row r="3060">
          <cell r="A3060">
            <v>30580</v>
          </cell>
          <cell r="C3060">
            <v>111.524</v>
          </cell>
        </row>
        <row r="3061">
          <cell r="A3061">
            <v>30590</v>
          </cell>
          <cell r="C3061">
            <v>111.523</v>
          </cell>
        </row>
        <row r="3062">
          <cell r="A3062">
            <v>30600</v>
          </cell>
          <cell r="C3062">
            <v>111.521</v>
          </cell>
        </row>
        <row r="3063">
          <cell r="A3063">
            <v>30610</v>
          </cell>
          <cell r="C3063">
            <v>111.52</v>
          </cell>
        </row>
        <row r="3064">
          <cell r="A3064">
            <v>30620</v>
          </cell>
          <cell r="C3064">
            <v>111.518</v>
          </cell>
        </row>
        <row r="3065">
          <cell r="A3065">
            <v>30630</v>
          </cell>
          <cell r="C3065">
            <v>111.517</v>
          </cell>
        </row>
        <row r="3066">
          <cell r="A3066">
            <v>30640</v>
          </cell>
          <cell r="C3066">
            <v>111.515</v>
          </cell>
        </row>
        <row r="3067">
          <cell r="A3067">
            <v>30650</v>
          </cell>
          <cell r="C3067">
            <v>111.514</v>
          </cell>
        </row>
        <row r="3068">
          <cell r="A3068">
            <v>30660</v>
          </cell>
          <cell r="C3068">
            <v>111.512</v>
          </cell>
        </row>
        <row r="3069">
          <cell r="A3069">
            <v>30670</v>
          </cell>
          <cell r="C3069">
            <v>111.511</v>
          </cell>
        </row>
        <row r="3070">
          <cell r="A3070">
            <v>30680</v>
          </cell>
          <cell r="C3070">
            <v>111.509</v>
          </cell>
        </row>
        <row r="3071">
          <cell r="A3071">
            <v>30690</v>
          </cell>
          <cell r="C3071">
            <v>111.508</v>
          </cell>
        </row>
        <row r="3072">
          <cell r="A3072">
            <v>30700</v>
          </cell>
          <cell r="C3072">
            <v>111.506</v>
          </cell>
        </row>
        <row r="3073">
          <cell r="A3073">
            <v>30710</v>
          </cell>
          <cell r="C3073">
            <v>111.505</v>
          </cell>
        </row>
        <row r="3074">
          <cell r="A3074">
            <v>30720</v>
          </cell>
          <cell r="C3074">
            <v>111.503</v>
          </cell>
        </row>
        <row r="3075">
          <cell r="A3075">
            <v>30730</v>
          </cell>
          <cell r="C3075">
            <v>111.501</v>
          </cell>
        </row>
        <row r="3076">
          <cell r="A3076">
            <v>30740</v>
          </cell>
          <cell r="C3076">
            <v>111.5</v>
          </cell>
        </row>
        <row r="3077">
          <cell r="A3077">
            <v>30750</v>
          </cell>
          <cell r="C3077">
            <v>111.499</v>
          </cell>
        </row>
        <row r="3078">
          <cell r="A3078">
            <v>30760</v>
          </cell>
          <cell r="C3078">
            <v>111.497</v>
          </cell>
        </row>
        <row r="3079">
          <cell r="A3079">
            <v>30770</v>
          </cell>
          <cell r="C3079">
            <v>111.496</v>
          </cell>
        </row>
        <row r="3080">
          <cell r="A3080">
            <v>30780</v>
          </cell>
          <cell r="C3080">
            <v>111.494</v>
          </cell>
        </row>
        <row r="3081">
          <cell r="A3081">
            <v>30790</v>
          </cell>
          <cell r="C3081">
            <v>111.49299999999999</v>
          </cell>
        </row>
        <row r="3082">
          <cell r="A3082">
            <v>30800</v>
          </cell>
          <cell r="C3082">
            <v>111.491</v>
          </cell>
        </row>
        <row r="3083">
          <cell r="A3083">
            <v>30810</v>
          </cell>
          <cell r="C3083">
            <v>111.49</v>
          </cell>
        </row>
        <row r="3084">
          <cell r="A3084">
            <v>30820</v>
          </cell>
          <cell r="C3084">
            <v>111.488</v>
          </cell>
        </row>
        <row r="3085">
          <cell r="A3085">
            <v>30830</v>
          </cell>
          <cell r="C3085">
            <v>111.48699999999999</v>
          </cell>
        </row>
        <row r="3086">
          <cell r="A3086">
            <v>30840</v>
          </cell>
          <cell r="C3086">
            <v>111.485</v>
          </cell>
        </row>
        <row r="3087">
          <cell r="A3087">
            <v>30850</v>
          </cell>
          <cell r="C3087">
            <v>111.48399999999999</v>
          </cell>
        </row>
        <row r="3088">
          <cell r="A3088">
            <v>30860</v>
          </cell>
          <cell r="C3088">
            <v>111.482</v>
          </cell>
        </row>
        <row r="3089">
          <cell r="A3089">
            <v>30870</v>
          </cell>
          <cell r="C3089">
            <v>111.48099999999999</v>
          </cell>
        </row>
        <row r="3090">
          <cell r="A3090">
            <v>30880</v>
          </cell>
          <cell r="C3090">
            <v>111.48</v>
          </cell>
        </row>
        <row r="3091">
          <cell r="A3091">
            <v>30890</v>
          </cell>
          <cell r="C3091">
            <v>111.47799999999999</v>
          </cell>
        </row>
        <row r="3092">
          <cell r="A3092">
            <v>30900</v>
          </cell>
          <cell r="C3092">
            <v>111.477</v>
          </cell>
        </row>
        <row r="3093">
          <cell r="A3093">
            <v>30910</v>
          </cell>
          <cell r="C3093">
            <v>111.47499999999999</v>
          </cell>
        </row>
        <row r="3094">
          <cell r="A3094">
            <v>30920</v>
          </cell>
          <cell r="C3094">
            <v>111.474</v>
          </cell>
        </row>
        <row r="3095">
          <cell r="A3095">
            <v>30930</v>
          </cell>
          <cell r="C3095">
            <v>111.47199999999999</v>
          </cell>
        </row>
        <row r="3096">
          <cell r="A3096">
            <v>30940</v>
          </cell>
          <cell r="C3096">
            <v>111.471</v>
          </cell>
        </row>
        <row r="3097">
          <cell r="A3097">
            <v>30950</v>
          </cell>
          <cell r="C3097">
            <v>111.47</v>
          </cell>
        </row>
        <row r="3098">
          <cell r="A3098">
            <v>30960</v>
          </cell>
          <cell r="C3098">
            <v>111.468</v>
          </cell>
        </row>
        <row r="3099">
          <cell r="A3099">
            <v>30970</v>
          </cell>
          <cell r="C3099">
            <v>111.467</v>
          </cell>
        </row>
        <row r="3100">
          <cell r="A3100">
            <v>30980</v>
          </cell>
          <cell r="C3100">
            <v>111.465</v>
          </cell>
        </row>
        <row r="3101">
          <cell r="A3101">
            <v>30990</v>
          </cell>
          <cell r="C3101">
            <v>111.464</v>
          </cell>
        </row>
        <row r="3102">
          <cell r="A3102">
            <v>31000</v>
          </cell>
          <cell r="C3102">
            <v>111.46299999999999</v>
          </cell>
        </row>
        <row r="3103">
          <cell r="A3103">
            <v>31010</v>
          </cell>
          <cell r="C3103">
            <v>111.461</v>
          </cell>
        </row>
        <row r="3104">
          <cell r="A3104">
            <v>31020</v>
          </cell>
          <cell r="C3104">
            <v>111.46</v>
          </cell>
        </row>
        <row r="3105">
          <cell r="A3105">
            <v>31030</v>
          </cell>
          <cell r="C3105">
            <v>111.459</v>
          </cell>
        </row>
        <row r="3106">
          <cell r="A3106">
            <v>31040</v>
          </cell>
          <cell r="C3106">
            <v>111.45699999999999</v>
          </cell>
        </row>
        <row r="3107">
          <cell r="A3107">
            <v>31050</v>
          </cell>
          <cell r="C3107">
            <v>111.456</v>
          </cell>
        </row>
        <row r="3108">
          <cell r="A3108">
            <v>31060</v>
          </cell>
          <cell r="C3108">
            <v>111.455</v>
          </cell>
        </row>
        <row r="3109">
          <cell r="A3109">
            <v>31070</v>
          </cell>
          <cell r="C3109">
            <v>111.453</v>
          </cell>
        </row>
        <row r="3110">
          <cell r="A3110">
            <v>31080</v>
          </cell>
          <cell r="C3110">
            <v>111.452</v>
          </cell>
        </row>
        <row r="3111">
          <cell r="A3111">
            <v>31090</v>
          </cell>
          <cell r="C3111">
            <v>111.45099999999999</v>
          </cell>
        </row>
        <row r="3112">
          <cell r="A3112">
            <v>31100</v>
          </cell>
          <cell r="C3112">
            <v>111.449</v>
          </cell>
        </row>
        <row r="3113">
          <cell r="A3113">
            <v>31110</v>
          </cell>
          <cell r="C3113">
            <v>111.44799999999999</v>
          </cell>
        </row>
        <row r="3114">
          <cell r="A3114">
            <v>31120</v>
          </cell>
          <cell r="C3114">
            <v>111.447</v>
          </cell>
        </row>
        <row r="3115">
          <cell r="A3115">
            <v>31130</v>
          </cell>
          <cell r="C3115">
            <v>111.44499999999999</v>
          </cell>
        </row>
        <row r="3116">
          <cell r="A3116">
            <v>31140</v>
          </cell>
          <cell r="C3116">
            <v>111.444</v>
          </cell>
        </row>
        <row r="3117">
          <cell r="A3117">
            <v>31150</v>
          </cell>
          <cell r="C3117">
            <v>111.443</v>
          </cell>
        </row>
        <row r="3118">
          <cell r="A3118">
            <v>31160</v>
          </cell>
          <cell r="C3118">
            <v>111.441</v>
          </cell>
        </row>
        <row r="3119">
          <cell r="A3119">
            <v>31170</v>
          </cell>
          <cell r="C3119">
            <v>111.44</v>
          </cell>
        </row>
        <row r="3120">
          <cell r="A3120">
            <v>31180</v>
          </cell>
          <cell r="C3120">
            <v>111.438</v>
          </cell>
        </row>
        <row r="3121">
          <cell r="A3121">
            <v>31190</v>
          </cell>
          <cell r="C3121">
            <v>111.437</v>
          </cell>
        </row>
        <row r="3122">
          <cell r="A3122">
            <v>31200</v>
          </cell>
          <cell r="C3122">
            <v>111.43600000000001</v>
          </cell>
        </row>
        <row r="3123">
          <cell r="A3123">
            <v>31210</v>
          </cell>
          <cell r="C3123">
            <v>111.434</v>
          </cell>
        </row>
        <row r="3124">
          <cell r="A3124">
            <v>31220</v>
          </cell>
          <cell r="C3124">
            <v>111.43300000000001</v>
          </cell>
        </row>
        <row r="3125">
          <cell r="A3125">
            <v>31230</v>
          </cell>
          <cell r="C3125">
            <v>111.432</v>
          </cell>
        </row>
        <row r="3126">
          <cell r="A3126">
            <v>31240</v>
          </cell>
          <cell r="C3126">
            <v>111.43</v>
          </cell>
        </row>
        <row r="3127">
          <cell r="A3127">
            <v>31250</v>
          </cell>
          <cell r="C3127">
            <v>111.429</v>
          </cell>
        </row>
        <row r="3128">
          <cell r="A3128">
            <v>31260</v>
          </cell>
          <cell r="C3128">
            <v>111.42700000000001</v>
          </cell>
        </row>
        <row r="3129">
          <cell r="A3129">
            <v>31270</v>
          </cell>
          <cell r="C3129">
            <v>111.426</v>
          </cell>
        </row>
        <row r="3130">
          <cell r="A3130">
            <v>31280</v>
          </cell>
          <cell r="C3130">
            <v>111.425</v>
          </cell>
        </row>
        <row r="3131">
          <cell r="A3131">
            <v>31290</v>
          </cell>
          <cell r="C3131">
            <v>111.423</v>
          </cell>
        </row>
        <row r="3132">
          <cell r="A3132">
            <v>31300</v>
          </cell>
          <cell r="C3132">
            <v>111.422</v>
          </cell>
        </row>
        <row r="3133">
          <cell r="A3133">
            <v>31310</v>
          </cell>
          <cell r="C3133">
            <v>111.42</v>
          </cell>
        </row>
        <row r="3134">
          <cell r="A3134">
            <v>31320</v>
          </cell>
          <cell r="C3134">
            <v>111.419</v>
          </cell>
        </row>
        <row r="3135">
          <cell r="A3135">
            <v>31330</v>
          </cell>
          <cell r="C3135">
            <v>111.41800000000001</v>
          </cell>
        </row>
        <row r="3136">
          <cell r="A3136">
            <v>31340</v>
          </cell>
          <cell r="C3136">
            <v>111.416</v>
          </cell>
        </row>
        <row r="3137">
          <cell r="A3137">
            <v>31350</v>
          </cell>
          <cell r="C3137">
            <v>111.41500000000001</v>
          </cell>
        </row>
        <row r="3138">
          <cell r="A3138">
            <v>31360</v>
          </cell>
          <cell r="C3138">
            <v>111.413</v>
          </cell>
        </row>
        <row r="3139">
          <cell r="A3139">
            <v>31370</v>
          </cell>
          <cell r="C3139">
            <v>111.41200000000001</v>
          </cell>
        </row>
        <row r="3140">
          <cell r="A3140">
            <v>31380</v>
          </cell>
          <cell r="C3140">
            <v>111.411</v>
          </cell>
        </row>
        <row r="3141">
          <cell r="A3141">
            <v>31390</v>
          </cell>
          <cell r="C3141">
            <v>111.40900000000001</v>
          </cell>
        </row>
        <row r="3142">
          <cell r="A3142">
            <v>31400</v>
          </cell>
          <cell r="C3142">
            <v>111.408</v>
          </cell>
        </row>
        <row r="3143">
          <cell r="A3143">
            <v>31410</v>
          </cell>
          <cell r="C3143">
            <v>111.40600000000001</v>
          </cell>
        </row>
        <row r="3144">
          <cell r="A3144">
            <v>31420</v>
          </cell>
          <cell r="C3144">
            <v>111.405</v>
          </cell>
        </row>
        <row r="3145">
          <cell r="A3145">
            <v>31430</v>
          </cell>
          <cell r="C3145">
            <v>111.404</v>
          </cell>
        </row>
        <row r="3146">
          <cell r="A3146">
            <v>31440</v>
          </cell>
          <cell r="C3146">
            <v>111.402</v>
          </cell>
        </row>
        <row r="3147">
          <cell r="A3147">
            <v>31450</v>
          </cell>
          <cell r="C3147">
            <v>111.401</v>
          </cell>
        </row>
        <row r="3148">
          <cell r="A3148">
            <v>31460</v>
          </cell>
          <cell r="C3148">
            <v>111.399</v>
          </cell>
        </row>
        <row r="3149">
          <cell r="A3149">
            <v>31470</v>
          </cell>
          <cell r="C3149">
            <v>111.398</v>
          </cell>
        </row>
        <row r="3150">
          <cell r="A3150">
            <v>31480</v>
          </cell>
          <cell r="C3150">
            <v>111.396</v>
          </cell>
        </row>
        <row r="3151">
          <cell r="A3151">
            <v>31490</v>
          </cell>
          <cell r="C3151">
            <v>111.395</v>
          </cell>
        </row>
        <row r="3152">
          <cell r="A3152">
            <v>31500</v>
          </cell>
          <cell r="C3152">
            <v>111.39400000000001</v>
          </cell>
        </row>
        <row r="3153">
          <cell r="A3153">
            <v>31510</v>
          </cell>
          <cell r="C3153">
            <v>111.392</v>
          </cell>
        </row>
        <row r="3154">
          <cell r="A3154">
            <v>31520</v>
          </cell>
          <cell r="C3154">
            <v>111.39100000000001</v>
          </cell>
        </row>
        <row r="3155">
          <cell r="A3155">
            <v>31530</v>
          </cell>
          <cell r="C3155">
            <v>111.389</v>
          </cell>
        </row>
        <row r="3156">
          <cell r="A3156">
            <v>31540</v>
          </cell>
          <cell r="C3156">
            <v>111.38800000000001</v>
          </cell>
        </row>
        <row r="3157">
          <cell r="A3157">
            <v>31550</v>
          </cell>
          <cell r="C3157">
            <v>111.386</v>
          </cell>
        </row>
        <row r="3158">
          <cell r="A3158">
            <v>31560</v>
          </cell>
          <cell r="C3158">
            <v>111.38500000000001</v>
          </cell>
        </row>
        <row r="3159">
          <cell r="A3159">
            <v>31570</v>
          </cell>
          <cell r="C3159">
            <v>111.383</v>
          </cell>
        </row>
        <row r="3160">
          <cell r="A3160">
            <v>31580</v>
          </cell>
          <cell r="C3160">
            <v>111.38200000000001</v>
          </cell>
        </row>
        <row r="3161">
          <cell r="A3161">
            <v>31590</v>
          </cell>
          <cell r="C3161">
            <v>111.38</v>
          </cell>
        </row>
        <row r="3162">
          <cell r="A3162">
            <v>31600</v>
          </cell>
          <cell r="C3162">
            <v>111.379</v>
          </cell>
        </row>
        <row r="3163">
          <cell r="A3163">
            <v>31610</v>
          </cell>
          <cell r="C3163">
            <v>111.378</v>
          </cell>
        </row>
        <row r="3164">
          <cell r="A3164">
            <v>31620</v>
          </cell>
          <cell r="C3164">
            <v>111.376</v>
          </cell>
        </row>
        <row r="3165">
          <cell r="A3165">
            <v>31630</v>
          </cell>
          <cell r="C3165">
            <v>111.375</v>
          </cell>
        </row>
        <row r="3166">
          <cell r="A3166">
            <v>31640</v>
          </cell>
          <cell r="C3166">
            <v>111.373</v>
          </cell>
        </row>
        <row r="3167">
          <cell r="A3167">
            <v>31650</v>
          </cell>
          <cell r="C3167">
            <v>111.372</v>
          </cell>
        </row>
        <row r="3168">
          <cell r="A3168">
            <v>31660</v>
          </cell>
          <cell r="C3168">
            <v>111.37</v>
          </cell>
        </row>
        <row r="3169">
          <cell r="A3169">
            <v>31670</v>
          </cell>
          <cell r="C3169">
            <v>111.369</v>
          </cell>
        </row>
        <row r="3170">
          <cell r="A3170">
            <v>31680</v>
          </cell>
          <cell r="C3170">
            <v>111.367</v>
          </cell>
        </row>
        <row r="3171">
          <cell r="A3171">
            <v>31690</v>
          </cell>
          <cell r="C3171">
            <v>111.366</v>
          </cell>
        </row>
        <row r="3172">
          <cell r="A3172">
            <v>31700</v>
          </cell>
          <cell r="C3172">
            <v>111.364</v>
          </cell>
        </row>
        <row r="3173">
          <cell r="A3173">
            <v>31710</v>
          </cell>
          <cell r="C3173">
            <v>111.363</v>
          </cell>
        </row>
        <row r="3174">
          <cell r="A3174">
            <v>31720</v>
          </cell>
          <cell r="C3174">
            <v>111.361</v>
          </cell>
        </row>
        <row r="3175">
          <cell r="A3175">
            <v>31730</v>
          </cell>
          <cell r="C3175">
            <v>111.36</v>
          </cell>
        </row>
        <row r="3176">
          <cell r="A3176">
            <v>31740</v>
          </cell>
          <cell r="C3176">
            <v>111.358</v>
          </cell>
        </row>
        <row r="3177">
          <cell r="A3177">
            <v>31750</v>
          </cell>
          <cell r="C3177">
            <v>111.357</v>
          </cell>
        </row>
        <row r="3178">
          <cell r="A3178">
            <v>31760</v>
          </cell>
          <cell r="C3178">
            <v>111.355</v>
          </cell>
        </row>
        <row r="3179">
          <cell r="A3179">
            <v>31770</v>
          </cell>
          <cell r="C3179">
            <v>111.354</v>
          </cell>
        </row>
        <row r="3180">
          <cell r="A3180">
            <v>31780</v>
          </cell>
          <cell r="C3180">
            <v>111.352</v>
          </cell>
        </row>
        <row r="3181">
          <cell r="A3181">
            <v>31790</v>
          </cell>
          <cell r="C3181">
            <v>111.351</v>
          </cell>
        </row>
        <row r="3182">
          <cell r="A3182">
            <v>31800</v>
          </cell>
          <cell r="C3182">
            <v>111.349</v>
          </cell>
        </row>
        <row r="3183">
          <cell r="A3183">
            <v>31810</v>
          </cell>
          <cell r="C3183">
            <v>111.348</v>
          </cell>
        </row>
        <row r="3184">
          <cell r="A3184">
            <v>31820</v>
          </cell>
          <cell r="C3184">
            <v>111.346</v>
          </cell>
        </row>
        <row r="3185">
          <cell r="A3185">
            <v>31830</v>
          </cell>
          <cell r="C3185">
            <v>111.345</v>
          </cell>
        </row>
        <row r="3186">
          <cell r="A3186">
            <v>31840</v>
          </cell>
          <cell r="C3186">
            <v>111.343</v>
          </cell>
        </row>
        <row r="3187">
          <cell r="A3187">
            <v>31850</v>
          </cell>
          <cell r="C3187">
            <v>111.342</v>
          </cell>
        </row>
        <row r="3188">
          <cell r="A3188">
            <v>31860</v>
          </cell>
          <cell r="C3188">
            <v>111.34</v>
          </cell>
        </row>
        <row r="3189">
          <cell r="A3189">
            <v>31870</v>
          </cell>
          <cell r="C3189">
            <v>111.339</v>
          </cell>
        </row>
        <row r="3190">
          <cell r="A3190">
            <v>31880</v>
          </cell>
          <cell r="C3190">
            <v>111.337</v>
          </cell>
        </row>
        <row r="3191">
          <cell r="A3191">
            <v>31890</v>
          </cell>
          <cell r="C3191">
            <v>111.336</v>
          </cell>
        </row>
        <row r="3192">
          <cell r="A3192">
            <v>31900</v>
          </cell>
          <cell r="C3192">
            <v>111.334</v>
          </cell>
        </row>
        <row r="3193">
          <cell r="A3193">
            <v>31910</v>
          </cell>
          <cell r="C3193">
            <v>111.333</v>
          </cell>
        </row>
        <row r="3194">
          <cell r="A3194">
            <v>31920</v>
          </cell>
          <cell r="C3194">
            <v>111.331</v>
          </cell>
        </row>
        <row r="3195">
          <cell r="A3195">
            <v>31930</v>
          </cell>
          <cell r="C3195">
            <v>111.32899999999999</v>
          </cell>
        </row>
        <row r="3196">
          <cell r="A3196">
            <v>31940</v>
          </cell>
          <cell r="C3196">
            <v>111.328</v>
          </cell>
        </row>
        <row r="3197">
          <cell r="A3197">
            <v>31950</v>
          </cell>
          <cell r="C3197">
            <v>111.32599999999999</v>
          </cell>
        </row>
        <row r="3198">
          <cell r="A3198">
            <v>31960</v>
          </cell>
          <cell r="C3198">
            <v>111.325</v>
          </cell>
        </row>
        <row r="3199">
          <cell r="A3199">
            <v>31970</v>
          </cell>
          <cell r="C3199">
            <v>111.32299999999999</v>
          </cell>
        </row>
        <row r="3200">
          <cell r="A3200">
            <v>31980</v>
          </cell>
          <cell r="C3200">
            <v>111.322</v>
          </cell>
        </row>
        <row r="3201">
          <cell r="A3201">
            <v>31990</v>
          </cell>
          <cell r="C3201">
            <v>111.32</v>
          </cell>
        </row>
        <row r="3202">
          <cell r="A3202">
            <v>32000</v>
          </cell>
          <cell r="C3202">
            <v>111.319</v>
          </cell>
        </row>
        <row r="3203">
          <cell r="A3203">
            <v>32010</v>
          </cell>
          <cell r="C3203">
            <v>111.31699999999999</v>
          </cell>
        </row>
        <row r="3204">
          <cell r="A3204">
            <v>32020</v>
          </cell>
          <cell r="C3204">
            <v>111.315</v>
          </cell>
        </row>
        <row r="3205">
          <cell r="A3205">
            <v>32030</v>
          </cell>
          <cell r="C3205">
            <v>111.31399999999999</v>
          </cell>
        </row>
        <row r="3206">
          <cell r="A3206">
            <v>32040</v>
          </cell>
          <cell r="C3206">
            <v>111.312</v>
          </cell>
        </row>
        <row r="3207">
          <cell r="A3207">
            <v>32050</v>
          </cell>
          <cell r="C3207">
            <v>111.31100000000001</v>
          </cell>
        </row>
        <row r="3208">
          <cell r="A3208">
            <v>32060</v>
          </cell>
          <cell r="C3208">
            <v>111.309</v>
          </cell>
        </row>
        <row r="3209">
          <cell r="A3209">
            <v>32070</v>
          </cell>
          <cell r="C3209">
            <v>111.307</v>
          </cell>
        </row>
        <row r="3210">
          <cell r="A3210">
            <v>32080</v>
          </cell>
          <cell r="C3210">
            <v>111.306</v>
          </cell>
        </row>
        <row r="3211">
          <cell r="A3211">
            <v>32090</v>
          </cell>
          <cell r="C3211">
            <v>111.304</v>
          </cell>
        </row>
        <row r="3212">
          <cell r="A3212">
            <v>32100</v>
          </cell>
          <cell r="C3212">
            <v>111.30200000000001</v>
          </cell>
        </row>
        <row r="3213">
          <cell r="A3213">
            <v>32110</v>
          </cell>
          <cell r="C3213">
            <v>111.301</v>
          </cell>
        </row>
        <row r="3214">
          <cell r="A3214">
            <v>32120</v>
          </cell>
          <cell r="C3214">
            <v>111.29900000000001</v>
          </cell>
        </row>
        <row r="3215">
          <cell r="A3215">
            <v>32130</v>
          </cell>
          <cell r="C3215">
            <v>111.297</v>
          </cell>
        </row>
        <row r="3216">
          <cell r="A3216">
            <v>32140</v>
          </cell>
          <cell r="C3216">
            <v>111.295</v>
          </cell>
        </row>
        <row r="3217">
          <cell r="A3217">
            <v>32150</v>
          </cell>
          <cell r="C3217">
            <v>111.294</v>
          </cell>
        </row>
        <row r="3218">
          <cell r="A3218">
            <v>32160</v>
          </cell>
          <cell r="C3218">
            <v>111.292</v>
          </cell>
        </row>
        <row r="3219">
          <cell r="A3219">
            <v>32170</v>
          </cell>
          <cell r="C3219">
            <v>111.29</v>
          </cell>
        </row>
        <row r="3220">
          <cell r="A3220">
            <v>32180</v>
          </cell>
          <cell r="C3220">
            <v>111.288</v>
          </cell>
        </row>
        <row r="3221">
          <cell r="A3221">
            <v>32190</v>
          </cell>
          <cell r="C3221">
            <v>111.28700000000001</v>
          </cell>
        </row>
        <row r="3222">
          <cell r="A3222">
            <v>32200</v>
          </cell>
          <cell r="C3222">
            <v>111.285</v>
          </cell>
        </row>
        <row r="3223">
          <cell r="A3223">
            <v>32210</v>
          </cell>
          <cell r="C3223">
            <v>111.283</v>
          </cell>
        </row>
        <row r="3224">
          <cell r="A3224">
            <v>32220</v>
          </cell>
          <cell r="C3224">
            <v>111.28100000000001</v>
          </cell>
        </row>
        <row r="3225">
          <cell r="A3225">
            <v>32230</v>
          </cell>
          <cell r="C3225">
            <v>111.28</v>
          </cell>
        </row>
        <row r="3226">
          <cell r="A3226">
            <v>32240</v>
          </cell>
          <cell r="C3226">
            <v>111.27800000000001</v>
          </cell>
        </row>
        <row r="3227">
          <cell r="A3227">
            <v>32250</v>
          </cell>
          <cell r="C3227">
            <v>111.276</v>
          </cell>
        </row>
        <row r="3228">
          <cell r="A3228">
            <v>32260</v>
          </cell>
          <cell r="C3228">
            <v>111.274</v>
          </cell>
        </row>
        <row r="3229">
          <cell r="A3229">
            <v>32270</v>
          </cell>
          <cell r="C3229">
            <v>111.27200000000001</v>
          </cell>
        </row>
        <row r="3230">
          <cell r="A3230">
            <v>32280</v>
          </cell>
          <cell r="C3230">
            <v>111.271</v>
          </cell>
        </row>
        <row r="3231">
          <cell r="A3231">
            <v>32290</v>
          </cell>
          <cell r="C3231">
            <v>111.26900000000001</v>
          </cell>
        </row>
        <row r="3232">
          <cell r="A3232">
            <v>32300</v>
          </cell>
          <cell r="C3232">
            <v>111.267</v>
          </cell>
        </row>
        <row r="3233">
          <cell r="A3233">
            <v>32310</v>
          </cell>
          <cell r="C3233">
            <v>111.265</v>
          </cell>
        </row>
        <row r="3234">
          <cell r="A3234">
            <v>32320</v>
          </cell>
          <cell r="C3234">
            <v>111.26300000000001</v>
          </cell>
        </row>
        <row r="3235">
          <cell r="A3235">
            <v>32330</v>
          </cell>
          <cell r="C3235">
            <v>111.261</v>
          </cell>
        </row>
        <row r="3236">
          <cell r="A3236">
            <v>32340</v>
          </cell>
          <cell r="C3236">
            <v>111.26</v>
          </cell>
        </row>
        <row r="3237">
          <cell r="A3237">
            <v>32350</v>
          </cell>
          <cell r="C3237">
            <v>111.258</v>
          </cell>
        </row>
        <row r="3238">
          <cell r="A3238">
            <v>32360</v>
          </cell>
          <cell r="C3238">
            <v>111.256</v>
          </cell>
        </row>
        <row r="3239">
          <cell r="A3239">
            <v>32370</v>
          </cell>
          <cell r="C3239">
            <v>111.254</v>
          </cell>
        </row>
        <row r="3240">
          <cell r="A3240">
            <v>32380</v>
          </cell>
          <cell r="C3240">
            <v>111.252</v>
          </cell>
        </row>
        <row r="3241">
          <cell r="A3241">
            <v>32390</v>
          </cell>
          <cell r="C3241">
            <v>111.25</v>
          </cell>
        </row>
        <row r="3242">
          <cell r="A3242">
            <v>32400</v>
          </cell>
          <cell r="C3242">
            <v>111.248</v>
          </cell>
        </row>
        <row r="3243">
          <cell r="A3243">
            <v>32410</v>
          </cell>
          <cell r="C3243">
            <v>111.246</v>
          </cell>
        </row>
        <row r="3244">
          <cell r="A3244">
            <v>32420</v>
          </cell>
          <cell r="C3244">
            <v>111.245</v>
          </cell>
        </row>
        <row r="3245">
          <cell r="A3245">
            <v>32430</v>
          </cell>
          <cell r="C3245">
            <v>111.24299999999999</v>
          </cell>
        </row>
        <row r="3246">
          <cell r="A3246">
            <v>32440</v>
          </cell>
          <cell r="C3246">
            <v>111.241</v>
          </cell>
        </row>
        <row r="3247">
          <cell r="A3247">
            <v>32450</v>
          </cell>
          <cell r="C3247">
            <v>111.239</v>
          </cell>
        </row>
        <row r="3248">
          <cell r="A3248">
            <v>32460</v>
          </cell>
          <cell r="C3248">
            <v>111.23699999999999</v>
          </cell>
        </row>
        <row r="3249">
          <cell r="A3249">
            <v>32470</v>
          </cell>
          <cell r="C3249">
            <v>111.235</v>
          </cell>
        </row>
        <row r="3250">
          <cell r="A3250">
            <v>32480</v>
          </cell>
          <cell r="C3250">
            <v>111.233</v>
          </cell>
        </row>
        <row r="3251">
          <cell r="A3251">
            <v>32490</v>
          </cell>
          <cell r="C3251">
            <v>111.23099999999999</v>
          </cell>
        </row>
        <row r="3252">
          <cell r="A3252">
            <v>32500</v>
          </cell>
          <cell r="C3252">
            <v>111.23</v>
          </cell>
        </row>
        <row r="3253">
          <cell r="A3253">
            <v>32510</v>
          </cell>
          <cell r="C3253">
            <v>111.22799999999999</v>
          </cell>
        </row>
        <row r="3254">
          <cell r="A3254">
            <v>32520</v>
          </cell>
          <cell r="C3254">
            <v>111.226</v>
          </cell>
        </row>
        <row r="3255">
          <cell r="A3255">
            <v>32530</v>
          </cell>
          <cell r="C3255">
            <v>111.224</v>
          </cell>
        </row>
        <row r="3256">
          <cell r="A3256">
            <v>32540</v>
          </cell>
          <cell r="C3256">
            <v>111.22199999999999</v>
          </cell>
        </row>
        <row r="3257">
          <cell r="A3257">
            <v>32550</v>
          </cell>
          <cell r="C3257">
            <v>111.22</v>
          </cell>
        </row>
        <row r="3258">
          <cell r="A3258">
            <v>32560</v>
          </cell>
          <cell r="C3258">
            <v>111.218</v>
          </cell>
        </row>
        <row r="3259">
          <cell r="A3259">
            <v>32570</v>
          </cell>
          <cell r="C3259">
            <v>111.21599999999999</v>
          </cell>
        </row>
        <row r="3260">
          <cell r="A3260">
            <v>32580</v>
          </cell>
          <cell r="C3260">
            <v>111.214</v>
          </cell>
        </row>
        <row r="3261">
          <cell r="A3261">
            <v>32590</v>
          </cell>
          <cell r="C3261">
            <v>111.21299999999999</v>
          </cell>
        </row>
        <row r="3262">
          <cell r="A3262">
            <v>32600</v>
          </cell>
          <cell r="C3262">
            <v>111.211</v>
          </cell>
        </row>
        <row r="3263">
          <cell r="A3263">
            <v>32610</v>
          </cell>
          <cell r="C3263">
            <v>111.209</v>
          </cell>
        </row>
        <row r="3264">
          <cell r="A3264">
            <v>32620</v>
          </cell>
          <cell r="C3264">
            <v>111.20699999999999</v>
          </cell>
        </row>
        <row r="3265">
          <cell r="A3265">
            <v>32630</v>
          </cell>
          <cell r="C3265">
            <v>111.205</v>
          </cell>
        </row>
        <row r="3266">
          <cell r="A3266">
            <v>32640</v>
          </cell>
          <cell r="C3266">
            <v>111.203</v>
          </cell>
        </row>
        <row r="3267">
          <cell r="A3267">
            <v>32650</v>
          </cell>
          <cell r="C3267">
            <v>111.20099999999999</v>
          </cell>
        </row>
        <row r="3268">
          <cell r="A3268">
            <v>32660</v>
          </cell>
          <cell r="C3268">
            <v>111.199</v>
          </cell>
        </row>
        <row r="3269">
          <cell r="A3269">
            <v>32670</v>
          </cell>
          <cell r="C3269">
            <v>111.19799999999999</v>
          </cell>
        </row>
        <row r="3270">
          <cell r="A3270">
            <v>32680</v>
          </cell>
          <cell r="C3270">
            <v>111.196</v>
          </cell>
        </row>
        <row r="3271">
          <cell r="A3271">
            <v>32690</v>
          </cell>
          <cell r="C3271">
            <v>111.194</v>
          </cell>
        </row>
        <row r="3272">
          <cell r="A3272">
            <v>32700</v>
          </cell>
          <cell r="C3272">
            <v>111.193</v>
          </cell>
        </row>
        <row r="3273">
          <cell r="A3273">
            <v>32710</v>
          </cell>
          <cell r="C3273">
            <v>111.191</v>
          </cell>
        </row>
        <row r="3274">
          <cell r="A3274">
            <v>32720</v>
          </cell>
          <cell r="C3274">
            <v>111.19</v>
          </cell>
        </row>
        <row r="3275">
          <cell r="A3275">
            <v>32730</v>
          </cell>
          <cell r="C3275">
            <v>111.188</v>
          </cell>
        </row>
        <row r="3276">
          <cell r="A3276">
            <v>32740</v>
          </cell>
          <cell r="C3276">
            <v>111.18600000000001</v>
          </cell>
        </row>
        <row r="3277">
          <cell r="A3277">
            <v>32750</v>
          </cell>
          <cell r="C3277">
            <v>111.185</v>
          </cell>
        </row>
        <row r="3278">
          <cell r="A3278">
            <v>32760</v>
          </cell>
          <cell r="C3278">
            <v>111.18300000000001</v>
          </cell>
        </row>
        <row r="3279">
          <cell r="A3279">
            <v>32770</v>
          </cell>
          <cell r="C3279">
            <v>111.182</v>
          </cell>
        </row>
        <row r="3280">
          <cell r="A3280">
            <v>32780</v>
          </cell>
          <cell r="C3280">
            <v>111.18</v>
          </cell>
        </row>
        <row r="3281">
          <cell r="A3281">
            <v>32790</v>
          </cell>
          <cell r="C3281">
            <v>111.179</v>
          </cell>
        </row>
        <row r="3282">
          <cell r="A3282">
            <v>32800</v>
          </cell>
          <cell r="C3282">
            <v>111.17700000000001</v>
          </cell>
        </row>
        <row r="3283">
          <cell r="A3283">
            <v>32810</v>
          </cell>
          <cell r="C3283">
            <v>111.176</v>
          </cell>
        </row>
        <row r="3284">
          <cell r="A3284">
            <v>32820</v>
          </cell>
          <cell r="C3284">
            <v>111.17400000000001</v>
          </cell>
        </row>
        <row r="3285">
          <cell r="A3285">
            <v>32830</v>
          </cell>
          <cell r="C3285">
            <v>111.173</v>
          </cell>
        </row>
        <row r="3286">
          <cell r="A3286">
            <v>32840</v>
          </cell>
          <cell r="C3286">
            <v>111.172</v>
          </cell>
        </row>
        <row r="3287">
          <cell r="A3287">
            <v>32850</v>
          </cell>
          <cell r="C3287">
            <v>111.17</v>
          </cell>
        </row>
        <row r="3288">
          <cell r="A3288">
            <v>32860</v>
          </cell>
          <cell r="C3288">
            <v>111.169</v>
          </cell>
        </row>
        <row r="3289">
          <cell r="A3289">
            <v>32870</v>
          </cell>
          <cell r="C3289">
            <v>111.167</v>
          </cell>
        </row>
        <row r="3290">
          <cell r="A3290">
            <v>32880</v>
          </cell>
          <cell r="C3290">
            <v>111.166</v>
          </cell>
        </row>
        <row r="3291">
          <cell r="A3291">
            <v>32890</v>
          </cell>
          <cell r="C3291">
            <v>111.16500000000001</v>
          </cell>
        </row>
        <row r="3292">
          <cell r="A3292">
            <v>32900</v>
          </cell>
          <cell r="C3292">
            <v>111.163</v>
          </cell>
        </row>
        <row r="3293">
          <cell r="A3293">
            <v>32910</v>
          </cell>
          <cell r="C3293">
            <v>111.16200000000001</v>
          </cell>
        </row>
        <row r="3294">
          <cell r="A3294">
            <v>32920</v>
          </cell>
          <cell r="C3294">
            <v>111.16</v>
          </cell>
        </row>
        <row r="3295">
          <cell r="A3295">
            <v>32930</v>
          </cell>
          <cell r="C3295">
            <v>111.15900000000001</v>
          </cell>
        </row>
        <row r="3296">
          <cell r="A3296">
            <v>32940</v>
          </cell>
          <cell r="C3296">
            <v>111.158</v>
          </cell>
        </row>
        <row r="3297">
          <cell r="A3297">
            <v>32950</v>
          </cell>
          <cell r="C3297">
            <v>111.15600000000001</v>
          </cell>
        </row>
        <row r="3298">
          <cell r="A3298">
            <v>32960</v>
          </cell>
          <cell r="C3298">
            <v>111.155</v>
          </cell>
        </row>
        <row r="3299">
          <cell r="A3299">
            <v>32970</v>
          </cell>
          <cell r="C3299">
            <v>111.154</v>
          </cell>
        </row>
        <row r="3300">
          <cell r="A3300">
            <v>32980</v>
          </cell>
          <cell r="C3300">
            <v>111.15300000000001</v>
          </cell>
        </row>
        <row r="3301">
          <cell r="A3301">
            <v>32990</v>
          </cell>
          <cell r="C3301">
            <v>111.151</v>
          </cell>
        </row>
        <row r="3302">
          <cell r="A3302">
            <v>33000</v>
          </cell>
          <cell r="C3302">
            <v>111.15</v>
          </cell>
        </row>
        <row r="3303">
          <cell r="A3303">
            <v>33010</v>
          </cell>
          <cell r="C3303">
            <v>111.149</v>
          </cell>
        </row>
        <row r="3304">
          <cell r="A3304">
            <v>33020</v>
          </cell>
          <cell r="C3304">
            <v>111.148</v>
          </cell>
        </row>
        <row r="3305">
          <cell r="A3305">
            <v>33030</v>
          </cell>
          <cell r="C3305">
            <v>111.146</v>
          </cell>
        </row>
        <row r="3306">
          <cell r="A3306">
            <v>33040</v>
          </cell>
          <cell r="C3306">
            <v>111.145</v>
          </cell>
        </row>
        <row r="3307">
          <cell r="A3307">
            <v>33050</v>
          </cell>
          <cell r="C3307">
            <v>111.14400000000001</v>
          </cell>
        </row>
        <row r="3308">
          <cell r="A3308">
            <v>33060</v>
          </cell>
          <cell r="C3308">
            <v>111.143</v>
          </cell>
        </row>
        <row r="3309">
          <cell r="A3309">
            <v>33070</v>
          </cell>
          <cell r="C3309">
            <v>111.142</v>
          </cell>
        </row>
        <row r="3310">
          <cell r="A3310">
            <v>33080</v>
          </cell>
          <cell r="C3310">
            <v>111.14100000000001</v>
          </cell>
        </row>
        <row r="3311">
          <cell r="A3311">
            <v>33090</v>
          </cell>
          <cell r="C3311">
            <v>111.139</v>
          </cell>
        </row>
        <row r="3312">
          <cell r="A3312">
            <v>33100</v>
          </cell>
          <cell r="C3312">
            <v>111.13800000000001</v>
          </cell>
        </row>
        <row r="3313">
          <cell r="A3313">
            <v>33110</v>
          </cell>
          <cell r="C3313">
            <v>111.137</v>
          </cell>
        </row>
        <row r="3314">
          <cell r="A3314">
            <v>33120</v>
          </cell>
          <cell r="C3314">
            <v>111.136</v>
          </cell>
        </row>
        <row r="3315">
          <cell r="A3315">
            <v>33130</v>
          </cell>
          <cell r="C3315">
            <v>111.13500000000001</v>
          </cell>
        </row>
        <row r="3316">
          <cell r="A3316">
            <v>33140</v>
          </cell>
          <cell r="C3316">
            <v>111.134</v>
          </cell>
        </row>
        <row r="3317">
          <cell r="A3317">
            <v>33150</v>
          </cell>
          <cell r="C3317">
            <v>111.133</v>
          </cell>
        </row>
        <row r="3318">
          <cell r="A3318">
            <v>33160</v>
          </cell>
          <cell r="C3318">
            <v>111.13200000000001</v>
          </cell>
        </row>
        <row r="3319">
          <cell r="A3319">
            <v>33170</v>
          </cell>
          <cell r="C3319">
            <v>111.131</v>
          </cell>
        </row>
        <row r="3320">
          <cell r="A3320">
            <v>33180</v>
          </cell>
          <cell r="C3320">
            <v>111.129</v>
          </cell>
        </row>
        <row r="3321">
          <cell r="A3321">
            <v>33190</v>
          </cell>
          <cell r="C3321">
            <v>111.128</v>
          </cell>
        </row>
        <row r="3322">
          <cell r="A3322">
            <v>33200</v>
          </cell>
          <cell r="C3322">
            <v>111.127</v>
          </cell>
        </row>
        <row r="3323">
          <cell r="A3323">
            <v>33210</v>
          </cell>
          <cell r="C3323">
            <v>111.126</v>
          </cell>
        </row>
        <row r="3324">
          <cell r="A3324">
            <v>33220</v>
          </cell>
          <cell r="C3324">
            <v>111.125</v>
          </cell>
        </row>
        <row r="3325">
          <cell r="A3325">
            <v>33230</v>
          </cell>
          <cell r="C3325">
            <v>111.124</v>
          </cell>
        </row>
        <row r="3326">
          <cell r="A3326">
            <v>33240</v>
          </cell>
          <cell r="C3326">
            <v>111.123</v>
          </cell>
        </row>
        <row r="3327">
          <cell r="A3327">
            <v>33250</v>
          </cell>
          <cell r="C3327">
            <v>111.122</v>
          </cell>
        </row>
        <row r="3328">
          <cell r="A3328">
            <v>33260</v>
          </cell>
          <cell r="C3328">
            <v>111.121</v>
          </cell>
        </row>
        <row r="3329">
          <cell r="A3329">
            <v>33270</v>
          </cell>
          <cell r="C3329">
            <v>111.12</v>
          </cell>
        </row>
        <row r="3330">
          <cell r="A3330">
            <v>33280</v>
          </cell>
          <cell r="C3330">
            <v>111.119</v>
          </cell>
        </row>
        <row r="3331">
          <cell r="A3331">
            <v>33290</v>
          </cell>
          <cell r="C3331">
            <v>111.11799999999999</v>
          </cell>
        </row>
        <row r="3332">
          <cell r="A3332">
            <v>33300</v>
          </cell>
          <cell r="C3332">
            <v>111.117</v>
          </cell>
        </row>
        <row r="3333">
          <cell r="A3333">
            <v>33310</v>
          </cell>
          <cell r="C3333">
            <v>111.117</v>
          </cell>
        </row>
        <row r="3334">
          <cell r="A3334">
            <v>33320</v>
          </cell>
          <cell r="C3334">
            <v>111.116</v>
          </cell>
        </row>
        <row r="3335">
          <cell r="A3335">
            <v>33330</v>
          </cell>
          <cell r="C3335">
            <v>111.11499999999999</v>
          </cell>
        </row>
        <row r="3336">
          <cell r="A3336">
            <v>33340</v>
          </cell>
          <cell r="C3336">
            <v>111.114</v>
          </cell>
        </row>
        <row r="3337">
          <cell r="A3337">
            <v>33350</v>
          </cell>
          <cell r="C3337">
            <v>111.113</v>
          </cell>
        </row>
        <row r="3338">
          <cell r="A3338">
            <v>33360</v>
          </cell>
          <cell r="C3338">
            <v>111.11199999999999</v>
          </cell>
        </row>
        <row r="3339">
          <cell r="A3339">
            <v>33370</v>
          </cell>
          <cell r="C3339">
            <v>111.111</v>
          </cell>
        </row>
        <row r="3340">
          <cell r="A3340">
            <v>33380</v>
          </cell>
          <cell r="C3340">
            <v>111.11</v>
          </cell>
        </row>
        <row r="3341">
          <cell r="A3341">
            <v>33390</v>
          </cell>
          <cell r="C3341">
            <v>111.10899999999999</v>
          </cell>
        </row>
        <row r="3342">
          <cell r="A3342">
            <v>33400</v>
          </cell>
          <cell r="C3342">
            <v>111.10899999999999</v>
          </cell>
        </row>
        <row r="3343">
          <cell r="A3343">
            <v>33410</v>
          </cell>
          <cell r="C3343">
            <v>111.108</v>
          </cell>
        </row>
        <row r="3344">
          <cell r="A3344">
            <v>33420</v>
          </cell>
          <cell r="C3344">
            <v>111.107</v>
          </cell>
        </row>
        <row r="3345">
          <cell r="A3345">
            <v>33430</v>
          </cell>
          <cell r="C3345">
            <v>111.10599999999999</v>
          </cell>
        </row>
        <row r="3346">
          <cell r="A3346">
            <v>33440</v>
          </cell>
          <cell r="C3346">
            <v>111.105</v>
          </cell>
        </row>
        <row r="3347">
          <cell r="A3347">
            <v>33450</v>
          </cell>
          <cell r="C3347">
            <v>111.104</v>
          </cell>
        </row>
        <row r="3348">
          <cell r="A3348">
            <v>33460</v>
          </cell>
          <cell r="C3348">
            <v>111.104</v>
          </cell>
        </row>
        <row r="3349">
          <cell r="A3349">
            <v>33470</v>
          </cell>
          <cell r="C3349">
            <v>111.10299999999999</v>
          </cell>
        </row>
        <row r="3350">
          <cell r="A3350">
            <v>33480</v>
          </cell>
          <cell r="C3350">
            <v>111.102</v>
          </cell>
        </row>
        <row r="3351">
          <cell r="A3351">
            <v>33490</v>
          </cell>
          <cell r="C3351">
            <v>111.101</v>
          </cell>
        </row>
        <row r="3352">
          <cell r="A3352">
            <v>33500</v>
          </cell>
          <cell r="C3352">
            <v>111.1</v>
          </cell>
        </row>
        <row r="3353">
          <cell r="A3353">
            <v>33510</v>
          </cell>
          <cell r="C3353">
            <v>111.099</v>
          </cell>
        </row>
        <row r="3354">
          <cell r="A3354">
            <v>33520</v>
          </cell>
          <cell r="C3354">
            <v>111.099</v>
          </cell>
        </row>
        <row r="3355">
          <cell r="A3355">
            <v>33530</v>
          </cell>
          <cell r="C3355">
            <v>111.098</v>
          </cell>
        </row>
        <row r="3356">
          <cell r="A3356">
            <v>33540</v>
          </cell>
          <cell r="C3356">
            <v>111.09699999999999</v>
          </cell>
        </row>
        <row r="3357">
          <cell r="A3357">
            <v>33550</v>
          </cell>
          <cell r="C3357">
            <v>111.096</v>
          </cell>
        </row>
        <row r="3358">
          <cell r="A3358">
            <v>33560</v>
          </cell>
          <cell r="C3358">
            <v>111.096</v>
          </cell>
        </row>
        <row r="3359">
          <cell r="A3359">
            <v>33570</v>
          </cell>
          <cell r="C3359">
            <v>111.095</v>
          </cell>
        </row>
        <row r="3360">
          <cell r="A3360">
            <v>33580</v>
          </cell>
          <cell r="C3360">
            <v>111.09399999999999</v>
          </cell>
        </row>
        <row r="3361">
          <cell r="A3361">
            <v>33590</v>
          </cell>
          <cell r="C3361">
            <v>111.093</v>
          </cell>
        </row>
        <row r="3362">
          <cell r="A3362">
            <v>33600</v>
          </cell>
          <cell r="C3362">
            <v>111.092</v>
          </cell>
        </row>
        <row r="3363">
          <cell r="A3363">
            <v>33610</v>
          </cell>
          <cell r="C3363">
            <v>111.092</v>
          </cell>
        </row>
        <row r="3364">
          <cell r="A3364">
            <v>33620</v>
          </cell>
          <cell r="C3364">
            <v>111.09099999999999</v>
          </cell>
        </row>
        <row r="3365">
          <cell r="A3365">
            <v>33630</v>
          </cell>
          <cell r="C3365">
            <v>111.09</v>
          </cell>
        </row>
        <row r="3366">
          <cell r="A3366">
            <v>33640</v>
          </cell>
          <cell r="C3366">
            <v>111.089</v>
          </cell>
        </row>
        <row r="3367">
          <cell r="A3367">
            <v>33650</v>
          </cell>
          <cell r="C3367">
            <v>111.089</v>
          </cell>
        </row>
        <row r="3368">
          <cell r="A3368">
            <v>33660</v>
          </cell>
          <cell r="C3368">
            <v>111.08799999999999</v>
          </cell>
        </row>
        <row r="3369">
          <cell r="A3369">
            <v>33670</v>
          </cell>
          <cell r="C3369">
            <v>111.087</v>
          </cell>
        </row>
        <row r="3370">
          <cell r="A3370">
            <v>33680</v>
          </cell>
          <cell r="C3370">
            <v>111.086</v>
          </cell>
        </row>
        <row r="3371">
          <cell r="A3371">
            <v>33690</v>
          </cell>
          <cell r="C3371">
            <v>111.086</v>
          </cell>
        </row>
        <row r="3372">
          <cell r="A3372">
            <v>33700</v>
          </cell>
          <cell r="C3372">
            <v>111.08499999999999</v>
          </cell>
        </row>
        <row r="3373">
          <cell r="A3373">
            <v>33710</v>
          </cell>
          <cell r="C3373">
            <v>111.084</v>
          </cell>
        </row>
        <row r="3374">
          <cell r="A3374">
            <v>33720</v>
          </cell>
          <cell r="C3374">
            <v>111.083</v>
          </cell>
        </row>
        <row r="3375">
          <cell r="A3375">
            <v>33730</v>
          </cell>
          <cell r="C3375">
            <v>111.083</v>
          </cell>
        </row>
        <row r="3376">
          <cell r="A3376">
            <v>33740</v>
          </cell>
          <cell r="C3376">
            <v>111.08199999999999</v>
          </cell>
        </row>
        <row r="3377">
          <cell r="A3377">
            <v>33750</v>
          </cell>
          <cell r="C3377">
            <v>111.081</v>
          </cell>
        </row>
        <row r="3378">
          <cell r="A3378">
            <v>33760</v>
          </cell>
          <cell r="C3378">
            <v>111.081</v>
          </cell>
        </row>
        <row r="3379">
          <cell r="A3379">
            <v>33770</v>
          </cell>
          <cell r="C3379">
            <v>111.08</v>
          </cell>
        </row>
        <row r="3380">
          <cell r="A3380">
            <v>33780</v>
          </cell>
          <cell r="C3380">
            <v>111.07899999999999</v>
          </cell>
        </row>
        <row r="3381">
          <cell r="A3381">
            <v>33790</v>
          </cell>
          <cell r="C3381">
            <v>111.078</v>
          </cell>
        </row>
        <row r="3382">
          <cell r="A3382">
            <v>33800</v>
          </cell>
          <cell r="C3382">
            <v>111.078</v>
          </cell>
        </row>
        <row r="3383">
          <cell r="A3383">
            <v>33810</v>
          </cell>
          <cell r="C3383">
            <v>111.077</v>
          </cell>
        </row>
        <row r="3384">
          <cell r="A3384">
            <v>33820</v>
          </cell>
          <cell r="C3384">
            <v>111.07599999999999</v>
          </cell>
        </row>
        <row r="3385">
          <cell r="A3385">
            <v>33830</v>
          </cell>
          <cell r="C3385">
            <v>111.07599999999999</v>
          </cell>
        </row>
        <row r="3386">
          <cell r="A3386">
            <v>33840</v>
          </cell>
          <cell r="C3386">
            <v>111.075</v>
          </cell>
        </row>
        <row r="3387">
          <cell r="A3387">
            <v>33850</v>
          </cell>
          <cell r="C3387">
            <v>111.074</v>
          </cell>
        </row>
        <row r="3388">
          <cell r="A3388">
            <v>33860</v>
          </cell>
          <cell r="C3388">
            <v>111.07299999999999</v>
          </cell>
        </row>
        <row r="3389">
          <cell r="A3389">
            <v>33870</v>
          </cell>
          <cell r="C3389">
            <v>111.07299999999999</v>
          </cell>
        </row>
        <row r="3390">
          <cell r="A3390">
            <v>33880</v>
          </cell>
          <cell r="C3390">
            <v>111.072</v>
          </cell>
        </row>
        <row r="3391">
          <cell r="A3391">
            <v>33890</v>
          </cell>
          <cell r="C3391">
            <v>111.071</v>
          </cell>
        </row>
        <row r="3392">
          <cell r="A3392">
            <v>33900</v>
          </cell>
          <cell r="C3392">
            <v>111.071</v>
          </cell>
        </row>
        <row r="3393">
          <cell r="A3393">
            <v>33910</v>
          </cell>
          <cell r="C3393">
            <v>111.07</v>
          </cell>
        </row>
        <row r="3394">
          <cell r="A3394">
            <v>33920</v>
          </cell>
          <cell r="C3394">
            <v>111.069</v>
          </cell>
        </row>
        <row r="3395">
          <cell r="A3395">
            <v>33930</v>
          </cell>
          <cell r="C3395">
            <v>111.069</v>
          </cell>
        </row>
        <row r="3396">
          <cell r="A3396">
            <v>33940</v>
          </cell>
          <cell r="C3396">
            <v>111.068</v>
          </cell>
        </row>
        <row r="3397">
          <cell r="A3397">
            <v>33950</v>
          </cell>
          <cell r="C3397">
            <v>111.06699999999999</v>
          </cell>
        </row>
        <row r="3398">
          <cell r="A3398">
            <v>33960</v>
          </cell>
          <cell r="C3398">
            <v>111.06699999999999</v>
          </cell>
        </row>
        <row r="3399">
          <cell r="A3399">
            <v>33970</v>
          </cell>
          <cell r="C3399">
            <v>111.066</v>
          </cell>
        </row>
        <row r="3400">
          <cell r="A3400">
            <v>33980</v>
          </cell>
          <cell r="C3400">
            <v>111.065</v>
          </cell>
        </row>
        <row r="3401">
          <cell r="A3401">
            <v>33990</v>
          </cell>
          <cell r="C3401">
            <v>111.06399999999999</v>
          </cell>
        </row>
        <row r="3402">
          <cell r="A3402">
            <v>34000</v>
          </cell>
          <cell r="C3402">
            <v>111.06399999999999</v>
          </cell>
        </row>
        <row r="3403">
          <cell r="A3403">
            <v>34010</v>
          </cell>
          <cell r="C3403">
            <v>111.063</v>
          </cell>
        </row>
        <row r="3404">
          <cell r="A3404">
            <v>34020</v>
          </cell>
          <cell r="C3404">
            <v>111.062</v>
          </cell>
        </row>
        <row r="3405">
          <cell r="A3405">
            <v>34030</v>
          </cell>
          <cell r="C3405">
            <v>111.062</v>
          </cell>
        </row>
        <row r="3406">
          <cell r="A3406">
            <v>34040</v>
          </cell>
          <cell r="C3406">
            <v>111.06100000000001</v>
          </cell>
        </row>
        <row r="3407">
          <cell r="A3407">
            <v>34050</v>
          </cell>
          <cell r="C3407">
            <v>111.06</v>
          </cell>
        </row>
        <row r="3408">
          <cell r="A3408">
            <v>34060</v>
          </cell>
          <cell r="C3408">
            <v>111.06</v>
          </cell>
        </row>
        <row r="3409">
          <cell r="A3409">
            <v>34070</v>
          </cell>
          <cell r="C3409">
            <v>111.059</v>
          </cell>
        </row>
        <row r="3410">
          <cell r="A3410">
            <v>34080</v>
          </cell>
          <cell r="C3410">
            <v>111.05800000000001</v>
          </cell>
        </row>
        <row r="3411">
          <cell r="A3411">
            <v>34090</v>
          </cell>
          <cell r="C3411">
            <v>111.05800000000001</v>
          </cell>
        </row>
        <row r="3412">
          <cell r="A3412">
            <v>34100</v>
          </cell>
          <cell r="C3412">
            <v>111.057</v>
          </cell>
        </row>
        <row r="3413">
          <cell r="A3413">
            <v>34110</v>
          </cell>
          <cell r="C3413">
            <v>111.056</v>
          </cell>
        </row>
        <row r="3414">
          <cell r="A3414">
            <v>34120</v>
          </cell>
          <cell r="C3414">
            <v>111.056</v>
          </cell>
        </row>
        <row r="3415">
          <cell r="A3415">
            <v>34130</v>
          </cell>
          <cell r="C3415">
            <v>111.05500000000001</v>
          </cell>
        </row>
        <row r="3416">
          <cell r="A3416">
            <v>34140</v>
          </cell>
          <cell r="C3416">
            <v>111.054</v>
          </cell>
        </row>
        <row r="3417">
          <cell r="A3417">
            <v>34150</v>
          </cell>
          <cell r="C3417">
            <v>111.054</v>
          </cell>
        </row>
        <row r="3418">
          <cell r="A3418">
            <v>34160</v>
          </cell>
          <cell r="C3418">
            <v>111.053</v>
          </cell>
        </row>
        <row r="3419">
          <cell r="A3419">
            <v>34170</v>
          </cell>
          <cell r="C3419">
            <v>111.05200000000001</v>
          </cell>
        </row>
        <row r="3420">
          <cell r="A3420">
            <v>34180</v>
          </cell>
          <cell r="C3420">
            <v>111.05200000000001</v>
          </cell>
        </row>
        <row r="3421">
          <cell r="A3421">
            <v>34190</v>
          </cell>
          <cell r="C3421">
            <v>111.051</v>
          </cell>
        </row>
        <row r="3422">
          <cell r="A3422">
            <v>34200</v>
          </cell>
          <cell r="C3422">
            <v>111.05</v>
          </cell>
        </row>
        <row r="3423">
          <cell r="A3423">
            <v>34210</v>
          </cell>
          <cell r="C3423">
            <v>111.05</v>
          </cell>
        </row>
        <row r="3424">
          <cell r="A3424">
            <v>34220</v>
          </cell>
          <cell r="C3424">
            <v>111.04900000000001</v>
          </cell>
        </row>
        <row r="3425">
          <cell r="A3425">
            <v>34230</v>
          </cell>
          <cell r="C3425">
            <v>111.048</v>
          </cell>
        </row>
        <row r="3426">
          <cell r="A3426">
            <v>34240</v>
          </cell>
          <cell r="C3426">
            <v>111.048</v>
          </cell>
        </row>
        <row r="3427">
          <cell r="A3427">
            <v>34250</v>
          </cell>
          <cell r="C3427">
            <v>111.047</v>
          </cell>
        </row>
        <row r="3428">
          <cell r="A3428">
            <v>34260</v>
          </cell>
          <cell r="C3428">
            <v>111.04600000000001</v>
          </cell>
        </row>
        <row r="3429">
          <cell r="A3429">
            <v>34270</v>
          </cell>
          <cell r="C3429">
            <v>111.04600000000001</v>
          </cell>
        </row>
        <row r="3430">
          <cell r="A3430">
            <v>34280</v>
          </cell>
          <cell r="C3430">
            <v>111.045</v>
          </cell>
        </row>
        <row r="3431">
          <cell r="A3431">
            <v>34290</v>
          </cell>
          <cell r="C3431">
            <v>111.044</v>
          </cell>
        </row>
        <row r="3432">
          <cell r="A3432">
            <v>34300</v>
          </cell>
          <cell r="C3432">
            <v>111.04300000000001</v>
          </cell>
        </row>
        <row r="3433">
          <cell r="A3433">
            <v>34310</v>
          </cell>
          <cell r="C3433">
            <v>111.04300000000001</v>
          </cell>
        </row>
        <row r="3434">
          <cell r="A3434">
            <v>34320</v>
          </cell>
          <cell r="C3434">
            <v>111.042</v>
          </cell>
        </row>
        <row r="3435">
          <cell r="A3435">
            <v>34330</v>
          </cell>
          <cell r="C3435">
            <v>111.041</v>
          </cell>
        </row>
        <row r="3436">
          <cell r="A3436">
            <v>34340</v>
          </cell>
          <cell r="C3436">
            <v>111.041</v>
          </cell>
        </row>
        <row r="3437">
          <cell r="A3437">
            <v>34350</v>
          </cell>
          <cell r="C3437">
            <v>111.04</v>
          </cell>
        </row>
        <row r="3438">
          <cell r="A3438">
            <v>34360</v>
          </cell>
          <cell r="C3438">
            <v>111.039</v>
          </cell>
        </row>
        <row r="3439">
          <cell r="A3439">
            <v>34370</v>
          </cell>
          <cell r="C3439">
            <v>111.038</v>
          </cell>
        </row>
        <row r="3440">
          <cell r="A3440">
            <v>34380</v>
          </cell>
          <cell r="C3440">
            <v>111.038</v>
          </cell>
        </row>
        <row r="3441">
          <cell r="A3441">
            <v>34390</v>
          </cell>
          <cell r="C3441">
            <v>111.03700000000001</v>
          </cell>
        </row>
        <row r="3442">
          <cell r="A3442">
            <v>34400</v>
          </cell>
          <cell r="C3442">
            <v>111.036</v>
          </cell>
        </row>
        <row r="3443">
          <cell r="A3443">
            <v>34410</v>
          </cell>
          <cell r="C3443">
            <v>111.035</v>
          </cell>
        </row>
        <row r="3444">
          <cell r="A3444">
            <v>34420</v>
          </cell>
          <cell r="C3444">
            <v>111.035</v>
          </cell>
        </row>
        <row r="3445">
          <cell r="A3445">
            <v>34430</v>
          </cell>
          <cell r="C3445">
            <v>111.03400000000001</v>
          </cell>
        </row>
        <row r="3446">
          <cell r="A3446">
            <v>34440</v>
          </cell>
          <cell r="C3446">
            <v>111.033</v>
          </cell>
        </row>
        <row r="3447">
          <cell r="A3447">
            <v>34450</v>
          </cell>
          <cell r="C3447">
            <v>111.033</v>
          </cell>
        </row>
        <row r="3448">
          <cell r="A3448">
            <v>34460</v>
          </cell>
          <cell r="C3448">
            <v>111.032</v>
          </cell>
        </row>
        <row r="3449">
          <cell r="A3449">
            <v>34470</v>
          </cell>
          <cell r="C3449">
            <v>111.03100000000001</v>
          </cell>
        </row>
        <row r="3450">
          <cell r="A3450">
            <v>34480</v>
          </cell>
          <cell r="C3450">
            <v>111.03</v>
          </cell>
        </row>
        <row r="3451">
          <cell r="A3451">
            <v>34490</v>
          </cell>
          <cell r="C3451">
            <v>111.03</v>
          </cell>
        </row>
        <row r="3452">
          <cell r="A3452">
            <v>34500</v>
          </cell>
          <cell r="C3452">
            <v>111.029</v>
          </cell>
        </row>
        <row r="3453">
          <cell r="A3453">
            <v>34510</v>
          </cell>
          <cell r="C3453">
            <v>111.02800000000001</v>
          </cell>
        </row>
        <row r="3454">
          <cell r="A3454">
            <v>34520</v>
          </cell>
          <cell r="C3454">
            <v>111.02800000000001</v>
          </cell>
        </row>
        <row r="3455">
          <cell r="A3455">
            <v>34530</v>
          </cell>
          <cell r="C3455">
            <v>111.027</v>
          </cell>
        </row>
        <row r="3456">
          <cell r="A3456">
            <v>34540</v>
          </cell>
          <cell r="C3456">
            <v>111.026</v>
          </cell>
        </row>
        <row r="3457">
          <cell r="A3457">
            <v>34550</v>
          </cell>
          <cell r="C3457">
            <v>111.02500000000001</v>
          </cell>
        </row>
        <row r="3458">
          <cell r="A3458">
            <v>34560</v>
          </cell>
          <cell r="C3458">
            <v>111.02500000000001</v>
          </cell>
        </row>
        <row r="3459">
          <cell r="A3459">
            <v>34570</v>
          </cell>
          <cell r="C3459">
            <v>111.024</v>
          </cell>
        </row>
        <row r="3460">
          <cell r="A3460">
            <v>34580</v>
          </cell>
          <cell r="C3460">
            <v>111.023</v>
          </cell>
        </row>
        <row r="3461">
          <cell r="A3461">
            <v>34590</v>
          </cell>
          <cell r="C3461">
            <v>111.023</v>
          </cell>
        </row>
        <row r="3462">
          <cell r="A3462">
            <v>34600</v>
          </cell>
          <cell r="C3462">
            <v>111.02200000000001</v>
          </cell>
        </row>
        <row r="3463">
          <cell r="A3463">
            <v>34610</v>
          </cell>
          <cell r="C3463">
            <v>111.021</v>
          </cell>
        </row>
        <row r="3464">
          <cell r="A3464">
            <v>34620</v>
          </cell>
          <cell r="C3464">
            <v>111.021</v>
          </cell>
        </row>
        <row r="3465">
          <cell r="A3465">
            <v>34630</v>
          </cell>
          <cell r="C3465">
            <v>111.02</v>
          </cell>
        </row>
        <row r="3466">
          <cell r="A3466">
            <v>34640</v>
          </cell>
          <cell r="C3466">
            <v>111.01900000000001</v>
          </cell>
        </row>
        <row r="3467">
          <cell r="A3467">
            <v>34650</v>
          </cell>
          <cell r="C3467">
            <v>111.01900000000001</v>
          </cell>
        </row>
        <row r="3468">
          <cell r="A3468">
            <v>34660</v>
          </cell>
          <cell r="C3468">
            <v>111.018</v>
          </cell>
        </row>
        <row r="3469">
          <cell r="A3469">
            <v>34670</v>
          </cell>
          <cell r="C3469">
            <v>111.017</v>
          </cell>
        </row>
        <row r="3470">
          <cell r="A3470">
            <v>34680</v>
          </cell>
          <cell r="C3470">
            <v>111.017</v>
          </cell>
        </row>
        <row r="3471">
          <cell r="A3471">
            <v>34690</v>
          </cell>
          <cell r="C3471">
            <v>111.01600000000001</v>
          </cell>
        </row>
        <row r="3472">
          <cell r="A3472">
            <v>34700</v>
          </cell>
          <cell r="C3472">
            <v>111.015</v>
          </cell>
        </row>
        <row r="3473">
          <cell r="A3473">
            <v>34710</v>
          </cell>
          <cell r="C3473">
            <v>111.015</v>
          </cell>
        </row>
        <row r="3474">
          <cell r="A3474">
            <v>34720</v>
          </cell>
          <cell r="C3474">
            <v>111.014</v>
          </cell>
        </row>
        <row r="3475">
          <cell r="A3475">
            <v>34730</v>
          </cell>
          <cell r="C3475">
            <v>111.01300000000001</v>
          </cell>
        </row>
        <row r="3476">
          <cell r="A3476">
            <v>34740</v>
          </cell>
          <cell r="C3476">
            <v>111.01300000000001</v>
          </cell>
        </row>
        <row r="3477">
          <cell r="A3477">
            <v>34750</v>
          </cell>
          <cell r="C3477">
            <v>111.012</v>
          </cell>
        </row>
        <row r="3478">
          <cell r="A3478">
            <v>34760</v>
          </cell>
          <cell r="C3478">
            <v>111.012</v>
          </cell>
        </row>
        <row r="3479">
          <cell r="A3479">
            <v>34770</v>
          </cell>
          <cell r="C3479">
            <v>111.011</v>
          </cell>
        </row>
        <row r="3480">
          <cell r="A3480">
            <v>34780</v>
          </cell>
          <cell r="C3480">
            <v>111.01</v>
          </cell>
        </row>
        <row r="3481">
          <cell r="A3481">
            <v>34790</v>
          </cell>
          <cell r="C3481">
            <v>111.01</v>
          </cell>
        </row>
        <row r="3482">
          <cell r="A3482">
            <v>34800</v>
          </cell>
          <cell r="C3482">
            <v>111.009</v>
          </cell>
        </row>
        <row r="3483">
          <cell r="A3483">
            <v>34810</v>
          </cell>
          <cell r="C3483">
            <v>111.008</v>
          </cell>
        </row>
        <row r="3484">
          <cell r="A3484">
            <v>34820</v>
          </cell>
          <cell r="C3484">
            <v>111.008</v>
          </cell>
        </row>
        <row r="3485">
          <cell r="A3485">
            <v>34830</v>
          </cell>
          <cell r="C3485">
            <v>111.00700000000001</v>
          </cell>
        </row>
        <row r="3486">
          <cell r="A3486">
            <v>34840</v>
          </cell>
          <cell r="C3486">
            <v>111.00700000000001</v>
          </cell>
        </row>
        <row r="3487">
          <cell r="A3487">
            <v>34850</v>
          </cell>
          <cell r="C3487">
            <v>111.006</v>
          </cell>
        </row>
        <row r="3488">
          <cell r="A3488">
            <v>34860</v>
          </cell>
          <cell r="C3488">
            <v>111.006</v>
          </cell>
        </row>
        <row r="3489">
          <cell r="A3489">
            <v>34870</v>
          </cell>
          <cell r="C3489">
            <v>111.005</v>
          </cell>
        </row>
        <row r="3490">
          <cell r="A3490">
            <v>34880</v>
          </cell>
          <cell r="C3490">
            <v>111.004</v>
          </cell>
        </row>
        <row r="3491">
          <cell r="A3491">
            <v>34890</v>
          </cell>
          <cell r="C3491">
            <v>111.004</v>
          </cell>
        </row>
        <row r="3492">
          <cell r="A3492">
            <v>34900</v>
          </cell>
          <cell r="C3492">
            <v>111.003</v>
          </cell>
        </row>
        <row r="3493">
          <cell r="A3493">
            <v>34910</v>
          </cell>
          <cell r="C3493">
            <v>111.003</v>
          </cell>
        </row>
        <row r="3494">
          <cell r="A3494">
            <v>34920</v>
          </cell>
          <cell r="C3494">
            <v>111.002</v>
          </cell>
        </row>
        <row r="3495">
          <cell r="A3495">
            <v>34930</v>
          </cell>
          <cell r="C3495">
            <v>111.002</v>
          </cell>
        </row>
        <row r="3496">
          <cell r="A3496">
            <v>34940</v>
          </cell>
          <cell r="C3496">
            <v>111.001</v>
          </cell>
        </row>
        <row r="3497">
          <cell r="A3497">
            <v>34950</v>
          </cell>
          <cell r="C3497">
            <v>111.001</v>
          </cell>
        </row>
        <row r="3498">
          <cell r="A3498">
            <v>34960</v>
          </cell>
          <cell r="C3498">
            <v>111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 water"/>
      <sheetName val="intact ice"/>
      <sheetName val="ice jam"/>
      <sheetName val="Sheet1"/>
      <sheetName val="Q_GEV"/>
      <sheetName val="Q_GEV(random)"/>
      <sheetName val="W_AEP"/>
    </sheetNames>
    <sheetDataSet>
      <sheetData sheetId="0"/>
      <sheetData sheetId="1"/>
      <sheetData sheetId="2"/>
      <sheetData sheetId="3"/>
      <sheetData sheetId="4"/>
      <sheetData sheetId="5">
        <row r="2">
          <cell r="J2">
            <v>16514.128873889993</v>
          </cell>
        </row>
        <row r="3">
          <cell r="J3">
            <v>16412.932220040493</v>
          </cell>
        </row>
        <row r="4">
          <cell r="J4">
            <v>16144.563959329129</v>
          </cell>
        </row>
        <row r="5">
          <cell r="J5">
            <v>16068.645058675345</v>
          </cell>
        </row>
        <row r="6">
          <cell r="J6">
            <v>16062.81841866692</v>
          </cell>
        </row>
        <row r="7">
          <cell r="J7">
            <v>15976.91401234922</v>
          </cell>
        </row>
        <row r="8">
          <cell r="J8">
            <v>15954.296092396262</v>
          </cell>
        </row>
        <row r="9">
          <cell r="J9">
            <v>15913.354095374514</v>
          </cell>
        </row>
        <row r="10">
          <cell r="J10">
            <v>15897.060177192248</v>
          </cell>
        </row>
        <row r="11">
          <cell r="J11">
            <v>15878.142158226619</v>
          </cell>
        </row>
        <row r="12">
          <cell r="J12">
            <v>15860.276339356842</v>
          </cell>
        </row>
        <row r="13">
          <cell r="J13">
            <v>15859.619029237827</v>
          </cell>
        </row>
        <row r="14">
          <cell r="J14">
            <v>15817.683108918634</v>
          </cell>
        </row>
        <row r="15">
          <cell r="J15">
            <v>15731.423982543643</v>
          </cell>
        </row>
        <row r="16">
          <cell r="J16">
            <v>15649.070376749085</v>
          </cell>
        </row>
        <row r="17">
          <cell r="J17">
            <v>15626.612959646742</v>
          </cell>
        </row>
        <row r="18">
          <cell r="J18">
            <v>15622.905703569331</v>
          </cell>
        </row>
        <row r="19">
          <cell r="J19">
            <v>15610.431432063724</v>
          </cell>
        </row>
        <row r="20">
          <cell r="J20">
            <v>15596.542561364815</v>
          </cell>
        </row>
        <row r="21">
          <cell r="J21">
            <v>15582.244391175176</v>
          </cell>
        </row>
        <row r="22">
          <cell r="J22">
            <v>15567.473735393418</v>
          </cell>
        </row>
        <row r="23">
          <cell r="J23">
            <v>15545.644066042014</v>
          </cell>
        </row>
        <row r="24">
          <cell r="J24">
            <v>15529.333557952363</v>
          </cell>
        </row>
        <row r="25">
          <cell r="J25">
            <v>15500.214146077662</v>
          </cell>
        </row>
        <row r="26">
          <cell r="J26">
            <v>15438.54852177162</v>
          </cell>
        </row>
        <row r="27">
          <cell r="J27">
            <v>15349.428456374226</v>
          </cell>
        </row>
        <row r="28">
          <cell r="J28">
            <v>15313.999631856415</v>
          </cell>
        </row>
        <row r="29">
          <cell r="J29">
            <v>15302.462487581264</v>
          </cell>
        </row>
        <row r="30">
          <cell r="J30">
            <v>15295.031831416356</v>
          </cell>
        </row>
        <row r="31">
          <cell r="J31">
            <v>15288.356809035915</v>
          </cell>
        </row>
        <row r="32">
          <cell r="J32">
            <v>15280.662534794148</v>
          </cell>
        </row>
        <row r="33">
          <cell r="J33">
            <v>15266.301364172417</v>
          </cell>
        </row>
        <row r="34">
          <cell r="J34">
            <v>15236.656162206735</v>
          </cell>
        </row>
        <row r="35">
          <cell r="J35">
            <v>15199.298498704573</v>
          </cell>
        </row>
        <row r="36">
          <cell r="J36">
            <v>15197.684288910934</v>
          </cell>
        </row>
        <row r="37">
          <cell r="J37">
            <v>15196.95744681661</v>
          </cell>
        </row>
        <row r="38">
          <cell r="J38">
            <v>15184.579393074799</v>
          </cell>
        </row>
        <row r="39">
          <cell r="J39">
            <v>15167.801207732617</v>
          </cell>
        </row>
        <row r="40">
          <cell r="J40">
            <v>15163.451726797301</v>
          </cell>
        </row>
        <row r="41">
          <cell r="J41">
            <v>15086.984481592444</v>
          </cell>
        </row>
        <row r="42">
          <cell r="J42">
            <v>15062.646525852926</v>
          </cell>
        </row>
        <row r="43">
          <cell r="J43">
            <v>15012.094310591214</v>
          </cell>
        </row>
        <row r="44">
          <cell r="J44">
            <v>14987.557450267819</v>
          </cell>
        </row>
        <row r="45">
          <cell r="J45">
            <v>14946.069797396442</v>
          </cell>
        </row>
        <row r="46">
          <cell r="J46">
            <v>14933.114714528314</v>
          </cell>
        </row>
        <row r="47">
          <cell r="J47">
            <v>14915.83824039152</v>
          </cell>
        </row>
        <row r="48">
          <cell r="J48">
            <v>14899.432051700272</v>
          </cell>
        </row>
        <row r="49">
          <cell r="J49">
            <v>14890.502672977338</v>
          </cell>
        </row>
        <row r="50">
          <cell r="J50">
            <v>14860.056825407621</v>
          </cell>
        </row>
        <row r="51">
          <cell r="J51">
            <v>14843.624931834942</v>
          </cell>
        </row>
        <row r="52">
          <cell r="J52">
            <v>14812.44551286416</v>
          </cell>
        </row>
        <row r="53">
          <cell r="J53">
            <v>14812.222461504036</v>
          </cell>
        </row>
        <row r="54">
          <cell r="J54">
            <v>14801.810561864628</v>
          </cell>
        </row>
        <row r="55">
          <cell r="J55">
            <v>14751.545487218551</v>
          </cell>
        </row>
        <row r="56">
          <cell r="J56">
            <v>14747.19318232104</v>
          </cell>
        </row>
        <row r="57">
          <cell r="J57">
            <v>14719.054193037762</v>
          </cell>
        </row>
        <row r="58">
          <cell r="J58">
            <v>14682.799545194232</v>
          </cell>
        </row>
        <row r="59">
          <cell r="J59">
            <v>14665.26555047217</v>
          </cell>
        </row>
        <row r="60">
          <cell r="J60">
            <v>14651.771604516238</v>
          </cell>
        </row>
        <row r="61">
          <cell r="J61">
            <v>14645.774084034472</v>
          </cell>
        </row>
        <row r="62">
          <cell r="J62">
            <v>14643.02594125476</v>
          </cell>
        </row>
        <row r="63">
          <cell r="J63">
            <v>14636.841331650307</v>
          </cell>
        </row>
        <row r="64">
          <cell r="J64">
            <v>14629.430916165915</v>
          </cell>
        </row>
        <row r="65">
          <cell r="J65">
            <v>14627.864837847574</v>
          </cell>
        </row>
        <row r="66">
          <cell r="J66">
            <v>14615.605892163758</v>
          </cell>
        </row>
        <row r="67">
          <cell r="J67">
            <v>14596.120352595481</v>
          </cell>
        </row>
        <row r="68">
          <cell r="J68">
            <v>14578.631519036726</v>
          </cell>
        </row>
        <row r="69">
          <cell r="J69">
            <v>14533.923078518061</v>
          </cell>
        </row>
        <row r="70">
          <cell r="J70">
            <v>14516.397300059387</v>
          </cell>
        </row>
        <row r="71">
          <cell r="J71">
            <v>14489.262896472974</v>
          </cell>
        </row>
        <row r="72">
          <cell r="J72">
            <v>14487.358553183185</v>
          </cell>
        </row>
        <row r="73">
          <cell r="J73">
            <v>14469.572845007751</v>
          </cell>
        </row>
        <row r="74">
          <cell r="J74">
            <v>14455.348157092631</v>
          </cell>
        </row>
        <row r="75">
          <cell r="J75">
            <v>14450.644636192646</v>
          </cell>
        </row>
        <row r="76">
          <cell r="J76">
            <v>14441.465286025723</v>
          </cell>
        </row>
        <row r="77">
          <cell r="J77">
            <v>14417.427608760308</v>
          </cell>
        </row>
        <row r="78">
          <cell r="J78">
            <v>14396.321399248882</v>
          </cell>
        </row>
        <row r="79">
          <cell r="J79">
            <v>14391.002002442085</v>
          </cell>
        </row>
        <row r="80">
          <cell r="J80">
            <v>14388.623513012502</v>
          </cell>
        </row>
        <row r="81">
          <cell r="J81">
            <v>14388.389506506603</v>
          </cell>
        </row>
        <row r="82">
          <cell r="J82">
            <v>14384.119902329488</v>
          </cell>
        </row>
        <row r="83">
          <cell r="J83">
            <v>14354.975918475491</v>
          </cell>
        </row>
        <row r="84">
          <cell r="J84">
            <v>14346.455565373597</v>
          </cell>
        </row>
        <row r="85">
          <cell r="J85">
            <v>14277.31577069695</v>
          </cell>
        </row>
        <row r="86">
          <cell r="J86">
            <v>14275.03515305186</v>
          </cell>
        </row>
        <row r="87">
          <cell r="J87">
            <v>14269.717743813457</v>
          </cell>
        </row>
        <row r="88">
          <cell r="J88">
            <v>14249.658657803458</v>
          </cell>
        </row>
        <row r="89">
          <cell r="J89">
            <v>14247.161970214313</v>
          </cell>
        </row>
        <row r="90">
          <cell r="J90">
            <v>14240.997047739605</v>
          </cell>
        </row>
        <row r="91">
          <cell r="J91">
            <v>14186.030297461428</v>
          </cell>
        </row>
        <row r="92">
          <cell r="J92">
            <v>14148.492048433036</v>
          </cell>
        </row>
        <row r="93">
          <cell r="J93">
            <v>14136.785856113032</v>
          </cell>
        </row>
        <row r="94">
          <cell r="J94">
            <v>14131.698670272181</v>
          </cell>
        </row>
        <row r="95">
          <cell r="J95">
            <v>14122.026330971043</v>
          </cell>
        </row>
        <row r="96">
          <cell r="J96">
            <v>14121.828541164938</v>
          </cell>
        </row>
        <row r="97">
          <cell r="J97">
            <v>14118.291369479248</v>
          </cell>
        </row>
        <row r="98">
          <cell r="J98">
            <v>14115.695628272966</v>
          </cell>
        </row>
        <row r="99">
          <cell r="J99">
            <v>14113.504151080246</v>
          </cell>
        </row>
        <row r="100">
          <cell r="J100">
            <v>14096.998683681428</v>
          </cell>
        </row>
        <row r="101">
          <cell r="J101">
            <v>14096.033773245588</v>
          </cell>
        </row>
        <row r="102">
          <cell r="J102">
            <v>14095.613644321427</v>
          </cell>
        </row>
        <row r="103">
          <cell r="J103">
            <v>14071.509152207191</v>
          </cell>
        </row>
        <row r="104">
          <cell r="J104">
            <v>14044.078565127576</v>
          </cell>
        </row>
        <row r="105">
          <cell r="J105">
            <v>14039.237797108115</v>
          </cell>
        </row>
        <row r="106">
          <cell r="J106">
            <v>14038.526093002121</v>
          </cell>
        </row>
        <row r="107">
          <cell r="J107">
            <v>13992.478209935094</v>
          </cell>
        </row>
        <row r="108">
          <cell r="J108">
            <v>13954.914651498004</v>
          </cell>
        </row>
        <row r="109">
          <cell r="J109">
            <v>13941.491115240733</v>
          </cell>
        </row>
        <row r="110">
          <cell r="J110">
            <v>13936.425388445805</v>
          </cell>
        </row>
        <row r="111">
          <cell r="J111">
            <v>13893.681256803164</v>
          </cell>
        </row>
        <row r="112">
          <cell r="J112">
            <v>13883.76369290521</v>
          </cell>
        </row>
        <row r="113">
          <cell r="J113">
            <v>13869.008701677096</v>
          </cell>
        </row>
        <row r="114">
          <cell r="J114">
            <v>13867.356935056549</v>
          </cell>
        </row>
        <row r="115">
          <cell r="J115">
            <v>13864.144910924448</v>
          </cell>
        </row>
        <row r="116">
          <cell r="J116">
            <v>13851.877847181418</v>
          </cell>
        </row>
        <row r="117">
          <cell r="J117">
            <v>13847.204359309835</v>
          </cell>
        </row>
        <row r="118">
          <cell r="J118">
            <v>13845.761361334127</v>
          </cell>
        </row>
        <row r="119">
          <cell r="J119">
            <v>13840.09835689922</v>
          </cell>
        </row>
        <row r="120">
          <cell r="J120">
            <v>13829.229398393636</v>
          </cell>
        </row>
        <row r="121">
          <cell r="J121">
            <v>13827.604476508915</v>
          </cell>
        </row>
        <row r="122">
          <cell r="J122">
            <v>13813.881522169946</v>
          </cell>
        </row>
        <row r="123">
          <cell r="J123">
            <v>13801.165723593844</v>
          </cell>
        </row>
        <row r="124">
          <cell r="J124">
            <v>13794.199229420234</v>
          </cell>
        </row>
        <row r="125">
          <cell r="J125">
            <v>13794.141055178581</v>
          </cell>
        </row>
        <row r="126">
          <cell r="J126">
            <v>13785.088970639656</v>
          </cell>
        </row>
        <row r="127">
          <cell r="J127">
            <v>13775.911023332046</v>
          </cell>
        </row>
        <row r="128">
          <cell r="J128">
            <v>13751.804410107201</v>
          </cell>
        </row>
        <row r="129">
          <cell r="J129">
            <v>13748.630529941587</v>
          </cell>
        </row>
        <row r="130">
          <cell r="J130">
            <v>13745.028563793778</v>
          </cell>
        </row>
        <row r="131">
          <cell r="J131">
            <v>13735.756861760821</v>
          </cell>
        </row>
        <row r="132">
          <cell r="J132">
            <v>13704.8364854315</v>
          </cell>
        </row>
        <row r="133">
          <cell r="J133">
            <v>13678.112681101258</v>
          </cell>
        </row>
        <row r="134">
          <cell r="J134">
            <v>13674.634361595839</v>
          </cell>
        </row>
        <row r="135">
          <cell r="J135">
            <v>13668.561362046879</v>
          </cell>
        </row>
        <row r="136">
          <cell r="J136">
            <v>13660.830855935188</v>
          </cell>
        </row>
        <row r="137">
          <cell r="J137">
            <v>13645.070050358343</v>
          </cell>
        </row>
        <row r="138">
          <cell r="J138">
            <v>13643.601341909693</v>
          </cell>
        </row>
        <row r="139">
          <cell r="J139">
            <v>13638.195935751399</v>
          </cell>
        </row>
        <row r="140">
          <cell r="J140">
            <v>13631.19975326243</v>
          </cell>
        </row>
        <row r="141">
          <cell r="J141">
            <v>13624.846069758758</v>
          </cell>
        </row>
        <row r="142">
          <cell r="J142">
            <v>13618.737882035026</v>
          </cell>
        </row>
        <row r="143">
          <cell r="J143">
            <v>13611.234070418028</v>
          </cell>
        </row>
        <row r="144">
          <cell r="J144">
            <v>13597.299060330524</v>
          </cell>
        </row>
        <row r="145">
          <cell r="J145">
            <v>13587.395959596848</v>
          </cell>
        </row>
        <row r="146">
          <cell r="J146">
            <v>13569.780554114335</v>
          </cell>
        </row>
        <row r="147">
          <cell r="J147">
            <v>13547.803334773687</v>
          </cell>
        </row>
        <row r="148">
          <cell r="J148">
            <v>13535.952575440411</v>
          </cell>
        </row>
        <row r="149">
          <cell r="J149">
            <v>13518.09785020134</v>
          </cell>
        </row>
        <row r="150">
          <cell r="J150">
            <v>13512.961316249537</v>
          </cell>
        </row>
        <row r="151">
          <cell r="J151">
            <v>13511.674623874753</v>
          </cell>
        </row>
        <row r="152">
          <cell r="J152">
            <v>13503.883635102284</v>
          </cell>
        </row>
        <row r="153">
          <cell r="J153">
            <v>13479.70755217208</v>
          </cell>
        </row>
        <row r="154">
          <cell r="J154">
            <v>13477.28298431656</v>
          </cell>
        </row>
        <row r="155">
          <cell r="J155">
            <v>13470.477516190287</v>
          </cell>
        </row>
        <row r="156">
          <cell r="J156">
            <v>13453.755734649214</v>
          </cell>
        </row>
        <row r="157">
          <cell r="J157">
            <v>13451.003979515222</v>
          </cell>
        </row>
        <row r="158">
          <cell r="J158">
            <v>13449.989709230123</v>
          </cell>
        </row>
        <row r="159">
          <cell r="J159">
            <v>13447.513293752634</v>
          </cell>
        </row>
        <row r="160">
          <cell r="J160">
            <v>13439.180359067008</v>
          </cell>
        </row>
        <row r="161">
          <cell r="J161">
            <v>13437.539032989858</v>
          </cell>
        </row>
        <row r="162">
          <cell r="J162">
            <v>13430.961919679241</v>
          </cell>
        </row>
        <row r="163">
          <cell r="J163">
            <v>13425.636798510863</v>
          </cell>
        </row>
        <row r="164">
          <cell r="J164">
            <v>13416.692113003519</v>
          </cell>
        </row>
        <row r="165">
          <cell r="J165">
            <v>13411.778414964178</v>
          </cell>
        </row>
        <row r="166">
          <cell r="J166">
            <v>13398.657069357592</v>
          </cell>
        </row>
        <row r="167">
          <cell r="J167">
            <v>13393.557782023183</v>
          </cell>
        </row>
        <row r="168">
          <cell r="J168">
            <v>13387.479024567625</v>
          </cell>
        </row>
        <row r="169">
          <cell r="J169">
            <v>13376.387398000539</v>
          </cell>
        </row>
        <row r="170">
          <cell r="J170">
            <v>13362.611833907169</v>
          </cell>
        </row>
        <row r="171">
          <cell r="J171">
            <v>13355.672924928878</v>
          </cell>
        </row>
        <row r="172">
          <cell r="J172">
            <v>13343.455560088532</v>
          </cell>
        </row>
        <row r="173">
          <cell r="J173">
            <v>13331.839389444413</v>
          </cell>
        </row>
        <row r="174">
          <cell r="J174">
            <v>13312.470902113633</v>
          </cell>
        </row>
        <row r="175">
          <cell r="J175">
            <v>13308.67229648996</v>
          </cell>
        </row>
        <row r="176">
          <cell r="J176">
            <v>13305.062957763501</v>
          </cell>
        </row>
        <row r="177">
          <cell r="J177">
            <v>13291.877181560762</v>
          </cell>
        </row>
        <row r="178">
          <cell r="J178">
            <v>13282.449062282556</v>
          </cell>
        </row>
        <row r="179">
          <cell r="J179">
            <v>13275.499823584443</v>
          </cell>
        </row>
        <row r="180">
          <cell r="J180">
            <v>13273.041604868027</v>
          </cell>
        </row>
        <row r="181">
          <cell r="J181">
            <v>13269.661959539124</v>
          </cell>
        </row>
        <row r="182">
          <cell r="J182">
            <v>13269.479770710204</v>
          </cell>
        </row>
        <row r="183">
          <cell r="J183">
            <v>13215.365641982131</v>
          </cell>
        </row>
        <row r="184">
          <cell r="J184">
            <v>13211.288380057316</v>
          </cell>
        </row>
        <row r="185">
          <cell r="J185">
            <v>13188.361948380243</v>
          </cell>
        </row>
        <row r="186">
          <cell r="J186">
            <v>13182.917688679985</v>
          </cell>
        </row>
        <row r="187">
          <cell r="J187">
            <v>13181.209597174908</v>
          </cell>
        </row>
        <row r="188">
          <cell r="J188">
            <v>13180.858539716992</v>
          </cell>
        </row>
        <row r="189">
          <cell r="J189">
            <v>13150.826885904566</v>
          </cell>
        </row>
        <row r="190">
          <cell r="J190">
            <v>13140.894337650694</v>
          </cell>
        </row>
        <row r="191">
          <cell r="J191">
            <v>13119.468082091658</v>
          </cell>
        </row>
        <row r="192">
          <cell r="J192">
            <v>13110.238912817127</v>
          </cell>
        </row>
        <row r="193">
          <cell r="J193">
            <v>13082.194924022328</v>
          </cell>
        </row>
        <row r="194">
          <cell r="J194">
            <v>13081.396349493032</v>
          </cell>
        </row>
        <row r="195">
          <cell r="J195">
            <v>13076.456144942242</v>
          </cell>
        </row>
        <row r="196">
          <cell r="J196">
            <v>13060.054740385103</v>
          </cell>
        </row>
        <row r="197">
          <cell r="J197">
            <v>13045.231479014414</v>
          </cell>
        </row>
        <row r="198">
          <cell r="J198">
            <v>13033.451908367673</v>
          </cell>
        </row>
        <row r="199">
          <cell r="J199">
            <v>13030.073183139888</v>
          </cell>
        </row>
        <row r="200">
          <cell r="J200">
            <v>13010.170281492285</v>
          </cell>
        </row>
        <row r="201">
          <cell r="J201">
            <v>12966.298907695751</v>
          </cell>
        </row>
        <row r="202">
          <cell r="J202">
            <v>12966.123608699265</v>
          </cell>
        </row>
        <row r="203">
          <cell r="J203">
            <v>12956.813634179436</v>
          </cell>
        </row>
        <row r="204">
          <cell r="J204">
            <v>12940.496135909449</v>
          </cell>
        </row>
        <row r="205">
          <cell r="J205">
            <v>12933.443332073506</v>
          </cell>
        </row>
        <row r="206">
          <cell r="J206">
            <v>12924.360387777191</v>
          </cell>
        </row>
        <row r="207">
          <cell r="J207">
            <v>12916.280949108619</v>
          </cell>
        </row>
        <row r="208">
          <cell r="J208">
            <v>12913.424623425663</v>
          </cell>
        </row>
        <row r="209">
          <cell r="J209">
            <v>12903.933015727318</v>
          </cell>
        </row>
        <row r="210">
          <cell r="J210">
            <v>12902.216839858524</v>
          </cell>
        </row>
        <row r="211">
          <cell r="J211">
            <v>12896.973916924755</v>
          </cell>
        </row>
        <row r="212">
          <cell r="J212">
            <v>12896.422752998578</v>
          </cell>
        </row>
        <row r="213">
          <cell r="J213">
            <v>12884.91231481308</v>
          </cell>
        </row>
        <row r="214">
          <cell r="J214">
            <v>12877.001241194925</v>
          </cell>
        </row>
        <row r="215">
          <cell r="J215">
            <v>12870.099147353469</v>
          </cell>
        </row>
        <row r="216">
          <cell r="J216">
            <v>12869.724836434794</v>
          </cell>
        </row>
        <row r="217">
          <cell r="J217">
            <v>12864.498751020303</v>
          </cell>
        </row>
        <row r="218">
          <cell r="J218">
            <v>12855.528774084592</v>
          </cell>
        </row>
        <row r="219">
          <cell r="J219">
            <v>12842.053627798829</v>
          </cell>
        </row>
        <row r="220">
          <cell r="J220">
            <v>12836.971389696153</v>
          </cell>
        </row>
        <row r="221">
          <cell r="J221">
            <v>12830.160701239523</v>
          </cell>
        </row>
        <row r="222">
          <cell r="J222">
            <v>12813.687146852435</v>
          </cell>
        </row>
        <row r="223">
          <cell r="J223">
            <v>12808.727174930322</v>
          </cell>
        </row>
        <row r="224">
          <cell r="J224">
            <v>12804.905506306051</v>
          </cell>
        </row>
        <row r="225">
          <cell r="J225">
            <v>12790.585349381303</v>
          </cell>
        </row>
        <row r="226">
          <cell r="J226">
            <v>12788.471299266457</v>
          </cell>
        </row>
        <row r="227">
          <cell r="J227">
            <v>12787.682390059941</v>
          </cell>
        </row>
        <row r="228">
          <cell r="J228">
            <v>12783.946015856047</v>
          </cell>
        </row>
        <row r="229">
          <cell r="J229">
            <v>12772.706321990494</v>
          </cell>
        </row>
        <row r="230">
          <cell r="J230">
            <v>12767.425102557594</v>
          </cell>
        </row>
        <row r="231">
          <cell r="J231">
            <v>12761.975703166303</v>
          </cell>
        </row>
        <row r="232">
          <cell r="J232">
            <v>12750.665201124448</v>
          </cell>
        </row>
        <row r="233">
          <cell r="J233">
            <v>12733.752669583308</v>
          </cell>
        </row>
        <row r="234">
          <cell r="J234">
            <v>12728.824149463502</v>
          </cell>
        </row>
        <row r="235">
          <cell r="J235">
            <v>12716.868148854974</v>
          </cell>
        </row>
        <row r="236">
          <cell r="J236">
            <v>12708.205914913149</v>
          </cell>
        </row>
        <row r="237">
          <cell r="J237">
            <v>12707.150356799211</v>
          </cell>
        </row>
        <row r="238">
          <cell r="J238">
            <v>12683.146120707126</v>
          </cell>
        </row>
        <row r="239">
          <cell r="J239">
            <v>12669.40167450107</v>
          </cell>
        </row>
        <row r="240">
          <cell r="J240">
            <v>12664.727616055667</v>
          </cell>
        </row>
        <row r="241">
          <cell r="J241">
            <v>12643.861362799766</v>
          </cell>
        </row>
        <row r="242">
          <cell r="J242">
            <v>12632.375933813812</v>
          </cell>
        </row>
        <row r="243">
          <cell r="J243">
            <v>12616.212828982292</v>
          </cell>
        </row>
        <row r="244">
          <cell r="J244">
            <v>12615.643314700186</v>
          </cell>
        </row>
        <row r="245">
          <cell r="J245">
            <v>12585.831018473327</v>
          </cell>
        </row>
        <row r="246">
          <cell r="J246">
            <v>12582.166197505783</v>
          </cell>
        </row>
        <row r="247">
          <cell r="J247">
            <v>12566.023886290848</v>
          </cell>
        </row>
        <row r="248">
          <cell r="J248">
            <v>12559.608301060289</v>
          </cell>
        </row>
        <row r="249">
          <cell r="J249">
            <v>12559.106259891538</v>
          </cell>
        </row>
        <row r="250">
          <cell r="J250">
            <v>12549.829958894512</v>
          </cell>
        </row>
        <row r="251">
          <cell r="J251">
            <v>12526.473952508924</v>
          </cell>
        </row>
        <row r="252">
          <cell r="J252">
            <v>12523.59800148031</v>
          </cell>
        </row>
        <row r="253">
          <cell r="J253">
            <v>12517.190604087866</v>
          </cell>
        </row>
        <row r="254">
          <cell r="J254">
            <v>12510.460262895025</v>
          </cell>
        </row>
        <row r="255">
          <cell r="J255">
            <v>12494.565484983104</v>
          </cell>
        </row>
        <row r="256">
          <cell r="J256">
            <v>12494.225789440159</v>
          </cell>
        </row>
        <row r="257">
          <cell r="J257">
            <v>12481.961376344927</v>
          </cell>
        </row>
        <row r="258">
          <cell r="J258">
            <v>12481.084720425277</v>
          </cell>
        </row>
        <row r="259">
          <cell r="J259">
            <v>12478.309321601357</v>
          </cell>
        </row>
        <row r="260">
          <cell r="J260">
            <v>12473.123700536433</v>
          </cell>
        </row>
        <row r="261">
          <cell r="J261">
            <v>12435.521836127773</v>
          </cell>
        </row>
        <row r="262">
          <cell r="J262">
            <v>12432.082181491522</v>
          </cell>
        </row>
        <row r="263">
          <cell r="J263">
            <v>12411.823079853855</v>
          </cell>
        </row>
        <row r="264">
          <cell r="J264">
            <v>12409.518766870446</v>
          </cell>
        </row>
        <row r="265">
          <cell r="J265">
            <v>12390.115939260708</v>
          </cell>
        </row>
        <row r="266">
          <cell r="J266">
            <v>12382.786835280674</v>
          </cell>
        </row>
        <row r="267">
          <cell r="J267">
            <v>12371.467703208038</v>
          </cell>
        </row>
        <row r="268">
          <cell r="J268">
            <v>12345.17178264715</v>
          </cell>
        </row>
        <row r="269">
          <cell r="J269">
            <v>12343.531912617495</v>
          </cell>
        </row>
        <row r="270">
          <cell r="J270">
            <v>12328.049584122431</v>
          </cell>
        </row>
        <row r="271">
          <cell r="J271">
            <v>12325.194704432837</v>
          </cell>
        </row>
        <row r="272">
          <cell r="J272">
            <v>12317.623409128037</v>
          </cell>
        </row>
        <row r="273">
          <cell r="J273">
            <v>12313.227189503392</v>
          </cell>
        </row>
        <row r="274">
          <cell r="J274">
            <v>12291.710873445314</v>
          </cell>
        </row>
        <row r="275">
          <cell r="J275">
            <v>12291.669384151348</v>
          </cell>
        </row>
        <row r="276">
          <cell r="J276">
            <v>12288.777140056811</v>
          </cell>
        </row>
        <row r="277">
          <cell r="J277">
            <v>12285.095254976161</v>
          </cell>
        </row>
        <row r="278">
          <cell r="J278">
            <v>12281.495190477646</v>
          </cell>
        </row>
        <row r="279">
          <cell r="J279">
            <v>12280.887392105022</v>
          </cell>
        </row>
        <row r="280">
          <cell r="J280">
            <v>12272.535965385656</v>
          </cell>
        </row>
        <row r="281">
          <cell r="J281">
            <v>12250.02820225663</v>
          </cell>
        </row>
        <row r="282">
          <cell r="J282">
            <v>12243.672143571614</v>
          </cell>
        </row>
        <row r="283">
          <cell r="J283">
            <v>12243.038575420942</v>
          </cell>
        </row>
        <row r="284">
          <cell r="J284">
            <v>12211.864486859315</v>
          </cell>
        </row>
        <row r="285">
          <cell r="J285">
            <v>12205.056524297972</v>
          </cell>
        </row>
        <row r="286">
          <cell r="J286">
            <v>12197.656770689167</v>
          </cell>
        </row>
        <row r="287">
          <cell r="J287">
            <v>12194.349794553107</v>
          </cell>
        </row>
        <row r="288">
          <cell r="J288">
            <v>12170.200008593421</v>
          </cell>
        </row>
        <row r="289">
          <cell r="J289">
            <v>12152.903987419097</v>
          </cell>
        </row>
        <row r="290">
          <cell r="J290">
            <v>12152.09190207065</v>
          </cell>
        </row>
        <row r="291">
          <cell r="J291">
            <v>12150.25506231729</v>
          </cell>
        </row>
        <row r="292">
          <cell r="J292">
            <v>12140.068583243614</v>
          </cell>
        </row>
        <row r="293">
          <cell r="J293">
            <v>12136.146816921108</v>
          </cell>
        </row>
        <row r="294">
          <cell r="J294">
            <v>12133.389416430457</v>
          </cell>
        </row>
        <row r="295">
          <cell r="J295">
            <v>12122.234897020662</v>
          </cell>
        </row>
        <row r="296">
          <cell r="J296">
            <v>12120.049827196035</v>
          </cell>
        </row>
        <row r="297">
          <cell r="J297">
            <v>12113.618921110068</v>
          </cell>
        </row>
        <row r="298">
          <cell r="J298">
            <v>12095.991458144774</v>
          </cell>
        </row>
        <row r="299">
          <cell r="J299">
            <v>12091.2943792307</v>
          </cell>
        </row>
        <row r="300">
          <cell r="J300">
            <v>12080.323676882868</v>
          </cell>
        </row>
        <row r="301">
          <cell r="J301">
            <v>12056.369462332139</v>
          </cell>
        </row>
        <row r="302">
          <cell r="J302">
            <v>12048.395703649967</v>
          </cell>
        </row>
        <row r="303">
          <cell r="J303">
            <v>12039.948920923005</v>
          </cell>
        </row>
        <row r="304">
          <cell r="J304">
            <v>12039.523143117325</v>
          </cell>
        </row>
        <row r="305">
          <cell r="J305">
            <v>12008.961955017685</v>
          </cell>
        </row>
        <row r="306">
          <cell r="J306">
            <v>11974.29458975029</v>
          </cell>
        </row>
        <row r="307">
          <cell r="J307">
            <v>11972.8110075348</v>
          </cell>
        </row>
        <row r="308">
          <cell r="J308">
            <v>11965.348174089455</v>
          </cell>
        </row>
        <row r="309">
          <cell r="J309">
            <v>11930.488869313896</v>
          </cell>
        </row>
        <row r="310">
          <cell r="J310">
            <v>11928.151253925098</v>
          </cell>
        </row>
        <row r="311">
          <cell r="J311">
            <v>11918.307329443593</v>
          </cell>
        </row>
        <row r="312">
          <cell r="J312">
            <v>11913.203065264364</v>
          </cell>
        </row>
        <row r="313">
          <cell r="J313">
            <v>11902.027175506257</v>
          </cell>
        </row>
        <row r="314">
          <cell r="J314">
            <v>11882.4503790995</v>
          </cell>
        </row>
        <row r="315">
          <cell r="J315">
            <v>11872.55012857711</v>
          </cell>
        </row>
        <row r="316">
          <cell r="J316">
            <v>11872.125532670396</v>
          </cell>
        </row>
        <row r="317">
          <cell r="J317">
            <v>11860.923050160527</v>
          </cell>
        </row>
        <row r="318">
          <cell r="J318">
            <v>11844.80945049888</v>
          </cell>
        </row>
        <row r="319">
          <cell r="J319">
            <v>11840.206193506474</v>
          </cell>
        </row>
        <row r="320">
          <cell r="J320">
            <v>11829.524426218419</v>
          </cell>
        </row>
        <row r="321">
          <cell r="J321">
            <v>11822.08827369643</v>
          </cell>
        </row>
        <row r="322">
          <cell r="J322">
            <v>11810.050345697042</v>
          </cell>
        </row>
        <row r="323">
          <cell r="J323">
            <v>11779.639142294822</v>
          </cell>
        </row>
        <row r="324">
          <cell r="J324">
            <v>11775.599096351656</v>
          </cell>
        </row>
        <row r="325">
          <cell r="J325">
            <v>11773.536531804555</v>
          </cell>
        </row>
        <row r="326">
          <cell r="J326">
            <v>11767.390177679472</v>
          </cell>
        </row>
        <row r="327">
          <cell r="J327">
            <v>11754.641186277207</v>
          </cell>
        </row>
        <row r="328">
          <cell r="J328">
            <v>11751.468450028597</v>
          </cell>
        </row>
        <row r="329">
          <cell r="J329">
            <v>11719.376732249884</v>
          </cell>
        </row>
        <row r="330">
          <cell r="J330">
            <v>11712.238667990563</v>
          </cell>
        </row>
        <row r="331">
          <cell r="J331">
            <v>11694.079960222924</v>
          </cell>
        </row>
        <row r="332">
          <cell r="J332">
            <v>11683.863045631013</v>
          </cell>
        </row>
        <row r="333">
          <cell r="J333">
            <v>11679.914222566442</v>
          </cell>
        </row>
        <row r="334">
          <cell r="J334">
            <v>11679.046169353383</v>
          </cell>
        </row>
        <row r="335">
          <cell r="J335">
            <v>11671.654544457144</v>
          </cell>
        </row>
        <row r="336">
          <cell r="J336">
            <v>11671.113514705679</v>
          </cell>
        </row>
        <row r="337">
          <cell r="J337">
            <v>11661.433160956851</v>
          </cell>
        </row>
        <row r="338">
          <cell r="J338">
            <v>11659.26283426699</v>
          </cell>
        </row>
        <row r="339">
          <cell r="J339">
            <v>11650.520129390174</v>
          </cell>
        </row>
        <row r="340">
          <cell r="J340">
            <v>11648.980955317436</v>
          </cell>
        </row>
        <row r="341">
          <cell r="J341">
            <v>11639.396561926658</v>
          </cell>
        </row>
        <row r="342">
          <cell r="J342">
            <v>11624.896749857329</v>
          </cell>
        </row>
        <row r="343">
          <cell r="J343">
            <v>11604.458917285128</v>
          </cell>
        </row>
        <row r="344">
          <cell r="J344">
            <v>11584.381140170713</v>
          </cell>
        </row>
        <row r="345">
          <cell r="J345">
            <v>11563.825833877272</v>
          </cell>
        </row>
        <row r="346">
          <cell r="J346">
            <v>11544.430570020104</v>
          </cell>
        </row>
        <row r="347">
          <cell r="J347">
            <v>11541.800409324418</v>
          </cell>
        </row>
        <row r="348">
          <cell r="J348">
            <v>11535.236862969108</v>
          </cell>
        </row>
        <row r="349">
          <cell r="J349">
            <v>11512.946119067332</v>
          </cell>
        </row>
        <row r="350">
          <cell r="J350">
            <v>11488.979394655953</v>
          </cell>
        </row>
        <row r="351">
          <cell r="J351">
            <v>11485.781174757009</v>
          </cell>
        </row>
        <row r="352">
          <cell r="J352">
            <v>11476.447701699715</v>
          </cell>
        </row>
        <row r="353">
          <cell r="J353">
            <v>11462.185423440245</v>
          </cell>
        </row>
        <row r="354">
          <cell r="J354">
            <v>11447.884484331576</v>
          </cell>
        </row>
        <row r="355">
          <cell r="J355">
            <v>11432.315708954036</v>
          </cell>
        </row>
        <row r="356">
          <cell r="J356">
            <v>11431.111992681123</v>
          </cell>
        </row>
        <row r="357">
          <cell r="J357">
            <v>11423.46118261485</v>
          </cell>
        </row>
        <row r="358">
          <cell r="J358">
            <v>11410.162808069334</v>
          </cell>
        </row>
        <row r="359">
          <cell r="J359">
            <v>11405.411525614407</v>
          </cell>
        </row>
        <row r="360">
          <cell r="J360">
            <v>11399.680778794347</v>
          </cell>
        </row>
        <row r="361">
          <cell r="J361">
            <v>11393.631001329017</v>
          </cell>
        </row>
        <row r="362">
          <cell r="J362">
            <v>11391.947126894784</v>
          </cell>
        </row>
        <row r="363">
          <cell r="J363">
            <v>11389.85852997037</v>
          </cell>
        </row>
        <row r="364">
          <cell r="J364">
            <v>11385.109645981185</v>
          </cell>
        </row>
        <row r="365">
          <cell r="J365">
            <v>11379.008931482731</v>
          </cell>
        </row>
        <row r="366">
          <cell r="J366">
            <v>11371.934127956483</v>
          </cell>
        </row>
        <row r="367">
          <cell r="J367">
            <v>11371.846057345087</v>
          </cell>
        </row>
        <row r="368">
          <cell r="J368">
            <v>11345.545269101862</v>
          </cell>
        </row>
        <row r="369">
          <cell r="J369">
            <v>11343.534249824446</v>
          </cell>
        </row>
        <row r="370">
          <cell r="J370">
            <v>11340.671590310903</v>
          </cell>
        </row>
        <row r="371">
          <cell r="J371">
            <v>11339.273231366395</v>
          </cell>
        </row>
        <row r="372">
          <cell r="J372">
            <v>11338.331033213915</v>
          </cell>
        </row>
        <row r="373">
          <cell r="J373">
            <v>11302.618471862064</v>
          </cell>
        </row>
        <row r="374">
          <cell r="J374">
            <v>11297.488980651964</v>
          </cell>
        </row>
        <row r="375">
          <cell r="J375">
            <v>11290.372321309374</v>
          </cell>
        </row>
        <row r="376">
          <cell r="J376">
            <v>11273.886300888749</v>
          </cell>
        </row>
        <row r="377">
          <cell r="J377">
            <v>11258.571431433626</v>
          </cell>
        </row>
        <row r="378">
          <cell r="J378">
            <v>11255.918616560066</v>
          </cell>
        </row>
        <row r="379">
          <cell r="J379">
            <v>11248.407048775336</v>
          </cell>
        </row>
        <row r="380">
          <cell r="J380">
            <v>11241.237089420023</v>
          </cell>
        </row>
        <row r="381">
          <cell r="J381">
            <v>11239.143836466354</v>
          </cell>
        </row>
        <row r="382">
          <cell r="J382">
            <v>11237.046077419845</v>
          </cell>
        </row>
        <row r="383">
          <cell r="J383">
            <v>11204.035146559547</v>
          </cell>
        </row>
        <row r="384">
          <cell r="J384">
            <v>11191.602368808657</v>
          </cell>
        </row>
        <row r="385">
          <cell r="J385">
            <v>11191.408696759765</v>
          </cell>
        </row>
        <row r="386">
          <cell r="J386">
            <v>11191.061000733291</v>
          </cell>
        </row>
        <row r="387">
          <cell r="J387">
            <v>11189.493515869488</v>
          </cell>
        </row>
        <row r="388">
          <cell r="J388">
            <v>11186.603867011134</v>
          </cell>
        </row>
        <row r="389">
          <cell r="J389">
            <v>11183.372512004611</v>
          </cell>
        </row>
        <row r="390">
          <cell r="J390">
            <v>11181.664823722982</v>
          </cell>
        </row>
        <row r="391">
          <cell r="J391">
            <v>11177.736366288167</v>
          </cell>
        </row>
        <row r="392">
          <cell r="J392">
            <v>11164.601950798766</v>
          </cell>
        </row>
        <row r="393">
          <cell r="J393">
            <v>11161.306992377793</v>
          </cell>
        </row>
        <row r="394">
          <cell r="J394">
            <v>11149.28416646486</v>
          </cell>
        </row>
        <row r="395">
          <cell r="J395">
            <v>11130.219899865644</v>
          </cell>
        </row>
        <row r="396">
          <cell r="J396">
            <v>11125.513475620257</v>
          </cell>
        </row>
        <row r="397">
          <cell r="J397">
            <v>11121.947640353166</v>
          </cell>
        </row>
        <row r="398">
          <cell r="J398">
            <v>11120.508242455249</v>
          </cell>
        </row>
        <row r="399">
          <cell r="J399">
            <v>11119.966916631443</v>
          </cell>
        </row>
        <row r="400">
          <cell r="J400">
            <v>11105.040886763803</v>
          </cell>
        </row>
        <row r="401">
          <cell r="J401">
            <v>11104.001338797978</v>
          </cell>
        </row>
        <row r="402">
          <cell r="J402">
            <v>11093.134477373113</v>
          </cell>
        </row>
        <row r="403">
          <cell r="J403">
            <v>11092.100519101221</v>
          </cell>
        </row>
        <row r="404">
          <cell r="J404">
            <v>11091.916770999242</v>
          </cell>
        </row>
        <row r="405">
          <cell r="J405">
            <v>11090.450318334257</v>
          </cell>
        </row>
        <row r="406">
          <cell r="J406">
            <v>11090.208829370591</v>
          </cell>
        </row>
        <row r="407">
          <cell r="J407">
            <v>11083.036713957805</v>
          </cell>
        </row>
        <row r="408">
          <cell r="J408">
            <v>11073.368878681973</v>
          </cell>
        </row>
        <row r="409">
          <cell r="J409">
            <v>11066.959407120572</v>
          </cell>
        </row>
        <row r="410">
          <cell r="J410">
            <v>11049.706929465472</v>
          </cell>
        </row>
        <row r="411">
          <cell r="J411">
            <v>11046.605485434016</v>
          </cell>
        </row>
        <row r="412">
          <cell r="J412">
            <v>11041.805476179657</v>
          </cell>
        </row>
        <row r="413">
          <cell r="J413">
            <v>11041.52212368706</v>
          </cell>
        </row>
        <row r="414">
          <cell r="J414">
            <v>11038.058807892119</v>
          </cell>
        </row>
        <row r="415">
          <cell r="J415">
            <v>11032.257890454093</v>
          </cell>
        </row>
        <row r="416">
          <cell r="J416">
            <v>11025.771702147507</v>
          </cell>
        </row>
        <row r="417">
          <cell r="J417">
            <v>11015.221994825723</v>
          </cell>
        </row>
        <row r="418">
          <cell r="J418">
            <v>11011.652518850209</v>
          </cell>
        </row>
        <row r="419">
          <cell r="J419">
            <v>11009.133904816672</v>
          </cell>
        </row>
        <row r="420">
          <cell r="J420">
            <v>11009.040369648139</v>
          </cell>
        </row>
        <row r="421">
          <cell r="J421">
            <v>11001.746708357106</v>
          </cell>
        </row>
        <row r="422">
          <cell r="J422">
            <v>10991.827580429364</v>
          </cell>
        </row>
        <row r="423">
          <cell r="J423">
            <v>10990.608136503919</v>
          </cell>
        </row>
        <row r="424">
          <cell r="J424">
            <v>10980.217474272507</v>
          </cell>
        </row>
        <row r="425">
          <cell r="J425">
            <v>10967.488917697268</v>
          </cell>
        </row>
        <row r="426">
          <cell r="J426">
            <v>10961.825581410118</v>
          </cell>
        </row>
        <row r="427">
          <cell r="J427">
            <v>10960.419806140886</v>
          </cell>
        </row>
        <row r="428">
          <cell r="J428">
            <v>10944.3904346989</v>
          </cell>
        </row>
        <row r="429">
          <cell r="J429">
            <v>10944.194684937464</v>
          </cell>
        </row>
        <row r="430">
          <cell r="J430">
            <v>10942.940066497316</v>
          </cell>
        </row>
        <row r="431">
          <cell r="J431">
            <v>10941.849278619349</v>
          </cell>
        </row>
        <row r="432">
          <cell r="J432">
            <v>10940.127943424561</v>
          </cell>
        </row>
        <row r="433">
          <cell r="J433">
            <v>10938.849492420857</v>
          </cell>
        </row>
        <row r="434">
          <cell r="J434">
            <v>10930.277625493607</v>
          </cell>
        </row>
        <row r="435">
          <cell r="J435">
            <v>10924.668793340879</v>
          </cell>
        </row>
        <row r="436">
          <cell r="J436">
            <v>10918.377899346398</v>
          </cell>
        </row>
        <row r="437">
          <cell r="J437">
            <v>10909.724076571592</v>
          </cell>
        </row>
        <row r="438">
          <cell r="J438">
            <v>10901.316468888921</v>
          </cell>
        </row>
        <row r="439">
          <cell r="J439">
            <v>10897.848595774421</v>
          </cell>
        </row>
        <row r="440">
          <cell r="J440">
            <v>10873.936601165584</v>
          </cell>
        </row>
        <row r="441">
          <cell r="J441">
            <v>10870.505291270805</v>
          </cell>
        </row>
        <row r="442">
          <cell r="J442">
            <v>10861.344492046495</v>
          </cell>
        </row>
        <row r="443">
          <cell r="J443">
            <v>10859.039941697087</v>
          </cell>
        </row>
        <row r="444">
          <cell r="J444">
            <v>10858.962975586373</v>
          </cell>
        </row>
        <row r="445">
          <cell r="J445">
            <v>10853.955343349915</v>
          </cell>
        </row>
        <row r="446">
          <cell r="J446">
            <v>10846.067283273987</v>
          </cell>
        </row>
        <row r="447">
          <cell r="J447">
            <v>10844.812336395442</v>
          </cell>
        </row>
        <row r="448">
          <cell r="J448">
            <v>10841.180634705428</v>
          </cell>
        </row>
        <row r="449">
          <cell r="J449">
            <v>10839.512372705038</v>
          </cell>
        </row>
        <row r="450">
          <cell r="J450">
            <v>10838.317619488673</v>
          </cell>
        </row>
        <row r="451">
          <cell r="J451">
            <v>10835.211511799065</v>
          </cell>
        </row>
        <row r="452">
          <cell r="J452">
            <v>10833.113509465687</v>
          </cell>
        </row>
        <row r="453">
          <cell r="J453">
            <v>10830.973645785643</v>
          </cell>
        </row>
        <row r="454">
          <cell r="J454">
            <v>10821.465873284675</v>
          </cell>
        </row>
        <row r="455">
          <cell r="J455">
            <v>10817.486379666407</v>
          </cell>
        </row>
        <row r="456">
          <cell r="J456">
            <v>10809.129010481591</v>
          </cell>
        </row>
        <row r="457">
          <cell r="J457">
            <v>10799.485600025824</v>
          </cell>
        </row>
        <row r="458">
          <cell r="J458">
            <v>10786.052843408033</v>
          </cell>
        </row>
        <row r="459">
          <cell r="J459">
            <v>10786.021435758636</v>
          </cell>
        </row>
        <row r="460">
          <cell r="J460">
            <v>10769.302292266717</v>
          </cell>
        </row>
        <row r="461">
          <cell r="J461">
            <v>10736.754895634007</v>
          </cell>
        </row>
        <row r="462">
          <cell r="J462">
            <v>10731.14309337849</v>
          </cell>
        </row>
        <row r="463">
          <cell r="J463">
            <v>10727.640805062023</v>
          </cell>
        </row>
        <row r="464">
          <cell r="J464">
            <v>10726.724326803283</v>
          </cell>
        </row>
        <row r="465">
          <cell r="J465">
            <v>10722.086199694144</v>
          </cell>
        </row>
        <row r="466">
          <cell r="J466">
            <v>10718.790159901015</v>
          </cell>
        </row>
        <row r="467">
          <cell r="J467">
            <v>10716.169740561674</v>
          </cell>
        </row>
        <row r="468">
          <cell r="J468">
            <v>10709.76255735628</v>
          </cell>
        </row>
        <row r="469">
          <cell r="J469">
            <v>10688.744987356524</v>
          </cell>
        </row>
        <row r="470">
          <cell r="J470">
            <v>10688.000387389915</v>
          </cell>
        </row>
        <row r="471">
          <cell r="J471">
            <v>10687.648810317049</v>
          </cell>
        </row>
        <row r="472">
          <cell r="J472">
            <v>10685.691539100219</v>
          </cell>
        </row>
        <row r="473">
          <cell r="J473">
            <v>10681.419922167255</v>
          </cell>
        </row>
        <row r="474">
          <cell r="J474">
            <v>10681.402766915418</v>
          </cell>
        </row>
        <row r="475">
          <cell r="J475">
            <v>10680.629596749894</v>
          </cell>
        </row>
        <row r="476">
          <cell r="J476">
            <v>10674.762563729066</v>
          </cell>
        </row>
        <row r="477">
          <cell r="J477">
            <v>10663.952319743155</v>
          </cell>
        </row>
        <row r="478">
          <cell r="J478">
            <v>10645.465700163677</v>
          </cell>
        </row>
        <row r="479">
          <cell r="J479">
            <v>10633.492515646883</v>
          </cell>
        </row>
        <row r="480">
          <cell r="J480">
            <v>10623.785290862386</v>
          </cell>
        </row>
        <row r="481">
          <cell r="J481">
            <v>10619.772422543272</v>
          </cell>
        </row>
        <row r="482">
          <cell r="J482">
            <v>10601.270236747374</v>
          </cell>
        </row>
        <row r="483">
          <cell r="J483">
            <v>10579.444109654529</v>
          </cell>
        </row>
        <row r="484">
          <cell r="J484">
            <v>10572.243525614147</v>
          </cell>
        </row>
        <row r="485">
          <cell r="J485">
            <v>10547.171174405181</v>
          </cell>
        </row>
        <row r="486">
          <cell r="J486">
            <v>10543.282488396844</v>
          </cell>
        </row>
        <row r="487">
          <cell r="J487">
            <v>10540.528070517264</v>
          </cell>
        </row>
        <row r="488">
          <cell r="J488">
            <v>10505.731709736674</v>
          </cell>
        </row>
        <row r="489">
          <cell r="J489">
            <v>10501.397684630667</v>
          </cell>
        </row>
        <row r="490">
          <cell r="J490">
            <v>10482.035905823301</v>
          </cell>
        </row>
        <row r="491">
          <cell r="J491">
            <v>10456.029250396947</v>
          </cell>
        </row>
        <row r="492">
          <cell r="J492">
            <v>10446.592407485188</v>
          </cell>
        </row>
        <row r="493">
          <cell r="J493">
            <v>10431.644877450848</v>
          </cell>
        </row>
        <row r="494">
          <cell r="J494">
            <v>10430.630656912981</v>
          </cell>
        </row>
        <row r="495">
          <cell r="J495">
            <v>10417.61853244996</v>
          </cell>
        </row>
        <row r="496">
          <cell r="J496">
            <v>10410.857567065077</v>
          </cell>
        </row>
        <row r="497">
          <cell r="J497">
            <v>10410.423608447431</v>
          </cell>
        </row>
        <row r="498">
          <cell r="J498">
            <v>10407.218085410157</v>
          </cell>
        </row>
        <row r="499">
          <cell r="J499">
            <v>10400.648233613831</v>
          </cell>
        </row>
        <row r="500">
          <cell r="J500">
            <v>10380.630957710757</v>
          </cell>
        </row>
        <row r="501">
          <cell r="J501">
            <v>10378.901492010187</v>
          </cell>
        </row>
        <row r="502">
          <cell r="J502">
            <v>10371.611048167795</v>
          </cell>
        </row>
        <row r="503">
          <cell r="J503">
            <v>10363.752022479268</v>
          </cell>
        </row>
        <row r="504">
          <cell r="J504">
            <v>10360.155067917807</v>
          </cell>
        </row>
        <row r="505">
          <cell r="J505">
            <v>10359.518852411775</v>
          </cell>
        </row>
        <row r="506">
          <cell r="J506">
            <v>10355.580775321916</v>
          </cell>
        </row>
        <row r="507">
          <cell r="J507">
            <v>10354.266333477559</v>
          </cell>
        </row>
        <row r="508">
          <cell r="J508">
            <v>10336.49550715638</v>
          </cell>
        </row>
        <row r="509">
          <cell r="J509">
            <v>10313.859336019586</v>
          </cell>
        </row>
        <row r="510">
          <cell r="J510">
            <v>10309.154113585077</v>
          </cell>
        </row>
        <row r="511">
          <cell r="J511">
            <v>10298.754170527078</v>
          </cell>
        </row>
        <row r="512">
          <cell r="J512">
            <v>10281.875290467766</v>
          </cell>
        </row>
        <row r="513">
          <cell r="J513">
            <v>10259.493318654751</v>
          </cell>
        </row>
        <row r="514">
          <cell r="J514">
            <v>10249.727813314221</v>
          </cell>
        </row>
        <row r="515">
          <cell r="J515">
            <v>10246.78564761318</v>
          </cell>
        </row>
        <row r="516">
          <cell r="J516">
            <v>10245.476872848867</v>
          </cell>
        </row>
        <row r="517">
          <cell r="J517">
            <v>10243.287881945962</v>
          </cell>
        </row>
        <row r="518">
          <cell r="J518">
            <v>10222.456125896602</v>
          </cell>
        </row>
        <row r="519">
          <cell r="J519">
            <v>10208.2985745927</v>
          </cell>
        </row>
        <row r="520">
          <cell r="J520">
            <v>10194.296537112084</v>
          </cell>
        </row>
        <row r="521">
          <cell r="J521">
            <v>10187.316524857786</v>
          </cell>
        </row>
        <row r="522">
          <cell r="J522">
            <v>10179.903468496777</v>
          </cell>
        </row>
        <row r="523">
          <cell r="J523">
            <v>10174.495384158792</v>
          </cell>
        </row>
        <row r="524">
          <cell r="J524">
            <v>10171.19473296535</v>
          </cell>
        </row>
        <row r="525">
          <cell r="J525">
            <v>10168.483265970061</v>
          </cell>
        </row>
        <row r="526">
          <cell r="J526">
            <v>10167.786205680974</v>
          </cell>
        </row>
        <row r="527">
          <cell r="J527">
            <v>10156.173601650744</v>
          </cell>
        </row>
        <row r="528">
          <cell r="J528">
            <v>10148.674172634228</v>
          </cell>
        </row>
        <row r="529">
          <cell r="J529">
            <v>10148.557909331948</v>
          </cell>
        </row>
        <row r="530">
          <cell r="J530">
            <v>10148.302784708339</v>
          </cell>
        </row>
        <row r="531">
          <cell r="J531">
            <v>10137.808469396616</v>
          </cell>
        </row>
        <row r="532">
          <cell r="J532">
            <v>10128.999406676081</v>
          </cell>
        </row>
        <row r="533">
          <cell r="J533">
            <v>10118.958222784986</v>
          </cell>
        </row>
        <row r="534">
          <cell r="J534">
            <v>10114.548882555648</v>
          </cell>
        </row>
        <row r="535">
          <cell r="J535">
            <v>10101.069801120831</v>
          </cell>
        </row>
        <row r="536">
          <cell r="J536">
            <v>10099.725258426939</v>
          </cell>
        </row>
        <row r="537">
          <cell r="J537">
            <v>10091.636288792768</v>
          </cell>
        </row>
        <row r="538">
          <cell r="J538">
            <v>10089.00537683921</v>
          </cell>
        </row>
        <row r="539">
          <cell r="J539">
            <v>10082.573345097349</v>
          </cell>
        </row>
        <row r="540">
          <cell r="J540">
            <v>10082.474287866255</v>
          </cell>
        </row>
        <row r="541">
          <cell r="J541">
            <v>10075.284347189507</v>
          </cell>
        </row>
        <row r="542">
          <cell r="J542">
            <v>10069.567283238444</v>
          </cell>
        </row>
        <row r="543">
          <cell r="J543">
            <v>10063.948488940192</v>
          </cell>
        </row>
        <row r="544">
          <cell r="J544">
            <v>10058.339774119655</v>
          </cell>
        </row>
        <row r="545">
          <cell r="J545">
            <v>10037.084343667379</v>
          </cell>
        </row>
        <row r="546">
          <cell r="J546">
            <v>10018.027538485481</v>
          </cell>
        </row>
        <row r="547">
          <cell r="J547">
            <v>10007.531636577223</v>
          </cell>
        </row>
        <row r="548">
          <cell r="J548">
            <v>9999.8638994110406</v>
          </cell>
        </row>
        <row r="549">
          <cell r="J549">
            <v>9998.6935503572331</v>
          </cell>
        </row>
        <row r="550">
          <cell r="J550">
            <v>9998.6286855356957</v>
          </cell>
        </row>
        <row r="551">
          <cell r="J551">
            <v>9996.3927269947417</v>
          </cell>
        </row>
        <row r="552">
          <cell r="J552">
            <v>9984.4805951114995</v>
          </cell>
        </row>
        <row r="553">
          <cell r="J553">
            <v>9984.4508233985525</v>
          </cell>
        </row>
        <row r="554">
          <cell r="J554">
            <v>9983.3111444257684</v>
          </cell>
        </row>
        <row r="555">
          <cell r="J555">
            <v>9982.2675796799285</v>
          </cell>
        </row>
        <row r="556">
          <cell r="J556">
            <v>9978.0920696852791</v>
          </cell>
        </row>
        <row r="557">
          <cell r="J557">
            <v>9968.7454158989131</v>
          </cell>
        </row>
        <row r="558">
          <cell r="J558">
            <v>9968.1755953831052</v>
          </cell>
        </row>
        <row r="559">
          <cell r="J559">
            <v>9929.5670791755583</v>
          </cell>
        </row>
        <row r="560">
          <cell r="J560">
            <v>9923.0450319978772</v>
          </cell>
        </row>
        <row r="561">
          <cell r="J561">
            <v>9905.3347046399558</v>
          </cell>
        </row>
        <row r="562">
          <cell r="J562">
            <v>9891.187916160934</v>
          </cell>
        </row>
        <row r="563">
          <cell r="J563">
            <v>9887.3928762300729</v>
          </cell>
        </row>
        <row r="564">
          <cell r="J564">
            <v>9865.2632110761933</v>
          </cell>
        </row>
        <row r="565">
          <cell r="J565">
            <v>9852.4711378501088</v>
          </cell>
        </row>
        <row r="566">
          <cell r="J566">
            <v>9835.2428777540554</v>
          </cell>
        </row>
        <row r="567">
          <cell r="J567">
            <v>9830.8368341274199</v>
          </cell>
        </row>
        <row r="568">
          <cell r="J568">
            <v>9820.9723433333129</v>
          </cell>
        </row>
        <row r="569">
          <cell r="J569">
            <v>9819.7371039963546</v>
          </cell>
        </row>
        <row r="570">
          <cell r="J570">
            <v>9799.5853627319775</v>
          </cell>
        </row>
        <row r="571">
          <cell r="J571">
            <v>9798.8481359852049</v>
          </cell>
        </row>
        <row r="572">
          <cell r="J572">
            <v>9781.8108940137045</v>
          </cell>
        </row>
        <row r="573">
          <cell r="J573">
            <v>9777.4680940260569</v>
          </cell>
        </row>
        <row r="574">
          <cell r="J574">
            <v>9773.1108900153231</v>
          </cell>
        </row>
        <row r="575">
          <cell r="J575">
            <v>9750.8046492689446</v>
          </cell>
        </row>
        <row r="576">
          <cell r="J576">
            <v>9741.8068025369648</v>
          </cell>
        </row>
        <row r="577">
          <cell r="J577">
            <v>9740.0421539992494</v>
          </cell>
        </row>
        <row r="578">
          <cell r="J578">
            <v>9735.2615111612886</v>
          </cell>
        </row>
        <row r="579">
          <cell r="J579">
            <v>9731.1536978138174</v>
          </cell>
        </row>
        <row r="580">
          <cell r="J580">
            <v>9729.1406402997291</v>
          </cell>
        </row>
        <row r="581">
          <cell r="J581">
            <v>9722.5555473370787</v>
          </cell>
        </row>
        <row r="582">
          <cell r="J582">
            <v>9722.1528340375044</v>
          </cell>
        </row>
        <row r="583">
          <cell r="J583">
            <v>9706.1560547267836</v>
          </cell>
        </row>
        <row r="584">
          <cell r="J584">
            <v>9703.3887944962935</v>
          </cell>
        </row>
        <row r="585">
          <cell r="J585">
            <v>9698.4252916096721</v>
          </cell>
        </row>
        <row r="586">
          <cell r="J586">
            <v>9677.8561744016552</v>
          </cell>
        </row>
        <row r="587">
          <cell r="J587">
            <v>9663.1096046640323</v>
          </cell>
        </row>
        <row r="588">
          <cell r="J588">
            <v>9663.0826900583888</v>
          </cell>
        </row>
        <row r="589">
          <cell r="J589">
            <v>9646.1748957341024</v>
          </cell>
        </row>
        <row r="590">
          <cell r="J590">
            <v>9632.5926320024373</v>
          </cell>
        </row>
        <row r="591">
          <cell r="J591">
            <v>9631.490931148177</v>
          </cell>
        </row>
        <row r="592">
          <cell r="J592">
            <v>9624.732317671911</v>
          </cell>
        </row>
        <row r="593">
          <cell r="J593">
            <v>9577.4118032838196</v>
          </cell>
        </row>
        <row r="594">
          <cell r="J594">
            <v>9563.0032113624493</v>
          </cell>
        </row>
        <row r="595">
          <cell r="J595">
            <v>9556.2740741047237</v>
          </cell>
        </row>
        <row r="596">
          <cell r="J596">
            <v>9554.3719821706018</v>
          </cell>
        </row>
        <row r="597">
          <cell r="J597">
            <v>9540.5039545672098</v>
          </cell>
        </row>
        <row r="598">
          <cell r="J598">
            <v>9521.9926005645102</v>
          </cell>
        </row>
        <row r="599">
          <cell r="J599">
            <v>9517.1931329872768</v>
          </cell>
        </row>
        <row r="600">
          <cell r="J600">
            <v>9504.9570411004097</v>
          </cell>
        </row>
        <row r="601">
          <cell r="J601">
            <v>9499.2601662905599</v>
          </cell>
        </row>
        <row r="602">
          <cell r="J602">
            <v>9499.0498046622743</v>
          </cell>
        </row>
        <row r="603">
          <cell r="J603">
            <v>9498.8343189444822</v>
          </cell>
        </row>
        <row r="604">
          <cell r="J604">
            <v>9493.2143909303577</v>
          </cell>
        </row>
        <row r="605">
          <cell r="J605">
            <v>9493.1674437849306</v>
          </cell>
        </row>
        <row r="606">
          <cell r="J606">
            <v>9485.6462753511514</v>
          </cell>
        </row>
        <row r="607">
          <cell r="J607">
            <v>9482.3898994605734</v>
          </cell>
        </row>
        <row r="608">
          <cell r="J608">
            <v>9458.2975240038577</v>
          </cell>
        </row>
        <row r="609">
          <cell r="J609">
            <v>9455.1665409880279</v>
          </cell>
        </row>
        <row r="610">
          <cell r="J610">
            <v>9445.8337472709136</v>
          </cell>
        </row>
        <row r="611">
          <cell r="J611">
            <v>9444.4692299589042</v>
          </cell>
        </row>
        <row r="612">
          <cell r="J612">
            <v>9444.1820652943279</v>
          </cell>
        </row>
        <row r="613">
          <cell r="J613">
            <v>9440.1652722843301</v>
          </cell>
        </row>
        <row r="614">
          <cell r="J614">
            <v>9434.6436471845736</v>
          </cell>
        </row>
        <row r="615">
          <cell r="J615">
            <v>9417.0626792230141</v>
          </cell>
        </row>
        <row r="616">
          <cell r="J616">
            <v>9416.4783455191373</v>
          </cell>
        </row>
        <row r="617">
          <cell r="J617">
            <v>9414.9055494315799</v>
          </cell>
        </row>
        <row r="618">
          <cell r="J618">
            <v>9409.874480122673</v>
          </cell>
        </row>
        <row r="619">
          <cell r="J619">
            <v>9402.6587167738762</v>
          </cell>
        </row>
        <row r="620">
          <cell r="J620">
            <v>9387.0525532987322</v>
          </cell>
        </row>
        <row r="621">
          <cell r="J621">
            <v>9373.3499935896052</v>
          </cell>
        </row>
        <row r="622">
          <cell r="J622">
            <v>9366.5541958314152</v>
          </cell>
        </row>
        <row r="623">
          <cell r="J623">
            <v>9336.6342031306267</v>
          </cell>
        </row>
        <row r="624">
          <cell r="J624">
            <v>9334.9465713489135</v>
          </cell>
        </row>
        <row r="625">
          <cell r="J625">
            <v>9332.5754632287062</v>
          </cell>
        </row>
        <row r="626">
          <cell r="J626">
            <v>9331.3488156551848</v>
          </cell>
        </row>
        <row r="627">
          <cell r="J627">
            <v>9302.5384484987499</v>
          </cell>
        </row>
        <row r="628">
          <cell r="J628">
            <v>9286.7817130066251</v>
          </cell>
        </row>
        <row r="629">
          <cell r="J629">
            <v>9253.6061363263234</v>
          </cell>
        </row>
        <row r="630">
          <cell r="J630">
            <v>9251.5456507146791</v>
          </cell>
        </row>
        <row r="631">
          <cell r="J631">
            <v>9246.5827084968842</v>
          </cell>
        </row>
        <row r="632">
          <cell r="J632">
            <v>9245.8021123686849</v>
          </cell>
        </row>
        <row r="633">
          <cell r="J633">
            <v>9243.2390391548925</v>
          </cell>
        </row>
        <row r="634">
          <cell r="J634">
            <v>9223.4182665606513</v>
          </cell>
        </row>
        <row r="635">
          <cell r="J635">
            <v>9218.7958342246911</v>
          </cell>
        </row>
        <row r="636">
          <cell r="J636">
            <v>9218.2575987907767</v>
          </cell>
        </row>
        <row r="637">
          <cell r="J637">
            <v>9212.2879523279898</v>
          </cell>
        </row>
        <row r="638">
          <cell r="J638">
            <v>9200.0953029266784</v>
          </cell>
        </row>
        <row r="639">
          <cell r="J639">
            <v>9196.5531889577705</v>
          </cell>
        </row>
        <row r="640">
          <cell r="J640">
            <v>9184.5041241180807</v>
          </cell>
        </row>
        <row r="641">
          <cell r="J641">
            <v>9179.3807804690387</v>
          </cell>
        </row>
        <row r="642">
          <cell r="J642">
            <v>9158.744364878894</v>
          </cell>
        </row>
        <row r="643">
          <cell r="J643">
            <v>9150.3621296486799</v>
          </cell>
        </row>
        <row r="644">
          <cell r="J644">
            <v>9137.0626827864162</v>
          </cell>
        </row>
        <row r="645">
          <cell r="J645">
            <v>9122.767636201017</v>
          </cell>
        </row>
        <row r="646">
          <cell r="J646">
            <v>9120.7908763240066</v>
          </cell>
        </row>
        <row r="647">
          <cell r="J647">
            <v>9119.8017042753308</v>
          </cell>
        </row>
        <row r="648">
          <cell r="J648">
            <v>9106.6705484753347</v>
          </cell>
        </row>
        <row r="649">
          <cell r="J649">
            <v>9097.4597418171106</v>
          </cell>
        </row>
        <row r="650">
          <cell r="J650">
            <v>9097.0491210749205</v>
          </cell>
        </row>
        <row r="651">
          <cell r="J651">
            <v>9093.747809513683</v>
          </cell>
        </row>
        <row r="652">
          <cell r="J652">
            <v>9090.146736601384</v>
          </cell>
        </row>
        <row r="653">
          <cell r="J653">
            <v>9077.5930023325836</v>
          </cell>
        </row>
        <row r="654">
          <cell r="J654">
            <v>9077.3306272746377</v>
          </cell>
        </row>
        <row r="655">
          <cell r="J655">
            <v>9060.8261113591961</v>
          </cell>
        </row>
        <row r="656">
          <cell r="J656">
            <v>9060.0099193258357</v>
          </cell>
        </row>
        <row r="657">
          <cell r="J657">
            <v>9050.7930710203145</v>
          </cell>
        </row>
        <row r="658">
          <cell r="J658">
            <v>9047.9295152481809</v>
          </cell>
        </row>
        <row r="659">
          <cell r="J659">
            <v>9040.6604554453806</v>
          </cell>
        </row>
        <row r="660">
          <cell r="J660">
            <v>9028.4199557865632</v>
          </cell>
        </row>
        <row r="661">
          <cell r="J661">
            <v>9024.0599046745174</v>
          </cell>
        </row>
        <row r="662">
          <cell r="J662">
            <v>9011.7861680663536</v>
          </cell>
        </row>
        <row r="663">
          <cell r="J663">
            <v>9007.1391666401578</v>
          </cell>
        </row>
        <row r="664">
          <cell r="J664">
            <v>8969.560875750145</v>
          </cell>
        </row>
        <row r="665">
          <cell r="J665">
            <v>8964.4692621119393</v>
          </cell>
        </row>
        <row r="666">
          <cell r="J666">
            <v>8957.6296964060257</v>
          </cell>
        </row>
        <row r="667">
          <cell r="J667">
            <v>8942.0952030684803</v>
          </cell>
        </row>
        <row r="668">
          <cell r="J668">
            <v>8939.0152606729389</v>
          </cell>
        </row>
        <row r="669">
          <cell r="J669">
            <v>8932.4299879134996</v>
          </cell>
        </row>
        <row r="670">
          <cell r="J670">
            <v>8915.985284325061</v>
          </cell>
        </row>
        <row r="671">
          <cell r="J671">
            <v>8900.0229601126684</v>
          </cell>
        </row>
        <row r="672">
          <cell r="J672">
            <v>8893.8311597691372</v>
          </cell>
        </row>
        <row r="673">
          <cell r="J673">
            <v>8892.0515197240184</v>
          </cell>
        </row>
        <row r="674">
          <cell r="J674">
            <v>8890.9586706686314</v>
          </cell>
        </row>
        <row r="675">
          <cell r="J675">
            <v>8888.7634658222469</v>
          </cell>
        </row>
        <row r="676">
          <cell r="J676">
            <v>8887.110490085468</v>
          </cell>
        </row>
        <row r="677">
          <cell r="J677">
            <v>8880.6925258451683</v>
          </cell>
        </row>
        <row r="678">
          <cell r="J678">
            <v>8876.622861094309</v>
          </cell>
        </row>
        <row r="679">
          <cell r="J679">
            <v>8848.2077576818938</v>
          </cell>
        </row>
        <row r="680">
          <cell r="J680">
            <v>8844.9739007712997</v>
          </cell>
        </row>
        <row r="681">
          <cell r="J681">
            <v>8834.0606424601847</v>
          </cell>
        </row>
        <row r="682">
          <cell r="J682">
            <v>8833.498770149723</v>
          </cell>
        </row>
        <row r="683">
          <cell r="J683">
            <v>8832.1972730042962</v>
          </cell>
        </row>
        <row r="684">
          <cell r="J684">
            <v>8820.1281243611447</v>
          </cell>
        </row>
        <row r="685">
          <cell r="J685">
            <v>8811.1879953297921</v>
          </cell>
        </row>
        <row r="686">
          <cell r="J686">
            <v>8804.8906644097078</v>
          </cell>
        </row>
        <row r="687">
          <cell r="J687">
            <v>8798.024037018542</v>
          </cell>
        </row>
        <row r="688">
          <cell r="J688">
            <v>8794.6391510871872</v>
          </cell>
        </row>
        <row r="689">
          <cell r="J689">
            <v>8792.2125262289719</v>
          </cell>
        </row>
        <row r="690">
          <cell r="J690">
            <v>8778.096496523809</v>
          </cell>
        </row>
        <row r="691">
          <cell r="J691">
            <v>8751.5995374022314</v>
          </cell>
        </row>
        <row r="692">
          <cell r="J692">
            <v>8746.4801231789206</v>
          </cell>
        </row>
        <row r="693">
          <cell r="J693">
            <v>8715.641237030417</v>
          </cell>
        </row>
        <row r="694">
          <cell r="J694">
            <v>8710.3709944018428</v>
          </cell>
        </row>
        <row r="695">
          <cell r="J695">
            <v>8708.0635561165982</v>
          </cell>
        </row>
        <row r="696">
          <cell r="J696">
            <v>8707.7487347853512</v>
          </cell>
        </row>
        <row r="697">
          <cell r="J697">
            <v>8707.3354620611681</v>
          </cell>
        </row>
        <row r="698">
          <cell r="J698">
            <v>8699.284001536209</v>
          </cell>
        </row>
        <row r="699">
          <cell r="J699">
            <v>8697.8966786548299</v>
          </cell>
        </row>
        <row r="700">
          <cell r="J700">
            <v>8692.4696564808473</v>
          </cell>
        </row>
        <row r="701">
          <cell r="J701">
            <v>8690.3125141459477</v>
          </cell>
        </row>
        <row r="702">
          <cell r="J702">
            <v>8681.7331565804307</v>
          </cell>
        </row>
        <row r="703">
          <cell r="J703">
            <v>8632.0676488466615</v>
          </cell>
        </row>
        <row r="704">
          <cell r="J704">
            <v>8623.7958061046374</v>
          </cell>
        </row>
        <row r="705">
          <cell r="J705">
            <v>8617.826826444867</v>
          </cell>
        </row>
        <row r="706">
          <cell r="J706">
            <v>8603.402227719127</v>
          </cell>
        </row>
        <row r="707">
          <cell r="J707">
            <v>8584.1537068880571</v>
          </cell>
        </row>
        <row r="708">
          <cell r="J708">
            <v>8546.7581652748377</v>
          </cell>
        </row>
        <row r="709">
          <cell r="J709">
            <v>8546.1356899492348</v>
          </cell>
        </row>
        <row r="710">
          <cell r="J710">
            <v>8545.2673951427678</v>
          </cell>
        </row>
        <row r="711">
          <cell r="J711">
            <v>8527.2397662437234</v>
          </cell>
        </row>
        <row r="712">
          <cell r="J712">
            <v>8523.5831882976454</v>
          </cell>
        </row>
        <row r="713">
          <cell r="J713">
            <v>8514.0587230209894</v>
          </cell>
        </row>
        <row r="714">
          <cell r="J714">
            <v>8482.2016619623082</v>
          </cell>
        </row>
        <row r="715">
          <cell r="J715">
            <v>8481.3212170470888</v>
          </cell>
        </row>
        <row r="716">
          <cell r="J716">
            <v>8469.6526311877024</v>
          </cell>
        </row>
        <row r="717">
          <cell r="J717">
            <v>8459.2685241727813</v>
          </cell>
        </row>
        <row r="718">
          <cell r="J718">
            <v>8433.8534654325595</v>
          </cell>
        </row>
        <row r="719">
          <cell r="J719">
            <v>8424.959764269408</v>
          </cell>
        </row>
        <row r="720">
          <cell r="J720">
            <v>8424.5282885872275</v>
          </cell>
        </row>
        <row r="721">
          <cell r="J721">
            <v>8421.0125118699489</v>
          </cell>
        </row>
        <row r="722">
          <cell r="J722">
            <v>8390.6825917645074</v>
          </cell>
        </row>
        <row r="723">
          <cell r="J723">
            <v>8381.0519669254954</v>
          </cell>
        </row>
        <row r="724">
          <cell r="J724">
            <v>8377.6710828972282</v>
          </cell>
        </row>
        <row r="725">
          <cell r="J725">
            <v>8356.8137451741404</v>
          </cell>
        </row>
        <row r="726">
          <cell r="J726">
            <v>8353.3377210050312</v>
          </cell>
        </row>
        <row r="727">
          <cell r="J727">
            <v>8352.4724401358962</v>
          </cell>
        </row>
        <row r="728">
          <cell r="J728">
            <v>8346.2015301936262</v>
          </cell>
        </row>
        <row r="729">
          <cell r="J729">
            <v>8333.9615533673277</v>
          </cell>
        </row>
        <row r="730">
          <cell r="J730">
            <v>8317.7221458804379</v>
          </cell>
        </row>
        <row r="731">
          <cell r="J731">
            <v>8315.3297159386311</v>
          </cell>
        </row>
        <row r="732">
          <cell r="J732">
            <v>8307.9500071133898</v>
          </cell>
        </row>
        <row r="733">
          <cell r="J733">
            <v>8306.8527934660306</v>
          </cell>
        </row>
        <row r="734">
          <cell r="J734">
            <v>8290.426299871513</v>
          </cell>
        </row>
        <row r="735">
          <cell r="J735">
            <v>8289.2876367690023</v>
          </cell>
        </row>
        <row r="736">
          <cell r="J736">
            <v>8285.1237111701266</v>
          </cell>
        </row>
        <row r="737">
          <cell r="J737">
            <v>8284.8008736833326</v>
          </cell>
        </row>
        <row r="738">
          <cell r="J738">
            <v>8279.0376674498966</v>
          </cell>
        </row>
        <row r="739">
          <cell r="J739">
            <v>8268.3325324648631</v>
          </cell>
        </row>
        <row r="740">
          <cell r="J740">
            <v>8260.9974990603023</v>
          </cell>
        </row>
        <row r="741">
          <cell r="J741">
            <v>8243.168911136614</v>
          </cell>
        </row>
        <row r="742">
          <cell r="J742">
            <v>8239.1321512103841</v>
          </cell>
        </row>
        <row r="743">
          <cell r="J743">
            <v>8213.0624509072968</v>
          </cell>
        </row>
        <row r="744">
          <cell r="J744">
            <v>8206.2745417157312</v>
          </cell>
        </row>
        <row r="745">
          <cell r="J745">
            <v>8182.3798686207656</v>
          </cell>
        </row>
        <row r="746">
          <cell r="J746">
            <v>8175.7703588158702</v>
          </cell>
        </row>
        <row r="747">
          <cell r="J747">
            <v>8166.9089637169145</v>
          </cell>
        </row>
        <row r="748">
          <cell r="J748">
            <v>8151.278698832929</v>
          </cell>
        </row>
        <row r="749">
          <cell r="J749">
            <v>8142.570050763853</v>
          </cell>
        </row>
        <row r="750">
          <cell r="J750">
            <v>8095.6145986353704</v>
          </cell>
        </row>
        <row r="751">
          <cell r="J751">
            <v>8090.5734445484322</v>
          </cell>
        </row>
        <row r="752">
          <cell r="J752">
            <v>8070.9632418604506</v>
          </cell>
        </row>
        <row r="753">
          <cell r="J753">
            <v>8068.3280519156115</v>
          </cell>
        </row>
        <row r="754">
          <cell r="J754">
            <v>8055.4663046487321</v>
          </cell>
        </row>
        <row r="755">
          <cell r="J755">
            <v>8031.2127866498749</v>
          </cell>
        </row>
        <row r="756">
          <cell r="J756">
            <v>8028.1727633970168</v>
          </cell>
        </row>
        <row r="757">
          <cell r="J757">
            <v>8027.4251078828966</v>
          </cell>
        </row>
        <row r="758">
          <cell r="J758">
            <v>8011.8605966121295</v>
          </cell>
        </row>
        <row r="759">
          <cell r="J759">
            <v>8007.1731773506453</v>
          </cell>
        </row>
        <row r="760">
          <cell r="J760">
            <v>7990.3451530689481</v>
          </cell>
        </row>
        <row r="761">
          <cell r="J761">
            <v>7986.6280039629501</v>
          </cell>
        </row>
        <row r="762">
          <cell r="J762">
            <v>7964.9992609460451</v>
          </cell>
        </row>
        <row r="763">
          <cell r="J763">
            <v>7961.7251278049425</v>
          </cell>
        </row>
        <row r="764">
          <cell r="J764">
            <v>7954.3924137359736</v>
          </cell>
        </row>
        <row r="765">
          <cell r="J765">
            <v>7929.8243815398027</v>
          </cell>
        </row>
        <row r="766">
          <cell r="J766">
            <v>7894.6568639483794</v>
          </cell>
        </row>
        <row r="767">
          <cell r="J767">
            <v>7889.3618610777512</v>
          </cell>
        </row>
        <row r="768">
          <cell r="J768">
            <v>7877.7980245301187</v>
          </cell>
        </row>
        <row r="769">
          <cell r="J769">
            <v>7860.3340068769976</v>
          </cell>
        </row>
        <row r="770">
          <cell r="J770">
            <v>7858.837415183315</v>
          </cell>
        </row>
        <row r="771">
          <cell r="J771">
            <v>7847.6904790397257</v>
          </cell>
        </row>
        <row r="772">
          <cell r="J772">
            <v>7847.1715797194956</v>
          </cell>
        </row>
        <row r="773">
          <cell r="J773">
            <v>7837.7453659653102</v>
          </cell>
        </row>
        <row r="774">
          <cell r="J774">
            <v>7837.1583871928997</v>
          </cell>
        </row>
        <row r="775">
          <cell r="J775">
            <v>7806.607517785339</v>
          </cell>
        </row>
        <row r="776">
          <cell r="J776">
            <v>7780.3211954284598</v>
          </cell>
        </row>
        <row r="777">
          <cell r="J777">
            <v>7750.8662152855577</v>
          </cell>
        </row>
        <row r="778">
          <cell r="J778">
            <v>7743.3713326348225</v>
          </cell>
        </row>
        <row r="779">
          <cell r="J779">
            <v>7719.1855924073534</v>
          </cell>
        </row>
        <row r="780">
          <cell r="J780">
            <v>7698.2748508160448</v>
          </cell>
        </row>
        <row r="781">
          <cell r="J781">
            <v>7689.0267679004728</v>
          </cell>
        </row>
        <row r="782">
          <cell r="J782">
            <v>7675.8229637961367</v>
          </cell>
        </row>
        <row r="783">
          <cell r="J783">
            <v>7673.9921148006815</v>
          </cell>
        </row>
        <row r="784">
          <cell r="J784">
            <v>7656.2159622042755</v>
          </cell>
        </row>
        <row r="785">
          <cell r="J785">
            <v>7654.7491951023821</v>
          </cell>
        </row>
        <row r="786">
          <cell r="J786">
            <v>7641.3710066790327</v>
          </cell>
        </row>
        <row r="787">
          <cell r="J787">
            <v>7631.7953018114295</v>
          </cell>
        </row>
        <row r="788">
          <cell r="J788">
            <v>7624.9311876509591</v>
          </cell>
        </row>
        <row r="789">
          <cell r="J789">
            <v>7616.2198929893129</v>
          </cell>
        </row>
        <row r="790">
          <cell r="J790">
            <v>7601.0449814133581</v>
          </cell>
        </row>
        <row r="791">
          <cell r="J791">
            <v>7596.3214007638462</v>
          </cell>
        </row>
        <row r="792">
          <cell r="J792">
            <v>7584.5192474817031</v>
          </cell>
        </row>
        <row r="793">
          <cell r="J793">
            <v>7545.8077696623186</v>
          </cell>
        </row>
        <row r="794">
          <cell r="J794">
            <v>7541.2015773465118</v>
          </cell>
        </row>
        <row r="795">
          <cell r="J795">
            <v>7540.0834610208449</v>
          </cell>
        </row>
        <row r="796">
          <cell r="J796">
            <v>7536.9399274942525</v>
          </cell>
        </row>
        <row r="797">
          <cell r="J797">
            <v>7525.3223521612745</v>
          </cell>
        </row>
        <row r="798">
          <cell r="J798">
            <v>7521.2963247621956</v>
          </cell>
        </row>
        <row r="799">
          <cell r="J799">
            <v>7511.6482135688902</v>
          </cell>
        </row>
        <row r="800">
          <cell r="J800">
            <v>7471.5954322308598</v>
          </cell>
        </row>
        <row r="801">
          <cell r="J801">
            <v>7455.1852023185711</v>
          </cell>
        </row>
        <row r="802">
          <cell r="J802">
            <v>7444.6934034109981</v>
          </cell>
        </row>
        <row r="803">
          <cell r="J803">
            <v>7441.8688805877473</v>
          </cell>
        </row>
        <row r="804">
          <cell r="J804">
            <v>7437.8656002900907</v>
          </cell>
        </row>
        <row r="805">
          <cell r="J805">
            <v>7430.3797869291484</v>
          </cell>
        </row>
        <row r="806">
          <cell r="J806">
            <v>7422.8663733370831</v>
          </cell>
        </row>
        <row r="807">
          <cell r="J807">
            <v>7416.8343592853134</v>
          </cell>
        </row>
        <row r="808">
          <cell r="J808">
            <v>7370.0357942491264</v>
          </cell>
        </row>
        <row r="809">
          <cell r="J809">
            <v>7348.0472553079908</v>
          </cell>
        </row>
        <row r="810">
          <cell r="J810">
            <v>7346.2561310857463</v>
          </cell>
        </row>
        <row r="811">
          <cell r="J811">
            <v>7305.6474790140692</v>
          </cell>
        </row>
        <row r="812">
          <cell r="J812">
            <v>7299.448520649592</v>
          </cell>
        </row>
        <row r="813">
          <cell r="J813">
            <v>7279.4207012484658</v>
          </cell>
        </row>
        <row r="814">
          <cell r="J814">
            <v>7266.4487372431122</v>
          </cell>
        </row>
        <row r="815">
          <cell r="J815">
            <v>7252.0225854744285</v>
          </cell>
        </row>
        <row r="816">
          <cell r="J816">
            <v>7251.8680099766652</v>
          </cell>
        </row>
        <row r="817">
          <cell r="J817">
            <v>7239.1855581334703</v>
          </cell>
        </row>
        <row r="818">
          <cell r="J818">
            <v>7219.076846888207</v>
          </cell>
        </row>
        <row r="819">
          <cell r="J819">
            <v>7208.2259845374638</v>
          </cell>
        </row>
        <row r="820">
          <cell r="J820">
            <v>7201.8157194931491</v>
          </cell>
        </row>
        <row r="821">
          <cell r="J821">
            <v>7182.2840544107148</v>
          </cell>
        </row>
        <row r="822">
          <cell r="J822">
            <v>7171.7101805016118</v>
          </cell>
        </row>
        <row r="823">
          <cell r="J823">
            <v>7170.880301473323</v>
          </cell>
        </row>
        <row r="824">
          <cell r="J824">
            <v>7162.8853218109625</v>
          </cell>
        </row>
        <row r="825">
          <cell r="J825">
            <v>7147.7952697023838</v>
          </cell>
        </row>
        <row r="826">
          <cell r="J826">
            <v>7136.1490831091505</v>
          </cell>
        </row>
        <row r="827">
          <cell r="J827">
            <v>7129.4501350920264</v>
          </cell>
        </row>
        <row r="828">
          <cell r="J828">
            <v>7127.8038423079515</v>
          </cell>
        </row>
        <row r="829">
          <cell r="J829">
            <v>7119.1328622580149</v>
          </cell>
        </row>
        <row r="830">
          <cell r="J830">
            <v>7114.6588714857598</v>
          </cell>
        </row>
        <row r="831">
          <cell r="J831">
            <v>7036.3925365319428</v>
          </cell>
        </row>
        <row r="832">
          <cell r="J832">
            <v>7013.4957676437698</v>
          </cell>
        </row>
        <row r="833">
          <cell r="J833">
            <v>7000.896991185291</v>
          </cell>
        </row>
        <row r="834">
          <cell r="J834">
            <v>6961.5492488247601</v>
          </cell>
        </row>
        <row r="835">
          <cell r="J835">
            <v>6941.3170403681288</v>
          </cell>
        </row>
        <row r="836">
          <cell r="J836">
            <v>6940.2005676432636</v>
          </cell>
        </row>
        <row r="837">
          <cell r="J837">
            <v>6938.4698349428299</v>
          </cell>
        </row>
        <row r="838">
          <cell r="J838">
            <v>6925.3396590098564</v>
          </cell>
        </row>
        <row r="839">
          <cell r="J839">
            <v>6924.9666555715867</v>
          </cell>
        </row>
        <row r="840">
          <cell r="J840">
            <v>6895.6481515686892</v>
          </cell>
        </row>
        <row r="841">
          <cell r="J841">
            <v>6891.5852942842666</v>
          </cell>
        </row>
        <row r="842">
          <cell r="J842">
            <v>6847.2924049093335</v>
          </cell>
        </row>
        <row r="843">
          <cell r="J843">
            <v>6817.5946890050236</v>
          </cell>
        </row>
        <row r="844">
          <cell r="J844">
            <v>6813.1368800783166</v>
          </cell>
        </row>
        <row r="845">
          <cell r="J845">
            <v>6801.9509116341196</v>
          </cell>
        </row>
        <row r="846">
          <cell r="J846">
            <v>6781.0570484387008</v>
          </cell>
        </row>
        <row r="847">
          <cell r="J847">
            <v>6770.7206830203886</v>
          </cell>
        </row>
        <row r="848">
          <cell r="J848">
            <v>6768.5897957789748</v>
          </cell>
        </row>
        <row r="849">
          <cell r="J849">
            <v>6762.5154290557575</v>
          </cell>
        </row>
        <row r="850">
          <cell r="J850">
            <v>6746.5792670378778</v>
          </cell>
        </row>
        <row r="851">
          <cell r="J851">
            <v>6720.2485148716623</v>
          </cell>
        </row>
        <row r="852">
          <cell r="J852">
            <v>6719.0432588025287</v>
          </cell>
        </row>
        <row r="853">
          <cell r="J853">
            <v>6680.8793437846871</v>
          </cell>
        </row>
        <row r="854">
          <cell r="J854">
            <v>6670.1282206901551</v>
          </cell>
        </row>
        <row r="855">
          <cell r="J855">
            <v>6632.6269154523343</v>
          </cell>
        </row>
        <row r="856">
          <cell r="J856">
            <v>6631.5160315331796</v>
          </cell>
        </row>
        <row r="857">
          <cell r="J857">
            <v>6629.5236236545006</v>
          </cell>
        </row>
        <row r="858">
          <cell r="J858">
            <v>6614.7647217132653</v>
          </cell>
        </row>
        <row r="859">
          <cell r="J859">
            <v>6592.9283620354399</v>
          </cell>
        </row>
        <row r="860">
          <cell r="J860">
            <v>6590.0518180804293</v>
          </cell>
        </row>
        <row r="861">
          <cell r="J861">
            <v>6583.9503090459075</v>
          </cell>
        </row>
        <row r="862">
          <cell r="J862">
            <v>6582.7650882940598</v>
          </cell>
        </row>
        <row r="863">
          <cell r="J863">
            <v>6513.1486826971241</v>
          </cell>
        </row>
        <row r="864">
          <cell r="J864">
            <v>6505.7856524608269</v>
          </cell>
        </row>
        <row r="865">
          <cell r="J865">
            <v>6467.6335500548776</v>
          </cell>
        </row>
        <row r="866">
          <cell r="J866">
            <v>6459.8020653926415</v>
          </cell>
        </row>
        <row r="867">
          <cell r="J867">
            <v>6453.6637493775252</v>
          </cell>
        </row>
        <row r="868">
          <cell r="J868">
            <v>6447.534417236724</v>
          </cell>
        </row>
        <row r="869">
          <cell r="J869">
            <v>6419.307711066328</v>
          </cell>
        </row>
        <row r="870">
          <cell r="J870">
            <v>6402.337705529344</v>
          </cell>
        </row>
        <row r="871">
          <cell r="J871">
            <v>6392.898472588131</v>
          </cell>
        </row>
        <row r="872">
          <cell r="J872">
            <v>6349.7354385055178</v>
          </cell>
        </row>
        <row r="873">
          <cell r="J873">
            <v>6342.5314801482773</v>
          </cell>
        </row>
        <row r="874">
          <cell r="J874">
            <v>6339.3455308980219</v>
          </cell>
        </row>
        <row r="875">
          <cell r="J875">
            <v>6335.4862775312276</v>
          </cell>
        </row>
        <row r="876">
          <cell r="J876">
            <v>6325.9995731466024</v>
          </cell>
        </row>
        <row r="877">
          <cell r="J877">
            <v>6324.8075268446009</v>
          </cell>
        </row>
        <row r="878">
          <cell r="J878">
            <v>6320.2944971246598</v>
          </cell>
        </row>
        <row r="879">
          <cell r="J879">
            <v>6225.8953827516925</v>
          </cell>
        </row>
        <row r="880">
          <cell r="J880">
            <v>6164.3716665972279</v>
          </cell>
        </row>
        <row r="881">
          <cell r="J881">
            <v>6145.5069083030512</v>
          </cell>
        </row>
        <row r="882">
          <cell r="J882">
            <v>6064.5826093461092</v>
          </cell>
        </row>
        <row r="883">
          <cell r="J883">
            <v>6063.2558549983441</v>
          </cell>
        </row>
        <row r="884">
          <cell r="J884">
            <v>6048.6013041117785</v>
          </cell>
        </row>
        <row r="885">
          <cell r="J885">
            <v>6047.5070504594496</v>
          </cell>
        </row>
        <row r="886">
          <cell r="J886">
            <v>5983.3050736123678</v>
          </cell>
        </row>
        <row r="887">
          <cell r="J887">
            <v>5969.587594999768</v>
          </cell>
        </row>
        <row r="888">
          <cell r="J888">
            <v>5954.4496599898966</v>
          </cell>
        </row>
        <row r="889">
          <cell r="J889">
            <v>5942.5590375852007</v>
          </cell>
        </row>
        <row r="890">
          <cell r="J890">
            <v>5911.7845816827794</v>
          </cell>
        </row>
        <row r="891">
          <cell r="J891">
            <v>5909.4135909735796</v>
          </cell>
        </row>
        <row r="892">
          <cell r="J892">
            <v>5901.9150815602443</v>
          </cell>
        </row>
        <row r="893">
          <cell r="J893">
            <v>5896.2715636274752</v>
          </cell>
        </row>
        <row r="894">
          <cell r="J894">
            <v>5871.4759124202064</v>
          </cell>
        </row>
        <row r="895">
          <cell r="J895">
            <v>5849.6894900973057</v>
          </cell>
        </row>
        <row r="896">
          <cell r="J896">
            <v>5829.9480072370006</v>
          </cell>
        </row>
        <row r="897">
          <cell r="J897">
            <v>5806.2255449500317</v>
          </cell>
        </row>
        <row r="898">
          <cell r="J898">
            <v>5779.1862357658683</v>
          </cell>
        </row>
        <row r="899">
          <cell r="J899">
            <v>5770.6900354149384</v>
          </cell>
        </row>
        <row r="900">
          <cell r="J900">
            <v>5763.1516042508683</v>
          </cell>
        </row>
        <row r="901">
          <cell r="J901">
            <v>5761.1743387848483</v>
          </cell>
        </row>
        <row r="902">
          <cell r="J902">
            <v>5745.4131782177874</v>
          </cell>
        </row>
        <row r="903">
          <cell r="J903">
            <v>5740.5070043982105</v>
          </cell>
        </row>
        <row r="904">
          <cell r="J904">
            <v>5731.7855908198144</v>
          </cell>
        </row>
        <row r="905">
          <cell r="J905">
            <v>5728.5513096808136</v>
          </cell>
        </row>
        <row r="906">
          <cell r="J906">
            <v>5720.1892654500225</v>
          </cell>
        </row>
        <row r="907">
          <cell r="J907">
            <v>5718.5673353712555</v>
          </cell>
        </row>
        <row r="908">
          <cell r="J908">
            <v>5702.9070519022634</v>
          </cell>
        </row>
        <row r="909">
          <cell r="J909">
            <v>5694.0675818581703</v>
          </cell>
        </row>
        <row r="910">
          <cell r="J910">
            <v>5629.9588771539866</v>
          </cell>
        </row>
        <row r="911">
          <cell r="J911">
            <v>5593.8584685462192</v>
          </cell>
        </row>
        <row r="912">
          <cell r="J912">
            <v>5574.5168889198194</v>
          </cell>
        </row>
        <row r="913">
          <cell r="J913">
            <v>5560.7381749491451</v>
          </cell>
        </row>
        <row r="914">
          <cell r="J914">
            <v>5558.3118533475317</v>
          </cell>
        </row>
        <row r="915">
          <cell r="J915">
            <v>5523.6359953702458</v>
          </cell>
        </row>
        <row r="916">
          <cell r="J916">
            <v>5498.8294199297179</v>
          </cell>
        </row>
        <row r="917">
          <cell r="J917">
            <v>5487.9726102954828</v>
          </cell>
        </row>
        <row r="918">
          <cell r="J918">
            <v>5453.4571663413826</v>
          </cell>
        </row>
        <row r="919">
          <cell r="J919">
            <v>5428.9723037338626</v>
          </cell>
        </row>
        <row r="920">
          <cell r="J920">
            <v>5333.7366442250241</v>
          </cell>
        </row>
        <row r="921">
          <cell r="J921">
            <v>5317.0703831895635</v>
          </cell>
        </row>
        <row r="922">
          <cell r="J922">
            <v>5272.5784411054265</v>
          </cell>
        </row>
        <row r="923">
          <cell r="J923">
            <v>5271.6048965418358</v>
          </cell>
        </row>
        <row r="924">
          <cell r="J924">
            <v>5271.0325690173067</v>
          </cell>
        </row>
        <row r="925">
          <cell r="J925">
            <v>5261.6756022935133</v>
          </cell>
        </row>
        <row r="926">
          <cell r="J926">
            <v>5258.0540381259489</v>
          </cell>
        </row>
        <row r="927">
          <cell r="J927">
            <v>5249.64404567981</v>
          </cell>
        </row>
        <row r="928">
          <cell r="J928">
            <v>5205.2094800558052</v>
          </cell>
        </row>
        <row r="929">
          <cell r="J929">
            <v>5178.9723844892724</v>
          </cell>
        </row>
        <row r="930">
          <cell r="J930">
            <v>5165.0160864661539</v>
          </cell>
        </row>
        <row r="931">
          <cell r="J931">
            <v>5148.3311177449714</v>
          </cell>
        </row>
        <row r="932">
          <cell r="J932">
            <v>5093.1715053255739</v>
          </cell>
        </row>
        <row r="933">
          <cell r="J933">
            <v>5067.833932619058</v>
          </cell>
        </row>
        <row r="934">
          <cell r="J934">
            <v>5017.6763144084471</v>
          </cell>
        </row>
        <row r="935">
          <cell r="J935">
            <v>5002.0272086145151</v>
          </cell>
        </row>
        <row r="936">
          <cell r="J936">
            <v>4938.2687591486247</v>
          </cell>
        </row>
        <row r="937">
          <cell r="J937">
            <v>4920.548700359328</v>
          </cell>
        </row>
        <row r="938">
          <cell r="J938">
            <v>4914.33911244098</v>
          </cell>
        </row>
        <row r="939">
          <cell r="J939">
            <v>4895.4306587834235</v>
          </cell>
        </row>
        <row r="940">
          <cell r="J940">
            <v>4895.2155765688794</v>
          </cell>
        </row>
        <row r="941">
          <cell r="J941">
            <v>4883.6055378450255</v>
          </cell>
        </row>
        <row r="942">
          <cell r="J942">
            <v>4828.3589706476832</v>
          </cell>
        </row>
        <row r="943">
          <cell r="J943">
            <v>4823.1436311542784</v>
          </cell>
        </row>
        <row r="944">
          <cell r="J944">
            <v>4786.9647630618983</v>
          </cell>
        </row>
        <row r="945">
          <cell r="J945">
            <v>4771.9775211609358</v>
          </cell>
        </row>
        <row r="946">
          <cell r="J946">
            <v>4747.3032787089651</v>
          </cell>
        </row>
        <row r="947">
          <cell r="J947">
            <v>4744.4463843704998</v>
          </cell>
        </row>
        <row r="948">
          <cell r="J948">
            <v>4740.8216181801799</v>
          </cell>
        </row>
        <row r="949">
          <cell r="J949">
            <v>4722.18082497866</v>
          </cell>
        </row>
        <row r="950">
          <cell r="J950">
            <v>4683.3147700884483</v>
          </cell>
        </row>
        <row r="951">
          <cell r="J951">
            <v>4679.7775073358425</v>
          </cell>
        </row>
        <row r="952">
          <cell r="J952">
            <v>4649.805733164475</v>
          </cell>
        </row>
        <row r="953">
          <cell r="J953">
            <v>4595.7664419761186</v>
          </cell>
        </row>
        <row r="954">
          <cell r="J954">
            <v>4580.1611028790139</v>
          </cell>
        </row>
        <row r="955">
          <cell r="J955">
            <v>4562.2181690659281</v>
          </cell>
        </row>
        <row r="956">
          <cell r="J956">
            <v>4533.5717411115465</v>
          </cell>
        </row>
        <row r="957">
          <cell r="J957">
            <v>4521.7286967916871</v>
          </cell>
        </row>
        <row r="958">
          <cell r="J958">
            <v>4520.5688822937609</v>
          </cell>
        </row>
        <row r="959">
          <cell r="J959">
            <v>4488.2567381398867</v>
          </cell>
        </row>
        <row r="960">
          <cell r="J960">
            <v>4485.5476101042932</v>
          </cell>
        </row>
        <row r="961">
          <cell r="J961">
            <v>4465.5714189356559</v>
          </cell>
        </row>
        <row r="962">
          <cell r="J962">
            <v>4418.6182937351423</v>
          </cell>
        </row>
        <row r="963">
          <cell r="J963">
            <v>4406.7362003876151</v>
          </cell>
        </row>
        <row r="964">
          <cell r="J964">
            <v>4396.0818932967823</v>
          </cell>
        </row>
        <row r="965">
          <cell r="J965">
            <v>4375.6808826420702</v>
          </cell>
        </row>
        <row r="966">
          <cell r="J966">
            <v>4362.8577356370461</v>
          </cell>
        </row>
        <row r="967">
          <cell r="J967">
            <v>4285.2628537423243</v>
          </cell>
        </row>
        <row r="968">
          <cell r="J968">
            <v>4207.6880135532929</v>
          </cell>
        </row>
        <row r="969">
          <cell r="J969">
            <v>3992.1622842330789</v>
          </cell>
        </row>
        <row r="970">
          <cell r="J970">
            <v>3968.9188835361747</v>
          </cell>
        </row>
        <row r="971">
          <cell r="J971">
            <v>3950.1513699131892</v>
          </cell>
        </row>
        <row r="972">
          <cell r="J972">
            <v>3921.0052612672471</v>
          </cell>
        </row>
        <row r="973">
          <cell r="J973">
            <v>3901.207558240375</v>
          </cell>
        </row>
        <row r="974">
          <cell r="J974">
            <v>3888.5643370324824</v>
          </cell>
        </row>
        <row r="975">
          <cell r="J975">
            <v>3813.6473730780426</v>
          </cell>
        </row>
        <row r="976">
          <cell r="J976">
            <v>3779.0580523686467</v>
          </cell>
        </row>
        <row r="977">
          <cell r="J977">
            <v>3773.4269412341846</v>
          </cell>
        </row>
        <row r="978">
          <cell r="J978">
            <v>3700.3614744002671</v>
          </cell>
        </row>
        <row r="979">
          <cell r="J979">
            <v>3351.6370788048298</v>
          </cell>
        </row>
        <row r="980">
          <cell r="J980">
            <v>3313.5140951975909</v>
          </cell>
        </row>
        <row r="981">
          <cell r="J981">
            <v>3264.1778936344335</v>
          </cell>
        </row>
        <row r="982">
          <cell r="J982">
            <v>3246.3029956684477</v>
          </cell>
        </row>
        <row r="983">
          <cell r="J983">
            <v>3164.8990244600163</v>
          </cell>
        </row>
        <row r="984">
          <cell r="J984">
            <v>2973.290297437854</v>
          </cell>
        </row>
        <row r="985">
          <cell r="J985">
            <v>2875.3323919552158</v>
          </cell>
        </row>
        <row r="986">
          <cell r="J986">
            <v>2730.3340520371976</v>
          </cell>
        </row>
        <row r="987">
          <cell r="J987">
            <v>2570.3286528968538</v>
          </cell>
        </row>
        <row r="988">
          <cell r="J988">
            <v>2539.1643373105444</v>
          </cell>
        </row>
        <row r="989">
          <cell r="J989">
            <v>2316.0500222210312</v>
          </cell>
        </row>
        <row r="990">
          <cell r="J990">
            <v>2298.307087962281</v>
          </cell>
        </row>
        <row r="991">
          <cell r="J991">
            <v>2287.3363700987175</v>
          </cell>
        </row>
        <row r="992">
          <cell r="J992">
            <v>2136.1326868884571</v>
          </cell>
        </row>
        <row r="993">
          <cell r="J993">
            <v>2094.3992748935725</v>
          </cell>
        </row>
        <row r="994">
          <cell r="J994">
            <v>1985.9536076743798</v>
          </cell>
        </row>
        <row r="995">
          <cell r="J995">
            <v>1733.1880476571869</v>
          </cell>
        </row>
        <row r="996">
          <cell r="J996">
            <v>1638.5014363028076</v>
          </cell>
        </row>
        <row r="997">
          <cell r="J997">
            <v>1542.4683480600825</v>
          </cell>
        </row>
        <row r="998">
          <cell r="J998">
            <v>1341.8287479616765</v>
          </cell>
        </row>
        <row r="999">
          <cell r="J999">
            <v>1322.0716593978959</v>
          </cell>
        </row>
        <row r="1000">
          <cell r="J1000">
            <v>1320.7657066378479</v>
          </cell>
        </row>
        <row r="1001">
          <cell r="J1001">
            <v>994.09766026974648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4F223-2CDC-4DA4-B84F-3B6502A94F92}">
  <dimension ref="A1:M3"/>
  <sheetViews>
    <sheetView tabSelected="1" workbookViewId="0">
      <selection activeCell="D11" sqref="D11"/>
    </sheetView>
  </sheetViews>
  <sheetFormatPr defaultRowHeight="14.4" x14ac:dyDescent="0.3"/>
  <sheetData>
    <row r="1" spans="1:13" ht="28.8" x14ac:dyDescent="0.3">
      <c r="A1" t="s">
        <v>23</v>
      </c>
      <c r="B1" s="17" t="s">
        <v>6</v>
      </c>
      <c r="C1" s="18" t="s">
        <v>11</v>
      </c>
      <c r="F1" t="s">
        <v>1</v>
      </c>
      <c r="J1" t="s">
        <v>9</v>
      </c>
      <c r="K1" t="s">
        <v>2</v>
      </c>
      <c r="M1" t="s">
        <v>24</v>
      </c>
    </row>
    <row r="2" spans="1:13" x14ac:dyDescent="0.3">
      <c r="A2" s="27">
        <v>1</v>
      </c>
      <c r="B2">
        <v>10000</v>
      </c>
      <c r="C2" s="27">
        <v>1550</v>
      </c>
      <c r="F2">
        <v>0.09</v>
      </c>
      <c r="J2">
        <v>0.6</v>
      </c>
      <c r="K2">
        <v>0.8</v>
      </c>
      <c r="M2">
        <f>F2*K2</f>
        <v>7.1999999999999995E-2</v>
      </c>
    </row>
    <row r="3" spans="1:13" x14ac:dyDescent="0.3">
      <c r="A3" s="27">
        <v>34</v>
      </c>
      <c r="B3">
        <v>15000</v>
      </c>
      <c r="C3" s="27">
        <v>1600</v>
      </c>
      <c r="F3">
        <v>0.11</v>
      </c>
      <c r="J3">
        <v>0.8</v>
      </c>
      <c r="K3">
        <v>1</v>
      </c>
      <c r="M3">
        <f>F3*K3</f>
        <v>0.11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01"/>
  <sheetViews>
    <sheetView zoomScale="110" zoomScaleNormal="110" workbookViewId="0">
      <selection activeCell="B7" sqref="B7:Q1001"/>
    </sheetView>
  </sheetViews>
  <sheetFormatPr defaultRowHeight="14.4" x14ac:dyDescent="0.3"/>
  <cols>
    <col min="1" max="1" width="6" bestFit="1" customWidth="1"/>
    <col min="2" max="2" width="8.5546875" bestFit="1" customWidth="1"/>
    <col min="3" max="3" width="6.5546875" style="9" bestFit="1" customWidth="1"/>
    <col min="4" max="4" width="9" style="10" bestFit="1" customWidth="1"/>
    <col min="5" max="5" width="7.6640625" style="9" bestFit="1" customWidth="1"/>
    <col min="6" max="6" width="5.6640625" customWidth="1"/>
    <col min="7" max="7" width="7.6640625" style="3" bestFit="1" customWidth="1"/>
    <col min="8" max="8" width="6" bestFit="1" customWidth="1"/>
    <col min="9" max="9" width="8" bestFit="1" customWidth="1"/>
    <col min="10" max="10" width="6.6640625" bestFit="1" customWidth="1"/>
    <col min="11" max="11" width="7" customWidth="1"/>
    <col min="12" max="12" width="7.21875" customWidth="1"/>
    <col min="13" max="13" width="6.44140625" customWidth="1"/>
    <col min="14" max="14" width="6.77734375" customWidth="1"/>
    <col min="15" max="15" width="7.109375" customWidth="1"/>
    <col min="18" max="18" width="4" customWidth="1"/>
    <col min="20" max="20" width="5.5546875" bestFit="1" customWidth="1"/>
    <col min="21" max="21" width="6" bestFit="1" customWidth="1"/>
    <col min="22" max="22" width="6.5546875" bestFit="1" customWidth="1"/>
    <col min="23" max="23" width="9.109375" style="7" bestFit="1" customWidth="1"/>
    <col min="24" max="24" width="2" customWidth="1"/>
    <col min="25" max="25" width="8.6640625" customWidth="1"/>
    <col min="26" max="26" width="8.109375" customWidth="1"/>
    <col min="27" max="27" width="13.33203125" style="7" bestFit="1" customWidth="1"/>
  </cols>
  <sheetData>
    <row r="1" spans="1:27" s="24" customFormat="1" ht="43.2" x14ac:dyDescent="0.3">
      <c r="A1" s="19" t="s">
        <v>10</v>
      </c>
      <c r="B1" s="19" t="s">
        <v>6</v>
      </c>
      <c r="C1" s="20" t="s">
        <v>11</v>
      </c>
      <c r="D1" s="21" t="s">
        <v>0</v>
      </c>
      <c r="E1" s="20" t="s">
        <v>13</v>
      </c>
      <c r="F1" s="19" t="s">
        <v>1</v>
      </c>
      <c r="G1" s="22" t="s">
        <v>12</v>
      </c>
      <c r="H1" s="19" t="s">
        <v>3</v>
      </c>
      <c r="I1" s="23" t="s">
        <v>7</v>
      </c>
      <c r="J1" s="19" t="s">
        <v>9</v>
      </c>
      <c r="K1" s="19" t="s">
        <v>2</v>
      </c>
      <c r="L1" s="23" t="s">
        <v>8</v>
      </c>
      <c r="M1" s="19" t="s">
        <v>4</v>
      </c>
      <c r="N1" s="19" t="s">
        <v>5</v>
      </c>
      <c r="O1" s="19"/>
      <c r="P1" s="19" t="s">
        <v>20</v>
      </c>
      <c r="Q1" s="19" t="s">
        <v>22</v>
      </c>
      <c r="R1" s="19"/>
      <c r="S1" s="28" t="s">
        <v>25</v>
      </c>
      <c r="T1" s="28" t="s">
        <v>28</v>
      </c>
      <c r="U1" s="28"/>
      <c r="V1" s="28" t="s">
        <v>29</v>
      </c>
      <c r="W1" s="28" t="s">
        <v>30</v>
      </c>
      <c r="X1" s="28"/>
      <c r="Y1" s="17" t="s">
        <v>31</v>
      </c>
      <c r="Z1" s="17" t="s">
        <v>32</v>
      </c>
      <c r="AA1" s="16"/>
    </row>
    <row r="2" spans="1:27" x14ac:dyDescent="0.3">
      <c r="A2" s="5"/>
      <c r="B2" s="6">
        <f ca="1">RANDBETWEEN(ranges!B$2,ranges!B$3)</f>
        <v>10318</v>
      </c>
      <c r="C2" s="9">
        <f ca="1">LOOKUP(B2,geomorph!A:A,geomorph!B:B)</f>
        <v>1659.7</v>
      </c>
      <c r="D2">
        <v>1.13E-4</v>
      </c>
      <c r="E2" s="9">
        <f ca="1">'[2]Q_GEV(random)'!$J2</f>
        <v>16514.128873889993</v>
      </c>
      <c r="F2" s="26">
        <f ca="1">RANDBETWEEN(ranges!F$2*1000,ranges!F$3*1000)/1000</f>
        <v>9.0999999999999998E-2</v>
      </c>
      <c r="G2" s="3">
        <f ca="1">E2/C2</f>
        <v>9.950068611128513</v>
      </c>
      <c r="H2" s="4">
        <f ca="1">POWER(G2/SQRT(4*9.807*D2/F2),2/3)</f>
        <v>12.666976875260543</v>
      </c>
      <c r="I2" s="4">
        <f ca="1">POWER(G2*G2/9.807/D2,1/3)/C2/D2</f>
        <v>238.36243128886977</v>
      </c>
      <c r="J2" s="26">
        <f ca="1">RANDBETWEEN(ranges!J$2*1000,ranges!J$3*1000)/1000</f>
        <v>0.73099999999999998</v>
      </c>
      <c r="K2" s="26">
        <f ca="1">RANDBETWEEN(ranges!K$2*1000,ranges!K$3*1000)/1000</f>
        <v>0.96699999999999997</v>
      </c>
      <c r="L2">
        <f ca="1">0.63*POWER(F2,1/3)*I2+5.75*(1+SQRT(1+0.11*J2*POWER(F2,1/3)*K2*I2))/J2</f>
        <v>99.445792741093413</v>
      </c>
      <c r="M2">
        <f ca="1">L2*C2*D2</f>
        <v>18.650670590000377</v>
      </c>
      <c r="N2" s="4">
        <f ca="1">(M2-H2)/0.92</f>
        <v>6.5040149073259066</v>
      </c>
      <c r="O2" s="1"/>
      <c r="P2" s="1">
        <f ca="1">LOOKUP(B2,geomorph!$A:$A,geomorph!$G:$G)</f>
        <v>105.360731</v>
      </c>
      <c r="Q2" s="1">
        <f ca="1">M2+P2</f>
        <v>124.01140159000037</v>
      </c>
      <c r="S2">
        <v>500</v>
      </c>
      <c r="T2" s="1">
        <f>1/S2</f>
        <v>2E-3</v>
      </c>
      <c r="U2" s="29">
        <f t="shared" ref="U2:U10" si="0">T2</f>
        <v>2E-3</v>
      </c>
      <c r="V2" s="1">
        <f>1-T2</f>
        <v>0.998</v>
      </c>
      <c r="W2" s="25">
        <f t="shared" ref="W2:W10" ca="1" si="1">_xlfn.PERCENTILE.INC(Q:Q,V2)</f>
        <v>126.53696053891603</v>
      </c>
      <c r="Y2">
        <v>126.76074199999999</v>
      </c>
      <c r="Z2">
        <v>126.427139</v>
      </c>
      <c r="AA2" s="12"/>
    </row>
    <row r="3" spans="1:27" x14ac:dyDescent="0.3">
      <c r="A3" s="5"/>
      <c r="B3" s="6">
        <f ca="1">RANDBETWEEN(ranges!B$2,ranges!B$3)</f>
        <v>13704</v>
      </c>
      <c r="C3" s="9">
        <f ca="1">LOOKUP(B3,geomorph!A:A,geomorph!B:B)</f>
        <v>1253.2</v>
      </c>
      <c r="D3">
        <f>D2</f>
        <v>1.13E-4</v>
      </c>
      <c r="E3" s="9">
        <f ca="1">'[2]Q_GEV(random)'!$J3</f>
        <v>16412.932220040493</v>
      </c>
      <c r="F3" s="26">
        <f ca="1">RANDBETWEEN(ranges!F$2*1000,ranges!F$3*1000)/1000</f>
        <v>0.10100000000000001</v>
      </c>
      <c r="G3" s="3">
        <f t="shared" ref="G3:G7" ca="1" si="2">E3/C3</f>
        <v>13.096817922151686</v>
      </c>
      <c r="H3" s="4">
        <f t="shared" ref="H3:H7" ca="1" si="3">POWER(G3/SQRT(4*9.807*D3/F3),2/3)</f>
        <v>15.751652218369268</v>
      </c>
      <c r="I3" s="4">
        <f t="shared" ref="I3:I7" ca="1" si="4">POWER(G3*G3/9.807/D3,1/3)/C3/D3</f>
        <v>379.14630152500462</v>
      </c>
      <c r="J3" s="26">
        <f ca="1">RANDBETWEEN(ranges!J$2*1000,ranges!J$3*1000)/1000</f>
        <v>0.61699999999999999</v>
      </c>
      <c r="K3" s="26">
        <f ca="1">RANDBETWEEN(ranges!K$2*1000,ranges!K$3*1000)/1000</f>
        <v>0.88100000000000001</v>
      </c>
      <c r="L3">
        <f t="shared" ref="L3:L7" ca="1" si="5">0.63*POWER(F3,1/3)*I3+5.75*(1+SQRT(1+0.11*J3*POWER(F3,1/3)*K3*I3))/J3</f>
        <v>152.2399959418052</v>
      </c>
      <c r="M3">
        <f t="shared" ref="M3:M7" ca="1" si="6">L3*C3*D3</f>
        <v>21.558949409312543</v>
      </c>
      <c r="N3" s="4">
        <f t="shared" ref="N3:N7" ca="1" si="7">(M3-H3)/0.92</f>
        <v>6.3122795553731255</v>
      </c>
      <c r="O3" s="4"/>
      <c r="P3" s="1">
        <f ca="1">LOOKUP(B3,geomorph!$A:$A,geomorph!$G:$G)</f>
        <v>104.977661</v>
      </c>
      <c r="Q3" s="1">
        <f t="shared" ref="Q3:Q7" ca="1" si="8">M3+P3</f>
        <v>126.53661040931254</v>
      </c>
      <c r="S3">
        <v>200</v>
      </c>
      <c r="T3" s="1">
        <f t="shared" ref="T3:T10" si="9">1/S3</f>
        <v>5.0000000000000001E-3</v>
      </c>
      <c r="U3" s="29">
        <f t="shared" si="0"/>
        <v>5.0000000000000001E-3</v>
      </c>
      <c r="V3" s="1">
        <f t="shared" ref="V3:V10" si="10">1-T3</f>
        <v>0.995</v>
      </c>
      <c r="W3" s="25">
        <f t="shared" ca="1" si="1"/>
        <v>125.99958884169168</v>
      </c>
      <c r="Y3">
        <v>126.35966500000001</v>
      </c>
      <c r="Z3">
        <v>126.085793</v>
      </c>
      <c r="AA3" s="12"/>
    </row>
    <row r="4" spans="1:27" x14ac:dyDescent="0.3">
      <c r="A4" s="5"/>
      <c r="B4" s="6">
        <f ca="1">RANDBETWEEN(ranges!B$2,ranges!B$3)</f>
        <v>11537</v>
      </c>
      <c r="C4" s="9">
        <f ca="1">LOOKUP(B4,geomorph!A:A,geomorph!B:B)</f>
        <v>1481.4</v>
      </c>
      <c r="D4">
        <f t="shared" ref="D4:D7" si="11">D3</f>
        <v>1.13E-4</v>
      </c>
      <c r="E4" s="9">
        <f ca="1">'[2]Q_GEV(random)'!$J4</f>
        <v>16144.563959329129</v>
      </c>
      <c r="F4" s="26">
        <f ca="1">RANDBETWEEN(ranges!F$2*1000,ranges!F$3*1000)/1000</f>
        <v>9.9000000000000005E-2</v>
      </c>
      <c r="G4" s="3">
        <f t="shared" ca="1" si="2"/>
        <v>10.898180072451146</v>
      </c>
      <c r="H4" s="4">
        <f t="shared" ca="1" si="3"/>
        <v>13.842765052537734</v>
      </c>
      <c r="I4" s="4">
        <f t="shared" ca="1" si="4"/>
        <v>283.75726942783518</v>
      </c>
      <c r="J4" s="26">
        <f ca="1">RANDBETWEEN(ranges!J$2*1000,ranges!J$3*1000)/1000</f>
        <v>0.61599999999999999</v>
      </c>
      <c r="K4" s="26">
        <f ca="1">RANDBETWEEN(ranges!K$2*1000,ranges!K$3*1000)/1000</f>
        <v>0.8</v>
      </c>
      <c r="L4">
        <f t="shared" ca="1" si="5"/>
        <v>118.62529543073808</v>
      </c>
      <c r="M4">
        <f t="shared" ca="1" si="6"/>
        <v>19.857660929573779</v>
      </c>
      <c r="N4" s="4">
        <f t="shared" ca="1" si="7"/>
        <v>6.5379303011261349</v>
      </c>
      <c r="O4" s="4"/>
      <c r="P4" s="1">
        <f ca="1">LOOKUP(B4,geomorph!$A:$A,geomorph!$G:$G)</f>
        <v>105.222871</v>
      </c>
      <c r="Q4" s="1">
        <f t="shared" ca="1" si="8"/>
        <v>125.08053192957378</v>
      </c>
      <c r="S4">
        <v>100</v>
      </c>
      <c r="T4" s="1">
        <f t="shared" si="9"/>
        <v>0.01</v>
      </c>
      <c r="U4" s="29">
        <f t="shared" si="0"/>
        <v>0.01</v>
      </c>
      <c r="V4" s="1">
        <f t="shared" si="10"/>
        <v>0.99</v>
      </c>
      <c r="W4" s="25">
        <f t="shared" ca="1" si="1"/>
        <v>125.7110551295669</v>
      </c>
      <c r="Y4">
        <v>126.017281</v>
      </c>
      <c r="Z4">
        <v>125.79135100000001</v>
      </c>
      <c r="AA4" s="8"/>
    </row>
    <row r="5" spans="1:27" x14ac:dyDescent="0.3">
      <c r="A5" s="5"/>
      <c r="B5" s="6">
        <f ca="1">RANDBETWEEN(ranges!B$2,ranges!B$3)</f>
        <v>11547</v>
      </c>
      <c r="C5" s="9">
        <f ca="1">LOOKUP(B5,geomorph!A:A,geomorph!B:B)</f>
        <v>1479.1</v>
      </c>
      <c r="D5">
        <f t="shared" si="11"/>
        <v>1.13E-4</v>
      </c>
      <c r="E5" s="9">
        <f ca="1">'[2]Q_GEV(random)'!$J5</f>
        <v>16068.645058675345</v>
      </c>
      <c r="F5" s="26">
        <f ca="1">RANDBETWEEN(ranges!F$2*1000,ranges!F$3*1000)/1000</f>
        <v>9.4E-2</v>
      </c>
      <c r="G5" s="3">
        <f t="shared" ca="1" si="2"/>
        <v>10.863798971452468</v>
      </c>
      <c r="H5" s="4">
        <f t="shared" ca="1" si="3"/>
        <v>13.577054508345835</v>
      </c>
      <c r="I5" s="4">
        <f t="shared" ca="1" si="4"/>
        <v>283.60047915971444</v>
      </c>
      <c r="J5" s="26">
        <f ca="1">RANDBETWEEN(ranges!J$2*1000,ranges!J$3*1000)/1000</f>
        <v>0.69599999999999995</v>
      </c>
      <c r="K5" s="26">
        <f ca="1">RANDBETWEEN(ranges!K$2*1000,ranges!K$3*1000)/1000</f>
        <v>0.874</v>
      </c>
      <c r="L5">
        <f t="shared" ca="1" si="5"/>
        <v>115.13416072499999</v>
      </c>
      <c r="M5">
        <f t="shared" ca="1" si="6"/>
        <v>19.243327895503263</v>
      </c>
      <c r="N5" s="4">
        <f t="shared" ca="1" si="7"/>
        <v>6.1589928121276394</v>
      </c>
      <c r="O5" s="4"/>
      <c r="P5" s="1">
        <f ca="1">LOOKUP(B5,geomorph!$A:$A,geomorph!$G:$G)</f>
        <v>105.22174100000001</v>
      </c>
      <c r="Q5" s="1">
        <f t="shared" ca="1" si="8"/>
        <v>124.46506889550326</v>
      </c>
      <c r="S5">
        <v>50</v>
      </c>
      <c r="T5" s="1">
        <f t="shared" si="9"/>
        <v>0.02</v>
      </c>
      <c r="U5" s="29">
        <f t="shared" si="0"/>
        <v>0.02</v>
      </c>
      <c r="V5" s="1">
        <f t="shared" si="10"/>
        <v>0.98</v>
      </c>
      <c r="W5" s="25">
        <f t="shared" ca="1" si="1"/>
        <v>125.47338186235717</v>
      </c>
      <c r="Y5">
        <v>125.630531</v>
      </c>
      <c r="Z5">
        <v>125.455231</v>
      </c>
      <c r="AA5" s="8"/>
    </row>
    <row r="6" spans="1:27" x14ac:dyDescent="0.3">
      <c r="A6" s="5"/>
      <c r="B6" s="6">
        <f ca="1">RANDBETWEEN(ranges!B$2,ranges!B$3)</f>
        <v>14514</v>
      </c>
      <c r="C6" s="9">
        <f ca="1">LOOKUP(B6,geomorph!A:A,geomorph!B:B)</f>
        <v>1403.7</v>
      </c>
      <c r="D6">
        <f t="shared" si="11"/>
        <v>1.13E-4</v>
      </c>
      <c r="E6" s="9">
        <f ca="1">'[2]Q_GEV(random)'!$J6</f>
        <v>16062.81841866692</v>
      </c>
      <c r="F6" s="26">
        <f ca="1">RANDBETWEEN(ranges!F$2*1000,ranges!F$3*1000)/1000</f>
        <v>9.5000000000000001E-2</v>
      </c>
      <c r="G6" s="3">
        <f t="shared" ca="1" si="2"/>
        <v>11.443198987438143</v>
      </c>
      <c r="H6" s="4">
        <f t="shared" ca="1" si="3"/>
        <v>14.10526657874637</v>
      </c>
      <c r="I6" s="4">
        <f t="shared" ca="1" si="4"/>
        <v>309.36702217445043</v>
      </c>
      <c r="J6" s="26">
        <f ca="1">RANDBETWEEN(ranges!J$2*1000,ranges!J$3*1000)/1000</f>
        <v>0.72</v>
      </c>
      <c r="K6" s="26">
        <f ca="1">RANDBETWEEN(ranges!K$2*1000,ranges!K$3*1000)/1000</f>
        <v>0.86099999999999999</v>
      </c>
      <c r="L6">
        <f t="shared" ca="1" si="5"/>
        <v>122.95034173054367</v>
      </c>
      <c r="M6">
        <f t="shared" ca="1" si="6"/>
        <v>19.502149599649549</v>
      </c>
      <c r="N6" s="4">
        <f t="shared" ca="1" si="7"/>
        <v>5.8661771966338891</v>
      </c>
      <c r="O6" s="4"/>
      <c r="P6" s="1">
        <f ca="1">LOOKUP(B6,geomorph!$A:$A,geomorph!$G:$G)</f>
        <v>104.88613100000001</v>
      </c>
      <c r="Q6" s="1">
        <f t="shared" ca="1" si="8"/>
        <v>124.38828059964956</v>
      </c>
      <c r="S6">
        <v>20</v>
      </c>
      <c r="T6" s="1">
        <f t="shared" si="9"/>
        <v>0.05</v>
      </c>
      <c r="U6" s="29">
        <f t="shared" si="0"/>
        <v>0.05</v>
      </c>
      <c r="V6" s="1">
        <f t="shared" si="10"/>
        <v>0.95</v>
      </c>
      <c r="W6" s="25">
        <f t="shared" ca="1" si="1"/>
        <v>124.82264298880354</v>
      </c>
      <c r="Y6">
        <v>125.18401299999999</v>
      </c>
      <c r="Z6">
        <v>125.06229399999999</v>
      </c>
      <c r="AA6" s="8"/>
    </row>
    <row r="7" spans="1:27" x14ac:dyDescent="0.3">
      <c r="A7" s="5"/>
      <c r="B7" s="6">
        <f ca="1">RANDBETWEEN(ranges!B$2,ranges!B$3)</f>
        <v>12012</v>
      </c>
      <c r="C7" s="9">
        <f ca="1">LOOKUP(B7,geomorph!A:A,geomorph!B:B)</f>
        <v>1347.3</v>
      </c>
      <c r="D7">
        <f t="shared" si="11"/>
        <v>1.13E-4</v>
      </c>
      <c r="E7" s="9">
        <f ca="1">'[2]Q_GEV(random)'!$J7</f>
        <v>15976.91401234922</v>
      </c>
      <c r="F7" s="26">
        <f ca="1">RANDBETWEEN(ranges!F$2*1000,ranges!F$3*1000)/1000</f>
        <v>0.11</v>
      </c>
      <c r="G7" s="3">
        <f t="shared" ca="1" si="2"/>
        <v>11.858468056371425</v>
      </c>
      <c r="H7" s="4">
        <f t="shared" ca="1" si="3"/>
        <v>15.16788697135299</v>
      </c>
      <c r="I7" s="4">
        <f t="shared" ca="1" si="4"/>
        <v>330.06902160254862</v>
      </c>
      <c r="J7" s="26">
        <f ca="1">RANDBETWEEN(ranges!J$2*1000,ranges!J$3*1000)/1000</f>
        <v>0.72799999999999998</v>
      </c>
      <c r="K7" s="26">
        <f ca="1">RANDBETWEEN(ranges!K$2*1000,ranges!K$3*1000)/1000</f>
        <v>0.83899999999999997</v>
      </c>
      <c r="L7">
        <f t="shared" ca="1" si="5"/>
        <v>134.46333308645603</v>
      </c>
      <c r="M7">
        <f t="shared" ca="1" si="6"/>
        <v>20.471356699414191</v>
      </c>
      <c r="N7" s="4">
        <f t="shared" ca="1" si="7"/>
        <v>5.7646410087621742</v>
      </c>
      <c r="O7" s="4"/>
      <c r="P7" s="1">
        <f ca="1">LOOKUP(B7,geomorph!$A:$A,geomorph!$G:$G)</f>
        <v>105.168631</v>
      </c>
      <c r="Q7" s="1">
        <f t="shared" ca="1" si="8"/>
        <v>125.63998769941419</v>
      </c>
      <c r="S7">
        <v>10</v>
      </c>
      <c r="T7" s="1">
        <f t="shared" si="9"/>
        <v>0.1</v>
      </c>
      <c r="U7" s="29">
        <f t="shared" si="0"/>
        <v>0.1</v>
      </c>
      <c r="V7" s="1">
        <f t="shared" si="10"/>
        <v>0.9</v>
      </c>
      <c r="W7" s="25">
        <f t="shared" ca="1" si="1"/>
        <v>124.03915074526607</v>
      </c>
      <c r="Y7">
        <v>125.023758</v>
      </c>
      <c r="Z7">
        <v>124.91995199999999</v>
      </c>
      <c r="AA7" s="8"/>
    </row>
    <row r="8" spans="1:27" x14ac:dyDescent="0.3">
      <c r="B8" s="6">
        <f ca="1">RANDBETWEEN(ranges!B$2,ranges!B$3)</f>
        <v>13550</v>
      </c>
      <c r="C8" s="9">
        <f ca="1">LOOKUP(B8,geomorph!A:A,geomorph!B:B)</f>
        <v>1215.2</v>
      </c>
      <c r="D8">
        <f t="shared" ref="D8:D10" si="12">D7</f>
        <v>1.13E-4</v>
      </c>
      <c r="E8" s="9">
        <f ca="1">'[2]Q_GEV(random)'!$J8</f>
        <v>15954.296092396262</v>
      </c>
      <c r="F8" s="26">
        <f ca="1">RANDBETWEEN(ranges!F$2*1000,ranges!F$3*1000)/1000</f>
        <v>9.1999999999999998E-2</v>
      </c>
      <c r="G8" s="3">
        <f t="shared" ref="G8:G10" ca="1" si="13">E8/C8</f>
        <v>13.128946751478161</v>
      </c>
      <c r="H8" s="4">
        <f t="shared" ref="H8:H10" ca="1" si="14">POWER(G8/SQRT(4*9.807*D8/F8),2/3)</f>
        <v>15.294114257933494</v>
      </c>
      <c r="I8" s="4">
        <f t="shared" ref="I8:I10" ca="1" si="15">POWER(G8*G8/9.807/D8,1/3)/C8/D8</f>
        <v>391.64162812845836</v>
      </c>
      <c r="J8" s="26">
        <f ca="1">RANDBETWEEN(ranges!J$2*1000,ranges!J$3*1000)/1000</f>
        <v>0.76700000000000002</v>
      </c>
      <c r="K8" s="26">
        <f ca="1">RANDBETWEEN(ranges!K$2*1000,ranges!K$3*1000)/1000</f>
        <v>0.91600000000000004</v>
      </c>
      <c r="L8">
        <f t="shared" ref="L8:L10" ca="1" si="16">0.63*POWER(F8,1/3)*I8+5.75*(1+SQRT(1+0.11*J8*POWER(F8,1/3)*K8*I8))/J8</f>
        <v>147.58881569957637</v>
      </c>
      <c r="M8">
        <f t="shared" ref="M8:M10" ca="1" si="17">L8*C8*D8</f>
        <v>20.266541958708149</v>
      </c>
      <c r="N8" s="4">
        <f t="shared" ref="N8:N10" ca="1" si="18">(M8-H8)/0.92</f>
        <v>5.4048127182333214</v>
      </c>
      <c r="O8" s="4"/>
      <c r="P8" s="1">
        <f ca="1">LOOKUP(B8,geomorph!$A:$A,geomorph!$G:$G)</f>
        <v>104.99461100000001</v>
      </c>
      <c r="Q8" s="1">
        <f t="shared" ref="Q8:Q10" ca="1" si="19">M8+P8</f>
        <v>125.26115295870815</v>
      </c>
      <c r="S8">
        <v>5</v>
      </c>
      <c r="T8" s="1">
        <f t="shared" si="9"/>
        <v>0.2</v>
      </c>
      <c r="U8" s="29">
        <f t="shared" si="0"/>
        <v>0.2</v>
      </c>
      <c r="V8" s="1">
        <f t="shared" si="10"/>
        <v>0.8</v>
      </c>
      <c r="W8" s="25">
        <f t="shared" ca="1" si="1"/>
        <v>123.04102651886255</v>
      </c>
      <c r="Y8">
        <v>124.455544</v>
      </c>
      <c r="Z8">
        <v>124.409363</v>
      </c>
      <c r="AA8" s="8"/>
    </row>
    <row r="9" spans="1:27" x14ac:dyDescent="0.3">
      <c r="B9" s="6">
        <f ca="1">RANDBETWEEN(ranges!B$2,ranges!B$3)</f>
        <v>14914</v>
      </c>
      <c r="C9" s="9">
        <f ca="1">LOOKUP(B9,geomorph!A:A,geomorph!B:B)</f>
        <v>1508.3</v>
      </c>
      <c r="D9">
        <f t="shared" si="12"/>
        <v>1.13E-4</v>
      </c>
      <c r="E9" s="9">
        <f ca="1">'[2]Q_GEV(random)'!$J9</f>
        <v>15913.354095374514</v>
      </c>
      <c r="F9" s="26">
        <f ca="1">RANDBETWEEN(ranges!F$2*1000,ranges!F$3*1000)/1000</f>
        <v>0.10199999999999999</v>
      </c>
      <c r="G9" s="3">
        <f t="shared" ca="1" si="13"/>
        <v>10.550523168716113</v>
      </c>
      <c r="H9" s="4">
        <f t="shared" ca="1" si="14"/>
        <v>13.68226037684917</v>
      </c>
      <c r="I9" s="4">
        <f t="shared" ca="1" si="15"/>
        <v>272.73755919470545</v>
      </c>
      <c r="J9" s="26">
        <f ca="1">RANDBETWEEN(ranges!J$2*1000,ranges!J$3*1000)/1000</f>
        <v>0.60599999999999998</v>
      </c>
      <c r="K9" s="26">
        <f ca="1">RANDBETWEEN(ranges!K$2*1000,ranges!K$3*1000)/1000</f>
        <v>0.82699999999999996</v>
      </c>
      <c r="L9">
        <f t="shared" ca="1" si="16"/>
        <v>116.64994289902964</v>
      </c>
      <c r="M9">
        <f t="shared" ca="1" si="17"/>
        <v>19.881571302830523</v>
      </c>
      <c r="N9" s="4">
        <f t="shared" ca="1" si="18"/>
        <v>6.738381441284079</v>
      </c>
      <c r="O9" s="4"/>
      <c r="P9" s="1">
        <f ca="1">LOOKUP(B9,geomorph!$A:$A,geomorph!$G:$G)</f>
        <v>104.840931</v>
      </c>
      <c r="Q9" s="1">
        <f t="shared" ca="1" si="19"/>
        <v>124.72250230283052</v>
      </c>
      <c r="S9">
        <v>3.3330000000000002</v>
      </c>
      <c r="T9" s="1">
        <f t="shared" si="9"/>
        <v>0.30003000300030003</v>
      </c>
      <c r="U9" s="29">
        <f t="shared" si="0"/>
        <v>0.30003000300030003</v>
      </c>
      <c r="V9" s="1">
        <f t="shared" si="10"/>
        <v>0.69996999699969997</v>
      </c>
      <c r="W9" s="25">
        <f t="shared" ca="1" si="1"/>
        <v>122.25299642438932</v>
      </c>
      <c r="Y9">
        <v>123.74097399999999</v>
      </c>
      <c r="Z9">
        <v>123.71272999999999</v>
      </c>
      <c r="AA9" s="8"/>
    </row>
    <row r="10" spans="1:27" x14ac:dyDescent="0.3">
      <c r="B10" s="6">
        <f ca="1">RANDBETWEEN(ranges!B$2,ranges!B$3)</f>
        <v>13656</v>
      </c>
      <c r="C10" s="9">
        <f ca="1">LOOKUP(B10,geomorph!A:A,geomorph!B:B)</f>
        <v>1240.5</v>
      </c>
      <c r="D10">
        <f t="shared" si="12"/>
        <v>1.13E-4</v>
      </c>
      <c r="E10" s="9">
        <f ca="1">'[2]Q_GEV(random)'!$J10</f>
        <v>15897.060177192248</v>
      </c>
      <c r="F10" s="26">
        <f ca="1">RANDBETWEEN(ranges!F$2*1000,ranges!F$3*1000)/1000</f>
        <v>9.4E-2</v>
      </c>
      <c r="G10" s="3">
        <f t="shared" ca="1" si="13"/>
        <v>12.815042464483875</v>
      </c>
      <c r="H10" s="4">
        <f t="shared" ca="1" si="14"/>
        <v>15.157623458586821</v>
      </c>
      <c r="I10" s="4">
        <f t="shared" ca="1" si="15"/>
        <v>377.51419075157202</v>
      </c>
      <c r="J10" s="26">
        <f ca="1">RANDBETWEEN(ranges!J$2*1000,ranges!J$3*1000)/1000</f>
        <v>0.748</v>
      </c>
      <c r="K10" s="26">
        <f ca="1">RANDBETWEEN(ranges!K$2*1000,ranges!K$3*1000)/1000</f>
        <v>0.86599999999999999</v>
      </c>
      <c r="L10">
        <f t="shared" ca="1" si="16"/>
        <v>143.78777778354407</v>
      </c>
      <c r="M10">
        <f t="shared" ca="1" si="17"/>
        <v>20.155667432474964</v>
      </c>
      <c r="N10" s="4">
        <f t="shared" ca="1" si="18"/>
        <v>5.4326564933566761</v>
      </c>
      <c r="O10" s="4"/>
      <c r="P10" s="1">
        <f ca="1">LOOKUP(B10,geomorph!$A:$A,geomorph!$G:$G)</f>
        <v>104.983311</v>
      </c>
      <c r="Q10" s="1">
        <f t="shared" ca="1" si="19"/>
        <v>125.13897843247497</v>
      </c>
      <c r="S10">
        <v>2</v>
      </c>
      <c r="T10" s="1">
        <f t="shared" si="9"/>
        <v>0.5</v>
      </c>
      <c r="U10" s="29">
        <f t="shared" si="0"/>
        <v>0.5</v>
      </c>
      <c r="V10" s="1">
        <f t="shared" si="10"/>
        <v>0.5</v>
      </c>
      <c r="W10" s="25">
        <f t="shared" ca="1" si="1"/>
        <v>120.90108197051737</v>
      </c>
      <c r="Y10">
        <v>122.282242</v>
      </c>
      <c r="Z10">
        <v>122.203033</v>
      </c>
      <c r="AA10" s="8"/>
    </row>
    <row r="11" spans="1:27" x14ac:dyDescent="0.3">
      <c r="B11" s="6">
        <f ca="1">RANDBETWEEN(ranges!B$2,ranges!B$3)</f>
        <v>14015</v>
      </c>
      <c r="C11" s="9">
        <f ca="1">LOOKUP(B11,geomorph!A:A,geomorph!B:B)</f>
        <v>1329.8</v>
      </c>
      <c r="D11">
        <f t="shared" ref="D11:D74" si="20">D10</f>
        <v>1.13E-4</v>
      </c>
      <c r="E11" s="9">
        <f ca="1">'[2]Q_GEV(random)'!$J11</f>
        <v>15878.142158226619</v>
      </c>
      <c r="F11" s="26">
        <f ca="1">RANDBETWEEN(ranges!F$2*1000,ranges!F$3*1000)/1000</f>
        <v>9.6000000000000002E-2</v>
      </c>
      <c r="G11" s="3">
        <f t="shared" ref="G11:G74" ca="1" si="21">E11/C11</f>
        <v>11.940248276602963</v>
      </c>
      <c r="H11" s="4">
        <f t="shared" ref="H11:H74" ca="1" si="22">POWER(G11/SQRT(4*9.807*D11/F11),2/3)</f>
        <v>14.561555813143842</v>
      </c>
      <c r="I11" s="4">
        <f t="shared" ref="I11:I74" ca="1" si="23">POWER(G11*G11/9.807/D11,1/3)/C11/D11</f>
        <v>335.94841246768459</v>
      </c>
      <c r="J11" s="26">
        <f ca="1">RANDBETWEEN(ranges!J$2*1000,ranges!J$3*1000)/1000</f>
        <v>0.63400000000000001</v>
      </c>
      <c r="K11" s="26">
        <f ca="1">RANDBETWEEN(ranges!K$2*1000,ranges!K$3*1000)/1000</f>
        <v>0.89400000000000002</v>
      </c>
      <c r="L11">
        <f t="shared" ref="L11:L74" ca="1" si="24">0.63*POWER(F11,1/3)*I11+5.75*(1+SQRT(1+0.11*J11*POWER(F11,1/3)*K11*I11))/J11</f>
        <v>135.49460057776474</v>
      </c>
      <c r="M11">
        <f t="shared" ref="M11:M74" ca="1" si="25">L11*C11*D11</f>
        <v>20.360421342859201</v>
      </c>
      <c r="N11" s="4">
        <f t="shared" ref="N11:N74" ca="1" si="26">(M11-H11)/0.92</f>
        <v>6.3031147062123463</v>
      </c>
      <c r="O11" s="4"/>
      <c r="P11" s="1">
        <f ca="1">LOOKUP(B11,geomorph!$A:$A,geomorph!$G:$G)</f>
        <v>104.94263100000001</v>
      </c>
      <c r="Q11" s="1">
        <f t="shared" ref="Q11:Q74" ca="1" si="27">M11+P11</f>
        <v>125.3030523428592</v>
      </c>
      <c r="U11" s="2"/>
      <c r="V11" s="4"/>
      <c r="W11" s="11"/>
      <c r="X11" s="4"/>
      <c r="Y11" s="4"/>
      <c r="Z11" s="2"/>
      <c r="AA11" s="8"/>
    </row>
    <row r="12" spans="1:27" x14ac:dyDescent="0.3">
      <c r="B12" s="6">
        <f ca="1">RANDBETWEEN(ranges!B$2,ranges!B$3)</f>
        <v>11628</v>
      </c>
      <c r="C12" s="9">
        <f ca="1">LOOKUP(B12,geomorph!A:A,geomorph!B:B)</f>
        <v>1460.1</v>
      </c>
      <c r="D12">
        <f t="shared" si="20"/>
        <v>1.13E-4</v>
      </c>
      <c r="E12" s="9">
        <f ca="1">'[2]Q_GEV(random)'!$J12</f>
        <v>15860.276339356842</v>
      </c>
      <c r="F12" s="26">
        <f ca="1">RANDBETWEEN(ranges!F$2*1000,ranges!F$3*1000)/1000</f>
        <v>9.0999999999999998E-2</v>
      </c>
      <c r="G12" s="3">
        <f t="shared" ca="1" si="21"/>
        <v>10.862458968123308</v>
      </c>
      <c r="H12" s="4">
        <f t="shared" ca="1" si="22"/>
        <v>13.42994889466741</v>
      </c>
      <c r="I12" s="4">
        <f t="shared" ca="1" si="23"/>
        <v>287.26729299744323</v>
      </c>
      <c r="J12" s="26">
        <f ca="1">RANDBETWEEN(ranges!J$2*1000,ranges!J$3*1000)/1000</f>
        <v>0.60299999999999998</v>
      </c>
      <c r="K12" s="26">
        <f ca="1">RANDBETWEEN(ranges!K$2*1000,ranges!K$3*1000)/1000</f>
        <v>0.86699999999999999</v>
      </c>
      <c r="L12">
        <f t="shared" ca="1" si="24"/>
        <v>118.62607003997852</v>
      </c>
      <c r="M12">
        <f t="shared" ca="1" si="25"/>
        <v>19.572269509787105</v>
      </c>
      <c r="N12" s="4">
        <f t="shared" ca="1" si="26"/>
        <v>6.6764354512170598</v>
      </c>
      <c r="O12" s="4"/>
      <c r="P12" s="1">
        <f ca="1">LOOKUP(B12,geomorph!$A:$A,geomorph!$G:$G)</f>
        <v>105.21270100000001</v>
      </c>
      <c r="Q12" s="1">
        <f t="shared" ca="1" si="27"/>
        <v>124.78497050978712</v>
      </c>
      <c r="U12" s="2"/>
      <c r="V12" s="4"/>
      <c r="W12" s="11"/>
      <c r="X12" s="4"/>
      <c r="Y12" s="4"/>
      <c r="Z12" s="2"/>
      <c r="AA12" s="8"/>
    </row>
    <row r="13" spans="1:27" x14ac:dyDescent="0.3">
      <c r="B13" s="6">
        <f ca="1">RANDBETWEEN(ranges!B$2,ranges!B$3)</f>
        <v>14242</v>
      </c>
      <c r="C13" s="9">
        <f ca="1">LOOKUP(B13,geomorph!A:A,geomorph!B:B)</f>
        <v>1326.5</v>
      </c>
      <c r="D13">
        <f t="shared" si="20"/>
        <v>1.13E-4</v>
      </c>
      <c r="E13" s="9">
        <f ca="1">'[2]Q_GEV(random)'!$J13</f>
        <v>15859.619029237827</v>
      </c>
      <c r="F13" s="26">
        <f ca="1">RANDBETWEEN(ranges!F$2*1000,ranges!F$3*1000)/1000</f>
        <v>9.2999999999999999E-2</v>
      </c>
      <c r="G13" s="3">
        <f t="shared" ca="1" si="21"/>
        <v>11.955988714088072</v>
      </c>
      <c r="H13" s="4">
        <f t="shared" ca="1" si="22"/>
        <v>14.420924742227482</v>
      </c>
      <c r="I13" s="4">
        <f t="shared" ca="1" si="23"/>
        <v>337.08008405501562</v>
      </c>
      <c r="J13" s="26">
        <f ca="1">RANDBETWEEN(ranges!J$2*1000,ranges!J$3*1000)/1000</f>
        <v>0.79800000000000004</v>
      </c>
      <c r="K13" s="26">
        <f ca="1">RANDBETWEEN(ranges!K$2*1000,ranges!K$3*1000)/1000</f>
        <v>0.81100000000000005</v>
      </c>
      <c r="L13">
        <f t="shared" ca="1" si="24"/>
        <v>128.2458858775027</v>
      </c>
      <c r="M13">
        <f t="shared" ca="1" si="25"/>
        <v>19.223352940665329</v>
      </c>
      <c r="N13" s="4">
        <f t="shared" ca="1" si="26"/>
        <v>5.2200306504759197</v>
      </c>
      <c r="O13" s="4"/>
      <c r="P13" s="1">
        <f ca="1">LOOKUP(B13,geomorph!$A:$A,geomorph!$G:$G)</f>
        <v>104.916641</v>
      </c>
      <c r="Q13" s="1">
        <f t="shared" ca="1" si="27"/>
        <v>124.13999394066533</v>
      </c>
      <c r="U13" s="2"/>
      <c r="V13" s="4"/>
      <c r="W13" s="11"/>
      <c r="X13" s="4"/>
      <c r="Y13" s="4"/>
      <c r="Z13" s="2"/>
      <c r="AA13" s="8"/>
    </row>
    <row r="14" spans="1:27" x14ac:dyDescent="0.3">
      <c r="B14" s="6">
        <f ca="1">RANDBETWEEN(ranges!B$2,ranges!B$3)</f>
        <v>10526</v>
      </c>
      <c r="C14" s="9">
        <f ca="1">LOOKUP(B14,geomorph!A:A,geomorph!B:B)</f>
        <v>1760.5</v>
      </c>
      <c r="D14">
        <f t="shared" si="20"/>
        <v>1.13E-4</v>
      </c>
      <c r="E14" s="9">
        <f ca="1">'[2]Q_GEV(random)'!$J14</f>
        <v>15817.683108918634</v>
      </c>
      <c r="F14" s="26">
        <f ca="1">RANDBETWEEN(ranges!F$2*1000,ranges!F$3*1000)/1000</f>
        <v>0.11</v>
      </c>
      <c r="G14" s="3">
        <f t="shared" ca="1" si="21"/>
        <v>8.9847674574942538</v>
      </c>
      <c r="H14" s="4">
        <f t="shared" ca="1" si="22"/>
        <v>12.605998540551168</v>
      </c>
      <c r="I14" s="4">
        <f t="shared" ca="1" si="23"/>
        <v>209.93517671242031</v>
      </c>
      <c r="J14" s="26">
        <f ca="1">RANDBETWEEN(ranges!J$2*1000,ranges!J$3*1000)/1000</f>
        <v>0.77200000000000002</v>
      </c>
      <c r="K14" s="26">
        <f ca="1">RANDBETWEEN(ranges!K$2*1000,ranges!K$3*1000)/1000</f>
        <v>0.97</v>
      </c>
      <c r="L14">
        <f t="shared" ca="1" si="24"/>
        <v>93.515595981555862</v>
      </c>
      <c r="M14">
        <f t="shared" ca="1" si="25"/>
        <v>18.603665359984788</v>
      </c>
      <c r="N14" s="4">
        <f t="shared" ca="1" si="26"/>
        <v>6.5192030646017605</v>
      </c>
      <c r="O14" s="4"/>
      <c r="P14" s="1">
        <f ca="1">LOOKUP(B14,geomorph!$A:$A,geomorph!$G:$G)</f>
        <v>105.337001</v>
      </c>
      <c r="Q14" s="1">
        <f t="shared" ca="1" si="27"/>
        <v>123.94066635998479</v>
      </c>
      <c r="U14" s="2"/>
      <c r="V14" s="4"/>
      <c r="W14" s="11"/>
      <c r="X14" s="4"/>
      <c r="Y14" s="4"/>
      <c r="Z14" s="2"/>
      <c r="AA14" s="8"/>
    </row>
    <row r="15" spans="1:27" x14ac:dyDescent="0.3">
      <c r="B15" s="6">
        <f ca="1">RANDBETWEEN(ranges!B$2,ranges!B$3)</f>
        <v>14958</v>
      </c>
      <c r="C15" s="9">
        <f ca="1">LOOKUP(B15,geomorph!A:A,geomorph!B:B)</f>
        <v>1500.2</v>
      </c>
      <c r="D15">
        <f t="shared" si="20"/>
        <v>1.13E-4</v>
      </c>
      <c r="E15" s="9">
        <f ca="1">'[2]Q_GEV(random)'!$J15</f>
        <v>15731.423982543643</v>
      </c>
      <c r="F15" s="26">
        <f ca="1">RANDBETWEEN(ranges!F$2*1000,ranges!F$3*1000)/1000</f>
        <v>0.09</v>
      </c>
      <c r="G15" s="3">
        <f t="shared" ca="1" si="21"/>
        <v>10.48621782598563</v>
      </c>
      <c r="H15" s="4">
        <f t="shared" ca="1" si="22"/>
        <v>13.06978819839915</v>
      </c>
      <c r="I15" s="4">
        <f t="shared" ca="1" si="23"/>
        <v>273.09480518488624</v>
      </c>
      <c r="J15" s="26">
        <f ca="1">RANDBETWEEN(ranges!J$2*1000,ranges!J$3*1000)/1000</f>
        <v>0.68799999999999994</v>
      </c>
      <c r="K15" s="26">
        <f ca="1">RANDBETWEEN(ranges!K$2*1000,ranges!K$3*1000)/1000</f>
        <v>0.88700000000000001</v>
      </c>
      <c r="L15">
        <f t="shared" ca="1" si="24"/>
        <v>110.83103603017415</v>
      </c>
      <c r="M15">
        <f t="shared" ca="1" si="25"/>
        <v>18.788365388528799</v>
      </c>
      <c r="N15" s="4">
        <f t="shared" ca="1" si="26"/>
        <v>6.2158447718800529</v>
      </c>
      <c r="O15" s="4"/>
      <c r="P15" s="1">
        <f ca="1">LOOKUP(B15,geomorph!$A:$A,geomorph!$G:$G)</f>
        <v>104.836411</v>
      </c>
      <c r="Q15" s="1">
        <f t="shared" ca="1" si="27"/>
        <v>123.6247763885288</v>
      </c>
      <c r="U15" s="2"/>
      <c r="V15" s="4"/>
      <c r="W15" s="11"/>
      <c r="X15" s="4"/>
      <c r="Y15" s="4"/>
      <c r="Z15" s="2"/>
      <c r="AA15" s="8"/>
    </row>
    <row r="16" spans="1:27" x14ac:dyDescent="0.3">
      <c r="B16" s="6">
        <f ca="1">RANDBETWEEN(ranges!B$2,ranges!B$3)</f>
        <v>13172</v>
      </c>
      <c r="C16" s="9">
        <f ca="1">LOOKUP(B16,geomorph!A:A,geomorph!B:B)</f>
        <v>1159.7</v>
      </c>
      <c r="D16">
        <f t="shared" si="20"/>
        <v>1.13E-4</v>
      </c>
      <c r="E16" s="9">
        <f ca="1">'[2]Q_GEV(random)'!$J16</f>
        <v>15649.070376749085</v>
      </c>
      <c r="F16" s="26">
        <f ca="1">RANDBETWEEN(ranges!F$2*1000,ranges!F$3*1000)/1000</f>
        <v>9.5000000000000001E-2</v>
      </c>
      <c r="G16" s="3">
        <f t="shared" ca="1" si="21"/>
        <v>13.494067756099927</v>
      </c>
      <c r="H16" s="4">
        <f t="shared" ca="1" si="22"/>
        <v>15.743873419797644</v>
      </c>
      <c r="I16" s="4">
        <f t="shared" ca="1" si="23"/>
        <v>417.95829681662673</v>
      </c>
      <c r="J16" s="26">
        <f ca="1">RANDBETWEEN(ranges!J$2*1000,ranges!J$3*1000)/1000</f>
        <v>0.79200000000000004</v>
      </c>
      <c r="K16" s="26">
        <f ca="1">RANDBETWEEN(ranges!K$2*1000,ranges!K$3*1000)/1000</f>
        <v>0.86899999999999999</v>
      </c>
      <c r="L16">
        <f t="shared" ca="1" si="24"/>
        <v>155.9335599264887</v>
      </c>
      <c r="M16">
        <f t="shared" ca="1" si="25"/>
        <v>20.434484887482633</v>
      </c>
      <c r="N16" s="4">
        <f t="shared" ca="1" si="26"/>
        <v>5.0984907257445524</v>
      </c>
      <c r="O16" s="4"/>
      <c r="P16" s="1">
        <f ca="1">LOOKUP(B16,geomorph!$A:$A,geomorph!$G:$G)</f>
        <v>105.03755100000001</v>
      </c>
      <c r="Q16" s="1">
        <f t="shared" ca="1" si="27"/>
        <v>125.47203588748263</v>
      </c>
      <c r="U16" s="2"/>
      <c r="V16" s="4"/>
      <c r="W16" s="11"/>
      <c r="X16" s="4"/>
      <c r="Y16" s="4"/>
      <c r="Z16" s="2"/>
      <c r="AA16" s="8"/>
    </row>
    <row r="17" spans="2:27" x14ac:dyDescent="0.3">
      <c r="B17" s="6">
        <f ca="1">RANDBETWEEN(ranges!B$2,ranges!B$3)</f>
        <v>11889</v>
      </c>
      <c r="C17" s="9">
        <f ca="1">LOOKUP(B17,geomorph!A:A,geomorph!B:B)</f>
        <v>1387.2</v>
      </c>
      <c r="D17">
        <f t="shared" si="20"/>
        <v>1.13E-4</v>
      </c>
      <c r="E17" s="9">
        <f ca="1">'[2]Q_GEV(random)'!$J17</f>
        <v>15626.612959646742</v>
      </c>
      <c r="F17" s="26">
        <f ca="1">RANDBETWEEN(ranges!F$2*1000,ranges!F$3*1000)/1000</f>
        <v>0.09</v>
      </c>
      <c r="G17" s="3">
        <f t="shared" ca="1" si="21"/>
        <v>11.264859399976025</v>
      </c>
      <c r="H17" s="4">
        <f t="shared" ca="1" si="22"/>
        <v>13.709022318473751</v>
      </c>
      <c r="I17" s="4">
        <f t="shared" ca="1" si="23"/>
        <v>309.78576232256216</v>
      </c>
      <c r="J17" s="26">
        <f ca="1">RANDBETWEEN(ranges!J$2*1000,ranges!J$3*1000)/1000</f>
        <v>0.68500000000000005</v>
      </c>
      <c r="K17" s="26">
        <f ca="1">RANDBETWEEN(ranges!K$2*1000,ranges!K$3*1000)/1000</f>
        <v>0.91800000000000004</v>
      </c>
      <c r="L17">
        <f t="shared" ca="1" si="24"/>
        <v>123.18863084406568</v>
      </c>
      <c r="M17">
        <f t="shared" ca="1" si="25"/>
        <v>19.310261363878336</v>
      </c>
      <c r="N17" s="4">
        <f t="shared" ca="1" si="26"/>
        <v>6.0883033102223747</v>
      </c>
      <c r="O17" s="4"/>
      <c r="P17" s="1">
        <f ca="1">LOOKUP(B17,geomorph!$A:$A,geomorph!$G:$G)</f>
        <v>105.18332100000001</v>
      </c>
      <c r="Q17" s="1">
        <f t="shared" ca="1" si="27"/>
        <v>124.49358236387835</v>
      </c>
      <c r="U17" s="2"/>
      <c r="V17" s="4"/>
      <c r="W17" s="11"/>
      <c r="X17" s="4"/>
      <c r="Y17" s="4"/>
      <c r="Z17" s="2"/>
      <c r="AA17" s="8"/>
    </row>
    <row r="18" spans="2:27" x14ac:dyDescent="0.3">
      <c r="B18" s="6">
        <f ca="1">RANDBETWEEN(ranges!B$2,ranges!B$3)</f>
        <v>13423</v>
      </c>
      <c r="C18" s="9">
        <f ca="1">LOOKUP(B18,geomorph!A:A,geomorph!B:B)</f>
        <v>1188.5</v>
      </c>
      <c r="D18">
        <f t="shared" si="20"/>
        <v>1.13E-4</v>
      </c>
      <c r="E18" s="9">
        <f ca="1">'[2]Q_GEV(random)'!$J18</f>
        <v>15622.905703569331</v>
      </c>
      <c r="F18" s="26">
        <f ca="1">RANDBETWEEN(ranges!F$2*1000,ranges!F$3*1000)/1000</f>
        <v>0.10100000000000001</v>
      </c>
      <c r="G18" s="3">
        <f t="shared" ca="1" si="21"/>
        <v>13.145061593243021</v>
      </c>
      <c r="H18" s="4">
        <f t="shared" ca="1" si="22"/>
        <v>15.790310552757472</v>
      </c>
      <c r="I18" s="4">
        <f t="shared" ca="1" si="23"/>
        <v>400.76757907409143</v>
      </c>
      <c r="J18" s="26">
        <f ca="1">RANDBETWEEN(ranges!J$2*1000,ranges!J$3*1000)/1000</f>
        <v>0.68200000000000005</v>
      </c>
      <c r="K18" s="26">
        <f ca="1">RANDBETWEEN(ranges!K$2*1000,ranges!K$3*1000)/1000</f>
        <v>0.83099999999999996</v>
      </c>
      <c r="L18">
        <f t="shared" ca="1" si="24"/>
        <v>155.98220820430402</v>
      </c>
      <c r="M18">
        <f t="shared" ca="1" si="25"/>
        <v>20.948488552942131</v>
      </c>
      <c r="N18" s="4">
        <f t="shared" ca="1" si="26"/>
        <v>5.6067152175920203</v>
      </c>
      <c r="O18" s="4"/>
      <c r="P18" s="1">
        <f ca="1">LOOKUP(B18,geomorph!$A:$A,geomorph!$G:$G)</f>
        <v>105.00930100000001</v>
      </c>
      <c r="Q18" s="1">
        <f t="shared" ca="1" si="27"/>
        <v>125.95778955294213</v>
      </c>
      <c r="U18" s="2"/>
      <c r="V18" s="4"/>
      <c r="W18" s="11"/>
      <c r="X18" s="4"/>
      <c r="Y18" s="4"/>
      <c r="Z18" s="2"/>
      <c r="AA18" s="8"/>
    </row>
    <row r="19" spans="2:27" x14ac:dyDescent="0.3">
      <c r="B19" s="6">
        <f ca="1">RANDBETWEEN(ranges!B$2,ranges!B$3)</f>
        <v>12952</v>
      </c>
      <c r="C19" s="9">
        <f ca="1">LOOKUP(B19,geomorph!A:A,geomorph!B:B)</f>
        <v>1140.5999999999999</v>
      </c>
      <c r="D19">
        <f t="shared" si="20"/>
        <v>1.13E-4</v>
      </c>
      <c r="E19" s="9">
        <f ca="1">'[2]Q_GEV(random)'!$J19</f>
        <v>15610.431432063724</v>
      </c>
      <c r="F19" s="26">
        <f ca="1">RANDBETWEEN(ranges!F$2*1000,ranges!F$3*1000)/1000</f>
        <v>0.107</v>
      </c>
      <c r="G19" s="3">
        <f t="shared" ca="1" si="21"/>
        <v>13.686157664443035</v>
      </c>
      <c r="H19" s="4">
        <f t="shared" ca="1" si="22"/>
        <v>16.535757006604381</v>
      </c>
      <c r="I19" s="4">
        <f t="shared" ca="1" si="23"/>
        <v>428.98062291172658</v>
      </c>
      <c r="J19" s="26">
        <f ca="1">RANDBETWEEN(ranges!J$2*1000,ranges!J$3*1000)/1000</f>
        <v>0.70799999999999996</v>
      </c>
      <c r="K19" s="26">
        <f ca="1">RANDBETWEEN(ranges!K$2*1000,ranges!K$3*1000)/1000</f>
        <v>0.91700000000000004</v>
      </c>
      <c r="L19">
        <f t="shared" ca="1" si="24"/>
        <v>168.44522129627649</v>
      </c>
      <c r="M19">
        <f t="shared" ca="1" si="25"/>
        <v>21.710533993390221</v>
      </c>
      <c r="N19" s="4">
        <f t="shared" ca="1" si="26"/>
        <v>5.6247575943324346</v>
      </c>
      <c r="O19" s="4"/>
      <c r="P19" s="1">
        <f ca="1">LOOKUP(B19,geomorph!$A:$A,geomorph!$G:$G)</f>
        <v>105.062411</v>
      </c>
      <c r="Q19" s="1">
        <f t="shared" ca="1" si="27"/>
        <v>126.77294499339021</v>
      </c>
      <c r="U19" s="2"/>
      <c r="V19" s="4"/>
      <c r="W19" s="11"/>
      <c r="X19" s="4"/>
      <c r="Y19" s="4"/>
      <c r="Z19" s="2"/>
      <c r="AA19" s="8"/>
    </row>
    <row r="20" spans="2:27" x14ac:dyDescent="0.3">
      <c r="B20" s="6">
        <f ca="1">RANDBETWEEN(ranges!B$2,ranges!B$3)</f>
        <v>14471</v>
      </c>
      <c r="C20" s="9">
        <f ca="1">LOOKUP(B20,geomorph!A:A,geomorph!B:B)</f>
        <v>1394</v>
      </c>
      <c r="D20">
        <f t="shared" si="20"/>
        <v>1.13E-4</v>
      </c>
      <c r="E20" s="9">
        <f ca="1">'[2]Q_GEV(random)'!$J20</f>
        <v>15596.542561364815</v>
      </c>
      <c r="F20" s="26">
        <f ca="1">RANDBETWEEN(ranges!F$2*1000,ranges!F$3*1000)/1000</f>
        <v>9.7000000000000003E-2</v>
      </c>
      <c r="G20" s="3">
        <f t="shared" ca="1" si="21"/>
        <v>11.188337561954674</v>
      </c>
      <c r="H20" s="4">
        <f t="shared" ca="1" si="22"/>
        <v>13.991880328976814</v>
      </c>
      <c r="I20" s="4">
        <f t="shared" ca="1" si="23"/>
        <v>306.87696035784535</v>
      </c>
      <c r="J20" s="26">
        <f ca="1">RANDBETWEEN(ranges!J$2*1000,ranges!J$3*1000)/1000</f>
        <v>0.60099999999999998</v>
      </c>
      <c r="K20" s="26">
        <f ca="1">RANDBETWEEN(ranges!K$2*1000,ranges!K$3*1000)/1000</f>
        <v>0.872</v>
      </c>
      <c r="L20">
        <f t="shared" ca="1" si="24"/>
        <v>127.30406497146524</v>
      </c>
      <c r="M20">
        <f t="shared" ca="1" si="25"/>
        <v>20.053190922435146</v>
      </c>
      <c r="N20" s="4">
        <f t="shared" ca="1" si="26"/>
        <v>6.5883810798460125</v>
      </c>
      <c r="O20" s="4"/>
      <c r="P20" s="1">
        <f ca="1">LOOKUP(B20,geomorph!$A:$A,geomorph!$G:$G)</f>
        <v>104.89065100000001</v>
      </c>
      <c r="Q20" s="1">
        <f t="shared" ca="1" si="27"/>
        <v>124.94384192243515</v>
      </c>
      <c r="U20" s="2"/>
      <c r="V20" s="4"/>
      <c r="W20" s="11"/>
      <c r="X20" s="4"/>
      <c r="Y20" s="4"/>
      <c r="Z20" s="2"/>
      <c r="AA20" s="8"/>
    </row>
    <row r="21" spans="2:27" x14ac:dyDescent="0.3">
      <c r="B21" s="6">
        <f ca="1">RANDBETWEEN(ranges!B$2,ranges!B$3)</f>
        <v>12235</v>
      </c>
      <c r="C21" s="9">
        <f ca="1">LOOKUP(B21,geomorph!A:A,geomorph!B:B)</f>
        <v>1282.2</v>
      </c>
      <c r="D21">
        <f t="shared" si="20"/>
        <v>1.13E-4</v>
      </c>
      <c r="E21" s="9">
        <f ca="1">'[2]Q_GEV(random)'!$J21</f>
        <v>15582.244391175176</v>
      </c>
      <c r="F21" s="26">
        <f ca="1">RANDBETWEEN(ranges!F$2*1000,ranges!F$3*1000)/1000</f>
        <v>0.105</v>
      </c>
      <c r="G21" s="3">
        <f t="shared" ca="1" si="21"/>
        <v>12.152740907171404</v>
      </c>
      <c r="H21" s="4">
        <f t="shared" ca="1" si="22"/>
        <v>15.180557540369533</v>
      </c>
      <c r="I21" s="4">
        <f t="shared" ca="1" si="23"/>
        <v>352.5416263633964</v>
      </c>
      <c r="J21" s="26">
        <f ca="1">RANDBETWEEN(ranges!J$2*1000,ranges!J$3*1000)/1000</f>
        <v>0.68100000000000005</v>
      </c>
      <c r="K21" s="26">
        <f ca="1">RANDBETWEEN(ranges!K$2*1000,ranges!K$3*1000)/1000</f>
        <v>0.93</v>
      </c>
      <c r="L21">
        <f t="shared" ca="1" si="24"/>
        <v>143.17963355419391</v>
      </c>
      <c r="M21">
        <f t="shared" ca="1" si="25"/>
        <v>20.74509665418018</v>
      </c>
      <c r="N21" s="4">
        <f t="shared" ca="1" si="26"/>
        <v>6.0484120802289647</v>
      </c>
      <c r="O21" s="4"/>
      <c r="P21" s="1">
        <f ca="1">LOOKUP(B21,geomorph!$A:$A,geomorph!$G:$G)</f>
        <v>105.143771</v>
      </c>
      <c r="Q21" s="1">
        <f t="shared" ca="1" si="27"/>
        <v>125.88886765418019</v>
      </c>
      <c r="U21" s="2"/>
      <c r="V21" s="4"/>
      <c r="W21" s="11"/>
      <c r="X21" s="4"/>
      <c r="Y21" s="4"/>
      <c r="Z21" s="2"/>
      <c r="AA21" s="8"/>
    </row>
    <row r="22" spans="2:27" x14ac:dyDescent="0.3">
      <c r="B22" s="6">
        <f ca="1">RANDBETWEEN(ranges!B$2,ranges!B$3)</f>
        <v>11285</v>
      </c>
      <c r="C22" s="9">
        <f ca="1">LOOKUP(B22,geomorph!A:A,geomorph!B:B)</f>
        <v>1617.2</v>
      </c>
      <c r="D22">
        <f t="shared" si="20"/>
        <v>1.13E-4</v>
      </c>
      <c r="E22" s="9">
        <f ca="1">'[2]Q_GEV(random)'!$J22</f>
        <v>15567.473735393418</v>
      </c>
      <c r="F22" s="26">
        <f ca="1">RANDBETWEEN(ranges!F$2*1000,ranges!F$3*1000)/1000</f>
        <v>9.5000000000000001E-2</v>
      </c>
      <c r="G22" s="3">
        <f t="shared" ca="1" si="21"/>
        <v>9.6261895469907355</v>
      </c>
      <c r="H22" s="4">
        <f t="shared" ca="1" si="22"/>
        <v>12.569536721091884</v>
      </c>
      <c r="I22" s="4">
        <f t="shared" ca="1" si="23"/>
        <v>239.28890201988716</v>
      </c>
      <c r="J22" s="26">
        <f ca="1">RANDBETWEEN(ranges!J$2*1000,ranges!J$3*1000)/1000</f>
        <v>0.71799999999999997</v>
      </c>
      <c r="K22" s="26">
        <f ca="1">RANDBETWEEN(ranges!K$2*1000,ranges!K$3*1000)/1000</f>
        <v>0.876</v>
      </c>
      <c r="L22">
        <f t="shared" ca="1" si="24"/>
        <v>100.21743921370225</v>
      </c>
      <c r="M22">
        <f t="shared" ca="1" si="25"/>
        <v>18.314095624693117</v>
      </c>
      <c r="N22" s="4">
        <f t="shared" ca="1" si="26"/>
        <v>6.2440857647839483</v>
      </c>
      <c r="O22" s="4"/>
      <c r="P22" s="1">
        <f ca="1">LOOKUP(B22,geomorph!$A:$A,geomorph!$G:$G)</f>
        <v>105.251121</v>
      </c>
      <c r="Q22" s="1">
        <f t="shared" ca="1" si="27"/>
        <v>123.56521662469311</v>
      </c>
      <c r="U22" s="2"/>
      <c r="V22" s="4"/>
      <c r="W22" s="11"/>
      <c r="X22" s="4"/>
      <c r="Y22" s="4"/>
      <c r="Z22" s="2"/>
      <c r="AA22" s="8"/>
    </row>
    <row r="23" spans="2:27" x14ac:dyDescent="0.3">
      <c r="B23" s="6">
        <f ca="1">RANDBETWEEN(ranges!B$2,ranges!B$3)</f>
        <v>11225</v>
      </c>
      <c r="C23" s="9">
        <f ca="1">LOOKUP(B23,geomorph!A:A,geomorph!B:B)</f>
        <v>1650.9</v>
      </c>
      <c r="D23">
        <f t="shared" si="20"/>
        <v>1.13E-4</v>
      </c>
      <c r="E23" s="9">
        <f ca="1">'[2]Q_GEV(random)'!$J23</f>
        <v>15545.644066042014</v>
      </c>
      <c r="F23" s="26">
        <f ca="1">RANDBETWEEN(ranges!F$2*1000,ranges!F$3*1000)/1000</f>
        <v>0.108</v>
      </c>
      <c r="G23" s="3">
        <f t="shared" ca="1" si="21"/>
        <v>9.4164662099715386</v>
      </c>
      <c r="H23" s="4">
        <f t="shared" ca="1" si="22"/>
        <v>12.927315553992804</v>
      </c>
      <c r="I23" s="4">
        <f t="shared" ca="1" si="23"/>
        <v>230.98718396370913</v>
      </c>
      <c r="J23" s="26">
        <f ca="1">RANDBETWEEN(ranges!J$2*1000,ranges!J$3*1000)/1000</f>
        <v>0.60699999999999998</v>
      </c>
      <c r="K23" s="26">
        <f ca="1">RANDBETWEEN(ranges!K$2*1000,ranges!K$3*1000)/1000</f>
        <v>0.96</v>
      </c>
      <c r="L23">
        <f t="shared" ca="1" si="24"/>
        <v>105.65169269251072</v>
      </c>
      <c r="M23">
        <f t="shared" ca="1" si="25"/>
        <v>19.709502879665454</v>
      </c>
      <c r="N23" s="4">
        <f t="shared" ca="1" si="26"/>
        <v>7.3719427452963586</v>
      </c>
      <c r="O23" s="4"/>
      <c r="P23" s="1">
        <f ca="1">LOOKUP(B23,geomorph!$A:$A,geomorph!$G:$G)</f>
        <v>105.257901</v>
      </c>
      <c r="Q23" s="1">
        <f t="shared" ca="1" si="27"/>
        <v>124.96740387966545</v>
      </c>
      <c r="U23" s="2"/>
      <c r="V23" s="4"/>
      <c r="W23" s="11"/>
      <c r="X23" s="4"/>
      <c r="Y23" s="4"/>
      <c r="Z23" s="2"/>
      <c r="AA23" s="8"/>
    </row>
    <row r="24" spans="2:27" x14ac:dyDescent="0.3">
      <c r="B24" s="6">
        <f ca="1">RANDBETWEEN(ranges!B$2,ranges!B$3)</f>
        <v>14298</v>
      </c>
      <c r="C24" s="9">
        <f ca="1">LOOKUP(B24,geomorph!A:A,geomorph!B:B)</f>
        <v>1343.1</v>
      </c>
      <c r="D24">
        <f t="shared" si="20"/>
        <v>1.13E-4</v>
      </c>
      <c r="E24" s="9">
        <f ca="1">'[2]Q_GEV(random)'!$J24</f>
        <v>15529.333557952363</v>
      </c>
      <c r="F24" s="26">
        <f ca="1">RANDBETWEEN(ranges!F$2*1000,ranges!F$3*1000)/1000</f>
        <v>0.104</v>
      </c>
      <c r="G24" s="3">
        <f t="shared" ca="1" si="21"/>
        <v>11.562306274999898</v>
      </c>
      <c r="H24" s="4">
        <f t="shared" ca="1" si="22"/>
        <v>14.638027405050897</v>
      </c>
      <c r="I24" s="4">
        <f t="shared" ca="1" si="23"/>
        <v>325.56520310710778</v>
      </c>
      <c r="J24" s="26">
        <f ca="1">RANDBETWEEN(ranges!J$2*1000,ranges!J$3*1000)/1000</f>
        <v>0.78800000000000003</v>
      </c>
      <c r="K24" s="26">
        <f ca="1">RANDBETWEEN(ranges!K$2*1000,ranges!K$3*1000)/1000</f>
        <v>0.90200000000000002</v>
      </c>
      <c r="L24">
        <f t="shared" ca="1" si="24"/>
        <v>130.03111271519415</v>
      </c>
      <c r="M24">
        <f t="shared" ca="1" si="25"/>
        <v>19.734860986118832</v>
      </c>
      <c r="N24" s="4">
        <f t="shared" ca="1" si="26"/>
        <v>5.5400365011607988</v>
      </c>
      <c r="O24" s="4"/>
      <c r="P24" s="1">
        <f ca="1">LOOKUP(B24,geomorph!$A:$A,geomorph!$G:$G)</f>
        <v>104.910991</v>
      </c>
      <c r="Q24" s="1">
        <f t="shared" ca="1" si="27"/>
        <v>124.64585198611883</v>
      </c>
      <c r="U24" s="2"/>
      <c r="V24" s="4"/>
      <c r="W24" s="11"/>
      <c r="X24" s="4"/>
      <c r="Y24" s="4"/>
      <c r="Z24" s="2"/>
      <c r="AA24" s="8"/>
    </row>
    <row r="25" spans="2:27" x14ac:dyDescent="0.3">
      <c r="B25" s="6">
        <f ca="1">RANDBETWEEN(ranges!B$2,ranges!B$3)</f>
        <v>13849</v>
      </c>
      <c r="C25" s="9">
        <f ca="1">LOOKUP(B25,geomorph!A:A,geomorph!B:B)</f>
        <v>1288</v>
      </c>
      <c r="D25">
        <f t="shared" si="20"/>
        <v>1.13E-4</v>
      </c>
      <c r="E25" s="9">
        <f ca="1">'[2]Q_GEV(random)'!$J25</f>
        <v>15500.214146077662</v>
      </c>
      <c r="F25" s="26">
        <f ca="1">RANDBETWEEN(ranges!F$2*1000,ranges!F$3*1000)/1000</f>
        <v>9.5000000000000001E-2</v>
      </c>
      <c r="G25" s="3">
        <f t="shared" ca="1" si="21"/>
        <v>12.034327753165886</v>
      </c>
      <c r="H25" s="4">
        <f t="shared" ca="1" si="22"/>
        <v>14.586940850200529</v>
      </c>
      <c r="I25" s="4">
        <f t="shared" ca="1" si="23"/>
        <v>348.67063879079097</v>
      </c>
      <c r="J25" s="26">
        <f ca="1">RANDBETWEEN(ranges!J$2*1000,ranges!J$3*1000)/1000</f>
        <v>0.62</v>
      </c>
      <c r="K25" s="26">
        <f ca="1">RANDBETWEEN(ranges!K$2*1000,ranges!K$3*1000)/1000</f>
        <v>0.84699999999999998</v>
      </c>
      <c r="L25">
        <f t="shared" ca="1" si="24"/>
        <v>139.10920285822894</v>
      </c>
      <c r="M25">
        <f t="shared" ca="1" si="25"/>
        <v>20.246509820798071</v>
      </c>
      <c r="N25" s="4">
        <f t="shared" ca="1" si="26"/>
        <v>6.1517054028234153</v>
      </c>
      <c r="O25" s="4"/>
      <c r="P25" s="1">
        <f ca="1">LOOKUP(B25,geomorph!$A:$A,geomorph!$G:$G)</f>
        <v>104.96184100000001</v>
      </c>
      <c r="Q25" s="1">
        <f t="shared" ca="1" si="27"/>
        <v>125.20835082079807</v>
      </c>
      <c r="U25" s="2"/>
      <c r="V25" s="4"/>
      <c r="W25" s="11"/>
      <c r="X25" s="4"/>
      <c r="Y25" s="4"/>
      <c r="Z25" s="2"/>
      <c r="AA25" s="8"/>
    </row>
    <row r="26" spans="2:27" x14ac:dyDescent="0.3">
      <c r="B26" s="6">
        <f ca="1">RANDBETWEEN(ranges!B$2,ranges!B$3)</f>
        <v>13840</v>
      </c>
      <c r="C26" s="9">
        <f ca="1">LOOKUP(B26,geomorph!A:A,geomorph!B:B)</f>
        <v>1288</v>
      </c>
      <c r="D26">
        <f t="shared" si="20"/>
        <v>1.13E-4</v>
      </c>
      <c r="E26" s="9">
        <f ca="1">'[2]Q_GEV(random)'!$J26</f>
        <v>15438.54852177162</v>
      </c>
      <c r="F26" s="26">
        <f ca="1">RANDBETWEEN(ranges!F$2*1000,ranges!F$3*1000)/1000</f>
        <v>9.9000000000000005E-2</v>
      </c>
      <c r="G26" s="3">
        <f t="shared" ca="1" si="21"/>
        <v>11.986450715661196</v>
      </c>
      <c r="H26" s="4">
        <f t="shared" ca="1" si="22"/>
        <v>14.749612051551884</v>
      </c>
      <c r="I26" s="4">
        <f t="shared" ca="1" si="23"/>
        <v>347.74526343039969</v>
      </c>
      <c r="J26" s="26">
        <f ca="1">RANDBETWEEN(ranges!J$2*1000,ranges!J$3*1000)/1000</f>
        <v>0.61</v>
      </c>
      <c r="K26" s="26">
        <f ca="1">RANDBETWEEN(ranges!K$2*1000,ranges!K$3*1000)/1000</f>
        <v>0.90500000000000003</v>
      </c>
      <c r="L26">
        <f t="shared" ca="1" si="24"/>
        <v>141.70690262688876</v>
      </c>
      <c r="M26">
        <f t="shared" ca="1" si="25"/>
        <v>20.624589435927899</v>
      </c>
      <c r="N26" s="4">
        <f t="shared" ca="1" si="26"/>
        <v>6.3858449830174076</v>
      </c>
      <c r="O26" s="4"/>
      <c r="P26" s="1">
        <f ca="1">LOOKUP(B26,geomorph!$A:$A,geomorph!$G:$G)</f>
        <v>104.96184100000001</v>
      </c>
      <c r="Q26" s="1">
        <f t="shared" ca="1" si="27"/>
        <v>125.58643043592791</v>
      </c>
      <c r="U26" s="2"/>
      <c r="V26" s="4"/>
      <c r="W26" s="11"/>
      <c r="X26" s="4"/>
      <c r="Y26" s="4"/>
      <c r="Z26" s="2"/>
      <c r="AA26" s="8"/>
    </row>
    <row r="27" spans="2:27" x14ac:dyDescent="0.3">
      <c r="B27" s="6">
        <f ca="1">RANDBETWEEN(ranges!B$2,ranges!B$3)</f>
        <v>11248</v>
      </c>
      <c r="C27" s="9">
        <f ca="1">LOOKUP(B27,geomorph!A:A,geomorph!B:B)</f>
        <v>1640.3</v>
      </c>
      <c r="D27">
        <f t="shared" si="20"/>
        <v>1.13E-4</v>
      </c>
      <c r="E27" s="9">
        <f ca="1">'[2]Q_GEV(random)'!$J27</f>
        <v>15349.428456374226</v>
      </c>
      <c r="F27" s="26">
        <f ca="1">RANDBETWEEN(ranges!F$2*1000,ranges!F$3*1000)/1000</f>
        <v>0.10299999999999999</v>
      </c>
      <c r="G27" s="3">
        <f t="shared" ca="1" si="21"/>
        <v>9.3576958217242137</v>
      </c>
      <c r="H27" s="4">
        <f t="shared" ca="1" si="22"/>
        <v>12.671659298158097</v>
      </c>
      <c r="I27" s="4">
        <f t="shared" ca="1" si="23"/>
        <v>231.51155999772442</v>
      </c>
      <c r="J27" s="26">
        <f ca="1">RANDBETWEEN(ranges!J$2*1000,ranges!J$3*1000)/1000</f>
        <v>0.78700000000000003</v>
      </c>
      <c r="K27" s="26">
        <f ca="1">RANDBETWEEN(ranges!K$2*1000,ranges!K$3*1000)/1000</f>
        <v>0.91500000000000004</v>
      </c>
      <c r="L27">
        <f t="shared" ca="1" si="24"/>
        <v>98.30822891750563</v>
      </c>
      <c r="M27">
        <f t="shared" ca="1" si="25"/>
        <v>18.221813631952443</v>
      </c>
      <c r="N27" s="4">
        <f t="shared" ca="1" si="26"/>
        <v>6.0327764497764624</v>
      </c>
      <c r="O27" s="4"/>
      <c r="P27" s="1">
        <f ca="1">LOOKUP(B27,geomorph!$A:$A,geomorph!$G:$G)</f>
        <v>105.255641</v>
      </c>
      <c r="Q27" s="1">
        <f t="shared" ca="1" si="27"/>
        <v>123.47745463195244</v>
      </c>
      <c r="U27" s="2"/>
      <c r="V27" s="4"/>
      <c r="W27" s="11"/>
      <c r="X27" s="4"/>
      <c r="Y27" s="4"/>
      <c r="Z27" s="2"/>
      <c r="AA27" s="8"/>
    </row>
    <row r="28" spans="2:27" x14ac:dyDescent="0.3">
      <c r="B28" s="6">
        <f ca="1">RANDBETWEEN(ranges!B$2,ranges!B$3)</f>
        <v>11627</v>
      </c>
      <c r="C28" s="9">
        <f ca="1">LOOKUP(B28,geomorph!A:A,geomorph!B:B)</f>
        <v>1460.1</v>
      </c>
      <c r="D28">
        <f t="shared" si="20"/>
        <v>1.13E-4</v>
      </c>
      <c r="E28" s="9">
        <f ca="1">'[2]Q_GEV(random)'!$J28</f>
        <v>15313.999631856415</v>
      </c>
      <c r="F28" s="26">
        <f ca="1">RANDBETWEEN(ranges!F$2*1000,ranges!F$3*1000)/1000</f>
        <v>0.09</v>
      </c>
      <c r="G28" s="3">
        <f t="shared" ca="1" si="21"/>
        <v>10.488322465486211</v>
      </c>
      <c r="H28" s="4">
        <f t="shared" ca="1" si="22"/>
        <v>13.071536923751811</v>
      </c>
      <c r="I28" s="4">
        <f t="shared" ca="1" si="23"/>
        <v>280.63258940343673</v>
      </c>
      <c r="J28" s="26">
        <f ca="1">RANDBETWEEN(ranges!J$2*1000,ranges!J$3*1000)/1000</f>
        <v>0.747</v>
      </c>
      <c r="K28" s="26">
        <f ca="1">RANDBETWEEN(ranges!K$2*1000,ranges!K$3*1000)/1000</f>
        <v>0.83</v>
      </c>
      <c r="L28">
        <f t="shared" ca="1" si="24"/>
        <v>110.74934625157061</v>
      </c>
      <c r="M28">
        <f t="shared" ca="1" si="25"/>
        <v>18.27267861219676</v>
      </c>
      <c r="N28" s="4">
        <f t="shared" ca="1" si="26"/>
        <v>5.6534148787445098</v>
      </c>
      <c r="O28" s="4"/>
      <c r="P28" s="1">
        <f ca="1">LOOKUP(B28,geomorph!$A:$A,geomorph!$G:$G)</f>
        <v>105.21270100000001</v>
      </c>
      <c r="Q28" s="1">
        <f t="shared" ca="1" si="27"/>
        <v>123.48537961219677</v>
      </c>
      <c r="U28" s="2"/>
      <c r="V28" s="4"/>
      <c r="W28" s="11"/>
      <c r="X28" s="4"/>
      <c r="Y28" s="4"/>
      <c r="Z28" s="2"/>
      <c r="AA28" s="8"/>
    </row>
    <row r="29" spans="2:27" x14ac:dyDescent="0.3">
      <c r="B29" s="6">
        <f ca="1">RANDBETWEEN(ranges!B$2,ranges!B$3)</f>
        <v>14042</v>
      </c>
      <c r="C29" s="9">
        <f ca="1">LOOKUP(B29,geomorph!A:A,geomorph!B:B)</f>
        <v>1337.2</v>
      </c>
      <c r="D29">
        <f t="shared" si="20"/>
        <v>1.13E-4</v>
      </c>
      <c r="E29" s="9">
        <f ca="1">'[2]Q_GEV(random)'!$J29</f>
        <v>15302.462487581264</v>
      </c>
      <c r="F29" s="26">
        <f ca="1">RANDBETWEEN(ranges!F$2*1000,ranges!F$3*1000)/1000</f>
        <v>0.106</v>
      </c>
      <c r="G29" s="3">
        <f t="shared" ca="1" si="21"/>
        <v>11.443660250958169</v>
      </c>
      <c r="H29" s="4">
        <f t="shared" ca="1" si="22"/>
        <v>14.630316525059927</v>
      </c>
      <c r="I29" s="4">
        <f t="shared" ca="1" si="23"/>
        <v>324.76081260969676</v>
      </c>
      <c r="J29" s="26">
        <f ca="1">RANDBETWEEN(ranges!J$2*1000,ranges!J$3*1000)/1000</f>
        <v>0.74</v>
      </c>
      <c r="K29" s="26">
        <f ca="1">RANDBETWEEN(ranges!K$2*1000,ranges!K$3*1000)/1000</f>
        <v>0.88400000000000001</v>
      </c>
      <c r="L29">
        <f t="shared" ca="1" si="24"/>
        <v>131.58326863992593</v>
      </c>
      <c r="M29">
        <f t="shared" ca="1" si="25"/>
        <v>19.882705591259914</v>
      </c>
      <c r="N29" s="4">
        <f t="shared" ca="1" si="26"/>
        <v>5.7091185502173767</v>
      </c>
      <c r="O29" s="4"/>
      <c r="P29" s="1">
        <f ca="1">LOOKUP(B29,geomorph!$A:$A,geomorph!$G:$G)</f>
        <v>104.93924100000001</v>
      </c>
      <c r="Q29" s="1">
        <f t="shared" ca="1" si="27"/>
        <v>124.82194659125992</v>
      </c>
      <c r="U29" s="2"/>
      <c r="V29" s="4"/>
      <c r="W29" s="11"/>
      <c r="X29" s="4"/>
      <c r="Y29" s="4"/>
      <c r="Z29" s="2"/>
      <c r="AA29" s="8"/>
    </row>
    <row r="30" spans="2:27" x14ac:dyDescent="0.3">
      <c r="B30" s="6">
        <f ca="1">RANDBETWEEN(ranges!B$2,ranges!B$3)</f>
        <v>12113</v>
      </c>
      <c r="C30" s="9">
        <f ca="1">LOOKUP(B30,geomorph!A:A,geomorph!B:B)</f>
        <v>1315.7</v>
      </c>
      <c r="D30">
        <f t="shared" si="20"/>
        <v>1.13E-4</v>
      </c>
      <c r="E30" s="9">
        <f ca="1">'[2]Q_GEV(random)'!$J30</f>
        <v>15295.031831416356</v>
      </c>
      <c r="F30" s="26">
        <f ca="1">RANDBETWEEN(ranges!F$2*1000,ranges!F$3*1000)/1000</f>
        <v>9.4E-2</v>
      </c>
      <c r="G30" s="3">
        <f t="shared" ca="1" si="21"/>
        <v>11.625014692875546</v>
      </c>
      <c r="H30" s="4">
        <f t="shared" ca="1" si="22"/>
        <v>14.20409019814363</v>
      </c>
      <c r="I30" s="4">
        <f t="shared" ca="1" si="23"/>
        <v>333.54580471980438</v>
      </c>
      <c r="J30" s="26">
        <f ca="1">RANDBETWEEN(ranges!J$2*1000,ranges!J$3*1000)/1000</f>
        <v>0.6</v>
      </c>
      <c r="K30" s="26">
        <f ca="1">RANDBETWEEN(ranges!K$2*1000,ranges!K$3*1000)/1000</f>
        <v>0.89100000000000001</v>
      </c>
      <c r="L30">
        <f t="shared" ca="1" si="24"/>
        <v>135.30899642196766</v>
      </c>
      <c r="M30">
        <f t="shared" ca="1" si="25"/>
        <v>20.116943264939263</v>
      </c>
      <c r="N30" s="4">
        <f t="shared" ca="1" si="26"/>
        <v>6.4270142030387305</v>
      </c>
      <c r="O30" s="4"/>
      <c r="P30" s="1">
        <f ca="1">LOOKUP(B30,geomorph!$A:$A,geomorph!$G:$G)</f>
        <v>105.157331</v>
      </c>
      <c r="Q30" s="1">
        <f t="shared" ca="1" si="27"/>
        <v>125.27427426493927</v>
      </c>
      <c r="U30" s="2"/>
      <c r="V30" s="4"/>
      <c r="W30" s="11"/>
      <c r="X30" s="4"/>
      <c r="Y30" s="4"/>
      <c r="Z30" s="2"/>
      <c r="AA30" s="8"/>
    </row>
    <row r="31" spans="2:27" x14ac:dyDescent="0.3">
      <c r="B31" s="6">
        <f ca="1">RANDBETWEEN(ranges!B$2,ranges!B$3)</f>
        <v>14454</v>
      </c>
      <c r="C31" s="9">
        <f ca="1">LOOKUP(B31,geomorph!A:A,geomorph!B:B)</f>
        <v>1389</v>
      </c>
      <c r="D31">
        <f t="shared" si="20"/>
        <v>1.13E-4</v>
      </c>
      <c r="E31" s="9">
        <f ca="1">'[2]Q_GEV(random)'!$J31</f>
        <v>15288.356809035915</v>
      </c>
      <c r="F31" s="26">
        <f ca="1">RANDBETWEEN(ranges!F$2*1000,ranges!F$3*1000)/1000</f>
        <v>0.107</v>
      </c>
      <c r="G31" s="3">
        <f t="shared" ca="1" si="21"/>
        <v>11.006736363596771</v>
      </c>
      <c r="H31" s="4">
        <f t="shared" ca="1" si="22"/>
        <v>14.30019957936821</v>
      </c>
      <c r="I31" s="4">
        <f t="shared" ca="1" si="23"/>
        <v>304.63992095880872</v>
      </c>
      <c r="J31" s="26">
        <f ca="1">RANDBETWEEN(ranges!J$2*1000,ranges!J$3*1000)/1000</f>
        <v>0.64400000000000002</v>
      </c>
      <c r="K31" s="26">
        <f ca="1">RANDBETWEEN(ranges!K$2*1000,ranges!K$3*1000)/1000</f>
        <v>0.97</v>
      </c>
      <c r="L31">
        <f t="shared" ca="1" si="24"/>
        <v>129.57243760120508</v>
      </c>
      <c r="M31">
        <f t="shared" ca="1" si="25"/>
        <v>20.337301088572342</v>
      </c>
      <c r="N31" s="4">
        <f t="shared" ca="1" si="26"/>
        <v>6.5620668578305787</v>
      </c>
      <c r="O31" s="4"/>
      <c r="P31" s="1">
        <f ca="1">LOOKUP(B31,geomorph!$A:$A,geomorph!$G:$G)</f>
        <v>104.892911</v>
      </c>
      <c r="Q31" s="1">
        <f t="shared" ca="1" si="27"/>
        <v>125.23021208857234</v>
      </c>
      <c r="U31" s="2"/>
      <c r="V31" s="4"/>
      <c r="W31" s="11"/>
      <c r="X31" s="4"/>
      <c r="Y31" s="4"/>
      <c r="Z31" s="2"/>
      <c r="AA31" s="8"/>
    </row>
    <row r="32" spans="2:27" x14ac:dyDescent="0.3">
      <c r="B32" s="6">
        <f ca="1">RANDBETWEEN(ranges!B$2,ranges!B$3)</f>
        <v>12806</v>
      </c>
      <c r="C32" s="9">
        <f ca="1">LOOKUP(B32,geomorph!A:A,geomorph!B:B)</f>
        <v>1133</v>
      </c>
      <c r="D32">
        <f t="shared" si="20"/>
        <v>1.13E-4</v>
      </c>
      <c r="E32" s="9">
        <f ca="1">'[2]Q_GEV(random)'!$J32</f>
        <v>15280.662534794148</v>
      </c>
      <c r="F32" s="26">
        <f ca="1">RANDBETWEEN(ranges!F$2*1000,ranges!F$3*1000)/1000</f>
        <v>0.107</v>
      </c>
      <c r="G32" s="3">
        <f t="shared" ca="1" si="21"/>
        <v>13.48690426724991</v>
      </c>
      <c r="H32" s="4">
        <f t="shared" ca="1" si="22"/>
        <v>16.374871693407364</v>
      </c>
      <c r="I32" s="4">
        <f t="shared" ca="1" si="23"/>
        <v>427.65638146258863</v>
      </c>
      <c r="J32" s="26">
        <f ca="1">RANDBETWEEN(ranges!J$2*1000,ranges!J$3*1000)/1000</f>
        <v>0.69799999999999995</v>
      </c>
      <c r="K32" s="26">
        <f ca="1">RANDBETWEEN(ranges!K$2*1000,ranges!K$3*1000)/1000</f>
        <v>0.95399999999999996</v>
      </c>
      <c r="L32">
        <f t="shared" ca="1" si="24"/>
        <v>168.96417382827724</v>
      </c>
      <c r="M32">
        <f t="shared" ca="1" si="25"/>
        <v>21.632314211060507</v>
      </c>
      <c r="N32" s="4">
        <f t="shared" ca="1" si="26"/>
        <v>5.7146114322316768</v>
      </c>
      <c r="O32" s="4"/>
      <c r="P32" s="1">
        <f ca="1">LOOKUP(B32,geomorph!$A:$A,geomorph!$G:$G)</f>
        <v>105.07936100000001</v>
      </c>
      <c r="Q32" s="1">
        <f t="shared" ca="1" si="27"/>
        <v>126.71167521106051</v>
      </c>
      <c r="U32" s="2"/>
      <c r="V32" s="4"/>
      <c r="W32" s="11"/>
      <c r="X32" s="4"/>
      <c r="Y32" s="4"/>
      <c r="Z32" s="2"/>
      <c r="AA32" s="8"/>
    </row>
    <row r="33" spans="2:27" x14ac:dyDescent="0.3">
      <c r="B33" s="6">
        <f ca="1">RANDBETWEEN(ranges!B$2,ranges!B$3)</f>
        <v>10345</v>
      </c>
      <c r="C33" s="9">
        <f ca="1">LOOKUP(B33,geomorph!A:A,geomorph!B:B)</f>
        <v>1660.5</v>
      </c>
      <c r="D33">
        <f t="shared" si="20"/>
        <v>1.13E-4</v>
      </c>
      <c r="E33" s="9">
        <f ca="1">'[2]Q_GEV(random)'!$J33</f>
        <v>15266.301364172417</v>
      </c>
      <c r="F33" s="26">
        <f ca="1">RANDBETWEEN(ranges!F$2*1000,ranges!F$3*1000)/1000</f>
        <v>0.107</v>
      </c>
      <c r="G33" s="3">
        <f t="shared" ca="1" si="21"/>
        <v>9.1937978706247616</v>
      </c>
      <c r="H33" s="4">
        <f t="shared" ca="1" si="22"/>
        <v>12.683322149695314</v>
      </c>
      <c r="I33" s="4">
        <f t="shared" ca="1" si="23"/>
        <v>226.0169992120004</v>
      </c>
      <c r="J33" s="26">
        <f ca="1">RANDBETWEEN(ranges!J$2*1000,ranges!J$3*1000)/1000</f>
        <v>0.61799999999999999</v>
      </c>
      <c r="K33" s="26">
        <f ca="1">RANDBETWEEN(ranges!K$2*1000,ranges!K$3*1000)/1000</f>
        <v>0.94799999999999995</v>
      </c>
      <c r="L33">
        <f t="shared" ca="1" si="24"/>
        <v>103.07970307776006</v>
      </c>
      <c r="M33">
        <f t="shared" ca="1" si="25"/>
        <v>19.341514706550125</v>
      </c>
      <c r="N33" s="4">
        <f t="shared" ca="1" si="26"/>
        <v>7.2371658226682722</v>
      </c>
      <c r="O33" s="4"/>
      <c r="P33" s="1">
        <f ca="1">LOOKUP(B33,geomorph!$A:$A,geomorph!$G:$G)</f>
        <v>105.35734100000001</v>
      </c>
      <c r="Q33" s="1">
        <f t="shared" ca="1" si="27"/>
        <v>124.69885570655013</v>
      </c>
      <c r="U33" s="2"/>
      <c r="V33" s="4"/>
      <c r="W33" s="11"/>
      <c r="X33" s="4"/>
      <c r="Y33" s="4"/>
      <c r="Z33" s="2"/>
      <c r="AA33" s="8"/>
    </row>
    <row r="34" spans="2:27" x14ac:dyDescent="0.3">
      <c r="B34" s="6">
        <f ca="1">RANDBETWEEN(ranges!B$2,ranges!B$3)</f>
        <v>14119</v>
      </c>
      <c r="C34" s="9">
        <f ca="1">LOOKUP(B34,geomorph!A:A,geomorph!B:B)</f>
        <v>1354.4</v>
      </c>
      <c r="D34">
        <f t="shared" si="20"/>
        <v>1.13E-4</v>
      </c>
      <c r="E34" s="9">
        <f ca="1">'[2]Q_GEV(random)'!$J34</f>
        <v>15236.656162206735</v>
      </c>
      <c r="F34" s="26">
        <f ca="1">RANDBETWEEN(ranges!F$2*1000,ranges!F$3*1000)/1000</f>
        <v>9.4E-2</v>
      </c>
      <c r="G34" s="3">
        <f t="shared" ca="1" si="21"/>
        <v>11.249746132757481</v>
      </c>
      <c r="H34" s="4">
        <f t="shared" ca="1" si="22"/>
        <v>13.896738837679244</v>
      </c>
      <c r="I34" s="4">
        <f t="shared" ca="1" si="23"/>
        <v>317.00410531884546</v>
      </c>
      <c r="J34" s="26">
        <f ca="1">RANDBETWEEN(ranges!J$2*1000,ranges!J$3*1000)/1000</f>
        <v>0.75800000000000001</v>
      </c>
      <c r="K34" s="26">
        <f ca="1">RANDBETWEEN(ranges!K$2*1000,ranges!K$3*1000)/1000</f>
        <v>0.85799999999999998</v>
      </c>
      <c r="L34">
        <f t="shared" ca="1" si="24"/>
        <v>123.90466493913004</v>
      </c>
      <c r="M34">
        <f t="shared" ca="1" si="25"/>
        <v>18.963262035872024</v>
      </c>
      <c r="N34" s="4">
        <f t="shared" ca="1" si="26"/>
        <v>5.5070904328182388</v>
      </c>
      <c r="O34" s="4"/>
      <c r="P34" s="1">
        <f ca="1">LOOKUP(B34,geomorph!$A:$A,geomorph!$G:$G)</f>
        <v>104.931331</v>
      </c>
      <c r="Q34" s="1">
        <f t="shared" ca="1" si="27"/>
        <v>123.89459303587202</v>
      </c>
      <c r="U34" s="2"/>
      <c r="V34" s="4"/>
      <c r="W34" s="11"/>
      <c r="X34" s="4"/>
      <c r="Y34" s="4"/>
      <c r="Z34" s="2"/>
      <c r="AA34" s="8"/>
    </row>
    <row r="35" spans="2:27" x14ac:dyDescent="0.3">
      <c r="B35" s="6">
        <f ca="1">RANDBETWEEN(ranges!B$2,ranges!B$3)</f>
        <v>11629</v>
      </c>
      <c r="C35" s="9">
        <f ca="1">LOOKUP(B35,geomorph!A:A,geomorph!B:B)</f>
        <v>1460.1</v>
      </c>
      <c r="D35">
        <f t="shared" si="20"/>
        <v>1.13E-4</v>
      </c>
      <c r="E35" s="9">
        <f ca="1">'[2]Q_GEV(random)'!$J35</f>
        <v>15199.298498704573</v>
      </c>
      <c r="F35" s="26">
        <f ca="1">RANDBETWEEN(ranges!F$2*1000,ranges!F$3*1000)/1000</f>
        <v>0.09</v>
      </c>
      <c r="G35" s="3">
        <f t="shared" ca="1" si="21"/>
        <v>10.409765426138328</v>
      </c>
      <c r="H35" s="4">
        <f t="shared" ca="1" si="22"/>
        <v>13.006185043967871</v>
      </c>
      <c r="I35" s="4">
        <f t="shared" ca="1" si="23"/>
        <v>279.22955108031312</v>
      </c>
      <c r="J35" s="26">
        <f ca="1">RANDBETWEEN(ranges!J$2*1000,ranges!J$3*1000)/1000</f>
        <v>0.77700000000000002</v>
      </c>
      <c r="K35" s="26">
        <f ca="1">RANDBETWEEN(ranges!K$2*1000,ranges!K$3*1000)/1000</f>
        <v>0.84899999999999998</v>
      </c>
      <c r="L35">
        <f t="shared" ca="1" si="24"/>
        <v>109.73007661616504</v>
      </c>
      <c r="M35">
        <f t="shared" ca="1" si="25"/>
        <v>18.10450799000067</v>
      </c>
      <c r="N35" s="4">
        <f t="shared" ca="1" si="26"/>
        <v>5.5416553761226064</v>
      </c>
      <c r="O35" s="4"/>
      <c r="P35" s="1">
        <f ca="1">LOOKUP(B35,geomorph!$A:$A,geomorph!$G:$G)</f>
        <v>105.21270100000001</v>
      </c>
      <c r="Q35" s="1">
        <f t="shared" ca="1" si="27"/>
        <v>123.31720899000068</v>
      </c>
      <c r="U35" s="2"/>
      <c r="V35" s="4"/>
      <c r="W35" s="11"/>
      <c r="X35" s="4"/>
      <c r="Y35" s="4"/>
      <c r="Z35" s="2"/>
      <c r="AA35" s="8"/>
    </row>
    <row r="36" spans="2:27" x14ac:dyDescent="0.3">
      <c r="B36" s="6">
        <f ca="1">RANDBETWEEN(ranges!B$2,ranges!B$3)</f>
        <v>14445</v>
      </c>
      <c r="C36" s="9">
        <f ca="1">LOOKUP(B36,geomorph!A:A,geomorph!B:B)</f>
        <v>1386.6</v>
      </c>
      <c r="D36">
        <f t="shared" si="20"/>
        <v>1.13E-4</v>
      </c>
      <c r="E36" s="9">
        <f ca="1">'[2]Q_GEV(random)'!$J36</f>
        <v>15197.684288910934</v>
      </c>
      <c r="F36" s="26">
        <f ca="1">RANDBETWEEN(ranges!F$2*1000,ranges!F$3*1000)/1000</f>
        <v>0.108</v>
      </c>
      <c r="G36" s="3">
        <f t="shared" ca="1" si="21"/>
        <v>10.960395419667485</v>
      </c>
      <c r="H36" s="4">
        <f t="shared" ca="1" si="22"/>
        <v>14.304319331697219</v>
      </c>
      <c r="I36" s="4">
        <f t="shared" ca="1" si="23"/>
        <v>304.31005514852473</v>
      </c>
      <c r="J36" s="26">
        <f ca="1">RANDBETWEEN(ranges!J$2*1000,ranges!J$3*1000)/1000</f>
        <v>0.61599999999999999</v>
      </c>
      <c r="K36" s="26">
        <f ca="1">RANDBETWEEN(ranges!K$2*1000,ranges!K$3*1000)/1000</f>
        <v>0.94799999999999995</v>
      </c>
      <c r="L36">
        <f t="shared" ca="1" si="24"/>
        <v>130.60384153249709</v>
      </c>
      <c r="M36">
        <f t="shared" ca="1" si="25"/>
        <v>20.46376739359253</v>
      </c>
      <c r="N36" s="4">
        <f t="shared" ca="1" si="26"/>
        <v>6.6950522411905551</v>
      </c>
      <c r="O36" s="4"/>
      <c r="P36" s="1">
        <f ca="1">LOOKUP(B36,geomorph!$A:$A,geomorph!$G:$G)</f>
        <v>104.894041</v>
      </c>
      <c r="Q36" s="1">
        <f t="shared" ca="1" si="27"/>
        <v>125.35780839359253</v>
      </c>
    </row>
    <row r="37" spans="2:27" x14ac:dyDescent="0.3">
      <c r="B37" s="6">
        <f ca="1">RANDBETWEEN(ranges!B$2,ranges!B$3)</f>
        <v>14649</v>
      </c>
      <c r="C37" s="9">
        <f ca="1">LOOKUP(B37,geomorph!A:A,geomorph!B:B)</f>
        <v>1440.3</v>
      </c>
      <c r="D37">
        <f t="shared" si="20"/>
        <v>1.13E-4</v>
      </c>
      <c r="E37" s="9">
        <f ca="1">'[2]Q_GEV(random)'!$J37</f>
        <v>15196.95744681661</v>
      </c>
      <c r="F37" s="26">
        <f ca="1">RANDBETWEEN(ranges!F$2*1000,ranges!F$3*1000)/1000</f>
        <v>0.10199999999999999</v>
      </c>
      <c r="G37" s="3">
        <f t="shared" ca="1" si="21"/>
        <v>10.55124449546387</v>
      </c>
      <c r="H37" s="4">
        <f t="shared" ca="1" si="22"/>
        <v>13.68288399634592</v>
      </c>
      <c r="I37" s="4">
        <f t="shared" ca="1" si="23"/>
        <v>285.6271681188739</v>
      </c>
      <c r="J37" s="26">
        <f ca="1">RANDBETWEEN(ranges!J$2*1000,ranges!J$3*1000)/1000</f>
        <v>0.748</v>
      </c>
      <c r="K37" s="26">
        <f ca="1">RANDBETWEEN(ranges!K$2*1000,ranges!K$3*1000)/1000</f>
        <v>0.90600000000000003</v>
      </c>
      <c r="L37">
        <f t="shared" ca="1" si="24"/>
        <v>117.19907223305225</v>
      </c>
      <c r="M37">
        <f t="shared" ca="1" si="25"/>
        <v>19.074606082310961</v>
      </c>
      <c r="N37" s="4">
        <f t="shared" ca="1" si="26"/>
        <v>5.8605674847446094</v>
      </c>
      <c r="O37" s="4"/>
      <c r="P37" s="1">
        <f ca="1">LOOKUP(B37,geomorph!$A:$A,geomorph!$G:$G)</f>
        <v>104.871441</v>
      </c>
      <c r="Q37" s="1">
        <f t="shared" ca="1" si="27"/>
        <v>123.94604708231097</v>
      </c>
    </row>
    <row r="38" spans="2:27" x14ac:dyDescent="0.3">
      <c r="B38" s="6">
        <f ca="1">RANDBETWEEN(ranges!B$2,ranges!B$3)</f>
        <v>13927</v>
      </c>
      <c r="C38" s="9">
        <f ca="1">LOOKUP(B38,geomorph!A:A,geomorph!B:B)</f>
        <v>1307.7</v>
      </c>
      <c r="D38">
        <f t="shared" si="20"/>
        <v>1.13E-4</v>
      </c>
      <c r="E38" s="9">
        <f ca="1">'[2]Q_GEV(random)'!$J38</f>
        <v>15184.579393074799</v>
      </c>
      <c r="F38" s="26">
        <f ca="1">RANDBETWEEN(ranges!F$2*1000,ranges!F$3*1000)/1000</f>
        <v>0.108</v>
      </c>
      <c r="G38" s="3">
        <f t="shared" ca="1" si="21"/>
        <v>11.611668879004968</v>
      </c>
      <c r="H38" s="4">
        <f t="shared" ca="1" si="22"/>
        <v>14.865498487284508</v>
      </c>
      <c r="I38" s="4">
        <f t="shared" ca="1" si="23"/>
        <v>335.32941795587664</v>
      </c>
      <c r="J38" s="26">
        <f ca="1">RANDBETWEEN(ranges!J$2*1000,ranges!J$3*1000)/1000</f>
        <v>0.65500000000000003</v>
      </c>
      <c r="K38" s="26">
        <f ca="1">RANDBETWEEN(ranges!K$2*1000,ranges!K$3*1000)/1000</f>
        <v>0.99399999999999999</v>
      </c>
      <c r="L38">
        <f t="shared" ca="1" si="24"/>
        <v>140.34217333127529</v>
      </c>
      <c r="M38">
        <f t="shared" ca="1" si="25"/>
        <v>20.738376987379883</v>
      </c>
      <c r="N38" s="4">
        <f t="shared" ca="1" si="26"/>
        <v>6.3835635870601894</v>
      </c>
      <c r="O38" s="4"/>
      <c r="P38" s="1">
        <f ca="1">LOOKUP(B38,geomorph!$A:$A,geomorph!$G:$G)</f>
        <v>104.95280100000001</v>
      </c>
      <c r="Q38" s="1">
        <f t="shared" ca="1" si="27"/>
        <v>125.69117798737989</v>
      </c>
    </row>
    <row r="39" spans="2:27" x14ac:dyDescent="0.3">
      <c r="B39" s="6">
        <f ca="1">RANDBETWEEN(ranges!B$2,ranges!B$3)</f>
        <v>13869</v>
      </c>
      <c r="C39" s="9">
        <f ca="1">LOOKUP(B39,geomorph!A:A,geomorph!B:B)</f>
        <v>1292.9000000000001</v>
      </c>
      <c r="D39">
        <f t="shared" si="20"/>
        <v>1.13E-4</v>
      </c>
      <c r="E39" s="9">
        <f ca="1">'[2]Q_GEV(random)'!$J39</f>
        <v>15167.801207732617</v>
      </c>
      <c r="F39" s="26">
        <f ca="1">RANDBETWEEN(ranges!F$2*1000,ranges!F$3*1000)/1000</f>
        <v>0.10100000000000001</v>
      </c>
      <c r="G39" s="3">
        <f t="shared" ca="1" si="21"/>
        <v>11.731612040940997</v>
      </c>
      <c r="H39" s="4">
        <f t="shared" ca="1" si="22"/>
        <v>14.637066624417901</v>
      </c>
      <c r="I39" s="4">
        <f t="shared" ca="1" si="23"/>
        <v>341.49960830197193</v>
      </c>
      <c r="J39" s="26">
        <f ca="1">RANDBETWEEN(ranges!J$2*1000,ranges!J$3*1000)/1000</f>
        <v>0.746</v>
      </c>
      <c r="K39" s="26">
        <f ca="1">RANDBETWEEN(ranges!K$2*1000,ranges!K$3*1000)/1000</f>
        <v>0.86</v>
      </c>
      <c r="L39">
        <f t="shared" ca="1" si="24"/>
        <v>134.84887865463378</v>
      </c>
      <c r="M39">
        <f t="shared" ca="1" si="25"/>
        <v>19.701111019021091</v>
      </c>
      <c r="N39" s="4">
        <f t="shared" ca="1" si="26"/>
        <v>5.504396081090424</v>
      </c>
      <c r="O39" s="4"/>
      <c r="P39" s="1">
        <f ca="1">LOOKUP(B39,geomorph!$A:$A,geomorph!$G:$G)</f>
        <v>104.959581</v>
      </c>
      <c r="Q39" s="1">
        <f t="shared" ca="1" si="27"/>
        <v>124.6606920190211</v>
      </c>
    </row>
    <row r="40" spans="2:27" x14ac:dyDescent="0.3">
      <c r="B40" s="6">
        <f ca="1">RANDBETWEEN(ranges!B$2,ranges!B$3)</f>
        <v>14810</v>
      </c>
      <c r="C40" s="9">
        <f ca="1">LOOKUP(B40,geomorph!A:A,geomorph!B:B)</f>
        <v>1494.5</v>
      </c>
      <c r="D40">
        <f t="shared" si="20"/>
        <v>1.13E-4</v>
      </c>
      <c r="E40" s="9">
        <f ca="1">'[2]Q_GEV(random)'!$J40</f>
        <v>15163.451726797301</v>
      </c>
      <c r="F40" s="26">
        <f ca="1">RANDBETWEEN(ranges!F$2*1000,ranges!F$3*1000)/1000</f>
        <v>9.2999999999999999E-2</v>
      </c>
      <c r="G40" s="3">
        <f t="shared" ca="1" si="21"/>
        <v>10.14617044282188</v>
      </c>
      <c r="H40" s="4">
        <f t="shared" ca="1" si="22"/>
        <v>12.926200317543968</v>
      </c>
      <c r="I40" s="4">
        <f t="shared" ca="1" si="23"/>
        <v>268.17741483869474</v>
      </c>
      <c r="J40" s="26">
        <f ca="1">RANDBETWEEN(ranges!J$2*1000,ranges!J$3*1000)/1000</f>
        <v>0.73299999999999998</v>
      </c>
      <c r="K40" s="26">
        <f ca="1">RANDBETWEEN(ranges!K$2*1000,ranges!K$3*1000)/1000</f>
        <v>0.84699999999999998</v>
      </c>
      <c r="L40">
        <f t="shared" ca="1" si="24"/>
        <v>108.31030205025877</v>
      </c>
      <c r="M40">
        <f t="shared" ca="1" si="25"/>
        <v>18.291281344794623</v>
      </c>
      <c r="N40" s="4">
        <f t="shared" ca="1" si="26"/>
        <v>5.8316098122289723</v>
      </c>
      <c r="O40" s="4"/>
      <c r="P40" s="1">
        <f ca="1">LOOKUP(B40,geomorph!$A:$A,geomorph!$G:$G)</f>
        <v>104.852231</v>
      </c>
      <c r="Q40" s="1">
        <f t="shared" ca="1" si="27"/>
        <v>123.14351234479463</v>
      </c>
    </row>
    <row r="41" spans="2:27" x14ac:dyDescent="0.3">
      <c r="B41" s="6">
        <f ca="1">RANDBETWEEN(ranges!B$2,ranges!B$3)</f>
        <v>11275</v>
      </c>
      <c r="C41" s="9">
        <f ca="1">LOOKUP(B41,geomorph!A:A,geomorph!B:B)</f>
        <v>1623</v>
      </c>
      <c r="D41">
        <f t="shared" si="20"/>
        <v>1.13E-4</v>
      </c>
      <c r="E41" s="9">
        <f ca="1">'[2]Q_GEV(random)'!$J41</f>
        <v>15086.984481592444</v>
      </c>
      <c r="F41" s="26">
        <f ca="1">RANDBETWEEN(ranges!F$2*1000,ranges!F$3*1000)/1000</f>
        <v>9.5000000000000001E-2</v>
      </c>
      <c r="G41" s="3">
        <f t="shared" ca="1" si="21"/>
        <v>9.2957390521210375</v>
      </c>
      <c r="H41" s="4">
        <f t="shared" ca="1" si="22"/>
        <v>12.280204928892163</v>
      </c>
      <c r="I41" s="4">
        <f t="shared" ca="1" si="23"/>
        <v>232.94538613906292</v>
      </c>
      <c r="J41" s="26">
        <f ca="1">RANDBETWEEN(ranges!J$2*1000,ranges!J$3*1000)/1000</f>
        <v>0.76900000000000002</v>
      </c>
      <c r="K41" s="26">
        <f ca="1">RANDBETWEEN(ranges!K$2*1000,ranges!K$3*1000)/1000</f>
        <v>0.85199999999999998</v>
      </c>
      <c r="L41">
        <f t="shared" ca="1" si="24"/>
        <v>96.444895336796577</v>
      </c>
      <c r="M41">
        <f t="shared" ca="1" si="25"/>
        <v>17.687897359873155</v>
      </c>
      <c r="N41" s="4">
        <f t="shared" ca="1" si="26"/>
        <v>5.8779265554141213</v>
      </c>
      <c r="O41" s="4"/>
      <c r="P41" s="1">
        <f ca="1">LOOKUP(B41,geomorph!$A:$A,geomorph!$G:$G)</f>
        <v>105.252251</v>
      </c>
      <c r="Q41" s="1">
        <f t="shared" ca="1" si="27"/>
        <v>122.94014835987315</v>
      </c>
    </row>
    <row r="42" spans="2:27" x14ac:dyDescent="0.3">
      <c r="B42" s="6">
        <f ca="1">RANDBETWEEN(ranges!B$2,ranges!B$3)</f>
        <v>12507</v>
      </c>
      <c r="C42" s="9">
        <f ca="1">LOOKUP(B42,geomorph!A:A,geomorph!B:B)</f>
        <v>1209.7</v>
      </c>
      <c r="D42">
        <f t="shared" si="20"/>
        <v>1.13E-4</v>
      </c>
      <c r="E42" s="9">
        <f ca="1">'[2]Q_GEV(random)'!$J42</f>
        <v>15062.646525852926</v>
      </c>
      <c r="F42" s="26">
        <f ca="1">RANDBETWEEN(ranges!F$2*1000,ranges!F$3*1000)/1000</f>
        <v>0.109</v>
      </c>
      <c r="G42" s="3">
        <f t="shared" ca="1" si="21"/>
        <v>12.451555365671593</v>
      </c>
      <c r="H42" s="4">
        <f t="shared" ca="1" si="22"/>
        <v>15.62187045020335</v>
      </c>
      <c r="I42" s="4">
        <f t="shared" ca="1" si="23"/>
        <v>379.7706567373732</v>
      </c>
      <c r="J42" s="26">
        <f ca="1">RANDBETWEEN(ranges!J$2*1000,ranges!J$3*1000)/1000</f>
        <v>0.74099999999999999</v>
      </c>
      <c r="K42" s="26">
        <f ca="1">RANDBETWEEN(ranges!K$2*1000,ranges!K$3*1000)/1000</f>
        <v>0.95899999999999996</v>
      </c>
      <c r="L42">
        <f t="shared" ca="1" si="24"/>
        <v>152.28254746579128</v>
      </c>
      <c r="M42">
        <f t="shared" ca="1" si="25"/>
        <v>20.81643033663855</v>
      </c>
      <c r="N42" s="4">
        <f t="shared" ca="1" si="26"/>
        <v>5.6462607461252183</v>
      </c>
      <c r="O42" s="4"/>
      <c r="P42" s="1">
        <f ca="1">LOOKUP(B42,geomorph!$A:$A,geomorph!$G:$G)</f>
        <v>105.11326100000001</v>
      </c>
      <c r="Q42" s="1">
        <f t="shared" ca="1" si="27"/>
        <v>125.92969133663856</v>
      </c>
    </row>
    <row r="43" spans="2:27" x14ac:dyDescent="0.3">
      <c r="B43" s="6">
        <f ca="1">RANDBETWEEN(ranges!B$2,ranges!B$3)</f>
        <v>14937</v>
      </c>
      <c r="C43" s="9">
        <f ca="1">LOOKUP(B43,geomorph!A:A,geomorph!B:B)</f>
        <v>1511.1</v>
      </c>
      <c r="D43">
        <f t="shared" si="20"/>
        <v>1.13E-4</v>
      </c>
      <c r="E43" s="9">
        <f ca="1">'[2]Q_GEV(random)'!$J43</f>
        <v>15012.094310591214</v>
      </c>
      <c r="F43" s="26">
        <f ca="1">RANDBETWEEN(ranges!F$2*1000,ranges!F$3*1000)/1000</f>
        <v>9.1999999999999998E-2</v>
      </c>
      <c r="G43" s="3">
        <f t="shared" ca="1" si="21"/>
        <v>9.9345472242678934</v>
      </c>
      <c r="H43" s="4">
        <f t="shared" ca="1" si="22"/>
        <v>12.699982565959084</v>
      </c>
      <c r="I43" s="4">
        <f t="shared" ca="1" si="23"/>
        <v>261.53041144180924</v>
      </c>
      <c r="J43" s="26">
        <f ca="1">RANDBETWEEN(ranges!J$2*1000,ranges!J$3*1000)/1000</f>
        <v>0.78600000000000003</v>
      </c>
      <c r="K43" s="26">
        <f ca="1">RANDBETWEEN(ranges!K$2*1000,ranges!K$3*1000)/1000</f>
        <v>1</v>
      </c>
      <c r="L43">
        <f t="shared" ca="1" si="24"/>
        <v>106.18692536034612</v>
      </c>
      <c r="M43">
        <f t="shared" ca="1" si="25"/>
        <v>18.131874109058149</v>
      </c>
      <c r="N43" s="4">
        <f t="shared" ca="1" si="26"/>
        <v>5.9042299381511567</v>
      </c>
      <c r="O43" s="4"/>
      <c r="P43" s="1">
        <f ca="1">LOOKUP(B43,geomorph!$A:$A,geomorph!$G:$G)</f>
        <v>104.83867100000001</v>
      </c>
      <c r="Q43" s="1">
        <f t="shared" ca="1" si="27"/>
        <v>122.97054510905815</v>
      </c>
    </row>
    <row r="44" spans="2:27" x14ac:dyDescent="0.3">
      <c r="B44" s="6">
        <f ca="1">RANDBETWEEN(ranges!B$2,ranges!B$3)</f>
        <v>14117</v>
      </c>
      <c r="C44" s="9">
        <f ca="1">LOOKUP(B44,geomorph!A:A,geomorph!B:B)</f>
        <v>1354.4</v>
      </c>
      <c r="D44">
        <f t="shared" si="20"/>
        <v>1.13E-4</v>
      </c>
      <c r="E44" s="9">
        <f ca="1">'[2]Q_GEV(random)'!$J44</f>
        <v>14987.557450267819</v>
      </c>
      <c r="F44" s="26">
        <f ca="1">RANDBETWEEN(ranges!F$2*1000,ranges!F$3*1000)/1000</f>
        <v>9.0999999999999998E-2</v>
      </c>
      <c r="G44" s="3">
        <f t="shared" ca="1" si="21"/>
        <v>11.065828005218412</v>
      </c>
      <c r="H44" s="4">
        <f t="shared" ca="1" si="22"/>
        <v>13.597055531074114</v>
      </c>
      <c r="I44" s="4">
        <f t="shared" ca="1" si="23"/>
        <v>313.53956320386419</v>
      </c>
      <c r="J44" s="26">
        <f ca="1">RANDBETWEEN(ranges!J$2*1000,ranges!J$3*1000)/1000</f>
        <v>0.79800000000000004</v>
      </c>
      <c r="K44" s="26">
        <f ca="1">RANDBETWEEN(ranges!K$2*1000,ranges!K$3*1000)/1000</f>
        <v>0.83299999999999996</v>
      </c>
      <c r="L44">
        <f t="shared" ca="1" si="24"/>
        <v>120.28794728981634</v>
      </c>
      <c r="M44">
        <f t="shared" ca="1" si="25"/>
        <v>18.40973352645398</v>
      </c>
      <c r="N44" s="4">
        <f t="shared" ca="1" si="26"/>
        <v>5.2311717341085506</v>
      </c>
      <c r="O44" s="4"/>
      <c r="P44" s="1">
        <f ca="1">LOOKUP(B44,geomorph!$A:$A,geomorph!$G:$G)</f>
        <v>104.931331</v>
      </c>
      <c r="Q44" s="1">
        <f t="shared" ca="1" si="27"/>
        <v>123.34106452645398</v>
      </c>
    </row>
    <row r="45" spans="2:27" x14ac:dyDescent="0.3">
      <c r="B45" s="6">
        <f ca="1">RANDBETWEEN(ranges!B$2,ranges!B$3)</f>
        <v>12323</v>
      </c>
      <c r="C45" s="9">
        <f ca="1">LOOKUP(B45,geomorph!A:A,geomorph!B:B)</f>
        <v>1257.5999999999999</v>
      </c>
      <c r="D45">
        <f t="shared" si="20"/>
        <v>1.13E-4</v>
      </c>
      <c r="E45" s="9">
        <f ca="1">'[2]Q_GEV(random)'!$J45</f>
        <v>14946.069797396442</v>
      </c>
      <c r="F45" s="26">
        <f ca="1">RANDBETWEEN(ranges!F$2*1000,ranges!F$3*1000)/1000</f>
        <v>0.108</v>
      </c>
      <c r="G45" s="3">
        <f t="shared" ca="1" si="21"/>
        <v>11.884597485207095</v>
      </c>
      <c r="H45" s="4">
        <f t="shared" ca="1" si="22"/>
        <v>15.097534592520077</v>
      </c>
      <c r="I45" s="4">
        <f t="shared" ca="1" si="23"/>
        <v>354.13088639408863</v>
      </c>
      <c r="J45" s="26">
        <f ca="1">RANDBETWEEN(ranges!J$2*1000,ranges!J$3*1000)/1000</f>
        <v>0.623</v>
      </c>
      <c r="K45" s="26">
        <f ca="1">RANDBETWEEN(ranges!K$2*1000,ranges!K$3*1000)/1000</f>
        <v>0.89200000000000002</v>
      </c>
      <c r="L45">
        <f t="shared" ca="1" si="24"/>
        <v>146.5133521094682</v>
      </c>
      <c r="M45">
        <f t="shared" ca="1" si="25"/>
        <v>20.820836652253995</v>
      </c>
      <c r="N45" s="4">
        <f t="shared" ca="1" si="26"/>
        <v>6.2209804997107803</v>
      </c>
      <c r="O45" s="4"/>
      <c r="P45" s="1">
        <f ca="1">LOOKUP(B45,geomorph!$A:$A,geomorph!$G:$G)</f>
        <v>105.133601</v>
      </c>
      <c r="Q45" s="1">
        <f t="shared" ca="1" si="27"/>
        <v>125.954437652254</v>
      </c>
    </row>
    <row r="46" spans="2:27" x14ac:dyDescent="0.3">
      <c r="B46" s="6">
        <f ca="1">RANDBETWEEN(ranges!B$2,ranges!B$3)</f>
        <v>10148</v>
      </c>
      <c r="C46" s="9">
        <f ca="1">LOOKUP(B46,geomorph!A:A,geomorph!B:B)</f>
        <v>1594.2</v>
      </c>
      <c r="D46">
        <f t="shared" si="20"/>
        <v>1.13E-4</v>
      </c>
      <c r="E46" s="9">
        <f ca="1">'[2]Q_GEV(random)'!$J46</f>
        <v>14933.114714528314</v>
      </c>
      <c r="F46" s="26">
        <f ca="1">RANDBETWEEN(ranges!F$2*1000,ranges!F$3*1000)/1000</f>
        <v>0.105</v>
      </c>
      <c r="G46" s="3">
        <f t="shared" ca="1" si="21"/>
        <v>9.3671526248452608</v>
      </c>
      <c r="H46" s="4">
        <f t="shared" ca="1" si="22"/>
        <v>12.761742008238494</v>
      </c>
      <c r="I46" s="4">
        <f t="shared" ca="1" si="23"/>
        <v>238.36671413509549</v>
      </c>
      <c r="J46" s="26">
        <f ca="1">RANDBETWEEN(ranges!J$2*1000,ranges!J$3*1000)/1000</f>
        <v>0.64900000000000002</v>
      </c>
      <c r="K46" s="26">
        <f ca="1">RANDBETWEEN(ranges!K$2*1000,ranges!K$3*1000)/1000</f>
        <v>0.82399999999999995</v>
      </c>
      <c r="L46">
        <f t="shared" ca="1" si="24"/>
        <v>104.15495932467294</v>
      </c>
      <c r="M46">
        <f t="shared" ca="1" si="25"/>
        <v>18.762953485559478</v>
      </c>
      <c r="N46" s="4">
        <f t="shared" ca="1" si="26"/>
        <v>6.5230559536097648</v>
      </c>
      <c r="O46" s="4"/>
      <c r="P46" s="1">
        <f ca="1">LOOKUP(B46,geomorph!$A:$A,geomorph!$G:$G)</f>
        <v>105.379941</v>
      </c>
      <c r="Q46" s="1">
        <f t="shared" ca="1" si="27"/>
        <v>124.14289448555948</v>
      </c>
    </row>
    <row r="47" spans="2:27" x14ac:dyDescent="0.3">
      <c r="B47" s="6">
        <f ca="1">RANDBETWEEN(ranges!B$2,ranges!B$3)</f>
        <v>10257</v>
      </c>
      <c r="C47" s="9">
        <f ca="1">LOOKUP(B47,geomorph!A:A,geomorph!B:B)</f>
        <v>1649</v>
      </c>
      <c r="D47">
        <f t="shared" si="20"/>
        <v>1.13E-4</v>
      </c>
      <c r="E47" s="9">
        <f ca="1">'[2]Q_GEV(random)'!$J47</f>
        <v>14915.83824039152</v>
      </c>
      <c r="F47" s="26">
        <f ca="1">RANDBETWEEN(ranges!F$2*1000,ranges!F$3*1000)/1000</f>
        <v>0.10199999999999999</v>
      </c>
      <c r="G47" s="3">
        <f t="shared" ca="1" si="21"/>
        <v>9.0453840147917042</v>
      </c>
      <c r="H47" s="4">
        <f t="shared" ca="1" si="22"/>
        <v>12.347902550200619</v>
      </c>
      <c r="I47" s="4">
        <f t="shared" ca="1" si="23"/>
        <v>225.13725541685844</v>
      </c>
      <c r="J47" s="26">
        <f ca="1">RANDBETWEEN(ranges!J$2*1000,ranges!J$3*1000)/1000</f>
        <v>0.6</v>
      </c>
      <c r="K47" s="26">
        <f ca="1">RANDBETWEEN(ranges!K$2*1000,ranges!K$3*1000)/1000</f>
        <v>0.995</v>
      </c>
      <c r="L47">
        <f t="shared" ca="1" si="24"/>
        <v>102.80332280529419</v>
      </c>
      <c r="M47">
        <f t="shared" ca="1" si="25"/>
        <v>19.156062761570105</v>
      </c>
      <c r="N47" s="4">
        <f t="shared" ca="1" si="26"/>
        <v>7.4001741427929195</v>
      </c>
      <c r="O47" s="4"/>
      <c r="P47" s="1">
        <f ca="1">LOOKUP(B47,geomorph!$A:$A,geomorph!$G:$G)</f>
        <v>105.36751100000001</v>
      </c>
      <c r="Q47" s="1">
        <f t="shared" ca="1" si="27"/>
        <v>124.52357376157011</v>
      </c>
    </row>
    <row r="48" spans="2:27" x14ac:dyDescent="0.3">
      <c r="B48" s="6">
        <f ca="1">RANDBETWEEN(ranges!B$2,ranges!B$3)</f>
        <v>12159</v>
      </c>
      <c r="C48" s="9">
        <f ca="1">LOOKUP(B48,geomorph!A:A,geomorph!B:B)</f>
        <v>1302.4000000000001</v>
      </c>
      <c r="D48">
        <f t="shared" si="20"/>
        <v>1.13E-4</v>
      </c>
      <c r="E48" s="9">
        <f ca="1">'[2]Q_GEV(random)'!$J48</f>
        <v>14899.432051700272</v>
      </c>
      <c r="F48" s="26">
        <f ca="1">RANDBETWEEN(ranges!F$2*1000,ranges!F$3*1000)/1000</f>
        <v>9.0999999999999998E-2</v>
      </c>
      <c r="G48" s="3">
        <f t="shared" ca="1" si="21"/>
        <v>11.439981612177727</v>
      </c>
      <c r="H48" s="4">
        <f t="shared" ca="1" si="22"/>
        <v>13.901846163488651</v>
      </c>
      <c r="I48" s="4">
        <f t="shared" ca="1" si="23"/>
        <v>333.36692848807326</v>
      </c>
      <c r="J48" s="26">
        <f ca="1">RANDBETWEEN(ranges!J$2*1000,ranges!J$3*1000)/1000</f>
        <v>0.63700000000000001</v>
      </c>
      <c r="K48" s="26">
        <f ca="1">RANDBETWEEN(ranges!K$2*1000,ranges!K$3*1000)/1000</f>
        <v>0.98099999999999998</v>
      </c>
      <c r="L48">
        <f t="shared" ca="1" si="24"/>
        <v>133.84617619017982</v>
      </c>
      <c r="M48">
        <f t="shared" ca="1" si="25"/>
        <v>19.698302365320192</v>
      </c>
      <c r="N48" s="4">
        <f t="shared" ca="1" si="26"/>
        <v>6.3004958715560226</v>
      </c>
      <c r="O48" s="4"/>
      <c r="P48" s="1">
        <f ca="1">LOOKUP(B48,geomorph!$A:$A,geomorph!$G:$G)</f>
        <v>105.152811</v>
      </c>
      <c r="Q48" s="1">
        <f t="shared" ca="1" si="27"/>
        <v>124.85111336532019</v>
      </c>
    </row>
    <row r="49" spans="2:17" x14ac:dyDescent="0.3">
      <c r="B49" s="6">
        <f ca="1">RANDBETWEEN(ranges!B$2,ranges!B$3)</f>
        <v>14656</v>
      </c>
      <c r="C49" s="9">
        <f ca="1">LOOKUP(B49,geomorph!A:A,geomorph!B:B)</f>
        <v>1443.7</v>
      </c>
      <c r="D49">
        <f t="shared" si="20"/>
        <v>1.13E-4</v>
      </c>
      <c r="E49" s="9">
        <f ca="1">'[2]Q_GEV(random)'!$J49</f>
        <v>14890.502672977338</v>
      </c>
      <c r="F49" s="26">
        <f ca="1">RANDBETWEEN(ranges!F$2*1000,ranges!F$3*1000)/1000</f>
        <v>9.9000000000000005E-2</v>
      </c>
      <c r="G49" s="3">
        <f t="shared" ca="1" si="21"/>
        <v>10.314125284323154</v>
      </c>
      <c r="H49" s="4">
        <f t="shared" ca="1" si="22"/>
        <v>13.343664986036979</v>
      </c>
      <c r="I49" s="4">
        <f t="shared" ca="1" si="23"/>
        <v>280.66913879980785</v>
      </c>
      <c r="J49" s="26">
        <f ca="1">RANDBETWEEN(ranges!J$2*1000,ranges!J$3*1000)/1000</f>
        <v>0.70299999999999996</v>
      </c>
      <c r="K49" s="26">
        <f ca="1">RANDBETWEEN(ranges!K$2*1000,ranges!K$3*1000)/1000</f>
        <v>0.83499999999999996</v>
      </c>
      <c r="L49">
        <f t="shared" ca="1" si="24"/>
        <v>115.03346483050517</v>
      </c>
      <c r="M49">
        <f t="shared" ca="1" si="25"/>
        <v>18.766340888865436</v>
      </c>
      <c r="N49" s="4">
        <f t="shared" ca="1" si="26"/>
        <v>5.8942129378570183</v>
      </c>
      <c r="O49" s="4"/>
      <c r="P49" s="1">
        <f ca="1">LOOKUP(B49,geomorph!$A:$A,geomorph!$G:$G)</f>
        <v>104.870311</v>
      </c>
      <c r="Q49" s="1">
        <f t="shared" ca="1" si="27"/>
        <v>123.63665188886543</v>
      </c>
    </row>
    <row r="50" spans="2:17" x14ac:dyDescent="0.3">
      <c r="B50" s="6">
        <f ca="1">RANDBETWEEN(ranges!B$2,ranges!B$3)</f>
        <v>12260</v>
      </c>
      <c r="C50" s="9">
        <f ca="1">LOOKUP(B50,geomorph!A:A,geomorph!B:B)</f>
        <v>1274</v>
      </c>
      <c r="D50">
        <f t="shared" si="20"/>
        <v>1.13E-4</v>
      </c>
      <c r="E50" s="9">
        <f ca="1">'[2]Q_GEV(random)'!$J50</f>
        <v>14860.056825407621</v>
      </c>
      <c r="F50" s="26">
        <f ca="1">RANDBETWEEN(ranges!F$2*1000,ranges!F$3*1000)/1000</f>
        <v>0.107</v>
      </c>
      <c r="G50" s="3">
        <f t="shared" ca="1" si="21"/>
        <v>11.664094839409435</v>
      </c>
      <c r="H50" s="4">
        <f t="shared" ca="1" si="22"/>
        <v>14.864047482406177</v>
      </c>
      <c r="I50" s="4">
        <f t="shared" ca="1" si="23"/>
        <v>345.23484014076558</v>
      </c>
      <c r="J50" s="26">
        <f ca="1">RANDBETWEEN(ranges!J$2*1000,ranges!J$3*1000)/1000</f>
        <v>0.60799999999999998</v>
      </c>
      <c r="K50" s="26">
        <f ca="1">RANDBETWEEN(ranges!K$2*1000,ranges!K$3*1000)/1000</f>
        <v>0.96499999999999997</v>
      </c>
      <c r="L50">
        <f t="shared" ca="1" si="24"/>
        <v>144.89299551123111</v>
      </c>
      <c r="M50">
        <f t="shared" ca="1" si="25"/>
        <v>20.859085419787853</v>
      </c>
      <c r="N50" s="4">
        <f t="shared" ca="1" si="26"/>
        <v>6.5163455841105176</v>
      </c>
      <c r="O50" s="4"/>
      <c r="P50" s="1">
        <f ca="1">LOOKUP(B50,geomorph!$A:$A,geomorph!$G:$G)</f>
        <v>105.140381</v>
      </c>
      <c r="Q50" s="1">
        <f t="shared" ca="1" si="27"/>
        <v>125.99946641978786</v>
      </c>
    </row>
    <row r="51" spans="2:17" x14ac:dyDescent="0.3">
      <c r="B51" s="6">
        <f ca="1">RANDBETWEEN(ranges!B$2,ranges!B$3)</f>
        <v>12582</v>
      </c>
      <c r="C51" s="9">
        <f ca="1">LOOKUP(B51,geomorph!A:A,geomorph!B:B)</f>
        <v>1188.8</v>
      </c>
      <c r="D51">
        <f t="shared" si="20"/>
        <v>1.13E-4</v>
      </c>
      <c r="E51" s="9">
        <f ca="1">'[2]Q_GEV(random)'!$J51</f>
        <v>14843.624931834942</v>
      </c>
      <c r="F51" s="26">
        <f ca="1">RANDBETWEEN(ranges!F$2*1000,ranges!F$3*1000)/1000</f>
        <v>0.107</v>
      </c>
      <c r="G51" s="3">
        <f t="shared" ca="1" si="21"/>
        <v>12.486225548313376</v>
      </c>
      <c r="H51" s="4">
        <f t="shared" ca="1" si="22"/>
        <v>15.55454003144796</v>
      </c>
      <c r="I51" s="4">
        <f t="shared" ca="1" si="23"/>
        <v>387.16432937778836</v>
      </c>
      <c r="J51" s="26">
        <f ca="1">RANDBETWEEN(ranges!J$2*1000,ranges!J$3*1000)/1000</f>
        <v>0.77</v>
      </c>
      <c r="K51" s="26">
        <f ca="1">RANDBETWEEN(ranges!K$2*1000,ranges!K$3*1000)/1000</f>
        <v>0.85199999999999998</v>
      </c>
      <c r="L51">
        <f t="shared" ca="1" si="24"/>
        <v>151.46780384453152</v>
      </c>
      <c r="M51">
        <f t="shared" ca="1" si="25"/>
        <v>20.347336548772834</v>
      </c>
      <c r="N51" s="4">
        <f t="shared" ca="1" si="26"/>
        <v>5.2095614318748629</v>
      </c>
      <c r="O51" s="4"/>
      <c r="P51" s="1">
        <f ca="1">LOOKUP(B51,geomorph!$A:$A,geomorph!$G:$G)</f>
        <v>105.10422100000001</v>
      </c>
      <c r="Q51" s="1">
        <f t="shared" ca="1" si="27"/>
        <v>125.45155754877284</v>
      </c>
    </row>
    <row r="52" spans="2:17" x14ac:dyDescent="0.3">
      <c r="B52" s="6">
        <f ca="1">RANDBETWEEN(ranges!B$2,ranges!B$3)</f>
        <v>13564</v>
      </c>
      <c r="C52" s="9">
        <f ca="1">LOOKUP(B52,geomorph!A:A,geomorph!B:B)</f>
        <v>1217.8</v>
      </c>
      <c r="D52">
        <f t="shared" si="20"/>
        <v>1.13E-4</v>
      </c>
      <c r="E52" s="9">
        <f ca="1">'[2]Q_GEV(random)'!$J52</f>
        <v>14812.44551286416</v>
      </c>
      <c r="F52" s="26">
        <f ca="1">RANDBETWEEN(ranges!F$2*1000,ranges!F$3*1000)/1000</f>
        <v>0.10299999999999999</v>
      </c>
      <c r="G52" s="3">
        <f t="shared" ca="1" si="21"/>
        <v>12.163282569275875</v>
      </c>
      <c r="H52" s="4">
        <f t="shared" ca="1" si="22"/>
        <v>15.092275890030749</v>
      </c>
      <c r="I52" s="4">
        <f t="shared" ca="1" si="23"/>
        <v>371.39944002800866</v>
      </c>
      <c r="J52" s="26">
        <f ca="1">RANDBETWEEN(ranges!J$2*1000,ranges!J$3*1000)/1000</f>
        <v>0.67</v>
      </c>
      <c r="K52" s="26">
        <f ca="1">RANDBETWEEN(ranges!K$2*1000,ranges!K$3*1000)/1000</f>
        <v>0.82399999999999995</v>
      </c>
      <c r="L52">
        <f t="shared" ca="1" si="24"/>
        <v>147.45711194877646</v>
      </c>
      <c r="M52">
        <f t="shared" ca="1" si="25"/>
        <v>20.291779615227856</v>
      </c>
      <c r="N52" s="4">
        <f t="shared" ca="1" si="26"/>
        <v>5.6516344839098993</v>
      </c>
      <c r="O52" s="4"/>
      <c r="P52" s="1">
        <f ca="1">LOOKUP(B52,geomorph!$A:$A,geomorph!$G:$G)</f>
        <v>104.993481</v>
      </c>
      <c r="Q52" s="1">
        <f t="shared" ca="1" si="27"/>
        <v>125.28526061522786</v>
      </c>
    </row>
    <row r="53" spans="2:17" x14ac:dyDescent="0.3">
      <c r="B53" s="6">
        <f ca="1">RANDBETWEEN(ranges!B$2,ranges!B$3)</f>
        <v>14808</v>
      </c>
      <c r="C53" s="9">
        <f ca="1">LOOKUP(B53,geomorph!A:A,geomorph!B:B)</f>
        <v>1493.1</v>
      </c>
      <c r="D53">
        <f t="shared" si="20"/>
        <v>1.13E-4</v>
      </c>
      <c r="E53" s="9">
        <f ca="1">'[2]Q_GEV(random)'!$J53</f>
        <v>14812.222461504036</v>
      </c>
      <c r="F53" s="26">
        <f ca="1">RANDBETWEEN(ranges!F$2*1000,ranges!F$3*1000)/1000</f>
        <v>0.106</v>
      </c>
      <c r="G53" s="3">
        <f t="shared" ca="1" si="21"/>
        <v>9.9204490399196548</v>
      </c>
      <c r="H53" s="4">
        <f t="shared" ca="1" si="22"/>
        <v>13.301418937220129</v>
      </c>
      <c r="I53" s="4">
        <f t="shared" ca="1" si="23"/>
        <v>264.43281106625921</v>
      </c>
      <c r="J53" s="26">
        <f ca="1">RANDBETWEEN(ranges!J$2*1000,ranges!J$3*1000)/1000</f>
        <v>0.67500000000000004</v>
      </c>
      <c r="K53" s="26">
        <f ca="1">RANDBETWEEN(ranges!K$2*1000,ranges!K$3*1000)/1000</f>
        <v>0.98799999999999999</v>
      </c>
      <c r="L53">
        <f t="shared" ca="1" si="24"/>
        <v>114.5406287681308</v>
      </c>
      <c r="M53">
        <f t="shared" ca="1" si="25"/>
        <v>19.325329247947657</v>
      </c>
      <c r="N53" s="4">
        <f t="shared" ca="1" si="26"/>
        <v>6.5477285986168781</v>
      </c>
      <c r="O53" s="4"/>
      <c r="P53" s="1">
        <f ca="1">LOOKUP(B53,geomorph!$A:$A,geomorph!$G:$G)</f>
        <v>104.85336100000001</v>
      </c>
      <c r="Q53" s="1">
        <f t="shared" ca="1" si="27"/>
        <v>124.17869024794766</v>
      </c>
    </row>
    <row r="54" spans="2:17" x14ac:dyDescent="0.3">
      <c r="B54" s="6">
        <f ca="1">RANDBETWEEN(ranges!B$2,ranges!B$3)</f>
        <v>11081</v>
      </c>
      <c r="C54" s="9">
        <f ca="1">LOOKUP(B54,geomorph!A:A,geomorph!B:B)</f>
        <v>1685.7</v>
      </c>
      <c r="D54">
        <f t="shared" si="20"/>
        <v>1.13E-4</v>
      </c>
      <c r="E54" s="9">
        <f ca="1">'[2]Q_GEV(random)'!$J54</f>
        <v>14801.810561864628</v>
      </c>
      <c r="F54" s="26">
        <f ca="1">RANDBETWEEN(ranges!F$2*1000,ranges!F$3*1000)/1000</f>
        <v>0.105</v>
      </c>
      <c r="G54" s="3">
        <f t="shared" ca="1" si="21"/>
        <v>8.7808094927120059</v>
      </c>
      <c r="H54" s="4">
        <f t="shared" ca="1" si="22"/>
        <v>12.223472493276795</v>
      </c>
      <c r="I54" s="4">
        <f t="shared" ca="1" si="23"/>
        <v>215.91994786244857</v>
      </c>
      <c r="J54" s="26">
        <f ca="1">RANDBETWEEN(ranges!J$2*1000,ranges!J$3*1000)/1000</f>
        <v>0.77100000000000002</v>
      </c>
      <c r="K54" s="26">
        <f ca="1">RANDBETWEEN(ranges!K$2*1000,ranges!K$3*1000)/1000</f>
        <v>0.89800000000000002</v>
      </c>
      <c r="L54">
        <f t="shared" ca="1" si="24"/>
        <v>93.703038811936466</v>
      </c>
      <c r="M54">
        <f t="shared" ca="1" si="25"/>
        <v>17.848939015356788</v>
      </c>
      <c r="N54" s="4">
        <f t="shared" ca="1" si="26"/>
        <v>6.1146375239999919</v>
      </c>
      <c r="O54" s="4"/>
      <c r="P54" s="1">
        <f ca="1">LOOKUP(B54,geomorph!$A:$A,geomorph!$G:$G)</f>
        <v>105.27372100000001</v>
      </c>
      <c r="Q54" s="1">
        <f t="shared" ca="1" si="27"/>
        <v>123.1226600153568</v>
      </c>
    </row>
    <row r="55" spans="2:17" x14ac:dyDescent="0.3">
      <c r="B55" s="6">
        <f ca="1">RANDBETWEEN(ranges!B$2,ranges!B$3)</f>
        <v>13943</v>
      </c>
      <c r="C55" s="9">
        <f ca="1">LOOKUP(B55,geomorph!A:A,geomorph!B:B)</f>
        <v>1312.6</v>
      </c>
      <c r="D55">
        <f t="shared" si="20"/>
        <v>1.13E-4</v>
      </c>
      <c r="E55" s="9">
        <f ca="1">'[2]Q_GEV(random)'!$J55</f>
        <v>14751.545487218551</v>
      </c>
      <c r="F55" s="26">
        <f ca="1">RANDBETWEEN(ranges!F$2*1000,ranges!F$3*1000)/1000</f>
        <v>0.10100000000000001</v>
      </c>
      <c r="G55" s="3">
        <f t="shared" ca="1" si="21"/>
        <v>11.238416491862374</v>
      </c>
      <c r="H55" s="4">
        <f t="shared" ca="1" si="22"/>
        <v>14.223910243686174</v>
      </c>
      <c r="I55" s="4">
        <f t="shared" ca="1" si="23"/>
        <v>326.8795104799762</v>
      </c>
      <c r="J55" s="26">
        <f ca="1">RANDBETWEEN(ranges!J$2*1000,ranges!J$3*1000)/1000</f>
        <v>0.72599999999999998</v>
      </c>
      <c r="K55" s="26">
        <f ca="1">RANDBETWEEN(ranges!K$2*1000,ranges!K$3*1000)/1000</f>
        <v>0.998</v>
      </c>
      <c r="L55">
        <f t="shared" ca="1" si="24"/>
        <v>132.52546796761351</v>
      </c>
      <c r="M55">
        <f t="shared" ca="1" si="25"/>
        <v>19.656681005734711</v>
      </c>
      <c r="N55" s="4">
        <f t="shared" ca="1" si="26"/>
        <v>5.9051856109223237</v>
      </c>
      <c r="O55" s="4"/>
      <c r="P55" s="1">
        <f ca="1">LOOKUP(B55,geomorph!$A:$A,geomorph!$G:$G)</f>
        <v>104.950541</v>
      </c>
      <c r="Q55" s="1">
        <f t="shared" ca="1" si="27"/>
        <v>124.60722200573471</v>
      </c>
    </row>
    <row r="56" spans="2:17" x14ac:dyDescent="0.3">
      <c r="B56" s="6">
        <f ca="1">RANDBETWEEN(ranges!B$2,ranges!B$3)</f>
        <v>11778</v>
      </c>
      <c r="C56" s="9">
        <f ca="1">LOOKUP(B56,geomorph!A:A,geomorph!B:B)</f>
        <v>1419.5</v>
      </c>
      <c r="D56">
        <f t="shared" si="20"/>
        <v>1.13E-4</v>
      </c>
      <c r="E56" s="9">
        <f ca="1">'[2]Q_GEV(random)'!$J56</f>
        <v>14747.19318232104</v>
      </c>
      <c r="F56" s="26">
        <f ca="1">RANDBETWEEN(ranges!F$2*1000,ranges!F$3*1000)/1000</f>
        <v>9.4E-2</v>
      </c>
      <c r="G56" s="3">
        <f t="shared" ca="1" si="21"/>
        <v>10.389005411990869</v>
      </c>
      <c r="H56" s="4">
        <f t="shared" ca="1" si="22"/>
        <v>13.178532830611749</v>
      </c>
      <c r="I56" s="4">
        <f t="shared" ca="1" si="23"/>
        <v>286.83398176422276</v>
      </c>
      <c r="J56" s="26">
        <f ca="1">RANDBETWEEN(ranges!J$2*1000,ranges!J$3*1000)/1000</f>
        <v>0.66400000000000003</v>
      </c>
      <c r="K56" s="26">
        <f ca="1">RANDBETWEEN(ranges!K$2*1000,ranges!K$3*1000)/1000</f>
        <v>0.97499999999999998</v>
      </c>
      <c r="L56">
        <f t="shared" ca="1" si="24"/>
        <v>118.59864889576932</v>
      </c>
      <c r="M56">
        <f t="shared" ca="1" si="25"/>
        <v>19.023638378152533</v>
      </c>
      <c r="N56" s="4">
        <f t="shared" ca="1" si="26"/>
        <v>6.3533755951530262</v>
      </c>
      <c r="O56" s="4"/>
      <c r="P56" s="1">
        <f ca="1">LOOKUP(B56,geomorph!$A:$A,geomorph!$G:$G)</f>
        <v>105.195751</v>
      </c>
      <c r="Q56" s="1">
        <f t="shared" ca="1" si="27"/>
        <v>124.21938937815253</v>
      </c>
    </row>
    <row r="57" spans="2:17" x14ac:dyDescent="0.3">
      <c r="B57" s="6">
        <f ca="1">RANDBETWEEN(ranges!B$2,ranges!B$3)</f>
        <v>14802</v>
      </c>
      <c r="C57" s="9">
        <f ca="1">LOOKUP(B57,geomorph!A:A,geomorph!B:B)</f>
        <v>1493.1</v>
      </c>
      <c r="D57">
        <f t="shared" si="20"/>
        <v>1.13E-4</v>
      </c>
      <c r="E57" s="9">
        <f ca="1">'[2]Q_GEV(random)'!$J57</f>
        <v>14719.054193037762</v>
      </c>
      <c r="F57" s="26">
        <f ca="1">RANDBETWEEN(ranges!F$2*1000,ranges!F$3*1000)/1000</f>
        <v>0.10100000000000001</v>
      </c>
      <c r="G57" s="3">
        <f t="shared" ca="1" si="21"/>
        <v>9.8580498245514452</v>
      </c>
      <c r="H57" s="4">
        <f t="shared" ca="1" si="22"/>
        <v>13.033956296382755</v>
      </c>
      <c r="I57" s="4">
        <f t="shared" ca="1" si="23"/>
        <v>263.32279771892212</v>
      </c>
      <c r="J57" s="26">
        <f ca="1">RANDBETWEEN(ranges!J$2*1000,ranges!J$3*1000)/1000</f>
        <v>0.66800000000000004</v>
      </c>
      <c r="K57" s="26">
        <f ca="1">RANDBETWEEN(ranges!K$2*1000,ranges!K$3*1000)/1000</f>
        <v>0.94599999999999995</v>
      </c>
      <c r="L57">
        <f t="shared" ca="1" si="24"/>
        <v>112.42928640767762</v>
      </c>
      <c r="M57">
        <f t="shared" ca="1" si="25"/>
        <v>18.969102931489289</v>
      </c>
      <c r="N57" s="4">
        <f t="shared" ca="1" si="26"/>
        <v>6.451246342507102</v>
      </c>
      <c r="O57" s="4"/>
      <c r="P57" s="1">
        <f ca="1">LOOKUP(B57,geomorph!$A:$A,geomorph!$G:$G)</f>
        <v>104.85336100000001</v>
      </c>
      <c r="Q57" s="1">
        <f t="shared" ca="1" si="27"/>
        <v>123.8224639314893</v>
      </c>
    </row>
    <row r="58" spans="2:17" x14ac:dyDescent="0.3">
      <c r="B58" s="6">
        <f ca="1">RANDBETWEEN(ranges!B$2,ranges!B$3)</f>
        <v>13267</v>
      </c>
      <c r="C58" s="9">
        <f ca="1">LOOKUP(B58,geomorph!A:A,geomorph!B:B)</f>
        <v>1169.8</v>
      </c>
      <c r="D58">
        <f t="shared" si="20"/>
        <v>1.13E-4</v>
      </c>
      <c r="E58" s="9">
        <f ca="1">'[2]Q_GEV(random)'!$J58</f>
        <v>14682.799545194232</v>
      </c>
      <c r="F58" s="26">
        <f ca="1">RANDBETWEEN(ranges!F$2*1000,ranges!F$3*1000)/1000</f>
        <v>0.106</v>
      </c>
      <c r="G58" s="3">
        <f t="shared" ca="1" si="21"/>
        <v>12.551546884248788</v>
      </c>
      <c r="H58" s="4">
        <f t="shared" ca="1" si="22"/>
        <v>15.559963962996447</v>
      </c>
      <c r="I58" s="4">
        <f t="shared" ca="1" si="23"/>
        <v>394.82371901670314</v>
      </c>
      <c r="J58" s="26">
        <f ca="1">RANDBETWEEN(ranges!J$2*1000,ranges!J$3*1000)/1000</f>
        <v>0.67200000000000004</v>
      </c>
      <c r="K58" s="26">
        <f ca="1">RANDBETWEEN(ranges!K$2*1000,ranges!K$3*1000)/1000</f>
        <v>0.80800000000000005</v>
      </c>
      <c r="L58">
        <f t="shared" ca="1" si="24"/>
        <v>156.11347648782618</v>
      </c>
      <c r="M58">
        <f t="shared" ca="1" si="25"/>
        <v>20.636234561886873</v>
      </c>
      <c r="N58" s="4">
        <f t="shared" ca="1" si="26"/>
        <v>5.5176854335765499</v>
      </c>
      <c r="O58" s="4"/>
      <c r="P58" s="1">
        <f ca="1">LOOKUP(B58,geomorph!$A:$A,geomorph!$G:$G)</f>
        <v>105.02738100000001</v>
      </c>
      <c r="Q58" s="1">
        <f t="shared" ca="1" si="27"/>
        <v>125.66361556188687</v>
      </c>
    </row>
    <row r="59" spans="2:17" x14ac:dyDescent="0.3">
      <c r="B59" s="6">
        <f ca="1">RANDBETWEEN(ranges!B$2,ranges!B$3)</f>
        <v>11785</v>
      </c>
      <c r="C59" s="9">
        <f ca="1">LOOKUP(B59,geomorph!A:A,geomorph!B:B)</f>
        <v>1416.6</v>
      </c>
      <c r="D59">
        <f t="shared" si="20"/>
        <v>1.13E-4</v>
      </c>
      <c r="E59" s="9">
        <f ca="1">'[2]Q_GEV(random)'!$J59</f>
        <v>14665.26555047217</v>
      </c>
      <c r="F59" s="26">
        <f ca="1">RANDBETWEEN(ranges!F$2*1000,ranges!F$3*1000)/1000</f>
        <v>9.2999999999999999E-2</v>
      </c>
      <c r="G59" s="3">
        <f t="shared" ca="1" si="21"/>
        <v>10.352439326889856</v>
      </c>
      <c r="H59" s="4">
        <f t="shared" ca="1" si="22"/>
        <v>13.100802778060913</v>
      </c>
      <c r="I59" s="4">
        <f t="shared" ca="1" si="23"/>
        <v>286.74635676978011</v>
      </c>
      <c r="J59" s="26">
        <f ca="1">RANDBETWEEN(ranges!J$2*1000,ranges!J$3*1000)/1000</f>
        <v>0.60899999999999999</v>
      </c>
      <c r="K59" s="26">
        <f ca="1">RANDBETWEEN(ranges!K$2*1000,ranges!K$3*1000)/1000</f>
        <v>0.96399999999999997</v>
      </c>
      <c r="L59">
        <f t="shared" ca="1" si="24"/>
        <v>120.21992916660557</v>
      </c>
      <c r="M59">
        <f t="shared" ca="1" si="25"/>
        <v>19.244301337287716</v>
      </c>
      <c r="N59" s="4">
        <f t="shared" ca="1" si="26"/>
        <v>6.6777158252465245</v>
      </c>
      <c r="O59" s="4"/>
      <c r="P59" s="1">
        <f ca="1">LOOKUP(B59,geomorph!$A:$A,geomorph!$G:$G)</f>
        <v>105.194621</v>
      </c>
      <c r="Q59" s="1">
        <f t="shared" ca="1" si="27"/>
        <v>124.43892233728772</v>
      </c>
    </row>
    <row r="60" spans="2:17" x14ac:dyDescent="0.3">
      <c r="B60" s="6">
        <f ca="1">RANDBETWEEN(ranges!B$2,ranges!B$3)</f>
        <v>12330</v>
      </c>
      <c r="C60" s="9">
        <f ca="1">LOOKUP(B60,geomorph!A:A,geomorph!B:B)</f>
        <v>1254.9000000000001</v>
      </c>
      <c r="D60">
        <f t="shared" si="20"/>
        <v>1.13E-4</v>
      </c>
      <c r="E60" s="9">
        <f ca="1">'[2]Q_GEV(random)'!$J60</f>
        <v>14651.771604516238</v>
      </c>
      <c r="F60" s="26">
        <f ca="1">RANDBETWEEN(ranges!F$2*1000,ranges!F$3*1000)/1000</f>
        <v>9.8000000000000004E-2</v>
      </c>
      <c r="G60" s="3">
        <f t="shared" ca="1" si="21"/>
        <v>11.675648740550033</v>
      </c>
      <c r="H60" s="4">
        <f t="shared" ca="1" si="22"/>
        <v>14.444566160391366</v>
      </c>
      <c r="I60" s="4">
        <f t="shared" ca="1" si="23"/>
        <v>350.72084448768237</v>
      </c>
      <c r="J60" s="26">
        <f ca="1">RANDBETWEEN(ranges!J$2*1000,ranges!J$3*1000)/1000</f>
        <v>0.69399999999999995</v>
      </c>
      <c r="K60" s="26">
        <f ca="1">RANDBETWEEN(ranges!K$2*1000,ranges!K$3*1000)/1000</f>
        <v>0.98899999999999999</v>
      </c>
      <c r="L60">
        <f t="shared" ca="1" si="24"/>
        <v>140.26615842390314</v>
      </c>
      <c r="M60">
        <f t="shared" ca="1" si="25"/>
        <v>19.890260249295633</v>
      </c>
      <c r="N60" s="4">
        <f t="shared" ca="1" si="26"/>
        <v>5.9192327053307245</v>
      </c>
      <c r="O60" s="4"/>
      <c r="P60" s="1">
        <f ca="1">LOOKUP(B60,geomorph!$A:$A,geomorph!$G:$G)</f>
        <v>105.13247100000001</v>
      </c>
      <c r="Q60" s="1">
        <f t="shared" ca="1" si="27"/>
        <v>125.02273124929565</v>
      </c>
    </row>
    <row r="61" spans="2:17" x14ac:dyDescent="0.3">
      <c r="B61" s="6">
        <f ca="1">RANDBETWEEN(ranges!B$2,ranges!B$3)</f>
        <v>12461</v>
      </c>
      <c r="C61" s="9">
        <f ca="1">LOOKUP(B61,geomorph!A:A,geomorph!B:B)</f>
        <v>1220.2</v>
      </c>
      <c r="D61">
        <f t="shared" si="20"/>
        <v>1.13E-4</v>
      </c>
      <c r="E61" s="9">
        <f ca="1">'[2]Q_GEV(random)'!$J61</f>
        <v>14645.774084034472</v>
      </c>
      <c r="F61" s="26">
        <f ca="1">RANDBETWEEN(ranges!F$2*1000,ranges!F$3*1000)/1000</f>
        <v>0.107</v>
      </c>
      <c r="G61" s="3">
        <f t="shared" ca="1" si="21"/>
        <v>12.002765189341478</v>
      </c>
      <c r="H61" s="4">
        <f t="shared" ca="1" si="22"/>
        <v>15.150394070314501</v>
      </c>
      <c r="I61" s="4">
        <f t="shared" ca="1" si="23"/>
        <v>367.40060712612467</v>
      </c>
      <c r="J61" s="26">
        <f ca="1">RANDBETWEEN(ranges!J$2*1000,ranges!J$3*1000)/1000</f>
        <v>0.60399999999999998</v>
      </c>
      <c r="K61" s="26">
        <f ca="1">RANDBETWEEN(ranges!K$2*1000,ranges!K$3*1000)/1000</f>
        <v>0.90200000000000002</v>
      </c>
      <c r="L61">
        <f t="shared" ca="1" si="24"/>
        <v>151.62297346112405</v>
      </c>
      <c r="M61">
        <f t="shared" ca="1" si="25"/>
        <v>20.906169800550781</v>
      </c>
      <c r="N61" s="4">
        <f t="shared" ca="1" si="26"/>
        <v>6.2562779676481304</v>
      </c>
      <c r="O61" s="4"/>
      <c r="P61" s="1">
        <f ca="1">LOOKUP(B61,geomorph!$A:$A,geomorph!$G:$G)</f>
        <v>105.11778100000001</v>
      </c>
      <c r="Q61" s="1">
        <f t="shared" ca="1" si="27"/>
        <v>126.02395080055079</v>
      </c>
    </row>
    <row r="62" spans="2:17" x14ac:dyDescent="0.3">
      <c r="B62" s="6">
        <f ca="1">RANDBETWEEN(ranges!B$2,ranges!B$3)</f>
        <v>13385</v>
      </c>
      <c r="C62" s="9">
        <f ca="1">LOOKUP(B62,geomorph!A:A,geomorph!B:B)</f>
        <v>1183.5999999999999</v>
      </c>
      <c r="D62">
        <f t="shared" si="20"/>
        <v>1.13E-4</v>
      </c>
      <c r="E62" s="9">
        <f ca="1">'[2]Q_GEV(random)'!$J62</f>
        <v>14643.02594125476</v>
      </c>
      <c r="F62" s="26">
        <f ca="1">RANDBETWEEN(ranges!F$2*1000,ranges!F$3*1000)/1000</f>
        <v>9.6000000000000002E-2</v>
      </c>
      <c r="G62" s="3">
        <f t="shared" ca="1" si="21"/>
        <v>12.371600153138528</v>
      </c>
      <c r="H62" s="4">
        <f t="shared" ca="1" si="22"/>
        <v>14.910176729745007</v>
      </c>
      <c r="I62" s="4">
        <f t="shared" ca="1" si="23"/>
        <v>386.48173781089264</v>
      </c>
      <c r="J62" s="26">
        <f ca="1">RANDBETWEEN(ranges!J$2*1000,ranges!J$3*1000)/1000</f>
        <v>0.76500000000000001</v>
      </c>
      <c r="K62" s="26">
        <f ca="1">RANDBETWEEN(ranges!K$2*1000,ranges!K$3*1000)/1000</f>
        <v>0.89100000000000001</v>
      </c>
      <c r="L62">
        <f t="shared" ca="1" si="24"/>
        <v>147.39580229627438</v>
      </c>
      <c r="M62">
        <f t="shared" ca="1" si="25"/>
        <v>19.713716890559351</v>
      </c>
      <c r="N62" s="4">
        <f t="shared" ca="1" si="26"/>
        <v>5.2212393052329817</v>
      </c>
      <c r="O62" s="4"/>
      <c r="P62" s="1">
        <f ca="1">LOOKUP(B62,geomorph!$A:$A,geomorph!$G:$G)</f>
        <v>105.01382100000001</v>
      </c>
      <c r="Q62" s="1">
        <f t="shared" ca="1" si="27"/>
        <v>124.72753789055936</v>
      </c>
    </row>
    <row r="63" spans="2:17" x14ac:dyDescent="0.3">
      <c r="B63" s="6">
        <f ca="1">RANDBETWEEN(ranges!B$2,ranges!B$3)</f>
        <v>11967</v>
      </c>
      <c r="C63" s="9">
        <f ca="1">LOOKUP(B63,geomorph!A:A,geomorph!B:B)</f>
        <v>1362.7</v>
      </c>
      <c r="D63">
        <f t="shared" si="20"/>
        <v>1.13E-4</v>
      </c>
      <c r="E63" s="9">
        <f ca="1">'[2]Q_GEV(random)'!$J63</f>
        <v>14636.841331650307</v>
      </c>
      <c r="F63" s="26">
        <f ca="1">RANDBETWEEN(ranges!F$2*1000,ranges!F$3*1000)/1000</f>
        <v>0.107</v>
      </c>
      <c r="G63" s="3">
        <f t="shared" ca="1" si="21"/>
        <v>10.741059170507306</v>
      </c>
      <c r="H63" s="4">
        <f t="shared" ca="1" si="22"/>
        <v>14.069147903055471</v>
      </c>
      <c r="I63" s="4">
        <f t="shared" ca="1" si="23"/>
        <v>305.50231135935422</v>
      </c>
      <c r="J63" s="26">
        <f ca="1">RANDBETWEEN(ranges!J$2*1000,ranges!J$3*1000)/1000</f>
        <v>0.61799999999999999</v>
      </c>
      <c r="K63" s="26">
        <f ca="1">RANDBETWEEN(ranges!K$2*1000,ranges!K$3*1000)/1000</f>
        <v>0.92900000000000005</v>
      </c>
      <c r="L63">
        <f t="shared" ca="1" si="24"/>
        <v>130.33310481378362</v>
      </c>
      <c r="M63">
        <f t="shared" ca="1" si="25"/>
        <v>20.06935617806095</v>
      </c>
      <c r="N63" s="4">
        <f t="shared" ca="1" si="26"/>
        <v>6.5219655163103027</v>
      </c>
      <c r="O63" s="4"/>
      <c r="P63" s="1">
        <f ca="1">LOOKUP(B63,geomorph!$A:$A,geomorph!$G:$G)</f>
        <v>105.17428100000001</v>
      </c>
      <c r="Q63" s="1">
        <f t="shared" ca="1" si="27"/>
        <v>125.24363717806096</v>
      </c>
    </row>
    <row r="64" spans="2:17" x14ac:dyDescent="0.3">
      <c r="B64" s="6">
        <f ca="1">RANDBETWEEN(ranges!B$2,ranges!B$3)</f>
        <v>11940</v>
      </c>
      <c r="C64" s="9">
        <f ca="1">LOOKUP(B64,geomorph!A:A,geomorph!B:B)</f>
        <v>1368.9</v>
      </c>
      <c r="D64">
        <f t="shared" si="20"/>
        <v>1.13E-4</v>
      </c>
      <c r="E64" s="9">
        <f ca="1">'[2]Q_GEV(random)'!$J64</f>
        <v>14629.430916165915</v>
      </c>
      <c r="F64" s="26">
        <f ca="1">RANDBETWEEN(ranges!F$2*1000,ranges!F$3*1000)/1000</f>
        <v>0.10100000000000001</v>
      </c>
      <c r="G64" s="3">
        <f t="shared" ca="1" si="21"/>
        <v>10.686997528063346</v>
      </c>
      <c r="H64" s="4">
        <f t="shared" ca="1" si="22"/>
        <v>13.754750820943622</v>
      </c>
      <c r="I64" s="4">
        <f t="shared" ca="1" si="23"/>
        <v>303.09732213151977</v>
      </c>
      <c r="J64" s="26">
        <f ca="1">RANDBETWEEN(ranges!J$2*1000,ranges!J$3*1000)/1000</f>
        <v>0.73899999999999999</v>
      </c>
      <c r="K64" s="26">
        <f ca="1">RANDBETWEEN(ranges!K$2*1000,ranges!K$3*1000)/1000</f>
        <v>0.93600000000000005</v>
      </c>
      <c r="L64">
        <f t="shared" ca="1" si="24"/>
        <v>123.36676913737723</v>
      </c>
      <c r="M64">
        <f t="shared" ca="1" si="25"/>
        <v>19.083075040753592</v>
      </c>
      <c r="N64" s="4">
        <f t="shared" ca="1" si="26"/>
        <v>5.7916567606630105</v>
      </c>
      <c r="O64" s="4"/>
      <c r="P64" s="1">
        <f ca="1">LOOKUP(B64,geomorph!$A:$A,geomorph!$G:$G)</f>
        <v>105.176541</v>
      </c>
      <c r="Q64" s="1">
        <f t="shared" ca="1" si="27"/>
        <v>124.2596160407536</v>
      </c>
    </row>
    <row r="65" spans="2:17" x14ac:dyDescent="0.3">
      <c r="B65" s="6">
        <f ca="1">RANDBETWEEN(ranges!B$2,ranges!B$3)</f>
        <v>13770</v>
      </c>
      <c r="C65" s="9">
        <f ca="1">LOOKUP(B65,geomorph!A:A,geomorph!B:B)</f>
        <v>1270.7</v>
      </c>
      <c r="D65">
        <f t="shared" si="20"/>
        <v>1.13E-4</v>
      </c>
      <c r="E65" s="9">
        <f ca="1">'[2]Q_GEV(random)'!$J65</f>
        <v>14627.864837847574</v>
      </c>
      <c r="F65" s="26">
        <f ca="1">RANDBETWEEN(ranges!F$2*1000,ranges!F$3*1000)/1000</f>
        <v>0.104</v>
      </c>
      <c r="G65" s="3">
        <f t="shared" ca="1" si="21"/>
        <v>11.511658800541097</v>
      </c>
      <c r="H65" s="4">
        <f t="shared" ca="1" si="22"/>
        <v>14.595249236431508</v>
      </c>
      <c r="I65" s="4">
        <f t="shared" ca="1" si="23"/>
        <v>343.1091181160416</v>
      </c>
      <c r="J65" s="26">
        <f ca="1">RANDBETWEEN(ranges!J$2*1000,ranges!J$3*1000)/1000</f>
        <v>0.69099999999999995</v>
      </c>
      <c r="K65" s="26">
        <f ca="1">RANDBETWEEN(ranges!K$2*1000,ranges!K$3*1000)/1000</f>
        <v>0.97899999999999998</v>
      </c>
      <c r="L65">
        <f t="shared" ca="1" si="24"/>
        <v>139.98429949198103</v>
      </c>
      <c r="M65">
        <f t="shared" ca="1" si="25"/>
        <v>20.100219578184014</v>
      </c>
      <c r="N65" s="4">
        <f t="shared" ca="1" si="26"/>
        <v>5.9836634149483752</v>
      </c>
      <c r="O65" s="4"/>
      <c r="P65" s="1">
        <f ca="1">LOOKUP(B65,geomorph!$A:$A,geomorph!$G:$G)</f>
        <v>104.969751</v>
      </c>
      <c r="Q65" s="1">
        <f t="shared" ca="1" si="27"/>
        <v>125.06997057818401</v>
      </c>
    </row>
    <row r="66" spans="2:17" x14ac:dyDescent="0.3">
      <c r="B66" s="6">
        <f ca="1">RANDBETWEEN(ranges!B$2,ranges!B$3)</f>
        <v>12455</v>
      </c>
      <c r="C66" s="9">
        <f ca="1">LOOKUP(B66,geomorph!A:A,geomorph!B:B)</f>
        <v>1222.8</v>
      </c>
      <c r="D66">
        <f t="shared" si="20"/>
        <v>1.13E-4</v>
      </c>
      <c r="E66" s="9">
        <f ca="1">'[2]Q_GEV(random)'!$J66</f>
        <v>14615.605892163758</v>
      </c>
      <c r="F66" s="26">
        <f ca="1">RANDBETWEEN(ranges!F$2*1000,ranges!F$3*1000)/1000</f>
        <v>0.1</v>
      </c>
      <c r="G66" s="3">
        <f t="shared" ca="1" si="21"/>
        <v>11.95257269558698</v>
      </c>
      <c r="H66" s="4">
        <f t="shared" ca="1" si="22"/>
        <v>14.771209546005688</v>
      </c>
      <c r="I66" s="4">
        <f t="shared" ca="1" si="23"/>
        <v>365.59662904795539</v>
      </c>
      <c r="J66" s="26">
        <f ca="1">RANDBETWEEN(ranges!J$2*1000,ranges!J$3*1000)/1000</f>
        <v>0.76200000000000001</v>
      </c>
      <c r="K66" s="26">
        <f ca="1">RANDBETWEEN(ranges!K$2*1000,ranges!K$3*1000)/1000</f>
        <v>0.877</v>
      </c>
      <c r="L66">
        <f t="shared" ca="1" si="24"/>
        <v>142.15285129788302</v>
      </c>
      <c r="M66">
        <f t="shared" ca="1" si="25"/>
        <v>19.6421692420768</v>
      </c>
      <c r="N66" s="4">
        <f t="shared" ca="1" si="26"/>
        <v>5.2945214087729484</v>
      </c>
      <c r="O66" s="4"/>
      <c r="P66" s="1">
        <f ca="1">LOOKUP(B66,geomorph!$A:$A,geomorph!$G:$G)</f>
        <v>105.118911</v>
      </c>
      <c r="Q66" s="1">
        <f t="shared" ca="1" si="27"/>
        <v>124.7610802420768</v>
      </c>
    </row>
    <row r="67" spans="2:17" x14ac:dyDescent="0.3">
      <c r="B67" s="6">
        <f ca="1">RANDBETWEEN(ranges!B$2,ranges!B$3)</f>
        <v>12501</v>
      </c>
      <c r="C67" s="9">
        <f ca="1">LOOKUP(B67,geomorph!A:A,geomorph!B:B)</f>
        <v>1209.7</v>
      </c>
      <c r="D67">
        <f t="shared" si="20"/>
        <v>1.13E-4</v>
      </c>
      <c r="E67" s="9">
        <f ca="1">'[2]Q_GEV(random)'!$J67</f>
        <v>14596.120352595481</v>
      </c>
      <c r="F67" s="26">
        <f ca="1">RANDBETWEEN(ranges!F$2*1000,ranges!F$3*1000)/1000</f>
        <v>9.9000000000000005E-2</v>
      </c>
      <c r="G67" s="3">
        <f t="shared" ca="1" si="21"/>
        <v>12.065900927994941</v>
      </c>
      <c r="H67" s="4">
        <f t="shared" ca="1" si="22"/>
        <v>14.814717174896971</v>
      </c>
      <c r="I67" s="4">
        <f t="shared" ca="1" si="23"/>
        <v>371.88800693844536</v>
      </c>
      <c r="J67" s="26">
        <f ca="1">RANDBETWEEN(ranges!J$2*1000,ranges!J$3*1000)/1000</f>
        <v>0.63100000000000001</v>
      </c>
      <c r="K67" s="26">
        <f ca="1">RANDBETWEEN(ranges!K$2*1000,ranges!K$3*1000)/1000</f>
        <v>0.99199999999999999</v>
      </c>
      <c r="L67">
        <f t="shared" ca="1" si="24"/>
        <v>150.15632177576208</v>
      </c>
      <c r="M67">
        <f t="shared" ca="1" si="25"/>
        <v>20.525783577091751</v>
      </c>
      <c r="N67" s="4">
        <f t="shared" ca="1" si="26"/>
        <v>6.2076808719508474</v>
      </c>
      <c r="O67" s="4"/>
      <c r="P67" s="1">
        <f ca="1">LOOKUP(B67,geomorph!$A:$A,geomorph!$G:$G)</f>
        <v>105.11326100000001</v>
      </c>
      <c r="Q67" s="1">
        <f t="shared" ca="1" si="27"/>
        <v>125.63904457709177</v>
      </c>
    </row>
    <row r="68" spans="2:17" x14ac:dyDescent="0.3">
      <c r="B68" s="6">
        <f ca="1">RANDBETWEEN(ranges!B$2,ranges!B$3)</f>
        <v>14926</v>
      </c>
      <c r="C68" s="9">
        <f ca="1">LOOKUP(B68,geomorph!A:A,geomorph!B:B)</f>
        <v>1509.8</v>
      </c>
      <c r="D68">
        <f t="shared" si="20"/>
        <v>1.13E-4</v>
      </c>
      <c r="E68" s="9">
        <f ca="1">'[2]Q_GEV(random)'!$J68</f>
        <v>14578.631519036726</v>
      </c>
      <c r="F68" s="26">
        <f ca="1">RANDBETWEEN(ranges!F$2*1000,ranges!F$3*1000)/1000</f>
        <v>9.0999999999999998E-2</v>
      </c>
      <c r="G68" s="3">
        <f t="shared" ca="1" si="21"/>
        <v>9.6560018009251074</v>
      </c>
      <c r="H68" s="4">
        <f t="shared" ca="1" si="22"/>
        <v>12.416155778491786</v>
      </c>
      <c r="I68" s="4">
        <f t="shared" ca="1" si="23"/>
        <v>256.83970038010477</v>
      </c>
      <c r="J68" s="26">
        <f ca="1">RANDBETWEEN(ranges!J$2*1000,ranges!J$3*1000)/1000</f>
        <v>0.79600000000000004</v>
      </c>
      <c r="K68" s="26">
        <f ca="1">RANDBETWEEN(ranges!K$2*1000,ranges!K$3*1000)/1000</f>
        <v>0.84599999999999997</v>
      </c>
      <c r="L68">
        <f t="shared" ca="1" si="24"/>
        <v>102.33644724500549</v>
      </c>
      <c r="M68">
        <f t="shared" ca="1" si="25"/>
        <v>17.459355189707548</v>
      </c>
      <c r="N68" s="4">
        <f t="shared" ca="1" si="26"/>
        <v>5.4817384904519146</v>
      </c>
      <c r="O68" s="4"/>
      <c r="P68" s="1">
        <f ca="1">LOOKUP(B68,geomorph!$A:$A,geomorph!$G:$G)</f>
        <v>104.83980100000001</v>
      </c>
      <c r="Q68" s="1">
        <f t="shared" ca="1" si="27"/>
        <v>122.29915618970756</v>
      </c>
    </row>
    <row r="69" spans="2:17" x14ac:dyDescent="0.3">
      <c r="B69" s="6">
        <f ca="1">RANDBETWEEN(ranges!B$2,ranges!B$3)</f>
        <v>10789</v>
      </c>
      <c r="C69" s="9">
        <f ca="1">LOOKUP(B69,geomorph!A:A,geomorph!B:B)</f>
        <v>1676.5</v>
      </c>
      <c r="D69">
        <f t="shared" si="20"/>
        <v>1.13E-4</v>
      </c>
      <c r="E69" s="9">
        <f ca="1">'[2]Q_GEV(random)'!$J69</f>
        <v>14533.923078518061</v>
      </c>
      <c r="F69" s="26">
        <f ca="1">RANDBETWEEN(ranges!F$2*1000,ranges!F$3*1000)/1000</f>
        <v>0.10299999999999999</v>
      </c>
      <c r="G69" s="3">
        <f t="shared" ca="1" si="21"/>
        <v>8.6692055344575376</v>
      </c>
      <c r="H69" s="4">
        <f t="shared" ca="1" si="22"/>
        <v>12.042234256571678</v>
      </c>
      <c r="I69" s="4">
        <f t="shared" ca="1" si="23"/>
        <v>215.26131659469911</v>
      </c>
      <c r="J69" s="26">
        <f ca="1">RANDBETWEEN(ranges!J$2*1000,ranges!J$3*1000)/1000</f>
        <v>0.78300000000000003</v>
      </c>
      <c r="K69" s="26">
        <f ca="1">RANDBETWEEN(ranges!K$2*1000,ranges!K$3*1000)/1000</f>
        <v>0.97899999999999998</v>
      </c>
      <c r="L69">
        <f t="shared" ca="1" si="24"/>
        <v>93.557930829909253</v>
      </c>
      <c r="M69">
        <f t="shared" ca="1" si="25"/>
        <v>17.724035427106742</v>
      </c>
      <c r="N69" s="4">
        <f t="shared" ca="1" si="26"/>
        <v>6.1758708375381124</v>
      </c>
      <c r="O69" s="4"/>
      <c r="P69" s="1">
        <f ca="1">LOOKUP(B69,geomorph!$A:$A,geomorph!$G:$G)</f>
        <v>105.307621</v>
      </c>
      <c r="Q69" s="1">
        <f t="shared" ca="1" si="27"/>
        <v>123.03165642710674</v>
      </c>
    </row>
    <row r="70" spans="2:17" x14ac:dyDescent="0.3">
      <c r="B70" s="6">
        <f ca="1">RANDBETWEEN(ranges!B$2,ranges!B$3)</f>
        <v>10176</v>
      </c>
      <c r="C70" s="9">
        <f ca="1">LOOKUP(B70,geomorph!A:A,geomorph!B:B)</f>
        <v>1590.7</v>
      </c>
      <c r="D70">
        <f t="shared" si="20"/>
        <v>1.13E-4</v>
      </c>
      <c r="E70" s="9">
        <f ca="1">'[2]Q_GEV(random)'!$J70</f>
        <v>14516.397300059387</v>
      </c>
      <c r="F70" s="26">
        <f ca="1">RANDBETWEEN(ranges!F$2*1000,ranges!F$3*1000)/1000</f>
        <v>0.10299999999999999</v>
      </c>
      <c r="G70" s="3">
        <f t="shared" ca="1" si="21"/>
        <v>9.1257919784116339</v>
      </c>
      <c r="H70" s="4">
        <f t="shared" ca="1" si="22"/>
        <v>12.461430932927597</v>
      </c>
      <c r="I70" s="4">
        <f t="shared" ca="1" si="23"/>
        <v>234.76973644471835</v>
      </c>
      <c r="J70" s="26">
        <f ca="1">RANDBETWEEN(ranges!J$2*1000,ranges!J$3*1000)/1000</f>
        <v>0.79200000000000004</v>
      </c>
      <c r="K70" s="26">
        <f ca="1">RANDBETWEEN(ranges!K$2*1000,ranges!K$3*1000)/1000</f>
        <v>0.83599999999999997</v>
      </c>
      <c r="L70">
        <f t="shared" ca="1" si="24"/>
        <v>98.389885679221678</v>
      </c>
      <c r="M70">
        <f t="shared" ca="1" si="25"/>
        <v>17.685493399942985</v>
      </c>
      <c r="N70" s="4">
        <f t="shared" ca="1" si="26"/>
        <v>5.6783287684949872</v>
      </c>
      <c r="O70" s="4"/>
      <c r="P70" s="1">
        <f ca="1">LOOKUP(B70,geomorph!$A:$A,geomorph!$G:$G)</f>
        <v>105.37655100000001</v>
      </c>
      <c r="Q70" s="1">
        <f t="shared" ca="1" si="27"/>
        <v>123.06204439994299</v>
      </c>
    </row>
    <row r="71" spans="2:17" x14ac:dyDescent="0.3">
      <c r="B71" s="6">
        <f ca="1">RANDBETWEEN(ranges!B$2,ranges!B$3)</f>
        <v>11707</v>
      </c>
      <c r="C71" s="9">
        <f ca="1">LOOKUP(B71,geomorph!A:A,geomorph!B:B)</f>
        <v>1439</v>
      </c>
      <c r="D71">
        <f t="shared" si="20"/>
        <v>1.13E-4</v>
      </c>
      <c r="E71" s="9">
        <f ca="1">'[2]Q_GEV(random)'!$J71</f>
        <v>14489.262896472974</v>
      </c>
      <c r="F71" s="26">
        <f ca="1">RANDBETWEEN(ranges!F$2*1000,ranges!F$3*1000)/1000</f>
        <v>0.107</v>
      </c>
      <c r="G71" s="3">
        <f t="shared" ca="1" si="21"/>
        <v>10.068980470099357</v>
      </c>
      <c r="H71" s="4">
        <f t="shared" ca="1" si="22"/>
        <v>13.475970600872886</v>
      </c>
      <c r="I71" s="4">
        <f t="shared" ca="1" si="23"/>
        <v>277.1061866940239</v>
      </c>
      <c r="J71" s="26">
        <f ca="1">RANDBETWEEN(ranges!J$2*1000,ranges!J$3*1000)/1000</f>
        <v>0.70499999999999996</v>
      </c>
      <c r="K71" s="26">
        <f ca="1">RANDBETWEEN(ranges!K$2*1000,ranges!K$3*1000)/1000</f>
        <v>0.80600000000000005</v>
      </c>
      <c r="L71">
        <f t="shared" ca="1" si="24"/>
        <v>115.80491270979613</v>
      </c>
      <c r="M71">
        <f t="shared" ca="1" si="25"/>
        <v>18.830689441001816</v>
      </c>
      <c r="N71" s="4">
        <f t="shared" ca="1" si="26"/>
        <v>5.8203465653575321</v>
      </c>
      <c r="O71" s="4"/>
      <c r="P71" s="1">
        <f ca="1">LOOKUP(B71,geomorph!$A:$A,geomorph!$G:$G)</f>
        <v>105.203661</v>
      </c>
      <c r="Q71" s="1">
        <f t="shared" ca="1" si="27"/>
        <v>124.03435044100181</v>
      </c>
    </row>
    <row r="72" spans="2:17" x14ac:dyDescent="0.3">
      <c r="B72" s="6">
        <f ca="1">RANDBETWEEN(ranges!B$2,ranges!B$3)</f>
        <v>11469</v>
      </c>
      <c r="C72" s="9">
        <f ca="1">LOOKUP(B72,geomorph!A:A,geomorph!B:B)</f>
        <v>1501.3</v>
      </c>
      <c r="D72">
        <f t="shared" si="20"/>
        <v>1.13E-4</v>
      </c>
      <c r="E72" s="9">
        <f ca="1">'[2]Q_GEV(random)'!$J72</f>
        <v>14487.358553183185</v>
      </c>
      <c r="F72" s="26">
        <f ca="1">RANDBETWEEN(ranges!F$2*1000,ranges!F$3*1000)/1000</f>
        <v>9.1999999999999998E-2</v>
      </c>
      <c r="G72" s="3">
        <f t="shared" ca="1" si="21"/>
        <v>9.6498758097536701</v>
      </c>
      <c r="H72" s="4">
        <f t="shared" ca="1" si="22"/>
        <v>12.456199496140714</v>
      </c>
      <c r="I72" s="4">
        <f t="shared" ca="1" si="23"/>
        <v>258.18460844501305</v>
      </c>
      <c r="J72" s="26">
        <f ca="1">RANDBETWEEN(ranges!J$2*1000,ranges!J$3*1000)/1000</f>
        <v>0.68200000000000005</v>
      </c>
      <c r="K72" s="26">
        <f ca="1">RANDBETWEEN(ranges!K$2*1000,ranges!K$3*1000)/1000</f>
        <v>0.82499999999999996</v>
      </c>
      <c r="L72">
        <f t="shared" ca="1" si="24"/>
        <v>106.02304845907642</v>
      </c>
      <c r="M72">
        <f t="shared" ca="1" si="25"/>
        <v>17.986481499632092</v>
      </c>
      <c r="N72" s="4">
        <f t="shared" ca="1" si="26"/>
        <v>6.0111760907514968</v>
      </c>
      <c r="O72" s="4"/>
      <c r="P72" s="1">
        <f ca="1">LOOKUP(B72,geomorph!$A:$A,geomorph!$G:$G)</f>
        <v>105.23078100000001</v>
      </c>
      <c r="Q72" s="1">
        <f t="shared" ca="1" si="27"/>
        <v>123.2172624996321</v>
      </c>
    </row>
    <row r="73" spans="2:17" x14ac:dyDescent="0.3">
      <c r="B73" s="6">
        <f ca="1">RANDBETWEEN(ranges!B$2,ranges!B$3)</f>
        <v>12843</v>
      </c>
      <c r="C73" s="9">
        <f ca="1">LOOKUP(B73,geomorph!A:A,geomorph!B:B)</f>
        <v>1133.5</v>
      </c>
      <c r="D73">
        <f t="shared" si="20"/>
        <v>1.13E-4</v>
      </c>
      <c r="E73" s="9">
        <f ca="1">'[2]Q_GEV(random)'!$J73</f>
        <v>14469.572845007751</v>
      </c>
      <c r="F73" s="26">
        <f ca="1">RANDBETWEEN(ranges!F$2*1000,ranges!F$3*1000)/1000</f>
        <v>0.10199999999999999</v>
      </c>
      <c r="G73" s="3">
        <f t="shared" ca="1" si="21"/>
        <v>12.765392893698943</v>
      </c>
      <c r="H73" s="4">
        <f t="shared" ca="1" si="22"/>
        <v>15.535717349803511</v>
      </c>
      <c r="I73" s="4">
        <f t="shared" ca="1" si="23"/>
        <v>412.08292212257811</v>
      </c>
      <c r="J73" s="26">
        <f ca="1">RANDBETWEEN(ranges!J$2*1000,ranges!J$3*1000)/1000</f>
        <v>0.66600000000000004</v>
      </c>
      <c r="K73" s="26">
        <f ca="1">RANDBETWEEN(ranges!K$2*1000,ranges!K$3*1000)/1000</f>
        <v>0.81299999999999994</v>
      </c>
      <c r="L73">
        <f t="shared" ca="1" si="24"/>
        <v>160.41802042788242</v>
      </c>
      <c r="M73">
        <f t="shared" ca="1" si="25"/>
        <v>20.547222355515533</v>
      </c>
      <c r="N73" s="4">
        <f t="shared" ca="1" si="26"/>
        <v>5.4472880496869811</v>
      </c>
      <c r="O73" s="4"/>
      <c r="P73" s="1">
        <f ca="1">LOOKUP(B73,geomorph!$A:$A,geomorph!$G:$G)</f>
        <v>105.07484100000001</v>
      </c>
      <c r="Q73" s="1">
        <f t="shared" ca="1" si="27"/>
        <v>125.62206335551554</v>
      </c>
    </row>
    <row r="74" spans="2:17" x14ac:dyDescent="0.3">
      <c r="B74" s="6">
        <f ca="1">RANDBETWEEN(ranges!B$2,ranges!B$3)</f>
        <v>11866</v>
      </c>
      <c r="C74" s="9">
        <f ca="1">LOOKUP(B74,geomorph!A:A,geomorph!B:B)</f>
        <v>1393.2</v>
      </c>
      <c r="D74">
        <f t="shared" si="20"/>
        <v>1.13E-4</v>
      </c>
      <c r="E74" s="9">
        <f ca="1">'[2]Q_GEV(random)'!$J74</f>
        <v>14455.348157092631</v>
      </c>
      <c r="F74" s="26">
        <f ca="1">RANDBETWEEN(ranges!F$2*1000,ranges!F$3*1000)/1000</f>
        <v>0.106</v>
      </c>
      <c r="G74" s="3">
        <f t="shared" ca="1" si="21"/>
        <v>10.375644672044666</v>
      </c>
      <c r="H74" s="4">
        <f t="shared" ca="1" si="22"/>
        <v>13.705255783778188</v>
      </c>
      <c r="I74" s="4">
        <f t="shared" ca="1" si="23"/>
        <v>291.99804563291599</v>
      </c>
      <c r="J74" s="26">
        <f ca="1">RANDBETWEEN(ranges!J$2*1000,ranges!J$3*1000)/1000</f>
        <v>0.745</v>
      </c>
      <c r="K74" s="26">
        <f ca="1">RANDBETWEEN(ranges!K$2*1000,ranges!K$3*1000)/1000</f>
        <v>0.80900000000000005</v>
      </c>
      <c r="L74">
        <f t="shared" ca="1" si="24"/>
        <v>119.38234343404737</v>
      </c>
      <c r="M74">
        <f t="shared" ca="1" si="25"/>
        <v>18.794553338571571</v>
      </c>
      <c r="N74" s="4">
        <f t="shared" ca="1" si="26"/>
        <v>5.5318451682536773</v>
      </c>
      <c r="O74" s="4"/>
      <c r="P74" s="1">
        <f ca="1">LOOKUP(B74,geomorph!$A:$A,geomorph!$G:$G)</f>
        <v>105.185581</v>
      </c>
      <c r="Q74" s="1">
        <f t="shared" ca="1" si="27"/>
        <v>123.98013433857157</v>
      </c>
    </row>
    <row r="75" spans="2:17" x14ac:dyDescent="0.3">
      <c r="B75" s="6">
        <f ca="1">RANDBETWEEN(ranges!B$2,ranges!B$3)</f>
        <v>10184</v>
      </c>
      <c r="C75" s="9">
        <f ca="1">LOOKUP(B75,geomorph!A:A,geomorph!B:B)</f>
        <v>1590.2</v>
      </c>
      <c r="D75">
        <f t="shared" ref="D75:D138" si="28">D74</f>
        <v>1.13E-4</v>
      </c>
      <c r="E75" s="9">
        <f ca="1">'[2]Q_GEV(random)'!$J75</f>
        <v>14450.644636192646</v>
      </c>
      <c r="F75" s="26">
        <f ca="1">RANDBETWEEN(ranges!F$2*1000,ranges!F$3*1000)/1000</f>
        <v>0.09</v>
      </c>
      <c r="G75" s="3">
        <f t="shared" ref="G75:G138" ca="1" si="29">E75/C75</f>
        <v>9.0873126878333839</v>
      </c>
      <c r="H75" s="4">
        <f t="shared" ref="H75:H138" ca="1" si="30">POWER(G75/SQRT(4*9.807*D75/F75),2/3)</f>
        <v>11.879904455187988</v>
      </c>
      <c r="I75" s="4">
        <f t="shared" ref="I75:I138" ca="1" si="31">POWER(G75*G75/9.807/D75,1/3)/C75/D75</f>
        <v>234.18293742343312</v>
      </c>
      <c r="J75" s="26">
        <f ca="1">RANDBETWEEN(ranges!J$2*1000,ranges!J$3*1000)/1000</f>
        <v>0.63</v>
      </c>
      <c r="K75" s="26">
        <f ca="1">RANDBETWEEN(ranges!K$2*1000,ranges!K$3*1000)/1000</f>
        <v>0.81299999999999994</v>
      </c>
      <c r="L75">
        <f t="shared" ref="L75:L138" ca="1" si="32">0.63*POWER(F75,1/3)*I75+5.75*(1+SQRT(1+0.11*J75*POWER(F75,1/3)*K75*I75))/J75</f>
        <v>99.240354593764664</v>
      </c>
      <c r="M75">
        <f t="shared" ref="M75:M138" ca="1" si="33">L75*C75*D75</f>
        <v>17.832757341875514</v>
      </c>
      <c r="N75" s="4">
        <f t="shared" ref="N75:N138" ca="1" si="34">(M75-H75)/0.92</f>
        <v>6.4704922681386137</v>
      </c>
      <c r="O75" s="4"/>
      <c r="P75" s="1">
        <f ca="1">LOOKUP(B75,geomorph!$A:$A,geomorph!$G:$G)</f>
        <v>105.375421</v>
      </c>
      <c r="Q75" s="1">
        <f t="shared" ref="Q75:Q138" ca="1" si="35">M75+P75</f>
        <v>123.20817834187551</v>
      </c>
    </row>
    <row r="76" spans="2:17" x14ac:dyDescent="0.3">
      <c r="B76" s="6">
        <f ca="1">RANDBETWEEN(ranges!B$2,ranges!B$3)</f>
        <v>13946</v>
      </c>
      <c r="C76" s="9">
        <f ca="1">LOOKUP(B76,geomorph!A:A,geomorph!B:B)</f>
        <v>1312.6</v>
      </c>
      <c r="D76">
        <f t="shared" si="28"/>
        <v>1.13E-4</v>
      </c>
      <c r="E76" s="9">
        <f ca="1">'[2]Q_GEV(random)'!$J76</f>
        <v>14441.465286025723</v>
      </c>
      <c r="F76" s="26">
        <f ca="1">RANDBETWEEN(ranges!F$2*1000,ranges!F$3*1000)/1000</f>
        <v>9.0999999999999998E-2</v>
      </c>
      <c r="G76" s="3">
        <f t="shared" ca="1" si="29"/>
        <v>11.002182908750362</v>
      </c>
      <c r="H76" s="4">
        <f t="shared" ca="1" si="30"/>
        <v>13.544869794195572</v>
      </c>
      <c r="I76" s="4">
        <f t="shared" ca="1" si="31"/>
        <v>322.2825991420454</v>
      </c>
      <c r="J76" s="26">
        <f ca="1">RANDBETWEEN(ranges!J$2*1000,ranges!J$3*1000)/1000</f>
        <v>0.74099999999999999</v>
      </c>
      <c r="K76" s="26">
        <f ca="1">RANDBETWEEN(ranges!K$2*1000,ranges!K$3*1000)/1000</f>
        <v>0.93</v>
      </c>
      <c r="L76">
        <f t="shared" ca="1" si="32"/>
        <v>125.95307407702893</v>
      </c>
      <c r="M76">
        <f t="shared" ca="1" si="33"/>
        <v>18.681838568786421</v>
      </c>
      <c r="N76" s="4">
        <f t="shared" ca="1" si="34"/>
        <v>5.5836617115117928</v>
      </c>
      <c r="O76" s="4"/>
      <c r="P76" s="1">
        <f ca="1">LOOKUP(B76,geomorph!$A:$A,geomorph!$G:$G)</f>
        <v>104.950541</v>
      </c>
      <c r="Q76" s="1">
        <f t="shared" ca="1" si="35"/>
        <v>123.63237956878642</v>
      </c>
    </row>
    <row r="77" spans="2:17" x14ac:dyDescent="0.3">
      <c r="B77" s="6">
        <f ca="1">RANDBETWEEN(ranges!B$2,ranges!B$3)</f>
        <v>10044</v>
      </c>
      <c r="C77" s="9">
        <f ca="1">LOOKUP(B77,geomorph!A:A,geomorph!B:B)</f>
        <v>1645.1</v>
      </c>
      <c r="D77">
        <f t="shared" si="28"/>
        <v>1.13E-4</v>
      </c>
      <c r="E77" s="9">
        <f ca="1">'[2]Q_GEV(random)'!$J77</f>
        <v>14417.427608760308</v>
      </c>
      <c r="F77" s="26">
        <f ca="1">RANDBETWEEN(ranges!F$2*1000,ranges!F$3*1000)/1000</f>
        <v>9.6000000000000002E-2</v>
      </c>
      <c r="G77" s="3">
        <f t="shared" ca="1" si="29"/>
        <v>8.7638609256338889</v>
      </c>
      <c r="H77" s="4">
        <f t="shared" ca="1" si="30"/>
        <v>11.84847688717149</v>
      </c>
      <c r="I77" s="4">
        <f t="shared" ca="1" si="31"/>
        <v>220.96392003507512</v>
      </c>
      <c r="J77" s="26">
        <f ca="1">RANDBETWEEN(ranges!J$2*1000,ranges!J$3*1000)/1000</f>
        <v>0.70899999999999996</v>
      </c>
      <c r="K77" s="26">
        <f ca="1">RANDBETWEEN(ranges!K$2*1000,ranges!K$3*1000)/1000</f>
        <v>0.92900000000000005</v>
      </c>
      <c r="L77">
        <f t="shared" ca="1" si="32"/>
        <v>95.258633273767657</v>
      </c>
      <c r="M77">
        <f t="shared" ca="1" si="33"/>
        <v>17.708227468650293</v>
      </c>
      <c r="N77" s="4">
        <f t="shared" ca="1" si="34"/>
        <v>6.3692941103030467</v>
      </c>
      <c r="O77" s="4"/>
      <c r="P77" s="1">
        <f ca="1">LOOKUP(B77,geomorph!$A:$A,geomorph!$G:$G)</f>
        <v>105.39124100000001</v>
      </c>
      <c r="Q77" s="1">
        <f t="shared" ca="1" si="35"/>
        <v>123.0994684686503</v>
      </c>
    </row>
    <row r="78" spans="2:17" x14ac:dyDescent="0.3">
      <c r="B78" s="6">
        <f ca="1">RANDBETWEEN(ranges!B$2,ranges!B$3)</f>
        <v>13337</v>
      </c>
      <c r="C78" s="9">
        <f ca="1">LOOKUP(B78,geomorph!A:A,geomorph!B:B)</f>
        <v>1177.5999999999999</v>
      </c>
      <c r="D78">
        <f t="shared" si="28"/>
        <v>1.13E-4</v>
      </c>
      <c r="E78" s="9">
        <f ca="1">'[2]Q_GEV(random)'!$J78</f>
        <v>14396.321399248882</v>
      </c>
      <c r="F78" s="26">
        <f ca="1">RANDBETWEEN(ranges!F$2*1000,ranges!F$3*1000)/1000</f>
        <v>0.105</v>
      </c>
      <c r="G78" s="3">
        <f t="shared" ca="1" si="29"/>
        <v>12.225137057786077</v>
      </c>
      <c r="H78" s="4">
        <f t="shared" ca="1" si="30"/>
        <v>15.240786786627629</v>
      </c>
      <c r="I78" s="4">
        <f t="shared" ca="1" si="31"/>
        <v>385.37899908187069</v>
      </c>
      <c r="J78" s="26">
        <f ca="1">RANDBETWEEN(ranges!J$2*1000,ranges!J$3*1000)/1000</f>
        <v>0.79700000000000004</v>
      </c>
      <c r="K78" s="26">
        <f ca="1">RANDBETWEEN(ranges!K$2*1000,ranges!K$3*1000)/1000</f>
        <v>0.95099999999999996</v>
      </c>
      <c r="L78">
        <f t="shared" ca="1" si="32"/>
        <v>150.75545467939276</v>
      </c>
      <c r="M78">
        <f t="shared" ca="1" si="33"/>
        <v>20.060847447641176</v>
      </c>
      <c r="N78" s="4">
        <f t="shared" ca="1" si="34"/>
        <v>5.2391963706668996</v>
      </c>
      <c r="O78" s="4"/>
      <c r="P78" s="1">
        <f ca="1">LOOKUP(B78,geomorph!$A:$A,geomorph!$G:$G)</f>
        <v>105.01947100000001</v>
      </c>
      <c r="Q78" s="1">
        <f t="shared" ca="1" si="35"/>
        <v>125.08031844764119</v>
      </c>
    </row>
    <row r="79" spans="2:17" x14ac:dyDescent="0.3">
      <c r="B79" s="6">
        <f ca="1">RANDBETWEEN(ranges!B$2,ranges!B$3)</f>
        <v>12237</v>
      </c>
      <c r="C79" s="9">
        <f ca="1">LOOKUP(B79,geomorph!A:A,geomorph!B:B)</f>
        <v>1282.2</v>
      </c>
      <c r="D79">
        <f t="shared" si="28"/>
        <v>1.13E-4</v>
      </c>
      <c r="E79" s="9">
        <f ca="1">'[2]Q_GEV(random)'!$J79</f>
        <v>14391.002002442085</v>
      </c>
      <c r="F79" s="26">
        <f ca="1">RANDBETWEEN(ranges!F$2*1000,ranges!F$3*1000)/1000</f>
        <v>9.5000000000000001E-2</v>
      </c>
      <c r="G79" s="3">
        <f t="shared" ca="1" si="29"/>
        <v>11.223679615069477</v>
      </c>
      <c r="H79" s="4">
        <f t="shared" ca="1" si="30"/>
        <v>13.924293613923954</v>
      </c>
      <c r="I79" s="4">
        <f t="shared" ca="1" si="31"/>
        <v>334.33698244349716</v>
      </c>
      <c r="J79" s="26">
        <f ca="1">RANDBETWEEN(ranges!J$2*1000,ranges!J$3*1000)/1000</f>
        <v>0.72499999999999998</v>
      </c>
      <c r="K79" s="26">
        <f ca="1">RANDBETWEEN(ranges!K$2*1000,ranges!K$3*1000)/1000</f>
        <v>0.80700000000000005</v>
      </c>
      <c r="L79">
        <f t="shared" ca="1" si="32"/>
        <v>130.12643746608467</v>
      </c>
      <c r="M79">
        <f t="shared" ca="1" si="33"/>
        <v>18.853837347448554</v>
      </c>
      <c r="N79" s="4">
        <f t="shared" ca="1" si="34"/>
        <v>5.3581997103528254</v>
      </c>
      <c r="O79" s="4"/>
      <c r="P79" s="1">
        <f ca="1">LOOKUP(B79,geomorph!$A:$A,geomorph!$G:$G)</f>
        <v>105.143771</v>
      </c>
      <c r="Q79" s="1">
        <f t="shared" ca="1" si="35"/>
        <v>123.99760834744856</v>
      </c>
    </row>
    <row r="80" spans="2:17" x14ac:dyDescent="0.3">
      <c r="B80" s="6">
        <f ca="1">RANDBETWEEN(ranges!B$2,ranges!B$3)</f>
        <v>12781</v>
      </c>
      <c r="C80" s="9">
        <f ca="1">LOOKUP(B80,geomorph!A:A,geomorph!B:B)</f>
        <v>1138</v>
      </c>
      <c r="D80">
        <f t="shared" si="28"/>
        <v>1.13E-4</v>
      </c>
      <c r="E80" s="9">
        <f ca="1">'[2]Q_GEV(random)'!$J80</f>
        <v>14388.623513012502</v>
      </c>
      <c r="F80" s="26">
        <f ca="1">RANDBETWEEN(ranges!F$2*1000,ranges!F$3*1000)/1000</f>
        <v>0.109</v>
      </c>
      <c r="G80" s="3">
        <f t="shared" ca="1" si="29"/>
        <v>12.643781645880933</v>
      </c>
      <c r="H80" s="4">
        <f t="shared" ca="1" si="30"/>
        <v>15.782239174384305</v>
      </c>
      <c r="I80" s="4">
        <f t="shared" ca="1" si="31"/>
        <v>407.84243675495037</v>
      </c>
      <c r="J80" s="26">
        <f ca="1">RANDBETWEEN(ranges!J$2*1000,ranges!J$3*1000)/1000</f>
        <v>0.61099999999999999</v>
      </c>
      <c r="K80" s="26">
        <f ca="1">RANDBETWEEN(ranges!K$2*1000,ranges!K$3*1000)/1000</f>
        <v>0.92700000000000005</v>
      </c>
      <c r="L80">
        <f t="shared" ca="1" si="32"/>
        <v>166.25848445723597</v>
      </c>
      <c r="M80">
        <f t="shared" ca="1" si="33"/>
        <v>21.379843550293803</v>
      </c>
      <c r="N80" s="4">
        <f t="shared" ca="1" si="34"/>
        <v>6.0843525825103235</v>
      </c>
      <c r="O80" s="4"/>
      <c r="P80" s="1">
        <f ca="1">LOOKUP(B80,geomorph!$A:$A,geomorph!$G:$G)</f>
        <v>105.081621</v>
      </c>
      <c r="Q80" s="1">
        <f t="shared" ca="1" si="35"/>
        <v>126.4614645502938</v>
      </c>
    </row>
    <row r="81" spans="2:17" x14ac:dyDescent="0.3">
      <c r="B81" s="6">
        <f ca="1">RANDBETWEEN(ranges!B$2,ranges!B$3)</f>
        <v>12126</v>
      </c>
      <c r="C81" s="9">
        <f ca="1">LOOKUP(B81,geomorph!A:A,geomorph!B:B)</f>
        <v>1312.4</v>
      </c>
      <c r="D81">
        <f t="shared" si="28"/>
        <v>1.13E-4</v>
      </c>
      <c r="E81" s="9">
        <f ca="1">'[2]Q_GEV(random)'!$J81</f>
        <v>14388.389506506603</v>
      </c>
      <c r="F81" s="26">
        <f ca="1">RANDBETWEEN(ranges!F$2*1000,ranges!F$3*1000)/1000</f>
        <v>9.4E-2</v>
      </c>
      <c r="G81" s="3">
        <f t="shared" ca="1" si="29"/>
        <v>10.963417789169918</v>
      </c>
      <c r="H81" s="4">
        <f t="shared" ca="1" si="30"/>
        <v>13.659927386143522</v>
      </c>
      <c r="I81" s="4">
        <f t="shared" ca="1" si="31"/>
        <v>321.57413104248877</v>
      </c>
      <c r="J81" s="26">
        <f ca="1">RANDBETWEEN(ranges!J$2*1000,ranges!J$3*1000)/1000</f>
        <v>0.71499999999999997</v>
      </c>
      <c r="K81" s="26">
        <f ca="1">RANDBETWEEN(ranges!K$2*1000,ranges!K$3*1000)/1000</f>
        <v>0.92200000000000004</v>
      </c>
      <c r="L81">
        <f t="shared" ca="1" si="32"/>
        <v>127.55029382434898</v>
      </c>
      <c r="M81">
        <f t="shared" ca="1" si="33"/>
        <v>18.915861634503543</v>
      </c>
      <c r="N81" s="4">
        <f t="shared" ca="1" si="34"/>
        <v>5.7129720090869789</v>
      </c>
      <c r="O81" s="4"/>
      <c r="P81" s="1">
        <f ca="1">LOOKUP(B81,geomorph!$A:$A,geomorph!$G:$G)</f>
        <v>105.15620100000001</v>
      </c>
      <c r="Q81" s="1">
        <f t="shared" ca="1" si="35"/>
        <v>124.07206263450355</v>
      </c>
    </row>
    <row r="82" spans="2:17" x14ac:dyDescent="0.3">
      <c r="B82" s="6">
        <f ca="1">RANDBETWEEN(ranges!B$2,ranges!B$3)</f>
        <v>10459</v>
      </c>
      <c r="C82" s="9">
        <f ca="1">LOOKUP(B82,geomorph!A:A,geomorph!B:B)</f>
        <v>1761.6</v>
      </c>
      <c r="D82">
        <f t="shared" si="28"/>
        <v>1.13E-4</v>
      </c>
      <c r="E82" s="9">
        <f ca="1">'[2]Q_GEV(random)'!$J82</f>
        <v>14384.119902329488</v>
      </c>
      <c r="F82" s="26">
        <f ca="1">RANDBETWEEN(ranges!F$2*1000,ranges!F$3*1000)/1000</f>
        <v>9.7000000000000003E-2</v>
      </c>
      <c r="G82" s="3">
        <f t="shared" ca="1" si="29"/>
        <v>8.1653723332933072</v>
      </c>
      <c r="H82" s="4">
        <f t="shared" ca="1" si="30"/>
        <v>11.341827472514851</v>
      </c>
      <c r="I82" s="4">
        <f t="shared" ca="1" si="31"/>
        <v>196.84605277482541</v>
      </c>
      <c r="J82" s="26">
        <f ca="1">RANDBETWEEN(ranges!J$2*1000,ranges!J$3*1000)/1000</f>
        <v>0.61799999999999999</v>
      </c>
      <c r="K82" s="26">
        <f ca="1">RANDBETWEEN(ranges!K$2*1000,ranges!K$3*1000)/1000</f>
        <v>0.94699999999999995</v>
      </c>
      <c r="L82">
        <f t="shared" ca="1" si="32"/>
        <v>90.587121668259016</v>
      </c>
      <c r="M82">
        <f t="shared" ca="1" si="33"/>
        <v>18.032344908980974</v>
      </c>
      <c r="N82" s="4">
        <f t="shared" ca="1" si="34"/>
        <v>7.2723015613762207</v>
      </c>
      <c r="O82" s="4"/>
      <c r="P82" s="1">
        <f ca="1">LOOKUP(B82,geomorph!$A:$A,geomorph!$G:$G)</f>
        <v>105.344911</v>
      </c>
      <c r="Q82" s="1">
        <f t="shared" ca="1" si="35"/>
        <v>123.37725590898097</v>
      </c>
    </row>
    <row r="83" spans="2:17" x14ac:dyDescent="0.3">
      <c r="B83" s="6">
        <f ca="1">RANDBETWEEN(ranges!B$2,ranges!B$3)</f>
        <v>10301</v>
      </c>
      <c r="C83" s="9">
        <f ca="1">LOOKUP(B83,geomorph!A:A,geomorph!B:B)</f>
        <v>1659</v>
      </c>
      <c r="D83">
        <f t="shared" si="28"/>
        <v>1.13E-4</v>
      </c>
      <c r="E83" s="9">
        <f ca="1">'[2]Q_GEV(random)'!$J83</f>
        <v>14354.975918475491</v>
      </c>
      <c r="F83" s="26">
        <f ca="1">RANDBETWEEN(ranges!F$2*1000,ranges!F$3*1000)/1000</f>
        <v>0.109</v>
      </c>
      <c r="G83" s="3">
        <f t="shared" ca="1" si="29"/>
        <v>8.6527883776223575</v>
      </c>
      <c r="H83" s="4">
        <f t="shared" ca="1" si="30"/>
        <v>12.256167399963468</v>
      </c>
      <c r="I83" s="4">
        <f t="shared" ca="1" si="31"/>
        <v>217.25728720682878</v>
      </c>
      <c r="J83" s="26">
        <f ca="1">RANDBETWEEN(ranges!J$2*1000,ranges!J$3*1000)/1000</f>
        <v>0.60899999999999999</v>
      </c>
      <c r="K83" s="26">
        <f ca="1">RANDBETWEEN(ranges!K$2*1000,ranges!K$3*1000)/1000</f>
        <v>0.83499999999999996</v>
      </c>
      <c r="L83">
        <f t="shared" ca="1" si="32"/>
        <v>99.453808683750438</v>
      </c>
      <c r="M83">
        <f t="shared" ca="1" si="33"/>
        <v>18.644307152516642</v>
      </c>
      <c r="N83" s="4">
        <f t="shared" ca="1" si="34"/>
        <v>6.943630165818667</v>
      </c>
      <c r="O83" s="4"/>
      <c r="P83" s="1">
        <f ca="1">LOOKUP(B83,geomorph!$A:$A,geomorph!$G:$G)</f>
        <v>105.361861</v>
      </c>
      <c r="Q83" s="1">
        <f t="shared" ca="1" si="35"/>
        <v>124.00616815251665</v>
      </c>
    </row>
    <row r="84" spans="2:17" x14ac:dyDescent="0.3">
      <c r="B84" s="6">
        <f ca="1">RANDBETWEEN(ranges!B$2,ranges!B$3)</f>
        <v>11657</v>
      </c>
      <c r="C84" s="9">
        <f ca="1">LOOKUP(B84,geomorph!A:A,geomorph!B:B)</f>
        <v>1452.5</v>
      </c>
      <c r="D84">
        <f t="shared" si="28"/>
        <v>1.13E-4</v>
      </c>
      <c r="E84" s="9">
        <f ca="1">'[2]Q_GEV(random)'!$J84</f>
        <v>14346.455565373597</v>
      </c>
      <c r="F84" s="26">
        <f ca="1">RANDBETWEEN(ranges!F$2*1000,ranges!F$3*1000)/1000</f>
        <v>0.10100000000000001</v>
      </c>
      <c r="G84" s="3">
        <f t="shared" ca="1" si="29"/>
        <v>9.877077841909534</v>
      </c>
      <c r="H84" s="4">
        <f t="shared" ca="1" si="30"/>
        <v>13.050723008830206</v>
      </c>
      <c r="I84" s="4">
        <f t="shared" ca="1" si="31"/>
        <v>271.03134909019121</v>
      </c>
      <c r="J84" s="26">
        <f ca="1">RANDBETWEEN(ranges!J$2*1000,ranges!J$3*1000)/1000</f>
        <v>0.67200000000000004</v>
      </c>
      <c r="K84" s="26">
        <f ca="1">RANDBETWEEN(ranges!K$2*1000,ranges!K$3*1000)/1000</f>
        <v>0.877</v>
      </c>
      <c r="L84">
        <f t="shared" ca="1" si="32"/>
        <v>114.00352507697181</v>
      </c>
      <c r="M84">
        <f t="shared" ca="1" si="33"/>
        <v>18.711683579696075</v>
      </c>
      <c r="N84" s="4">
        <f t="shared" ca="1" si="34"/>
        <v>6.1532180118107274</v>
      </c>
      <c r="O84" s="4"/>
      <c r="P84" s="1">
        <f ca="1">LOOKUP(B84,geomorph!$A:$A,geomorph!$G:$G)</f>
        <v>105.209311</v>
      </c>
      <c r="Q84" s="1">
        <f t="shared" ca="1" si="35"/>
        <v>123.92099457969607</v>
      </c>
    </row>
    <row r="85" spans="2:17" x14ac:dyDescent="0.3">
      <c r="B85" s="6">
        <f ca="1">RANDBETWEEN(ranges!B$2,ranges!B$3)</f>
        <v>11391</v>
      </c>
      <c r="C85" s="9">
        <f ca="1">LOOKUP(B85,geomorph!A:A,geomorph!B:B)</f>
        <v>1544.9</v>
      </c>
      <c r="D85">
        <f t="shared" si="28"/>
        <v>1.13E-4</v>
      </c>
      <c r="E85" s="9">
        <f ca="1">'[2]Q_GEV(random)'!$J85</f>
        <v>14277.31577069695</v>
      </c>
      <c r="F85" s="26">
        <f ca="1">RANDBETWEEN(ranges!F$2*1000,ranges!F$3*1000)/1000</f>
        <v>9.4E-2</v>
      </c>
      <c r="G85" s="3">
        <f t="shared" ca="1" si="29"/>
        <v>9.2415792418259759</v>
      </c>
      <c r="H85" s="4">
        <f t="shared" ca="1" si="30"/>
        <v>12.189387280434667</v>
      </c>
      <c r="I85" s="4">
        <f t="shared" ca="1" si="31"/>
        <v>243.77010153800165</v>
      </c>
      <c r="J85" s="26">
        <f ca="1">RANDBETWEEN(ranges!J$2*1000,ranges!J$3*1000)/1000</f>
        <v>0.65300000000000002</v>
      </c>
      <c r="K85" s="26">
        <f ca="1">RANDBETWEEN(ranges!K$2*1000,ranges!K$3*1000)/1000</f>
        <v>0.93300000000000005</v>
      </c>
      <c r="L85">
        <f t="shared" ca="1" si="32"/>
        <v>104.19705963221365</v>
      </c>
      <c r="M85">
        <f t="shared" ca="1" si="33"/>
        <v>18.190066229116177</v>
      </c>
      <c r="N85" s="4">
        <f t="shared" ca="1" si="34"/>
        <v>6.5224771181320751</v>
      </c>
      <c r="O85" s="4"/>
      <c r="P85" s="1">
        <f ca="1">LOOKUP(B85,geomorph!$A:$A,geomorph!$G:$G)</f>
        <v>105.238691</v>
      </c>
      <c r="Q85" s="1">
        <f t="shared" ca="1" si="35"/>
        <v>123.42875722911617</v>
      </c>
    </row>
    <row r="86" spans="2:17" x14ac:dyDescent="0.3">
      <c r="B86" s="6">
        <f ca="1">RANDBETWEEN(ranges!B$2,ranges!B$3)</f>
        <v>10634</v>
      </c>
      <c r="C86" s="9">
        <f ca="1">LOOKUP(B86,geomorph!A:A,geomorph!B:B)</f>
        <v>1732</v>
      </c>
      <c r="D86">
        <f t="shared" si="28"/>
        <v>1.13E-4</v>
      </c>
      <c r="E86" s="9">
        <f ca="1">'[2]Q_GEV(random)'!$J86</f>
        <v>14275.03515305186</v>
      </c>
      <c r="F86" s="26">
        <f ca="1">RANDBETWEEN(ranges!F$2*1000,ranges!F$3*1000)/1000</f>
        <v>9.4E-2</v>
      </c>
      <c r="G86" s="3">
        <f t="shared" ca="1" si="29"/>
        <v>8.24193715534172</v>
      </c>
      <c r="H86" s="4">
        <f t="shared" ca="1" si="30"/>
        <v>11.293726866106542</v>
      </c>
      <c r="I86" s="4">
        <f t="shared" ca="1" si="31"/>
        <v>201.45976748880227</v>
      </c>
      <c r="J86" s="26">
        <f ca="1">RANDBETWEEN(ranges!J$2*1000,ranges!J$3*1000)/1000</f>
        <v>0.60199999999999998</v>
      </c>
      <c r="K86" s="26">
        <f ca="1">RANDBETWEEN(ranges!K$2*1000,ranges!K$3*1000)/1000</f>
        <v>0.88500000000000001</v>
      </c>
      <c r="L86">
        <f t="shared" ca="1" si="32"/>
        <v>91.363288668038223</v>
      </c>
      <c r="M86">
        <f t="shared" ca="1" si="33"/>
        <v>17.881257404953768</v>
      </c>
      <c r="N86" s="4">
        <f t="shared" ca="1" si="34"/>
        <v>7.1603592813556798</v>
      </c>
      <c r="O86" s="4"/>
      <c r="P86" s="1">
        <f ca="1">LOOKUP(B86,geomorph!$A:$A,geomorph!$G:$G)</f>
        <v>105.32457100000001</v>
      </c>
      <c r="Q86" s="1">
        <f t="shared" ca="1" si="35"/>
        <v>123.20582840495378</v>
      </c>
    </row>
    <row r="87" spans="2:17" x14ac:dyDescent="0.3">
      <c r="B87" s="6">
        <f ca="1">RANDBETWEEN(ranges!B$2,ranges!B$3)</f>
        <v>10467</v>
      </c>
      <c r="C87" s="9">
        <f ca="1">LOOKUP(B87,geomorph!A:A,geomorph!B:B)</f>
        <v>1762.9</v>
      </c>
      <c r="D87">
        <f t="shared" si="28"/>
        <v>1.13E-4</v>
      </c>
      <c r="E87" s="9">
        <f ca="1">'[2]Q_GEV(random)'!$J87</f>
        <v>14269.717743813457</v>
      </c>
      <c r="F87" s="26">
        <f ca="1">RANDBETWEEN(ranges!F$2*1000,ranges!F$3*1000)/1000</f>
        <v>9.7000000000000003E-2</v>
      </c>
      <c r="G87" s="3">
        <f t="shared" ca="1" si="29"/>
        <v>8.0944567155331875</v>
      </c>
      <c r="H87" s="4">
        <f t="shared" ca="1" si="30"/>
        <v>11.276063461781709</v>
      </c>
      <c r="I87" s="4">
        <f t="shared" ca="1" si="31"/>
        <v>195.5603514983485</v>
      </c>
      <c r="J87" s="26">
        <f ca="1">RANDBETWEEN(ranges!J$2*1000,ranges!J$3*1000)/1000</f>
        <v>0.622</v>
      </c>
      <c r="K87" s="26">
        <f ca="1">RANDBETWEEN(ranges!K$2*1000,ranges!K$3*1000)/1000</f>
        <v>0.879</v>
      </c>
      <c r="L87">
        <f t="shared" ca="1" si="32"/>
        <v>89.246281375741162</v>
      </c>
      <c r="M87">
        <f t="shared" ca="1" si="33"/>
        <v>17.778546446414232</v>
      </c>
      <c r="N87" s="4">
        <f t="shared" ca="1" si="34"/>
        <v>7.0679162876440467</v>
      </c>
      <c r="O87" s="4"/>
      <c r="P87" s="1">
        <f ca="1">LOOKUP(B87,geomorph!$A:$A,geomorph!$G:$G)</f>
        <v>105.34378100000001</v>
      </c>
      <c r="Q87" s="1">
        <f t="shared" ca="1" si="35"/>
        <v>123.12232744641423</v>
      </c>
    </row>
    <row r="88" spans="2:17" x14ac:dyDescent="0.3">
      <c r="B88" s="6">
        <f ca="1">RANDBETWEEN(ranges!B$2,ranges!B$3)</f>
        <v>12240</v>
      </c>
      <c r="C88" s="9">
        <f ca="1">LOOKUP(B88,geomorph!A:A,geomorph!B:B)</f>
        <v>1279.4000000000001</v>
      </c>
      <c r="D88">
        <f t="shared" si="28"/>
        <v>1.13E-4</v>
      </c>
      <c r="E88" s="9">
        <f ca="1">'[2]Q_GEV(random)'!$J88</f>
        <v>14249.658657803458</v>
      </c>
      <c r="F88" s="26">
        <f ca="1">RANDBETWEEN(ranges!F$2*1000,ranges!F$3*1000)/1000</f>
        <v>0.10299999999999999</v>
      </c>
      <c r="G88" s="3">
        <f t="shared" ca="1" si="29"/>
        <v>11.137766654528262</v>
      </c>
      <c r="H88" s="4">
        <f t="shared" ca="1" si="30"/>
        <v>14.231574417330748</v>
      </c>
      <c r="I88" s="4">
        <f t="shared" ca="1" si="31"/>
        <v>333.35661722632409</v>
      </c>
      <c r="J88" s="26">
        <f ca="1">RANDBETWEEN(ranges!J$2*1000,ranges!J$3*1000)/1000</f>
        <v>0.68400000000000005</v>
      </c>
      <c r="K88" s="26">
        <f ca="1">RANDBETWEEN(ranges!K$2*1000,ranges!K$3*1000)/1000</f>
        <v>0.995</v>
      </c>
      <c r="L88">
        <f t="shared" ca="1" si="32"/>
        <v>136.80799412548413</v>
      </c>
      <c r="M88">
        <f t="shared" ca="1" si="33"/>
        <v>19.778632688308317</v>
      </c>
      <c r="N88" s="4">
        <f t="shared" ca="1" si="34"/>
        <v>6.0294111641060528</v>
      </c>
      <c r="O88" s="4"/>
      <c r="P88" s="1">
        <f ca="1">LOOKUP(B88,geomorph!$A:$A,geomorph!$G:$G)</f>
        <v>105.142641</v>
      </c>
      <c r="Q88" s="1">
        <f t="shared" ca="1" si="35"/>
        <v>124.92127368830832</v>
      </c>
    </row>
    <row r="89" spans="2:17" x14ac:dyDescent="0.3">
      <c r="B89" s="6">
        <f ca="1">RANDBETWEEN(ranges!B$2,ranges!B$3)</f>
        <v>11697</v>
      </c>
      <c r="C89" s="9">
        <f ca="1">LOOKUP(B89,geomorph!A:A,geomorph!B:B)</f>
        <v>1441.8</v>
      </c>
      <c r="D89">
        <f t="shared" si="28"/>
        <v>1.13E-4</v>
      </c>
      <c r="E89" s="9">
        <f ca="1">'[2]Q_GEV(random)'!$J89</f>
        <v>14247.161970214313</v>
      </c>
      <c r="F89" s="26">
        <f ca="1">RANDBETWEEN(ranges!F$2*1000,ranges!F$3*1000)/1000</f>
        <v>0.10299999999999999</v>
      </c>
      <c r="G89" s="3">
        <f t="shared" ca="1" si="29"/>
        <v>9.8815105910766494</v>
      </c>
      <c r="H89" s="4">
        <f t="shared" ca="1" si="30"/>
        <v>13.140233979986867</v>
      </c>
      <c r="I89" s="4">
        <f t="shared" ca="1" si="31"/>
        <v>273.12443508242688</v>
      </c>
      <c r="J89" s="26">
        <f ca="1">RANDBETWEEN(ranges!J$2*1000,ranges!J$3*1000)/1000</f>
        <v>0.73299999999999998</v>
      </c>
      <c r="K89" s="26">
        <f ca="1">RANDBETWEEN(ranges!K$2*1000,ranges!K$3*1000)/1000</f>
        <v>0.91600000000000004</v>
      </c>
      <c r="L89">
        <f t="shared" ca="1" si="32"/>
        <v>113.86781306128302</v>
      </c>
      <c r="M89">
        <f t="shared" ca="1" si="33"/>
        <v>18.551731254508638</v>
      </c>
      <c r="N89" s="4">
        <f t="shared" ca="1" si="34"/>
        <v>5.8820622549149686</v>
      </c>
      <c r="O89" s="4"/>
      <c r="P89" s="1">
        <f ca="1">LOOKUP(B89,geomorph!$A:$A,geomorph!$G:$G)</f>
        <v>105.204791</v>
      </c>
      <c r="Q89" s="1">
        <f t="shared" ca="1" si="35"/>
        <v>123.75652225450864</v>
      </c>
    </row>
    <row r="90" spans="2:17" x14ac:dyDescent="0.3">
      <c r="B90" s="6">
        <f ca="1">RANDBETWEEN(ranges!B$2,ranges!B$3)</f>
        <v>10044</v>
      </c>
      <c r="C90" s="9">
        <f ca="1">LOOKUP(B90,geomorph!A:A,geomorph!B:B)</f>
        <v>1645.1</v>
      </c>
      <c r="D90">
        <f t="shared" si="28"/>
        <v>1.13E-4</v>
      </c>
      <c r="E90" s="9">
        <f ca="1">'[2]Q_GEV(random)'!$J90</f>
        <v>14240.997047739605</v>
      </c>
      <c r="F90" s="26">
        <f ca="1">RANDBETWEEN(ranges!F$2*1000,ranges!F$3*1000)/1000</f>
        <v>0.10199999999999999</v>
      </c>
      <c r="G90" s="3">
        <f t="shared" ca="1" si="29"/>
        <v>8.6566148244724364</v>
      </c>
      <c r="H90" s="4">
        <f t="shared" ca="1" si="30"/>
        <v>11.991511176857095</v>
      </c>
      <c r="I90" s="4">
        <f t="shared" ca="1" si="31"/>
        <v>219.15755362442172</v>
      </c>
      <c r="J90" s="26">
        <f ca="1">RANDBETWEEN(ranges!J$2*1000,ranges!J$3*1000)/1000</f>
        <v>0.65200000000000002</v>
      </c>
      <c r="K90" s="26">
        <f ca="1">RANDBETWEEN(ranges!K$2*1000,ranges!K$3*1000)/1000</f>
        <v>0.85399999999999998</v>
      </c>
      <c r="L90">
        <f t="shared" ca="1" si="32"/>
        <v>97.111023069406201</v>
      </c>
      <c r="M90">
        <f t="shared" ca="1" si="33"/>
        <v>18.052579877817251</v>
      </c>
      <c r="N90" s="4">
        <f t="shared" ca="1" si="34"/>
        <v>6.588118153217561</v>
      </c>
      <c r="O90" s="4"/>
      <c r="P90" s="1">
        <f ca="1">LOOKUP(B90,geomorph!$A:$A,geomorph!$G:$G)</f>
        <v>105.39124100000001</v>
      </c>
      <c r="Q90" s="1">
        <f t="shared" ca="1" si="35"/>
        <v>123.44382087781726</v>
      </c>
    </row>
    <row r="91" spans="2:17" x14ac:dyDescent="0.3">
      <c r="B91" s="6">
        <f ca="1">RANDBETWEEN(ranges!B$2,ranges!B$3)</f>
        <v>10117</v>
      </c>
      <c r="C91" s="9">
        <f ca="1">LOOKUP(B91,geomorph!A:A,geomorph!B:B)</f>
        <v>1598.8</v>
      </c>
      <c r="D91">
        <f t="shared" si="28"/>
        <v>1.13E-4</v>
      </c>
      <c r="E91" s="9">
        <f ca="1">'[2]Q_GEV(random)'!$J91</f>
        <v>14186.030297461428</v>
      </c>
      <c r="F91" s="26">
        <f ca="1">RANDBETWEEN(ranges!F$2*1000,ranges!F$3*1000)/1000</f>
        <v>0.1</v>
      </c>
      <c r="G91" s="3">
        <f t="shared" ca="1" si="29"/>
        <v>8.8729236286348687</v>
      </c>
      <c r="H91" s="4">
        <f t="shared" ca="1" si="30"/>
        <v>12.110245824746828</v>
      </c>
      <c r="I91" s="4">
        <f t="shared" ca="1" si="31"/>
        <v>229.24526435378496</v>
      </c>
      <c r="J91" s="26">
        <f ca="1">RANDBETWEEN(ranges!J$2*1000,ranges!J$3*1000)/1000</f>
        <v>0.67300000000000004</v>
      </c>
      <c r="K91" s="26">
        <f ca="1">RANDBETWEEN(ranges!K$2*1000,ranges!K$3*1000)/1000</f>
        <v>0.86499999999999999</v>
      </c>
      <c r="L91">
        <f t="shared" ca="1" si="32"/>
        <v>99.462519863832455</v>
      </c>
      <c r="M91">
        <f t="shared" ca="1" si="33"/>
        <v>17.96933647368737</v>
      </c>
      <c r="N91" s="4">
        <f t="shared" ca="1" si="34"/>
        <v>6.3685767923266763</v>
      </c>
      <c r="O91" s="4"/>
      <c r="P91" s="1">
        <f ca="1">LOOKUP(B91,geomorph!$A:$A,geomorph!$G:$G)</f>
        <v>105.383331</v>
      </c>
      <c r="Q91" s="1">
        <f t="shared" ca="1" si="35"/>
        <v>123.35266747368738</v>
      </c>
    </row>
    <row r="92" spans="2:17" x14ac:dyDescent="0.3">
      <c r="B92" s="6">
        <f ca="1">RANDBETWEEN(ranges!B$2,ranges!B$3)</f>
        <v>10584</v>
      </c>
      <c r="C92" s="9">
        <f ca="1">LOOKUP(B92,geomorph!A:A,geomorph!B:B)</f>
        <v>1746</v>
      </c>
      <c r="D92">
        <f t="shared" si="28"/>
        <v>1.13E-4</v>
      </c>
      <c r="E92" s="9">
        <f ca="1">'[2]Q_GEV(random)'!$J92</f>
        <v>14148.492048433036</v>
      </c>
      <c r="F92" s="26">
        <f ca="1">RANDBETWEEN(ranges!F$2*1000,ranges!F$3*1000)/1000</f>
        <v>9.0999999999999998E-2</v>
      </c>
      <c r="G92" s="3">
        <f t="shared" ca="1" si="29"/>
        <v>8.1033745981861607</v>
      </c>
      <c r="H92" s="4">
        <f t="shared" ca="1" si="30"/>
        <v>11.046707919492633</v>
      </c>
      <c r="I92" s="4">
        <f t="shared" ca="1" si="31"/>
        <v>197.59823210790159</v>
      </c>
      <c r="J92" s="26">
        <f ca="1">RANDBETWEEN(ranges!J$2*1000,ranges!J$3*1000)/1000</f>
        <v>0.78</v>
      </c>
      <c r="K92" s="26">
        <f ca="1">RANDBETWEEN(ranges!K$2*1000,ranges!K$3*1000)/1000</f>
        <v>0.83499999999999996</v>
      </c>
      <c r="L92">
        <f t="shared" ca="1" si="32"/>
        <v>83.374665813566253</v>
      </c>
      <c r="M92">
        <f t="shared" ca="1" si="33"/>
        <v>16.449654815684994</v>
      </c>
      <c r="N92" s="4">
        <f t="shared" ca="1" si="34"/>
        <v>5.8727683654264791</v>
      </c>
      <c r="O92" s="4"/>
      <c r="P92" s="1">
        <f ca="1">LOOKUP(B92,geomorph!$A:$A,geomorph!$G:$G)</f>
        <v>105.33022100000001</v>
      </c>
      <c r="Q92" s="1">
        <f t="shared" ca="1" si="35"/>
        <v>121.779875815685</v>
      </c>
    </row>
    <row r="93" spans="2:17" x14ac:dyDescent="0.3">
      <c r="B93" s="6">
        <f ca="1">RANDBETWEEN(ranges!B$2,ranges!B$3)</f>
        <v>12497</v>
      </c>
      <c r="C93" s="9">
        <f ca="1">LOOKUP(B93,geomorph!A:A,geomorph!B:B)</f>
        <v>1212.3</v>
      </c>
      <c r="D93">
        <f t="shared" si="28"/>
        <v>1.13E-4</v>
      </c>
      <c r="E93" s="9">
        <f ca="1">'[2]Q_GEV(random)'!$J93</f>
        <v>14136.785856113032</v>
      </c>
      <c r="F93" s="26">
        <f ca="1">RANDBETWEEN(ranges!F$2*1000,ranges!F$3*1000)/1000</f>
        <v>9.4E-2</v>
      </c>
      <c r="G93" s="3">
        <f t="shared" ca="1" si="29"/>
        <v>11.66112831486681</v>
      </c>
      <c r="H93" s="4">
        <f t="shared" ca="1" si="30"/>
        <v>14.233492077585613</v>
      </c>
      <c r="I93" s="4">
        <f t="shared" ca="1" si="31"/>
        <v>362.744047505862</v>
      </c>
      <c r="J93" s="26">
        <f ca="1">RANDBETWEEN(ranges!J$2*1000,ranges!J$3*1000)/1000</f>
        <v>0.70599999999999996</v>
      </c>
      <c r="K93" s="26">
        <f ca="1">RANDBETWEEN(ranges!K$2*1000,ranges!K$3*1000)/1000</f>
        <v>0.98299999999999998</v>
      </c>
      <c r="L93">
        <f t="shared" ca="1" si="32"/>
        <v>142.07816098082674</v>
      </c>
      <c r="M93">
        <f t="shared" ca="1" si="33"/>
        <v>19.463273064947355</v>
      </c>
      <c r="N93" s="4">
        <f t="shared" ca="1" si="34"/>
        <v>5.6845445514801547</v>
      </c>
      <c r="O93" s="4"/>
      <c r="P93" s="1">
        <f ca="1">LOOKUP(B93,geomorph!$A:$A,geomorph!$G:$G)</f>
        <v>105.114391</v>
      </c>
      <c r="Q93" s="1">
        <f t="shared" ca="1" si="35"/>
        <v>124.57766406494736</v>
      </c>
    </row>
    <row r="94" spans="2:17" x14ac:dyDescent="0.3">
      <c r="B94" s="6">
        <f ca="1">RANDBETWEEN(ranges!B$2,ranges!B$3)</f>
        <v>13337</v>
      </c>
      <c r="C94" s="9">
        <f ca="1">LOOKUP(B94,geomorph!A:A,geomorph!B:B)</f>
        <v>1177.5999999999999</v>
      </c>
      <c r="D94">
        <f t="shared" si="28"/>
        <v>1.13E-4</v>
      </c>
      <c r="E94" s="9">
        <f ca="1">'[2]Q_GEV(random)'!$J94</f>
        <v>14131.698670272181</v>
      </c>
      <c r="F94" s="26">
        <f ca="1">RANDBETWEEN(ranges!F$2*1000,ranges!F$3*1000)/1000</f>
        <v>9.2999999999999999E-2</v>
      </c>
      <c r="G94" s="3">
        <f t="shared" ca="1" si="29"/>
        <v>12.000423463206676</v>
      </c>
      <c r="H94" s="4">
        <f t="shared" ca="1" si="30"/>
        <v>14.456633145971525</v>
      </c>
      <c r="I94" s="4">
        <f t="shared" ca="1" si="31"/>
        <v>380.6419073336607</v>
      </c>
      <c r="J94" s="26">
        <f ca="1">RANDBETWEEN(ranges!J$2*1000,ranges!J$3*1000)/1000</f>
        <v>0.65900000000000003</v>
      </c>
      <c r="K94" s="26">
        <f ca="1">RANDBETWEEN(ranges!K$2*1000,ranges!K$3*1000)/1000</f>
        <v>0.86199999999999999</v>
      </c>
      <c r="L94">
        <f t="shared" ca="1" si="32"/>
        <v>147.31464537275895</v>
      </c>
      <c r="M94">
        <f t="shared" ca="1" si="33"/>
        <v>19.602983082178582</v>
      </c>
      <c r="N94" s="4">
        <f t="shared" ca="1" si="34"/>
        <v>5.5938586263120191</v>
      </c>
      <c r="O94" s="4"/>
      <c r="P94" s="1">
        <f ca="1">LOOKUP(B94,geomorph!$A:$A,geomorph!$G:$G)</f>
        <v>105.01947100000001</v>
      </c>
      <c r="Q94" s="1">
        <f t="shared" ca="1" si="35"/>
        <v>124.62245408217859</v>
      </c>
    </row>
    <row r="95" spans="2:17" x14ac:dyDescent="0.3">
      <c r="B95" s="6">
        <f ca="1">RANDBETWEEN(ranges!B$2,ranges!B$3)</f>
        <v>13487</v>
      </c>
      <c r="C95" s="9">
        <f ca="1">LOOKUP(B95,geomorph!A:A,geomorph!B:B)</f>
        <v>1197.4000000000001</v>
      </c>
      <c r="D95">
        <f t="shared" si="28"/>
        <v>1.13E-4</v>
      </c>
      <c r="E95" s="9">
        <f ca="1">'[2]Q_GEV(random)'!$J95</f>
        <v>14122.026330971043</v>
      </c>
      <c r="F95" s="26">
        <f ca="1">RANDBETWEEN(ranges!F$2*1000,ranges!F$3*1000)/1000</f>
        <v>9.8000000000000004E-2</v>
      </c>
      <c r="G95" s="3">
        <f t="shared" ca="1" si="29"/>
        <v>11.793908744756173</v>
      </c>
      <c r="H95" s="4">
        <f t="shared" ca="1" si="30"/>
        <v>14.541939403439708</v>
      </c>
      <c r="I95" s="4">
        <f t="shared" ca="1" si="31"/>
        <v>370.04051085933935</v>
      </c>
      <c r="J95" s="26">
        <f ca="1">RANDBETWEEN(ranges!J$2*1000,ranges!J$3*1000)/1000</f>
        <v>0.60199999999999998</v>
      </c>
      <c r="K95" s="26">
        <f ca="1">RANDBETWEEN(ranges!K$2*1000,ranges!K$3*1000)/1000</f>
        <v>0.81200000000000006</v>
      </c>
      <c r="L95">
        <f t="shared" ca="1" si="32"/>
        <v>147.49795352428143</v>
      </c>
      <c r="M95">
        <f t="shared" ca="1" si="33"/>
        <v>19.957387599147129</v>
      </c>
      <c r="N95" s="4">
        <f t="shared" ca="1" si="34"/>
        <v>5.886356734464588</v>
      </c>
      <c r="O95" s="4"/>
      <c r="P95" s="1">
        <f ca="1">LOOKUP(B95,geomorph!$A:$A,geomorph!$G:$G)</f>
        <v>105.002521</v>
      </c>
      <c r="Q95" s="1">
        <f t="shared" ca="1" si="35"/>
        <v>124.95990859914713</v>
      </c>
    </row>
    <row r="96" spans="2:17" x14ac:dyDescent="0.3">
      <c r="B96" s="6">
        <f ca="1">RANDBETWEEN(ranges!B$2,ranges!B$3)</f>
        <v>12310</v>
      </c>
      <c r="C96" s="9">
        <f ca="1">LOOKUP(B96,geomorph!A:A,geomorph!B:B)</f>
        <v>1260.3</v>
      </c>
      <c r="D96">
        <f t="shared" si="28"/>
        <v>1.13E-4</v>
      </c>
      <c r="E96" s="9">
        <f ca="1">'[2]Q_GEV(random)'!$J96</f>
        <v>14121.828541164938</v>
      </c>
      <c r="F96" s="26">
        <f ca="1">RANDBETWEEN(ranges!F$2*1000,ranges!F$3*1000)/1000</f>
        <v>9.4E-2</v>
      </c>
      <c r="G96" s="3">
        <f t="shared" ca="1" si="29"/>
        <v>11.205132540795793</v>
      </c>
      <c r="H96" s="4">
        <f t="shared" ca="1" si="30"/>
        <v>13.859973922564864</v>
      </c>
      <c r="I96" s="4">
        <f t="shared" ca="1" si="31"/>
        <v>339.77186393049357</v>
      </c>
      <c r="J96" s="26">
        <f ca="1">RANDBETWEEN(ranges!J$2*1000,ranges!J$3*1000)/1000</f>
        <v>0.67100000000000004</v>
      </c>
      <c r="K96" s="26">
        <f ca="1">RANDBETWEEN(ranges!K$2*1000,ranges!K$3*1000)/1000</f>
        <v>0.89900000000000002</v>
      </c>
      <c r="L96">
        <f t="shared" ca="1" si="32"/>
        <v>134.64091925900573</v>
      </c>
      <c r="M96">
        <f t="shared" ca="1" si="33"/>
        <v>19.174738411260115</v>
      </c>
      <c r="N96" s="4">
        <f t="shared" ca="1" si="34"/>
        <v>5.7769179224948388</v>
      </c>
      <c r="O96" s="4"/>
      <c r="P96" s="1">
        <f ca="1">LOOKUP(B96,geomorph!$A:$A,geomorph!$G:$G)</f>
        <v>105.134731</v>
      </c>
      <c r="Q96" s="1">
        <f t="shared" ca="1" si="35"/>
        <v>124.30946941126012</v>
      </c>
    </row>
    <row r="97" spans="2:17" x14ac:dyDescent="0.3">
      <c r="B97" s="6">
        <f ca="1">RANDBETWEEN(ranges!B$2,ranges!B$3)</f>
        <v>13945</v>
      </c>
      <c r="C97" s="9">
        <f ca="1">LOOKUP(B97,geomorph!A:A,geomorph!B:B)</f>
        <v>1312.6</v>
      </c>
      <c r="D97">
        <f t="shared" si="28"/>
        <v>1.13E-4</v>
      </c>
      <c r="E97" s="9">
        <f ca="1">'[2]Q_GEV(random)'!$J97</f>
        <v>14118.291369479248</v>
      </c>
      <c r="F97" s="26">
        <f ca="1">RANDBETWEEN(ranges!F$2*1000,ranges!F$3*1000)/1000</f>
        <v>9.9000000000000005E-2</v>
      </c>
      <c r="G97" s="3">
        <f t="shared" ca="1" si="29"/>
        <v>10.755973921590163</v>
      </c>
      <c r="H97" s="4">
        <f t="shared" ca="1" si="30"/>
        <v>13.722082367855178</v>
      </c>
      <c r="I97" s="4">
        <f t="shared" ca="1" si="31"/>
        <v>317.45641735322147</v>
      </c>
      <c r="J97" s="26">
        <f ca="1">RANDBETWEEN(ranges!J$2*1000,ranges!J$3*1000)/1000</f>
        <v>0.69899999999999995</v>
      </c>
      <c r="K97" s="26">
        <f ca="1">RANDBETWEEN(ranges!K$2*1000,ranges!K$3*1000)/1000</f>
        <v>0.95499999999999996</v>
      </c>
      <c r="L97">
        <f t="shared" ca="1" si="32"/>
        <v>128.98408096922137</v>
      </c>
      <c r="M97">
        <f t="shared" ca="1" si="33"/>
        <v>19.131409028862596</v>
      </c>
      <c r="N97" s="4">
        <f t="shared" ca="1" si="34"/>
        <v>5.8797028923993668</v>
      </c>
      <c r="O97" s="4"/>
      <c r="P97" s="1">
        <f ca="1">LOOKUP(B97,geomorph!$A:$A,geomorph!$G:$G)</f>
        <v>104.950541</v>
      </c>
      <c r="Q97" s="1">
        <f t="shared" ca="1" si="35"/>
        <v>124.08195002886259</v>
      </c>
    </row>
    <row r="98" spans="2:17" x14ac:dyDescent="0.3">
      <c r="B98" s="6">
        <f ca="1">RANDBETWEEN(ranges!B$2,ranges!B$3)</f>
        <v>11227</v>
      </c>
      <c r="C98" s="9">
        <f ca="1">LOOKUP(B98,geomorph!A:A,geomorph!B:B)</f>
        <v>1650.9</v>
      </c>
      <c r="D98">
        <f t="shared" si="28"/>
        <v>1.13E-4</v>
      </c>
      <c r="E98" s="9">
        <f ca="1">'[2]Q_GEV(random)'!$J98</f>
        <v>14115.695628272966</v>
      </c>
      <c r="F98" s="26">
        <f ca="1">RANDBETWEEN(ranges!F$2*1000,ranges!F$3*1000)/1000</f>
        <v>0.106</v>
      </c>
      <c r="G98" s="3">
        <f t="shared" ca="1" si="29"/>
        <v>8.5503032456677968</v>
      </c>
      <c r="H98" s="4">
        <f t="shared" ca="1" si="30"/>
        <v>12.046607584587173</v>
      </c>
      <c r="I98" s="4">
        <f t="shared" ca="1" si="31"/>
        <v>216.59591481769024</v>
      </c>
      <c r="J98" s="26">
        <f ca="1">RANDBETWEEN(ranges!J$2*1000,ranges!J$3*1000)/1000</f>
        <v>0.78900000000000003</v>
      </c>
      <c r="K98" s="26">
        <f ca="1">RANDBETWEEN(ranges!K$2*1000,ranges!K$3*1000)/1000</f>
        <v>0.86799999999999999</v>
      </c>
      <c r="L98">
        <f t="shared" ca="1" si="32"/>
        <v>93.389986740041962</v>
      </c>
      <c r="M98">
        <f t="shared" ca="1" si="33"/>
        <v>17.422060789332285</v>
      </c>
      <c r="N98" s="4">
        <f t="shared" ca="1" si="34"/>
        <v>5.842883918201208</v>
      </c>
      <c r="O98" s="4"/>
      <c r="P98" s="1">
        <f ca="1">LOOKUP(B98,geomorph!$A:$A,geomorph!$G:$G)</f>
        <v>105.257901</v>
      </c>
      <c r="Q98" s="1">
        <f t="shared" ca="1" si="35"/>
        <v>122.67996178933228</v>
      </c>
    </row>
    <row r="99" spans="2:17" x14ac:dyDescent="0.3">
      <c r="B99" s="6">
        <f ca="1">RANDBETWEEN(ranges!B$2,ranges!B$3)</f>
        <v>12662</v>
      </c>
      <c r="C99" s="9">
        <f ca="1">LOOKUP(B99,geomorph!A:A,geomorph!B:B)</f>
        <v>1168.3</v>
      </c>
      <c r="D99">
        <f t="shared" si="28"/>
        <v>1.13E-4</v>
      </c>
      <c r="E99" s="9">
        <f ca="1">'[2]Q_GEV(random)'!$J99</f>
        <v>14113.504151080246</v>
      </c>
      <c r="F99" s="26">
        <f ca="1">RANDBETWEEN(ranges!F$2*1000,ranges!F$3*1000)/1000</f>
        <v>9.7000000000000003E-2</v>
      </c>
      <c r="G99" s="3">
        <f t="shared" ca="1" si="29"/>
        <v>12.08037674491162</v>
      </c>
      <c r="H99" s="4">
        <f t="shared" ca="1" si="30"/>
        <v>14.72604174056057</v>
      </c>
      <c r="I99" s="4">
        <f t="shared" ca="1" si="31"/>
        <v>385.37419094911724</v>
      </c>
      <c r="J99" s="26">
        <f ca="1">RANDBETWEEN(ranges!J$2*1000,ranges!J$3*1000)/1000</f>
        <v>0.63400000000000001</v>
      </c>
      <c r="K99" s="26">
        <f ca="1">RANDBETWEEN(ranges!K$2*1000,ranges!K$3*1000)/1000</f>
        <v>0.96199999999999997</v>
      </c>
      <c r="L99">
        <f t="shared" ca="1" si="32"/>
        <v>153.17042566441035</v>
      </c>
      <c r="M99">
        <f t="shared" ca="1" si="33"/>
        <v>20.221237938321558</v>
      </c>
      <c r="N99" s="4">
        <f t="shared" ca="1" si="34"/>
        <v>5.9730393453923778</v>
      </c>
      <c r="O99" s="4"/>
      <c r="P99" s="1">
        <f ca="1">LOOKUP(B99,geomorph!$A:$A,geomorph!$G:$G)</f>
        <v>105.095181</v>
      </c>
      <c r="Q99" s="1">
        <f t="shared" ca="1" si="35"/>
        <v>125.31641893832156</v>
      </c>
    </row>
    <row r="100" spans="2:17" x14ac:dyDescent="0.3">
      <c r="B100" s="6">
        <f ca="1">RANDBETWEEN(ranges!B$2,ranges!B$3)</f>
        <v>13270</v>
      </c>
      <c r="C100" s="9">
        <f ca="1">LOOKUP(B100,geomorph!A:A,geomorph!B:B)</f>
        <v>1171</v>
      </c>
      <c r="D100">
        <f t="shared" si="28"/>
        <v>1.13E-4</v>
      </c>
      <c r="E100" s="9">
        <f ca="1">'[2]Q_GEV(random)'!$J100</f>
        <v>14096.998683681428</v>
      </c>
      <c r="F100" s="26">
        <f ca="1">RANDBETWEEN(ranges!F$2*1000,ranges!F$3*1000)/1000</f>
        <v>0.10199999999999999</v>
      </c>
      <c r="G100" s="3">
        <f t="shared" ca="1" si="29"/>
        <v>12.038427569326583</v>
      </c>
      <c r="H100" s="4">
        <f t="shared" ca="1" si="30"/>
        <v>14.940152480932014</v>
      </c>
      <c r="I100" s="4">
        <f t="shared" ca="1" si="31"/>
        <v>383.59502376482959</v>
      </c>
      <c r="J100" s="26">
        <f ca="1">RANDBETWEEN(ranges!J$2*1000,ranges!J$3*1000)/1000</f>
        <v>0.69099999999999995</v>
      </c>
      <c r="K100" s="26">
        <f ca="1">RANDBETWEEN(ranges!K$2*1000,ranges!K$3*1000)/1000</f>
        <v>0.95499999999999996</v>
      </c>
      <c r="L100">
        <f t="shared" ca="1" si="32"/>
        <v>152.3816202630542</v>
      </c>
      <c r="M100">
        <f t="shared" ca="1" si="33"/>
        <v>20.163593138068119</v>
      </c>
      <c r="N100" s="4">
        <f t="shared" ca="1" si="34"/>
        <v>5.6776528881914192</v>
      </c>
      <c r="O100" s="4"/>
      <c r="P100" s="1">
        <f ca="1">LOOKUP(B100,geomorph!$A:$A,geomorph!$G:$G)</f>
        <v>105.026251</v>
      </c>
      <c r="Q100" s="1">
        <f t="shared" ca="1" si="35"/>
        <v>125.18984413806812</v>
      </c>
    </row>
    <row r="101" spans="2:17" x14ac:dyDescent="0.3">
      <c r="B101" s="6">
        <f ca="1">RANDBETWEEN(ranges!B$2,ranges!B$3)</f>
        <v>12680</v>
      </c>
      <c r="C101" s="9">
        <f ca="1">LOOKUP(B101,geomorph!A:A,geomorph!B:B)</f>
        <v>1163.0999999999999</v>
      </c>
      <c r="D101">
        <f t="shared" si="28"/>
        <v>1.13E-4</v>
      </c>
      <c r="E101" s="9">
        <f ca="1">'[2]Q_GEV(random)'!$J101</f>
        <v>14096.033773245588</v>
      </c>
      <c r="F101" s="26">
        <f ca="1">RANDBETWEEN(ranges!F$2*1000,ranges!F$3*1000)/1000</f>
        <v>0.10299999999999999</v>
      </c>
      <c r="G101" s="3">
        <f t="shared" ca="1" si="29"/>
        <v>12.11936529382305</v>
      </c>
      <c r="H101" s="4">
        <f t="shared" ca="1" si="30"/>
        <v>15.055925442808221</v>
      </c>
      <c r="I101" s="4">
        <f t="shared" ca="1" si="31"/>
        <v>387.92956411974961</v>
      </c>
      <c r="J101" s="26">
        <f ca="1">RANDBETWEEN(ranges!J$2*1000,ranges!J$3*1000)/1000</f>
        <v>0.623</v>
      </c>
      <c r="K101" s="26">
        <f ca="1">RANDBETWEEN(ranges!K$2*1000,ranges!K$3*1000)/1000</f>
        <v>0.90900000000000003</v>
      </c>
      <c r="L101">
        <f t="shared" ca="1" si="32"/>
        <v>156.1968685984412</v>
      </c>
      <c r="M101">
        <f t="shared" ca="1" si="33"/>
        <v>20.529001298953705</v>
      </c>
      <c r="N101" s="4">
        <f t="shared" ca="1" si="34"/>
        <v>5.9489954958103093</v>
      </c>
      <c r="O101" s="4"/>
      <c r="P101" s="1">
        <f ca="1">LOOKUP(B101,geomorph!$A:$A,geomorph!$G:$G)</f>
        <v>105.092921</v>
      </c>
      <c r="Q101" s="1">
        <f t="shared" ca="1" si="35"/>
        <v>125.62192229895371</v>
      </c>
    </row>
    <row r="102" spans="2:17" x14ac:dyDescent="0.3">
      <c r="B102" s="6">
        <f ca="1">RANDBETWEEN(ranges!B$2,ranges!B$3)</f>
        <v>12984</v>
      </c>
      <c r="C102" s="9">
        <f ca="1">LOOKUP(B102,geomorph!A:A,geomorph!B:B)</f>
        <v>1142.5999999999999</v>
      </c>
      <c r="D102">
        <f t="shared" si="28"/>
        <v>1.13E-4</v>
      </c>
      <c r="E102" s="9">
        <f ca="1">'[2]Q_GEV(random)'!$J102</f>
        <v>14095.613644321427</v>
      </c>
      <c r="F102" s="26">
        <f ca="1">RANDBETWEEN(ranges!F$2*1000,ranges!F$3*1000)/1000</f>
        <v>9.6000000000000002E-2</v>
      </c>
      <c r="G102" s="3">
        <f t="shared" ca="1" si="29"/>
        <v>12.336437637249631</v>
      </c>
      <c r="H102" s="4">
        <f t="shared" ca="1" si="30"/>
        <v>14.881911564112862</v>
      </c>
      <c r="I102" s="4">
        <f t="shared" ca="1" si="31"/>
        <v>399.59094871604515</v>
      </c>
      <c r="J102" s="26">
        <f ca="1">RANDBETWEEN(ranges!J$2*1000,ranges!J$3*1000)/1000</f>
        <v>0.749</v>
      </c>
      <c r="K102" s="26">
        <f ca="1">RANDBETWEEN(ranges!K$2*1000,ranges!K$3*1000)/1000</f>
        <v>0.82599999999999996</v>
      </c>
      <c r="L102">
        <f t="shared" ca="1" si="32"/>
        <v>151.10229571271503</v>
      </c>
      <c r="M102">
        <f t="shared" ca="1" si="33"/>
        <v>19.509391588192344</v>
      </c>
      <c r="N102" s="4">
        <f t="shared" ca="1" si="34"/>
        <v>5.0298695913907405</v>
      </c>
      <c r="O102" s="4"/>
      <c r="P102" s="1">
        <f ca="1">LOOKUP(B102,geomorph!$A:$A,geomorph!$G:$G)</f>
        <v>105.059021</v>
      </c>
      <c r="Q102" s="1">
        <f t="shared" ca="1" si="35"/>
        <v>124.56841258819234</v>
      </c>
    </row>
    <row r="103" spans="2:17" x14ac:dyDescent="0.3">
      <c r="B103" s="6">
        <f ca="1">RANDBETWEEN(ranges!B$2,ranges!B$3)</f>
        <v>10225</v>
      </c>
      <c r="C103" s="9">
        <f ca="1">LOOKUP(B103,geomorph!A:A,geomorph!B:B)</f>
        <v>1593.6</v>
      </c>
      <c r="D103">
        <f t="shared" si="28"/>
        <v>1.13E-4</v>
      </c>
      <c r="E103" s="9">
        <f ca="1">'[2]Q_GEV(random)'!$J103</f>
        <v>14071.509152207191</v>
      </c>
      <c r="F103" s="26">
        <f ca="1">RANDBETWEEN(ranges!F$2*1000,ranges!F$3*1000)/1000</f>
        <v>0.11</v>
      </c>
      <c r="G103" s="3">
        <f t="shared" ca="1" si="29"/>
        <v>8.8300132732223844</v>
      </c>
      <c r="H103" s="4">
        <f t="shared" ca="1" si="30"/>
        <v>12.460828800626057</v>
      </c>
      <c r="I103" s="4">
        <f t="shared" ca="1" si="31"/>
        <v>229.2511907519457</v>
      </c>
      <c r="J103" s="26">
        <f ca="1">RANDBETWEEN(ranges!J$2*1000,ranges!J$3*1000)/1000</f>
        <v>0.60799999999999998</v>
      </c>
      <c r="K103" s="26">
        <f ca="1">RANDBETWEEN(ranges!K$2*1000,ranges!K$3*1000)/1000</f>
        <v>0.83199999999999996</v>
      </c>
      <c r="L103">
        <f t="shared" ca="1" si="32"/>
        <v>103.88005111137387</v>
      </c>
      <c r="M103">
        <f t="shared" ca="1" si="33"/>
        <v>18.706387187972648</v>
      </c>
      <c r="N103" s="4">
        <f t="shared" ca="1" si="34"/>
        <v>6.7886504210289029</v>
      </c>
      <c r="O103" s="4"/>
      <c r="P103" s="1">
        <f ca="1">LOOKUP(B103,geomorph!$A:$A,geomorph!$G:$G)</f>
        <v>105.370901</v>
      </c>
      <c r="Q103" s="1">
        <f t="shared" ca="1" si="35"/>
        <v>124.07728818797266</v>
      </c>
    </row>
    <row r="104" spans="2:17" x14ac:dyDescent="0.3">
      <c r="B104" s="6">
        <f ca="1">RANDBETWEEN(ranges!B$2,ranges!B$3)</f>
        <v>13420</v>
      </c>
      <c r="C104" s="9">
        <f ca="1">LOOKUP(B104,geomorph!A:A,geomorph!B:B)</f>
        <v>1188.5</v>
      </c>
      <c r="D104">
        <f t="shared" si="28"/>
        <v>1.13E-4</v>
      </c>
      <c r="E104" s="9">
        <f ca="1">'[2]Q_GEV(random)'!$J104</f>
        <v>14044.078565127576</v>
      </c>
      <c r="F104" s="26">
        <f ca="1">RANDBETWEEN(ranges!F$2*1000,ranges!F$3*1000)/1000</f>
        <v>0.11</v>
      </c>
      <c r="G104" s="3">
        <f t="shared" ca="1" si="29"/>
        <v>11.816641619796025</v>
      </c>
      <c r="H104" s="4">
        <f t="shared" ca="1" si="30"/>
        <v>15.132199832446831</v>
      </c>
      <c r="I104" s="4">
        <f t="shared" ca="1" si="31"/>
        <v>373.29044511135339</v>
      </c>
      <c r="J104" s="26">
        <f ca="1">RANDBETWEEN(ranges!J$2*1000,ranges!J$3*1000)/1000</f>
        <v>0.68</v>
      </c>
      <c r="K104" s="26">
        <f ca="1">RANDBETWEEN(ranges!K$2*1000,ranges!K$3*1000)/1000</f>
        <v>0.998</v>
      </c>
      <c r="L104">
        <f t="shared" ca="1" si="32"/>
        <v>153.17131851179633</v>
      </c>
      <c r="M104">
        <f t="shared" ca="1" si="33"/>
        <v>20.570984661793503</v>
      </c>
      <c r="N104" s="4">
        <f t="shared" ca="1" si="34"/>
        <v>5.911722640594208</v>
      </c>
      <c r="O104" s="4"/>
      <c r="P104" s="1">
        <f ca="1">LOOKUP(B104,geomorph!$A:$A,geomorph!$G:$G)</f>
        <v>105.00930100000001</v>
      </c>
      <c r="Q104" s="1">
        <f t="shared" ca="1" si="35"/>
        <v>125.58028566179351</v>
      </c>
    </row>
    <row r="105" spans="2:17" x14ac:dyDescent="0.3">
      <c r="B105" s="6">
        <f ca="1">RANDBETWEEN(ranges!B$2,ranges!B$3)</f>
        <v>10018</v>
      </c>
      <c r="C105" s="9">
        <f ca="1">LOOKUP(B105,geomorph!A:A,geomorph!B:B)</f>
        <v>1705.9</v>
      </c>
      <c r="D105">
        <f t="shared" si="28"/>
        <v>1.13E-4</v>
      </c>
      <c r="E105" s="9">
        <f ca="1">'[2]Q_GEV(random)'!$J105</f>
        <v>14039.237797108115</v>
      </c>
      <c r="F105" s="26">
        <f ca="1">RANDBETWEEN(ranges!F$2*1000,ranges!F$3*1000)/1000</f>
        <v>0.11</v>
      </c>
      <c r="G105" s="3">
        <f t="shared" ca="1" si="29"/>
        <v>8.2298128829990702</v>
      </c>
      <c r="H105" s="4">
        <f t="shared" ca="1" si="30"/>
        <v>11.889565917312686</v>
      </c>
      <c r="I105" s="4">
        <f t="shared" ca="1" si="31"/>
        <v>204.34142690964484</v>
      </c>
      <c r="J105" s="26">
        <f ca="1">RANDBETWEEN(ranges!J$2*1000,ranges!J$3*1000)/1000</f>
        <v>0.60599999999999998</v>
      </c>
      <c r="K105" s="26">
        <f ca="1">RANDBETWEEN(ranges!K$2*1000,ranges!K$3*1000)/1000</f>
        <v>0.93300000000000005</v>
      </c>
      <c r="L105">
        <f t="shared" ca="1" si="32"/>
        <v>96.434542241834492</v>
      </c>
      <c r="M105">
        <f t="shared" ca="1" si="33"/>
        <v>18.589368473969039</v>
      </c>
      <c r="N105" s="4">
        <f t="shared" ca="1" si="34"/>
        <v>7.2823940833221226</v>
      </c>
      <c r="O105" s="4"/>
      <c r="P105" s="1">
        <f ca="1">LOOKUP(B105,geomorph!$A:$A,geomorph!$G:$G)</f>
        <v>105.394631</v>
      </c>
      <c r="Q105" s="1">
        <f t="shared" ca="1" si="35"/>
        <v>123.98399947396905</v>
      </c>
    </row>
    <row r="106" spans="2:17" x14ac:dyDescent="0.3">
      <c r="B106" s="6">
        <f ca="1">RANDBETWEEN(ranges!B$2,ranges!B$3)</f>
        <v>14864</v>
      </c>
      <c r="C106" s="9">
        <f ca="1">LOOKUP(B106,geomorph!A:A,geomorph!B:B)</f>
        <v>1501.6</v>
      </c>
      <c r="D106">
        <f t="shared" si="28"/>
        <v>1.13E-4</v>
      </c>
      <c r="E106" s="9">
        <f ca="1">'[2]Q_GEV(random)'!$J106</f>
        <v>14038.526093002121</v>
      </c>
      <c r="F106" s="26">
        <f ca="1">RANDBETWEEN(ranges!F$2*1000,ranges!F$3*1000)/1000</f>
        <v>0.105</v>
      </c>
      <c r="G106" s="3">
        <f t="shared" ca="1" si="29"/>
        <v>9.3490450805821279</v>
      </c>
      <c r="H106" s="4">
        <f t="shared" ca="1" si="30"/>
        <v>12.74529031208063</v>
      </c>
      <c r="I106" s="4">
        <f t="shared" ca="1" si="31"/>
        <v>252.73996824919078</v>
      </c>
      <c r="J106" s="26">
        <f ca="1">RANDBETWEEN(ranges!J$2*1000,ranges!J$3*1000)/1000</f>
        <v>0.63600000000000001</v>
      </c>
      <c r="K106" s="26">
        <f ca="1">RANDBETWEEN(ranges!K$2*1000,ranges!K$3*1000)/1000</f>
        <v>0.83799999999999997</v>
      </c>
      <c r="L106">
        <f t="shared" ca="1" si="32"/>
        <v>109.71492753260526</v>
      </c>
      <c r="M106">
        <f t="shared" ca="1" si="33"/>
        <v>18.616516675674482</v>
      </c>
      <c r="N106" s="4">
        <f t="shared" ca="1" si="34"/>
        <v>6.3817677865150566</v>
      </c>
      <c r="O106" s="4"/>
      <c r="P106" s="1">
        <f ca="1">LOOKUP(B106,geomorph!$A:$A,geomorph!$G:$G)</f>
        <v>104.846581</v>
      </c>
      <c r="Q106" s="1">
        <f t="shared" ca="1" si="35"/>
        <v>123.46309767567448</v>
      </c>
    </row>
    <row r="107" spans="2:17" x14ac:dyDescent="0.3">
      <c r="B107" s="6">
        <f ca="1">RANDBETWEEN(ranges!B$2,ranges!B$3)</f>
        <v>13096</v>
      </c>
      <c r="C107" s="9">
        <f ca="1">LOOKUP(B107,geomorph!A:A,geomorph!B:B)</f>
        <v>1151.4000000000001</v>
      </c>
      <c r="D107">
        <f t="shared" si="28"/>
        <v>1.13E-4</v>
      </c>
      <c r="E107" s="9">
        <f ca="1">'[2]Q_GEV(random)'!$J107</f>
        <v>13992.478209935094</v>
      </c>
      <c r="F107" s="26">
        <f ca="1">RANDBETWEEN(ranges!F$2*1000,ranges!F$3*1000)/1000</f>
        <v>9.6000000000000002E-2</v>
      </c>
      <c r="G107" s="3">
        <f t="shared" ca="1" si="29"/>
        <v>12.152577913787644</v>
      </c>
      <c r="H107" s="4">
        <f t="shared" ca="1" si="30"/>
        <v>14.733677191104437</v>
      </c>
      <c r="I107" s="4">
        <f t="shared" ca="1" si="31"/>
        <v>392.58713874663749</v>
      </c>
      <c r="J107" s="26">
        <f ca="1">RANDBETWEEN(ranges!J$2*1000,ranges!J$3*1000)/1000</f>
        <v>0.73899999999999999</v>
      </c>
      <c r="K107" s="26">
        <f ca="1">RANDBETWEEN(ranges!K$2*1000,ranges!K$3*1000)/1000</f>
        <v>0.91600000000000004</v>
      </c>
      <c r="L107">
        <f t="shared" ca="1" si="32"/>
        <v>150.54046059809681</v>
      </c>
      <c r="M107">
        <f t="shared" ca="1" si="33"/>
        <v>19.586548355589301</v>
      </c>
      <c r="N107" s="4">
        <f t="shared" ca="1" si="34"/>
        <v>5.2748599613965901</v>
      </c>
      <c r="O107" s="4"/>
      <c r="P107" s="1">
        <f ca="1">LOOKUP(B107,geomorph!$A:$A,geomorph!$G:$G)</f>
        <v>105.04659100000001</v>
      </c>
      <c r="Q107" s="1">
        <f t="shared" ca="1" si="35"/>
        <v>124.63313935558931</v>
      </c>
    </row>
    <row r="108" spans="2:17" x14ac:dyDescent="0.3">
      <c r="B108" s="6">
        <f ca="1">RANDBETWEEN(ranges!B$2,ranges!B$3)</f>
        <v>13294</v>
      </c>
      <c r="C108" s="9">
        <f ca="1">LOOKUP(B108,geomorph!A:A,geomorph!B:B)</f>
        <v>1173.0999999999999</v>
      </c>
      <c r="D108">
        <f t="shared" si="28"/>
        <v>1.13E-4</v>
      </c>
      <c r="E108" s="9">
        <f ca="1">'[2]Q_GEV(random)'!$J108</f>
        <v>13954.914651498004</v>
      </c>
      <c r="F108" s="26">
        <f ca="1">RANDBETWEEN(ranges!F$2*1000,ranges!F$3*1000)/1000</f>
        <v>0.107</v>
      </c>
      <c r="G108" s="3">
        <f t="shared" ca="1" si="29"/>
        <v>11.895758802743163</v>
      </c>
      <c r="H108" s="4">
        <f t="shared" ca="1" si="30"/>
        <v>15.060214440898429</v>
      </c>
      <c r="I108" s="4">
        <f t="shared" ca="1" si="31"/>
        <v>379.8770721315413</v>
      </c>
      <c r="J108" s="26">
        <f ca="1">RANDBETWEEN(ranges!J$2*1000,ranges!J$3*1000)/1000</f>
        <v>0.71</v>
      </c>
      <c r="K108" s="26">
        <f ca="1">RANDBETWEEN(ranges!K$2*1000,ranges!K$3*1000)/1000</f>
        <v>0.83899999999999997</v>
      </c>
      <c r="L108">
        <f t="shared" ca="1" si="32"/>
        <v>150.70995030408508</v>
      </c>
      <c r="M108">
        <f t="shared" ca="1" si="33"/>
        <v>19.978156225294608</v>
      </c>
      <c r="N108" s="4">
        <f t="shared" ca="1" si="34"/>
        <v>5.3455888960828029</v>
      </c>
      <c r="O108" s="4"/>
      <c r="P108" s="1">
        <f ca="1">LOOKUP(B108,geomorph!$A:$A,geomorph!$G:$G)</f>
        <v>105.02399100000001</v>
      </c>
      <c r="Q108" s="1">
        <f t="shared" ca="1" si="35"/>
        <v>125.00214722529462</v>
      </c>
    </row>
    <row r="109" spans="2:17" x14ac:dyDescent="0.3">
      <c r="B109" s="6">
        <f ca="1">RANDBETWEEN(ranges!B$2,ranges!B$3)</f>
        <v>14781</v>
      </c>
      <c r="C109" s="9">
        <f ca="1">LOOKUP(B109,geomorph!A:A,geomorph!B:B)</f>
        <v>1486.7</v>
      </c>
      <c r="D109">
        <f t="shared" si="28"/>
        <v>1.13E-4</v>
      </c>
      <c r="E109" s="9">
        <f ca="1">'[2]Q_GEV(random)'!$J109</f>
        <v>13941.491115240733</v>
      </c>
      <c r="F109" s="26">
        <f ca="1">RANDBETWEEN(ranges!F$2*1000,ranges!F$3*1000)/1000</f>
        <v>9.5000000000000001E-2</v>
      </c>
      <c r="G109" s="3">
        <f t="shared" ca="1" si="29"/>
        <v>9.3774743493917612</v>
      </c>
      <c r="H109" s="4">
        <f t="shared" ca="1" si="30"/>
        <v>12.352084528164353</v>
      </c>
      <c r="I109" s="4">
        <f t="shared" ca="1" si="31"/>
        <v>255.79021801772004</v>
      </c>
      <c r="J109" s="26">
        <f ca="1">RANDBETWEEN(ranges!J$2*1000,ranges!J$3*1000)/1000</f>
        <v>0.67100000000000004</v>
      </c>
      <c r="K109" s="26">
        <f ca="1">RANDBETWEEN(ranges!K$2*1000,ranges!K$3*1000)/1000</f>
        <v>0.82499999999999996</v>
      </c>
      <c r="L109">
        <f t="shared" ca="1" si="32"/>
        <v>106.49887516692115</v>
      </c>
      <c r="M109">
        <f t="shared" ca="1" si="33"/>
        <v>17.891502181304769</v>
      </c>
      <c r="N109" s="4">
        <f t="shared" ca="1" si="34"/>
        <v>6.0211061447178436</v>
      </c>
      <c r="O109" s="4"/>
      <c r="P109" s="1">
        <f ca="1">LOOKUP(B109,geomorph!$A:$A,geomorph!$G:$G)</f>
        <v>104.855621</v>
      </c>
      <c r="Q109" s="1">
        <f t="shared" ca="1" si="35"/>
        <v>122.74712318130477</v>
      </c>
    </row>
    <row r="110" spans="2:17" x14ac:dyDescent="0.3">
      <c r="B110" s="6">
        <f ca="1">RANDBETWEEN(ranges!B$2,ranges!B$3)</f>
        <v>12283</v>
      </c>
      <c r="C110" s="9">
        <f ca="1">LOOKUP(B110,geomorph!A:A,geomorph!B:B)</f>
        <v>1268.5</v>
      </c>
      <c r="D110">
        <f t="shared" si="28"/>
        <v>1.13E-4</v>
      </c>
      <c r="E110" s="9">
        <f ca="1">'[2]Q_GEV(random)'!$J110</f>
        <v>13936.425388445805</v>
      </c>
      <c r="F110" s="26">
        <f ca="1">RANDBETWEEN(ranges!F$2*1000,ranges!F$3*1000)/1000</f>
        <v>0.108</v>
      </c>
      <c r="G110" s="3">
        <f t="shared" ca="1" si="29"/>
        <v>10.986539525775171</v>
      </c>
      <c r="H110" s="4">
        <f t="shared" ca="1" si="30"/>
        <v>14.327057265911295</v>
      </c>
      <c r="I110" s="4">
        <f t="shared" ca="1" si="31"/>
        <v>333.17071974101987</v>
      </c>
      <c r="J110" s="26">
        <f ca="1">RANDBETWEEN(ranges!J$2*1000,ranges!J$3*1000)/1000</f>
        <v>0.63100000000000001</v>
      </c>
      <c r="K110" s="26">
        <f ca="1">RANDBETWEEN(ranges!K$2*1000,ranges!K$3*1000)/1000</f>
        <v>0.879</v>
      </c>
      <c r="L110">
        <f t="shared" ca="1" si="32"/>
        <v>138.8502793822708</v>
      </c>
      <c r="M110">
        <f t="shared" ca="1" si="33"/>
        <v>19.902868471794385</v>
      </c>
      <c r="N110" s="4">
        <f t="shared" ca="1" si="34"/>
        <v>6.0606643542207497</v>
      </c>
      <c r="O110" s="4"/>
      <c r="P110" s="1">
        <f ca="1">LOOKUP(B110,geomorph!$A:$A,geomorph!$G:$G)</f>
        <v>105.138121</v>
      </c>
      <c r="Q110" s="1">
        <f t="shared" ca="1" si="35"/>
        <v>125.04098947179438</v>
      </c>
    </row>
    <row r="111" spans="2:17" x14ac:dyDescent="0.3">
      <c r="B111" s="6">
        <f ca="1">RANDBETWEEN(ranges!B$2,ranges!B$3)</f>
        <v>11144</v>
      </c>
      <c r="C111" s="9">
        <f ca="1">LOOKUP(B111,geomorph!A:A,geomorph!B:B)</f>
        <v>1679.3</v>
      </c>
      <c r="D111">
        <f t="shared" si="28"/>
        <v>1.13E-4</v>
      </c>
      <c r="E111" s="9">
        <f ca="1">'[2]Q_GEV(random)'!$J111</f>
        <v>13893.681256803164</v>
      </c>
      <c r="F111" s="26">
        <f ca="1">RANDBETWEEN(ranges!F$2*1000,ranges!F$3*1000)/1000</f>
        <v>9.4E-2</v>
      </c>
      <c r="G111" s="3">
        <f t="shared" ca="1" si="29"/>
        <v>8.2734956570018241</v>
      </c>
      <c r="H111" s="4">
        <f t="shared" ca="1" si="30"/>
        <v>11.322537733074393</v>
      </c>
      <c r="I111" s="4">
        <f t="shared" ca="1" si="31"/>
        <v>208.31206516425416</v>
      </c>
      <c r="J111" s="26">
        <f ca="1">RANDBETWEEN(ranges!J$2*1000,ranges!J$3*1000)/1000</f>
        <v>0.79200000000000004</v>
      </c>
      <c r="K111" s="26">
        <f ca="1">RANDBETWEEN(ranges!K$2*1000,ranges!K$3*1000)/1000</f>
        <v>0.83399999999999996</v>
      </c>
      <c r="L111">
        <f t="shared" ca="1" si="32"/>
        <v>87.313747063884534</v>
      </c>
      <c r="M111">
        <f t="shared" ca="1" si="33"/>
        <v>16.568735225215086</v>
      </c>
      <c r="N111" s="4">
        <f t="shared" ca="1" si="34"/>
        <v>5.7023885784137969</v>
      </c>
      <c r="O111" s="4"/>
      <c r="P111" s="1">
        <f ca="1">LOOKUP(B111,geomorph!$A:$A,geomorph!$G:$G)</f>
        <v>105.266941</v>
      </c>
      <c r="Q111" s="1">
        <f t="shared" ca="1" si="35"/>
        <v>121.83567622521508</v>
      </c>
    </row>
    <row r="112" spans="2:17" x14ac:dyDescent="0.3">
      <c r="B112" s="6">
        <f ca="1">RANDBETWEEN(ranges!B$2,ranges!B$3)</f>
        <v>14478</v>
      </c>
      <c r="C112" s="9">
        <f ca="1">LOOKUP(B112,geomorph!A:A,geomorph!B:B)</f>
        <v>1394</v>
      </c>
      <c r="D112">
        <f t="shared" si="28"/>
        <v>1.13E-4</v>
      </c>
      <c r="E112" s="9">
        <f ca="1">'[2]Q_GEV(random)'!$J112</f>
        <v>13883.76369290521</v>
      </c>
      <c r="F112" s="26">
        <f ca="1">RANDBETWEEN(ranges!F$2*1000,ranges!F$3*1000)/1000</f>
        <v>0.109</v>
      </c>
      <c r="G112" s="3">
        <f t="shared" ca="1" si="29"/>
        <v>9.9596583162878112</v>
      </c>
      <c r="H112" s="4">
        <f t="shared" ca="1" si="30"/>
        <v>13.461090856725729</v>
      </c>
      <c r="I112" s="4">
        <f t="shared" ca="1" si="31"/>
        <v>283.97724143418077</v>
      </c>
      <c r="J112" s="26">
        <f ca="1">RANDBETWEEN(ranges!J$2*1000,ranges!J$3*1000)/1000</f>
        <v>0.73499999999999999</v>
      </c>
      <c r="K112" s="26">
        <f ca="1">RANDBETWEEN(ranges!K$2*1000,ranges!K$3*1000)/1000</f>
        <v>0.89200000000000002</v>
      </c>
      <c r="L112">
        <f t="shared" ca="1" si="32"/>
        <v>118.97293544527506</v>
      </c>
      <c r="M112">
        <f t="shared" ca="1" si="33"/>
        <v>18.740854737210618</v>
      </c>
      <c r="N112" s="4">
        <f t="shared" ca="1" si="34"/>
        <v>5.738873783135749</v>
      </c>
      <c r="O112" s="4"/>
      <c r="P112" s="1">
        <f ca="1">LOOKUP(B112,geomorph!$A:$A,geomorph!$G:$G)</f>
        <v>104.89065100000001</v>
      </c>
      <c r="Q112" s="1">
        <f t="shared" ca="1" si="35"/>
        <v>123.63150573721063</v>
      </c>
    </row>
    <row r="113" spans="2:17" x14ac:dyDescent="0.3">
      <c r="B113" s="6">
        <f ca="1">RANDBETWEEN(ranges!B$2,ranges!B$3)</f>
        <v>11278</v>
      </c>
      <c r="C113" s="9">
        <f ca="1">LOOKUP(B113,geomorph!A:A,geomorph!B:B)</f>
        <v>1623</v>
      </c>
      <c r="D113">
        <f t="shared" si="28"/>
        <v>1.13E-4</v>
      </c>
      <c r="E113" s="9">
        <f ca="1">'[2]Q_GEV(random)'!$J113</f>
        <v>13869.008701677096</v>
      </c>
      <c r="F113" s="26">
        <f ca="1">RANDBETWEEN(ranges!F$2*1000,ranges!F$3*1000)/1000</f>
        <v>9.8000000000000004E-2</v>
      </c>
      <c r="G113" s="3">
        <f t="shared" ca="1" si="29"/>
        <v>8.5452918679464549</v>
      </c>
      <c r="H113" s="4">
        <f t="shared" ca="1" si="30"/>
        <v>11.731001466222857</v>
      </c>
      <c r="I113" s="4">
        <f t="shared" ca="1" si="31"/>
        <v>220.23318739738644</v>
      </c>
      <c r="J113" s="26">
        <f ca="1">RANDBETWEEN(ranges!J$2*1000,ranges!J$3*1000)/1000</f>
        <v>0.6</v>
      </c>
      <c r="K113" s="26">
        <f ca="1">RANDBETWEEN(ranges!K$2*1000,ranges!K$3*1000)/1000</f>
        <v>0.91400000000000003</v>
      </c>
      <c r="L113">
        <f t="shared" ca="1" si="32"/>
        <v>99.132434841414522</v>
      </c>
      <c r="M113">
        <f t="shared" ca="1" si="33"/>
        <v>18.180789417480582</v>
      </c>
      <c r="N113" s="4">
        <f t="shared" ca="1" si="34"/>
        <v>7.0106390774540497</v>
      </c>
      <c r="O113" s="4"/>
      <c r="P113" s="1">
        <f ca="1">LOOKUP(B113,geomorph!$A:$A,geomorph!$G:$G)</f>
        <v>105.252251</v>
      </c>
      <c r="Q113" s="1">
        <f t="shared" ca="1" si="35"/>
        <v>123.43304041748058</v>
      </c>
    </row>
    <row r="114" spans="2:17" x14ac:dyDescent="0.3">
      <c r="B114" s="6">
        <f ca="1">RANDBETWEEN(ranges!B$2,ranges!B$3)</f>
        <v>10786</v>
      </c>
      <c r="C114" s="9">
        <f ca="1">LOOKUP(B114,geomorph!A:A,geomorph!B:B)</f>
        <v>1676.5</v>
      </c>
      <c r="D114">
        <f t="shared" si="28"/>
        <v>1.13E-4</v>
      </c>
      <c r="E114" s="9">
        <f ca="1">'[2]Q_GEV(random)'!$J114</f>
        <v>13867.356935056549</v>
      </c>
      <c r="F114" s="26">
        <f ca="1">RANDBETWEEN(ranges!F$2*1000,ranges!F$3*1000)/1000</f>
        <v>9.5000000000000001E-2</v>
      </c>
      <c r="G114" s="3">
        <f t="shared" ca="1" si="29"/>
        <v>8.2716116522854453</v>
      </c>
      <c r="H114" s="4">
        <f t="shared" ca="1" si="30"/>
        <v>11.360822013870651</v>
      </c>
      <c r="I114" s="4">
        <f t="shared" ca="1" si="31"/>
        <v>208.62829878688939</v>
      </c>
      <c r="J114" s="26">
        <f ca="1">RANDBETWEEN(ranges!J$2*1000,ranges!J$3*1000)/1000</f>
        <v>0.66400000000000003</v>
      </c>
      <c r="K114" s="26">
        <f ca="1">RANDBETWEEN(ranges!K$2*1000,ranges!K$3*1000)/1000</f>
        <v>0.83299999999999996</v>
      </c>
      <c r="L114">
        <f t="shared" ca="1" si="32"/>
        <v>91.200629238547762</v>
      </c>
      <c r="M114">
        <f t="shared" ca="1" si="33"/>
        <v>17.277457605782061</v>
      </c>
      <c r="N114" s="4">
        <f t="shared" ca="1" si="34"/>
        <v>6.431125643381967</v>
      </c>
      <c r="O114" s="4"/>
      <c r="P114" s="1">
        <f ca="1">LOOKUP(B114,geomorph!$A:$A,geomorph!$G:$G)</f>
        <v>105.307621</v>
      </c>
      <c r="Q114" s="1">
        <f t="shared" ca="1" si="35"/>
        <v>122.58507860578206</v>
      </c>
    </row>
    <row r="115" spans="2:17" x14ac:dyDescent="0.3">
      <c r="B115" s="6">
        <f ca="1">RANDBETWEEN(ranges!B$2,ranges!B$3)</f>
        <v>12646</v>
      </c>
      <c r="C115" s="9">
        <f ca="1">LOOKUP(B115,geomorph!A:A,geomorph!B:B)</f>
        <v>1173.4000000000001</v>
      </c>
      <c r="D115">
        <f t="shared" si="28"/>
        <v>1.13E-4</v>
      </c>
      <c r="E115" s="9">
        <f ca="1">'[2]Q_GEV(random)'!$J115</f>
        <v>13864.144910924448</v>
      </c>
      <c r="F115" s="26">
        <f ca="1">RANDBETWEEN(ranges!F$2*1000,ranges!F$3*1000)/1000</f>
        <v>0.104</v>
      </c>
      <c r="G115" s="3">
        <f t="shared" ca="1" si="29"/>
        <v>11.815361267193154</v>
      </c>
      <c r="H115" s="4">
        <f t="shared" ca="1" si="30"/>
        <v>14.850836377865431</v>
      </c>
      <c r="I115" s="4">
        <f t="shared" ca="1" si="31"/>
        <v>378.06685377432058</v>
      </c>
      <c r="J115" s="26">
        <f ca="1">RANDBETWEEN(ranges!J$2*1000,ranges!J$3*1000)/1000</f>
        <v>0.69899999999999995</v>
      </c>
      <c r="K115" s="26">
        <f ca="1">RANDBETWEEN(ranges!K$2*1000,ranges!K$3*1000)/1000</f>
        <v>0.85299999999999998</v>
      </c>
      <c r="L115">
        <f t="shared" ca="1" si="32"/>
        <v>149.50522422692956</v>
      </c>
      <c r="M115">
        <f t="shared" ca="1" si="33"/>
        <v>19.823525602190344</v>
      </c>
      <c r="N115" s="4">
        <f t="shared" ca="1" si="34"/>
        <v>5.4050969829618616</v>
      </c>
      <c r="O115" s="4"/>
      <c r="P115" s="1">
        <f ca="1">LOOKUP(B115,geomorph!$A:$A,geomorph!$G:$G)</f>
        <v>105.097441</v>
      </c>
      <c r="Q115" s="1">
        <f t="shared" ca="1" si="35"/>
        <v>124.92096660219035</v>
      </c>
    </row>
    <row r="116" spans="2:17" x14ac:dyDescent="0.3">
      <c r="B116" s="6">
        <f ca="1">RANDBETWEEN(ranges!B$2,ranges!B$3)</f>
        <v>14702</v>
      </c>
      <c r="C116" s="9">
        <f ca="1">LOOKUP(B116,geomorph!A:A,geomorph!B:B)</f>
        <v>1459.7</v>
      </c>
      <c r="D116">
        <f t="shared" si="28"/>
        <v>1.13E-4</v>
      </c>
      <c r="E116" s="9">
        <f ca="1">'[2]Q_GEV(random)'!$J116</f>
        <v>13851.877847181418</v>
      </c>
      <c r="F116" s="26">
        <f ca="1">RANDBETWEEN(ranges!F$2*1000,ranges!F$3*1000)/1000</f>
        <v>0.107</v>
      </c>
      <c r="G116" s="3">
        <f t="shared" ca="1" si="29"/>
        <v>9.4895374715225174</v>
      </c>
      <c r="H116" s="4">
        <f t="shared" ca="1" si="30"/>
        <v>12.953876509087145</v>
      </c>
      <c r="I116" s="4">
        <f t="shared" ca="1" si="31"/>
        <v>262.59297628151603</v>
      </c>
      <c r="J116" s="26">
        <f ca="1">RANDBETWEEN(ranges!J$2*1000,ranges!J$3*1000)/1000</f>
        <v>0.79500000000000004</v>
      </c>
      <c r="K116" s="26">
        <f ca="1">RANDBETWEEN(ranges!K$2*1000,ranges!K$3*1000)/1000</f>
        <v>0.80400000000000005</v>
      </c>
      <c r="L116">
        <f t="shared" ca="1" si="32"/>
        <v>108.37329447209693</v>
      </c>
      <c r="M116">
        <f t="shared" ca="1" si="33"/>
        <v>17.875752267323946</v>
      </c>
      <c r="N116" s="4">
        <f t="shared" ca="1" si="34"/>
        <v>5.349864954605219</v>
      </c>
      <c r="O116" s="4"/>
      <c r="P116" s="1">
        <f ca="1">LOOKUP(B116,geomorph!$A:$A,geomorph!$G:$G)</f>
        <v>104.864661</v>
      </c>
      <c r="Q116" s="1">
        <f t="shared" ca="1" si="35"/>
        <v>122.74041326732394</v>
      </c>
    </row>
    <row r="117" spans="2:17" x14ac:dyDescent="0.3">
      <c r="B117" s="6">
        <f ca="1">RANDBETWEEN(ranges!B$2,ranges!B$3)</f>
        <v>10751</v>
      </c>
      <c r="C117" s="9">
        <f ca="1">LOOKUP(B117,geomorph!A:A,geomorph!B:B)</f>
        <v>1686.5</v>
      </c>
      <c r="D117">
        <f t="shared" si="28"/>
        <v>1.13E-4</v>
      </c>
      <c r="E117" s="9">
        <f ca="1">'[2]Q_GEV(random)'!$J117</f>
        <v>13847.204359309835</v>
      </c>
      <c r="F117" s="26">
        <f ca="1">RANDBETWEEN(ranges!F$2*1000,ranges!F$3*1000)/1000</f>
        <v>0.10299999999999999</v>
      </c>
      <c r="G117" s="3">
        <f t="shared" ca="1" si="29"/>
        <v>8.2106162818320989</v>
      </c>
      <c r="H117" s="4">
        <f t="shared" ca="1" si="30"/>
        <v>11.613720651705975</v>
      </c>
      <c r="I117" s="4">
        <f t="shared" ca="1" si="31"/>
        <v>206.37044887764472</v>
      </c>
      <c r="J117" s="26">
        <f ca="1">RANDBETWEEN(ranges!J$2*1000,ranges!J$3*1000)/1000</f>
        <v>0.79700000000000004</v>
      </c>
      <c r="K117" s="26">
        <f ca="1">RANDBETWEEN(ranges!K$2*1000,ranges!K$3*1000)/1000</f>
        <v>0.90700000000000003</v>
      </c>
      <c r="L117">
        <f t="shared" ca="1" si="32"/>
        <v>89.429312289532675</v>
      </c>
      <c r="M117">
        <f t="shared" ca="1" si="33"/>
        <v>17.042946474921546</v>
      </c>
      <c r="N117" s="4">
        <f t="shared" ca="1" si="34"/>
        <v>5.901332416538664</v>
      </c>
      <c r="O117" s="4"/>
      <c r="P117" s="1">
        <f ca="1">LOOKUP(B117,geomorph!$A:$A,geomorph!$G:$G)</f>
        <v>105.31101100000001</v>
      </c>
      <c r="Q117" s="1">
        <f t="shared" ca="1" si="35"/>
        <v>122.35395747492156</v>
      </c>
    </row>
    <row r="118" spans="2:17" x14ac:dyDescent="0.3">
      <c r="B118" s="6">
        <f ca="1">RANDBETWEEN(ranges!B$2,ranges!B$3)</f>
        <v>11933</v>
      </c>
      <c r="C118" s="9">
        <f ca="1">LOOKUP(B118,geomorph!A:A,geomorph!B:B)</f>
        <v>1371.9</v>
      </c>
      <c r="D118">
        <f t="shared" si="28"/>
        <v>1.13E-4</v>
      </c>
      <c r="E118" s="9">
        <f ca="1">'[2]Q_GEV(random)'!$J118</f>
        <v>13845.761361334127</v>
      </c>
      <c r="F118" s="26">
        <f ca="1">RANDBETWEEN(ranges!F$2*1000,ranges!F$3*1000)/1000</f>
        <v>0.10100000000000001</v>
      </c>
      <c r="G118" s="3">
        <f t="shared" ca="1" si="29"/>
        <v>10.092398397357043</v>
      </c>
      <c r="H118" s="4">
        <f t="shared" ca="1" si="30"/>
        <v>13.239711199720594</v>
      </c>
      <c r="I118" s="4">
        <f t="shared" ca="1" si="31"/>
        <v>291.11001822834635</v>
      </c>
      <c r="J118" s="26">
        <f ca="1">RANDBETWEEN(ranges!J$2*1000,ranges!J$3*1000)/1000</f>
        <v>0.69299999999999995</v>
      </c>
      <c r="K118" s="26">
        <f ca="1">RANDBETWEEN(ranges!K$2*1000,ranges!K$3*1000)/1000</f>
        <v>0.84299999999999997</v>
      </c>
      <c r="L118">
        <f t="shared" ca="1" si="32"/>
        <v>119.5641331593248</v>
      </c>
      <c r="M118">
        <f t="shared" ca="1" si="33"/>
        <v>18.535393873784379</v>
      </c>
      <c r="N118" s="4">
        <f t="shared" ca="1" si="34"/>
        <v>5.7561768196345495</v>
      </c>
      <c r="O118" s="4"/>
      <c r="P118" s="1">
        <f ca="1">LOOKUP(B118,geomorph!$A:$A,geomorph!$G:$G)</f>
        <v>105.177671</v>
      </c>
      <c r="Q118" s="1">
        <f t="shared" ca="1" si="35"/>
        <v>123.71306487378439</v>
      </c>
    </row>
    <row r="119" spans="2:17" x14ac:dyDescent="0.3">
      <c r="B119" s="6">
        <f ca="1">RANDBETWEEN(ranges!B$2,ranges!B$3)</f>
        <v>10160</v>
      </c>
      <c r="C119" s="9">
        <f ca="1">LOOKUP(B119,geomorph!A:A,geomorph!B:B)</f>
        <v>1591.7</v>
      </c>
      <c r="D119">
        <f t="shared" si="28"/>
        <v>1.13E-4</v>
      </c>
      <c r="E119" s="9">
        <f ca="1">'[2]Q_GEV(random)'!$J119</f>
        <v>13840.09835689922</v>
      </c>
      <c r="F119" s="26">
        <f ca="1">RANDBETWEEN(ranges!F$2*1000,ranges!F$3*1000)/1000</f>
        <v>0.11</v>
      </c>
      <c r="G119" s="3">
        <f t="shared" ca="1" si="29"/>
        <v>8.6951676552737442</v>
      </c>
      <c r="H119" s="4">
        <f t="shared" ca="1" si="30"/>
        <v>12.333641816262309</v>
      </c>
      <c r="I119" s="4">
        <f t="shared" ca="1" si="31"/>
        <v>227.18209882925734</v>
      </c>
      <c r="J119" s="26">
        <f ca="1">RANDBETWEEN(ranges!J$2*1000,ranges!J$3*1000)/1000</f>
        <v>0.61899999999999999</v>
      </c>
      <c r="K119" s="26">
        <f ca="1">RANDBETWEEN(ranges!K$2*1000,ranges!K$3*1000)/1000</f>
        <v>0.90800000000000003</v>
      </c>
      <c r="L119">
        <f t="shared" ca="1" si="32"/>
        <v>103.69262691964636</v>
      </c>
      <c r="M119">
        <f t="shared" ca="1" si="33"/>
        <v>18.650373632284126</v>
      </c>
      <c r="N119" s="4">
        <f t="shared" ca="1" si="34"/>
        <v>6.8660128435019736</v>
      </c>
      <c r="O119" s="4"/>
      <c r="P119" s="1">
        <f ca="1">LOOKUP(B119,geomorph!$A:$A,geomorph!$G:$G)</f>
        <v>105.37768100000001</v>
      </c>
      <c r="Q119" s="1">
        <f t="shared" ca="1" si="35"/>
        <v>124.02805463228414</v>
      </c>
    </row>
    <row r="120" spans="2:17" x14ac:dyDescent="0.3">
      <c r="B120" s="6">
        <f ca="1">RANDBETWEEN(ranges!B$2,ranges!B$3)</f>
        <v>13143</v>
      </c>
      <c r="C120" s="9">
        <f ca="1">LOOKUP(B120,geomorph!A:A,geomorph!B:B)</f>
        <v>1156.3</v>
      </c>
      <c r="D120">
        <f t="shared" si="28"/>
        <v>1.13E-4</v>
      </c>
      <c r="E120" s="9">
        <f ca="1">'[2]Q_GEV(random)'!$J120</f>
        <v>13829.229398393636</v>
      </c>
      <c r="F120" s="26">
        <f ca="1">RANDBETWEEN(ranges!F$2*1000,ranges!F$3*1000)/1000</f>
        <v>0.107</v>
      </c>
      <c r="G120" s="3">
        <f t="shared" ca="1" si="29"/>
        <v>11.959897430073196</v>
      </c>
      <c r="H120" s="4">
        <f t="shared" ca="1" si="30"/>
        <v>15.114299573612035</v>
      </c>
      <c r="I120" s="4">
        <f t="shared" ca="1" si="31"/>
        <v>386.780402792914</v>
      </c>
      <c r="J120" s="26">
        <f ca="1">RANDBETWEEN(ranges!J$2*1000,ranges!J$3*1000)/1000</f>
        <v>0.623</v>
      </c>
      <c r="K120" s="26">
        <f ca="1">RANDBETWEEN(ranges!K$2*1000,ranges!K$3*1000)/1000</f>
        <v>0.874</v>
      </c>
      <c r="L120">
        <f t="shared" ca="1" si="32"/>
        <v>156.88118442491401</v>
      </c>
      <c r="M120">
        <f t="shared" ca="1" si="33"/>
        <v>20.498393631209673</v>
      </c>
      <c r="N120" s="4">
        <f t="shared" ca="1" si="34"/>
        <v>5.8522761495626501</v>
      </c>
      <c r="O120" s="4"/>
      <c r="P120" s="1">
        <f ca="1">LOOKUP(B120,geomorph!$A:$A,geomorph!$G:$G)</f>
        <v>105.040941</v>
      </c>
      <c r="Q120" s="1">
        <f t="shared" ca="1" si="35"/>
        <v>125.53933463120967</v>
      </c>
    </row>
    <row r="121" spans="2:17" x14ac:dyDescent="0.3">
      <c r="B121" s="6">
        <f ca="1">RANDBETWEEN(ranges!B$2,ranges!B$3)</f>
        <v>11783</v>
      </c>
      <c r="C121" s="9">
        <f ca="1">LOOKUP(B121,geomorph!A:A,geomorph!B:B)</f>
        <v>1416.6</v>
      </c>
      <c r="D121">
        <f t="shared" si="28"/>
        <v>1.13E-4</v>
      </c>
      <c r="E121" s="9">
        <f ca="1">'[2]Q_GEV(random)'!$J121</f>
        <v>13827.604476508915</v>
      </c>
      <c r="F121" s="26">
        <f ca="1">RANDBETWEEN(ranges!F$2*1000,ranges!F$3*1000)/1000</f>
        <v>9.5000000000000001E-2</v>
      </c>
      <c r="G121" s="3">
        <f t="shared" ca="1" si="29"/>
        <v>9.7611213303041904</v>
      </c>
      <c r="H121" s="4">
        <f t="shared" ca="1" si="30"/>
        <v>12.686723431980443</v>
      </c>
      <c r="I121" s="4">
        <f t="shared" ca="1" si="31"/>
        <v>275.72062450998845</v>
      </c>
      <c r="J121" s="26">
        <f ca="1">RANDBETWEEN(ranges!J$2*1000,ranges!J$3*1000)/1000</f>
        <v>0.77300000000000002</v>
      </c>
      <c r="K121" s="26">
        <f ca="1">RANDBETWEEN(ranges!K$2*1000,ranges!K$3*1000)/1000</f>
        <v>0.996</v>
      </c>
      <c r="L121">
        <f t="shared" ca="1" si="32"/>
        <v>112.09246721228305</v>
      </c>
      <c r="M121">
        <f t="shared" ca="1" si="33"/>
        <v>17.943291362979981</v>
      </c>
      <c r="N121" s="4">
        <f t="shared" ca="1" si="34"/>
        <v>5.7136607945647144</v>
      </c>
      <c r="O121" s="4"/>
      <c r="P121" s="1">
        <f ca="1">LOOKUP(B121,geomorph!$A:$A,geomorph!$G:$G)</f>
        <v>105.194621</v>
      </c>
      <c r="Q121" s="1">
        <f t="shared" ca="1" si="35"/>
        <v>123.13791236297998</v>
      </c>
    </row>
    <row r="122" spans="2:17" x14ac:dyDescent="0.3">
      <c r="B122" s="6">
        <f ca="1">RANDBETWEEN(ranges!B$2,ranges!B$3)</f>
        <v>10967</v>
      </c>
      <c r="C122" s="9">
        <f ca="1">LOOKUP(B122,geomorph!A:A,geomorph!B:B)</f>
        <v>1684.2</v>
      </c>
      <c r="D122">
        <f t="shared" si="28"/>
        <v>1.13E-4</v>
      </c>
      <c r="E122" s="9">
        <f ca="1">'[2]Q_GEV(random)'!$J122</f>
        <v>13813.881522169946</v>
      </c>
      <c r="F122" s="26">
        <f ca="1">RANDBETWEEN(ranges!F$2*1000,ranges!F$3*1000)/1000</f>
        <v>0.109</v>
      </c>
      <c r="G122" s="3">
        <f t="shared" ca="1" si="29"/>
        <v>8.2020434165597589</v>
      </c>
      <c r="H122" s="4">
        <f t="shared" ca="1" si="30"/>
        <v>11.826747874292639</v>
      </c>
      <c r="I122" s="4">
        <f t="shared" ca="1" si="31"/>
        <v>206.5084037808019</v>
      </c>
      <c r="J122" s="26">
        <f ca="1">RANDBETWEEN(ranges!J$2*1000,ranges!J$3*1000)/1000</f>
        <v>0.77600000000000002</v>
      </c>
      <c r="K122" s="26">
        <f ca="1">RANDBETWEEN(ranges!K$2*1000,ranges!K$3*1000)/1000</f>
        <v>0.93500000000000005</v>
      </c>
      <c r="L122">
        <f t="shared" ca="1" si="32"/>
        <v>91.628944577297517</v>
      </c>
      <c r="M122">
        <f t="shared" ca="1" si="33"/>
        <v>17.438325935650543</v>
      </c>
      <c r="N122" s="4">
        <f t="shared" ca="1" si="34"/>
        <v>6.099541371041199</v>
      </c>
      <c r="O122" s="4"/>
      <c r="P122" s="1">
        <f ca="1">LOOKUP(B122,geomorph!$A:$A,geomorph!$G:$G)</f>
        <v>105.28728100000001</v>
      </c>
      <c r="Q122" s="1">
        <f t="shared" ca="1" si="35"/>
        <v>122.72560693565055</v>
      </c>
    </row>
    <row r="123" spans="2:17" x14ac:dyDescent="0.3">
      <c r="B123" s="6">
        <f ca="1">RANDBETWEEN(ranges!B$2,ranges!B$3)</f>
        <v>12737</v>
      </c>
      <c r="C123" s="9">
        <f ca="1">LOOKUP(B123,geomorph!A:A,geomorph!B:B)</f>
        <v>1150.5</v>
      </c>
      <c r="D123">
        <f t="shared" si="28"/>
        <v>1.13E-4</v>
      </c>
      <c r="E123" s="9">
        <f ca="1">'[2]Q_GEV(random)'!$J123</f>
        <v>13801.165723593844</v>
      </c>
      <c r="F123" s="26">
        <f ca="1">RANDBETWEEN(ranges!F$2*1000,ranges!F$3*1000)/1000</f>
        <v>0.11</v>
      </c>
      <c r="G123" s="3">
        <f t="shared" ca="1" si="29"/>
        <v>11.995798108295388</v>
      </c>
      <c r="H123" s="4">
        <f t="shared" ca="1" si="30"/>
        <v>15.284765856771459</v>
      </c>
      <c r="I123" s="4">
        <f t="shared" ca="1" si="31"/>
        <v>389.50780019105173</v>
      </c>
      <c r="J123" s="26">
        <f ca="1">RANDBETWEEN(ranges!J$2*1000,ranges!J$3*1000)/1000</f>
        <v>0.621</v>
      </c>
      <c r="K123" s="26">
        <f ca="1">RANDBETWEEN(ranges!K$2*1000,ranges!K$3*1000)/1000</f>
        <v>0.84599999999999997</v>
      </c>
      <c r="L123">
        <f t="shared" ca="1" si="32"/>
        <v>158.62274612007627</v>
      </c>
      <c r="M123">
        <f t="shared" ca="1" si="33"/>
        <v>20.621988043459694</v>
      </c>
      <c r="N123" s="4">
        <f t="shared" ca="1" si="34"/>
        <v>5.8013284637915596</v>
      </c>
      <c r="O123" s="4"/>
      <c r="P123" s="1">
        <f ca="1">LOOKUP(B123,geomorph!$A:$A,geomorph!$G:$G)</f>
        <v>105.087271</v>
      </c>
      <c r="Q123" s="1">
        <f t="shared" ca="1" si="35"/>
        <v>125.7092590434597</v>
      </c>
    </row>
    <row r="124" spans="2:17" x14ac:dyDescent="0.3">
      <c r="B124" s="6">
        <f ca="1">RANDBETWEEN(ranges!B$2,ranges!B$3)</f>
        <v>14314</v>
      </c>
      <c r="C124" s="9">
        <f ca="1">LOOKUP(B124,geomorph!A:A,geomorph!B:B)</f>
        <v>1349.6</v>
      </c>
      <c r="D124">
        <f t="shared" si="28"/>
        <v>1.13E-4</v>
      </c>
      <c r="E124" s="9">
        <f ca="1">'[2]Q_GEV(random)'!$J124</f>
        <v>13794.199229420234</v>
      </c>
      <c r="F124" s="26">
        <f ca="1">RANDBETWEEN(ranges!F$2*1000,ranges!F$3*1000)/1000</f>
        <v>0.10299999999999999</v>
      </c>
      <c r="G124" s="3">
        <f t="shared" ca="1" si="29"/>
        <v>10.220953785877471</v>
      </c>
      <c r="H124" s="4">
        <f t="shared" ca="1" si="30"/>
        <v>13.439460069521637</v>
      </c>
      <c r="I124" s="4">
        <f t="shared" ca="1" si="31"/>
        <v>298.42776777117865</v>
      </c>
      <c r="J124" s="26">
        <f ca="1">RANDBETWEEN(ranges!J$2*1000,ranges!J$3*1000)/1000</f>
        <v>0.62</v>
      </c>
      <c r="K124" s="26">
        <f ca="1">RANDBETWEEN(ranges!K$2*1000,ranges!K$3*1000)/1000</f>
        <v>0.84399999999999997</v>
      </c>
      <c r="L124">
        <f t="shared" ca="1" si="32"/>
        <v>125.30761954232474</v>
      </c>
      <c r="M124">
        <f t="shared" ca="1" si="33"/>
        <v>19.110013456778326</v>
      </c>
      <c r="N124" s="4">
        <f t="shared" ca="1" si="34"/>
        <v>6.1636449861485749</v>
      </c>
      <c r="O124" s="4"/>
      <c r="P124" s="1">
        <f ca="1">LOOKUP(B124,geomorph!$A:$A,geomorph!$G:$G)</f>
        <v>104.908731</v>
      </c>
      <c r="Q124" s="1">
        <f t="shared" ca="1" si="35"/>
        <v>124.01874445677834</v>
      </c>
    </row>
    <row r="125" spans="2:17" x14ac:dyDescent="0.3">
      <c r="B125" s="6">
        <f ca="1">RANDBETWEEN(ranges!B$2,ranges!B$3)</f>
        <v>10329</v>
      </c>
      <c r="C125" s="9">
        <f ca="1">LOOKUP(B125,geomorph!A:A,geomorph!B:B)</f>
        <v>1660.2</v>
      </c>
      <c r="D125">
        <f t="shared" si="28"/>
        <v>1.13E-4</v>
      </c>
      <c r="E125" s="9">
        <f ca="1">'[2]Q_GEV(random)'!$J125</f>
        <v>13794.141055178581</v>
      </c>
      <c r="F125" s="26">
        <f ca="1">RANDBETWEEN(ranges!F$2*1000,ranges!F$3*1000)/1000</f>
        <v>0.107</v>
      </c>
      <c r="G125" s="3">
        <f t="shared" ca="1" si="29"/>
        <v>8.3087224763152516</v>
      </c>
      <c r="H125" s="4">
        <f t="shared" ca="1" si="30"/>
        <v>11.855664239072174</v>
      </c>
      <c r="I125" s="4">
        <f t="shared" ca="1" si="31"/>
        <v>211.30629867756019</v>
      </c>
      <c r="J125" s="26">
        <f ca="1">RANDBETWEEN(ranges!J$2*1000,ranges!J$3*1000)/1000</f>
        <v>0.67500000000000004</v>
      </c>
      <c r="K125" s="26">
        <f ca="1">RANDBETWEEN(ranges!K$2*1000,ranges!K$3*1000)/1000</f>
        <v>0.89400000000000002</v>
      </c>
      <c r="L125">
        <f t="shared" ca="1" si="32"/>
        <v>95.292989058181433</v>
      </c>
      <c r="M125">
        <f t="shared" ca="1" si="33"/>
        <v>17.877212509086387</v>
      </c>
      <c r="N125" s="4">
        <f t="shared" ca="1" si="34"/>
        <v>6.5451611630589266</v>
      </c>
      <c r="O125" s="4"/>
      <c r="P125" s="1">
        <f ca="1">LOOKUP(B125,geomorph!$A:$A,geomorph!$G:$G)</f>
        <v>105.359601</v>
      </c>
      <c r="Q125" s="1">
        <f t="shared" ca="1" si="35"/>
        <v>123.23681350908639</v>
      </c>
    </row>
    <row r="126" spans="2:17" x14ac:dyDescent="0.3">
      <c r="B126" s="6">
        <f ca="1">RANDBETWEEN(ranges!B$2,ranges!B$3)</f>
        <v>10011</v>
      </c>
      <c r="C126" s="9">
        <f ca="1">LOOKUP(B126,geomorph!A:A,geomorph!B:B)</f>
        <v>1705.9</v>
      </c>
      <c r="D126">
        <f t="shared" si="28"/>
        <v>1.13E-4</v>
      </c>
      <c r="E126" s="9">
        <f ca="1">'[2]Q_GEV(random)'!$J126</f>
        <v>13785.088970639656</v>
      </c>
      <c r="F126" s="26">
        <f ca="1">RANDBETWEEN(ranges!F$2*1000,ranges!F$3*1000)/1000</f>
        <v>9.9000000000000005E-2</v>
      </c>
      <c r="G126" s="3">
        <f t="shared" ca="1" si="29"/>
        <v>8.0808306293684602</v>
      </c>
      <c r="H126" s="4">
        <f t="shared" ca="1" si="30"/>
        <v>11.340290964708387</v>
      </c>
      <c r="I126" s="4">
        <f t="shared" ca="1" si="31"/>
        <v>201.86783123884757</v>
      </c>
      <c r="J126" s="26">
        <f ca="1">RANDBETWEEN(ranges!J$2*1000,ranges!J$3*1000)/1000</f>
        <v>0.65800000000000003</v>
      </c>
      <c r="K126" s="26">
        <f ca="1">RANDBETWEEN(ranges!K$2*1000,ranges!K$3*1000)/1000</f>
        <v>0.82199999999999995</v>
      </c>
      <c r="L126">
        <f t="shared" ca="1" si="32"/>
        <v>89.946455094340791</v>
      </c>
      <c r="M126">
        <f t="shared" ca="1" si="33"/>
        <v>17.338681325234262</v>
      </c>
      <c r="N126" s="4">
        <f t="shared" ca="1" si="34"/>
        <v>6.5199895223107331</v>
      </c>
      <c r="O126" s="4"/>
      <c r="P126" s="1">
        <f ca="1">LOOKUP(B126,geomorph!$A:$A,geomorph!$G:$G)</f>
        <v>105.394631</v>
      </c>
      <c r="Q126" s="1">
        <f t="shared" ca="1" si="35"/>
        <v>122.73331232523427</v>
      </c>
    </row>
    <row r="127" spans="2:17" x14ac:dyDescent="0.3">
      <c r="B127" s="6">
        <f ca="1">RANDBETWEEN(ranges!B$2,ranges!B$3)</f>
        <v>10071</v>
      </c>
      <c r="C127" s="9">
        <f ca="1">LOOKUP(B127,geomorph!A:A,geomorph!B:B)</f>
        <v>1616.6</v>
      </c>
      <c r="D127">
        <f t="shared" si="28"/>
        <v>1.13E-4</v>
      </c>
      <c r="E127" s="9">
        <f ca="1">'[2]Q_GEV(random)'!$J127</f>
        <v>13775.911023332046</v>
      </c>
      <c r="F127" s="26">
        <f ca="1">RANDBETWEEN(ranges!F$2*1000,ranges!F$3*1000)/1000</f>
        <v>9.5000000000000001E-2</v>
      </c>
      <c r="G127" s="3">
        <f t="shared" ca="1" si="29"/>
        <v>8.5215334797303264</v>
      </c>
      <c r="H127" s="4">
        <f t="shared" ca="1" si="30"/>
        <v>11.588525163365484</v>
      </c>
      <c r="I127" s="4">
        <f t="shared" ca="1" si="31"/>
        <v>220.69506005136461</v>
      </c>
      <c r="J127" s="26">
        <f ca="1">RANDBETWEEN(ranges!J$2*1000,ranges!J$3*1000)/1000</f>
        <v>0.69099999999999995</v>
      </c>
      <c r="K127" s="26">
        <f ca="1">RANDBETWEEN(ranges!K$2*1000,ranges!K$3*1000)/1000</f>
        <v>0.98399999999999999</v>
      </c>
      <c r="L127">
        <f t="shared" ca="1" si="32"/>
        <v>96.068741162546132</v>
      </c>
      <c r="M127">
        <f t="shared" ca="1" si="33"/>
        <v>17.549434146861042</v>
      </c>
      <c r="N127" s="4">
        <f t="shared" ca="1" si="34"/>
        <v>6.4792488951038676</v>
      </c>
      <c r="O127" s="4"/>
      <c r="P127" s="1">
        <f ca="1">LOOKUP(B127,geomorph!$A:$A,geomorph!$G:$G)</f>
        <v>105.387851</v>
      </c>
      <c r="Q127" s="1">
        <f t="shared" ca="1" si="35"/>
        <v>122.93728514686104</v>
      </c>
    </row>
    <row r="128" spans="2:17" x14ac:dyDescent="0.3">
      <c r="B128" s="6">
        <f ca="1">RANDBETWEEN(ranges!B$2,ranges!B$3)</f>
        <v>12418</v>
      </c>
      <c r="C128" s="9">
        <f ca="1">LOOKUP(B128,geomorph!A:A,geomorph!B:B)</f>
        <v>1233.4000000000001</v>
      </c>
      <c r="D128">
        <f t="shared" si="28"/>
        <v>1.13E-4</v>
      </c>
      <c r="E128" s="9">
        <f ca="1">'[2]Q_GEV(random)'!$J128</f>
        <v>13751.804410107201</v>
      </c>
      <c r="F128" s="26">
        <f ca="1">RANDBETWEEN(ranges!F$2*1000,ranges!F$3*1000)/1000</f>
        <v>9.6000000000000002E-2</v>
      </c>
      <c r="G128" s="3">
        <f t="shared" ca="1" si="29"/>
        <v>11.149509007708124</v>
      </c>
      <c r="H128" s="4">
        <f t="shared" ca="1" si="30"/>
        <v>13.911352951968015</v>
      </c>
      <c r="I128" s="4">
        <f t="shared" ca="1" si="31"/>
        <v>346.03224308078546</v>
      </c>
      <c r="J128" s="26">
        <f ca="1">RANDBETWEEN(ranges!J$2*1000,ranges!J$3*1000)/1000</f>
        <v>0.75900000000000001</v>
      </c>
      <c r="K128" s="26">
        <f ca="1">RANDBETWEEN(ranges!K$2*1000,ranges!K$3*1000)/1000</f>
        <v>0.878</v>
      </c>
      <c r="L128">
        <f t="shared" ca="1" si="32"/>
        <v>134.3017833724883</v>
      </c>
      <c r="M128">
        <f t="shared" ca="1" si="33"/>
        <v>18.718203616113861</v>
      </c>
      <c r="N128" s="4">
        <f t="shared" ca="1" si="34"/>
        <v>5.2248376784193979</v>
      </c>
      <c r="O128" s="4"/>
      <c r="P128" s="1">
        <f ca="1">LOOKUP(B128,geomorph!$A:$A,geomorph!$G:$G)</f>
        <v>105.123431</v>
      </c>
      <c r="Q128" s="1">
        <f t="shared" ca="1" si="35"/>
        <v>123.84163461611385</v>
      </c>
    </row>
    <row r="129" spans="2:17" x14ac:dyDescent="0.3">
      <c r="B129" s="6">
        <f ca="1">RANDBETWEEN(ranges!B$2,ranges!B$3)</f>
        <v>13392</v>
      </c>
      <c r="C129" s="9">
        <f ca="1">LOOKUP(B129,geomorph!A:A,geomorph!B:B)</f>
        <v>1184.9000000000001</v>
      </c>
      <c r="D129">
        <f t="shared" si="28"/>
        <v>1.13E-4</v>
      </c>
      <c r="E129" s="9">
        <f ca="1">'[2]Q_GEV(random)'!$J129</f>
        <v>13748.630529941587</v>
      </c>
      <c r="F129" s="26">
        <f ca="1">RANDBETWEEN(ranges!F$2*1000,ranges!F$3*1000)/1000</f>
        <v>9.0999999999999998E-2</v>
      </c>
      <c r="G129" s="3">
        <f t="shared" ca="1" si="29"/>
        <v>11.603199029404664</v>
      </c>
      <c r="H129" s="4">
        <f t="shared" ca="1" si="30"/>
        <v>14.033761404123737</v>
      </c>
      <c r="I129" s="4">
        <f t="shared" ca="1" si="31"/>
        <v>369.9021128246564</v>
      </c>
      <c r="J129" s="26">
        <f ca="1">RANDBETWEEN(ranges!J$2*1000,ranges!J$3*1000)/1000</f>
        <v>0.65100000000000002</v>
      </c>
      <c r="K129" s="26">
        <f ca="1">RANDBETWEEN(ranges!K$2*1000,ranges!K$3*1000)/1000</f>
        <v>0.83899999999999997</v>
      </c>
      <c r="L129">
        <f t="shared" ca="1" si="32"/>
        <v>142.94112674681776</v>
      </c>
      <c r="M129">
        <f t="shared" ca="1" si="33"/>
        <v>19.138916342300394</v>
      </c>
      <c r="N129" s="4">
        <f t="shared" ca="1" si="34"/>
        <v>5.5490814545398441</v>
      </c>
      <c r="O129" s="4"/>
      <c r="P129" s="1">
        <f ca="1">LOOKUP(B129,geomorph!$A:$A,geomorph!$G:$G)</f>
        <v>105.012691</v>
      </c>
      <c r="Q129" s="1">
        <f t="shared" ca="1" si="35"/>
        <v>124.15160734230039</v>
      </c>
    </row>
    <row r="130" spans="2:17" x14ac:dyDescent="0.3">
      <c r="B130" s="6">
        <f ca="1">RANDBETWEEN(ranges!B$2,ranges!B$3)</f>
        <v>13370</v>
      </c>
      <c r="C130" s="9">
        <f ca="1">LOOKUP(B130,geomorph!A:A,geomorph!B:B)</f>
        <v>1182.4000000000001</v>
      </c>
      <c r="D130">
        <f t="shared" si="28"/>
        <v>1.13E-4</v>
      </c>
      <c r="E130" s="9">
        <f ca="1">'[2]Q_GEV(random)'!$J130</f>
        <v>13745.028563793778</v>
      </c>
      <c r="F130" s="26">
        <f ca="1">RANDBETWEEN(ranges!F$2*1000,ranges!F$3*1000)/1000</f>
        <v>0.09</v>
      </c>
      <c r="G130" s="3">
        <f t="shared" ca="1" si="29"/>
        <v>11.624685862477822</v>
      </c>
      <c r="H130" s="4">
        <f t="shared" ca="1" si="30"/>
        <v>13.999422377869625</v>
      </c>
      <c r="I130" s="4">
        <f t="shared" ca="1" si="31"/>
        <v>371.14169454481777</v>
      </c>
      <c r="J130" s="26">
        <f ca="1">RANDBETWEEN(ranges!J$2*1000,ranges!J$3*1000)/1000</f>
        <v>0.61</v>
      </c>
      <c r="K130" s="26">
        <f ca="1">RANDBETWEEN(ranges!K$2*1000,ranges!K$3*1000)/1000</f>
        <v>0.90600000000000003</v>
      </c>
      <c r="L130">
        <f t="shared" ca="1" si="32"/>
        <v>145.63106140417608</v>
      </c>
      <c r="M130">
        <f t="shared" ca="1" si="33"/>
        <v>19.457940871485651</v>
      </c>
      <c r="N130" s="4">
        <f t="shared" ca="1" si="34"/>
        <v>5.9331722756695928</v>
      </c>
      <c r="O130" s="4"/>
      <c r="P130" s="1">
        <f ca="1">LOOKUP(B130,geomorph!$A:$A,geomorph!$G:$G)</f>
        <v>105.014951</v>
      </c>
      <c r="Q130" s="1">
        <f t="shared" ca="1" si="35"/>
        <v>124.47289187148564</v>
      </c>
    </row>
    <row r="131" spans="2:17" x14ac:dyDescent="0.3">
      <c r="B131" s="6">
        <f ca="1">RANDBETWEEN(ranges!B$2,ranges!B$3)</f>
        <v>14340</v>
      </c>
      <c r="C131" s="9">
        <f ca="1">LOOKUP(B131,geomorph!A:A,geomorph!B:B)</f>
        <v>1358.6</v>
      </c>
      <c r="D131">
        <f t="shared" si="28"/>
        <v>1.13E-4</v>
      </c>
      <c r="E131" s="9">
        <f ca="1">'[2]Q_GEV(random)'!$J131</f>
        <v>13735.756861760821</v>
      </c>
      <c r="F131" s="26">
        <f ca="1">RANDBETWEEN(ranges!F$2*1000,ranges!F$3*1000)/1000</f>
        <v>9.4E-2</v>
      </c>
      <c r="G131" s="3">
        <f t="shared" ca="1" si="29"/>
        <v>10.110228810364214</v>
      </c>
      <c r="H131" s="4">
        <f t="shared" ca="1" si="30"/>
        <v>12.941712193931203</v>
      </c>
      <c r="I131" s="4">
        <f t="shared" ca="1" si="31"/>
        <v>294.3059639839301</v>
      </c>
      <c r="J131" s="26">
        <f ca="1">RANDBETWEEN(ranges!J$2*1000,ranges!J$3*1000)/1000</f>
        <v>0.63900000000000001</v>
      </c>
      <c r="K131" s="26">
        <f ca="1">RANDBETWEEN(ranges!K$2*1000,ranges!K$3*1000)/1000</f>
        <v>0.84899999999999998</v>
      </c>
      <c r="L131">
        <f t="shared" ca="1" si="32"/>
        <v>120.27633025187981</v>
      </c>
      <c r="M131">
        <f t="shared" ca="1" si="33"/>
        <v>18.465038717663042</v>
      </c>
      <c r="N131" s="4">
        <f t="shared" ca="1" si="34"/>
        <v>6.0036157866650424</v>
      </c>
      <c r="O131" s="4"/>
      <c r="P131" s="1">
        <f ca="1">LOOKUP(B131,geomorph!$A:$A,geomorph!$G:$G)</f>
        <v>104.90534100000001</v>
      </c>
      <c r="Q131" s="1">
        <f t="shared" ca="1" si="35"/>
        <v>123.37037971766304</v>
      </c>
    </row>
    <row r="132" spans="2:17" x14ac:dyDescent="0.3">
      <c r="B132" s="6">
        <f ca="1">RANDBETWEEN(ranges!B$2,ranges!B$3)</f>
        <v>10608</v>
      </c>
      <c r="C132" s="9">
        <f ca="1">LOOKUP(B132,geomorph!A:A,geomorph!B:B)</f>
        <v>1740.5</v>
      </c>
      <c r="D132">
        <f t="shared" si="28"/>
        <v>1.13E-4</v>
      </c>
      <c r="E132" s="9">
        <f ca="1">'[2]Q_GEV(random)'!$J132</f>
        <v>13704.8364854315</v>
      </c>
      <c r="F132" s="26">
        <f ca="1">RANDBETWEEN(ranges!F$2*1000,ranges!F$3*1000)/1000</f>
        <v>9.1999999999999998E-2</v>
      </c>
      <c r="G132" s="3">
        <f t="shared" ca="1" si="29"/>
        <v>7.8740801410120662</v>
      </c>
      <c r="H132" s="4">
        <f t="shared" ca="1" si="30"/>
        <v>10.876878889814609</v>
      </c>
      <c r="I132" s="4">
        <f t="shared" ca="1" si="31"/>
        <v>194.46549036364451</v>
      </c>
      <c r="J132" s="26">
        <f ca="1">RANDBETWEEN(ranges!J$2*1000,ranges!J$3*1000)/1000</f>
        <v>0.72599999999999998</v>
      </c>
      <c r="K132" s="26">
        <f ca="1">RANDBETWEEN(ranges!K$2*1000,ranges!K$3*1000)/1000</f>
        <v>0.99399999999999999</v>
      </c>
      <c r="L132">
        <f t="shared" ca="1" si="32"/>
        <v>85.584617221820878</v>
      </c>
      <c r="M132">
        <f t="shared" ca="1" si="33"/>
        <v>16.832482969027453</v>
      </c>
      <c r="N132" s="4">
        <f t="shared" ca="1" si="34"/>
        <v>6.4734826947965685</v>
      </c>
      <c r="O132" s="4"/>
      <c r="P132" s="1">
        <f ca="1">LOOKUP(B132,geomorph!$A:$A,geomorph!$G:$G)</f>
        <v>105.327961</v>
      </c>
      <c r="Q132" s="1">
        <f t="shared" ca="1" si="35"/>
        <v>122.16044396902745</v>
      </c>
    </row>
    <row r="133" spans="2:17" x14ac:dyDescent="0.3">
      <c r="B133" s="6">
        <f ca="1">RANDBETWEEN(ranges!B$2,ranges!B$3)</f>
        <v>10330</v>
      </c>
      <c r="C133" s="9">
        <f ca="1">LOOKUP(B133,geomorph!A:A,geomorph!B:B)</f>
        <v>1660.3</v>
      </c>
      <c r="D133">
        <f t="shared" si="28"/>
        <v>1.13E-4</v>
      </c>
      <c r="E133" s="9">
        <f ca="1">'[2]Q_GEV(random)'!$J133</f>
        <v>13678.112681101258</v>
      </c>
      <c r="F133" s="26">
        <f ca="1">RANDBETWEEN(ranges!F$2*1000,ranges!F$3*1000)/1000</f>
        <v>0.10299999999999999</v>
      </c>
      <c r="G133" s="3">
        <f t="shared" ca="1" si="29"/>
        <v>8.2383380600501468</v>
      </c>
      <c r="H133" s="4">
        <f t="shared" ca="1" si="30"/>
        <v>11.639847159012312</v>
      </c>
      <c r="I133" s="4">
        <f t="shared" ca="1" si="31"/>
        <v>210.09861453360963</v>
      </c>
      <c r="J133" s="26">
        <f ca="1">RANDBETWEEN(ranges!J$2*1000,ranges!J$3*1000)/1000</f>
        <v>0.66500000000000004</v>
      </c>
      <c r="K133" s="26">
        <f ca="1">RANDBETWEEN(ranges!K$2*1000,ranges!K$3*1000)/1000</f>
        <v>0.99299999999999999</v>
      </c>
      <c r="L133">
        <f t="shared" ca="1" si="32"/>
        <v>95.382186098155557</v>
      </c>
      <c r="M133">
        <f t="shared" ca="1" si="33"/>
        <v>17.895023924400743</v>
      </c>
      <c r="N133" s="4">
        <f t="shared" ca="1" si="34"/>
        <v>6.7991051797700326</v>
      </c>
      <c r="O133" s="4"/>
      <c r="P133" s="1">
        <f ca="1">LOOKUP(B133,geomorph!$A:$A,geomorph!$G:$G)</f>
        <v>105.35847100000001</v>
      </c>
      <c r="Q133" s="1">
        <f t="shared" ca="1" si="35"/>
        <v>123.25349492440075</v>
      </c>
    </row>
    <row r="134" spans="2:17" x14ac:dyDescent="0.3">
      <c r="B134" s="6">
        <f ca="1">RANDBETWEEN(ranges!B$2,ranges!B$3)</f>
        <v>11466</v>
      </c>
      <c r="C134" s="9">
        <f ca="1">LOOKUP(B134,geomorph!A:A,geomorph!B:B)</f>
        <v>1501.3</v>
      </c>
      <c r="D134">
        <f t="shared" si="28"/>
        <v>1.13E-4</v>
      </c>
      <c r="E134" s="9">
        <f ca="1">'[2]Q_GEV(random)'!$J134</f>
        <v>13674.634361595839</v>
      </c>
      <c r="F134" s="26">
        <f ca="1">RANDBETWEEN(ranges!F$2*1000,ranges!F$3*1000)/1000</f>
        <v>9.7000000000000003E-2</v>
      </c>
      <c r="G134" s="3">
        <f t="shared" ca="1" si="29"/>
        <v>9.1085288493944176</v>
      </c>
      <c r="H134" s="4">
        <f t="shared" ca="1" si="30"/>
        <v>12.199195752092395</v>
      </c>
      <c r="I134" s="4">
        <f t="shared" ca="1" si="31"/>
        <v>248.43609321617043</v>
      </c>
      <c r="J134" s="26">
        <f ca="1">RANDBETWEEN(ranges!J$2*1000,ranges!J$3*1000)/1000</f>
        <v>0.66100000000000003</v>
      </c>
      <c r="K134" s="26">
        <f ca="1">RANDBETWEEN(ranges!K$2*1000,ranges!K$3*1000)/1000</f>
        <v>0.98599999999999999</v>
      </c>
      <c r="L134">
        <f t="shared" ca="1" si="32"/>
        <v>106.9744108569803</v>
      </c>
      <c r="M134">
        <f t="shared" ca="1" si="33"/>
        <v>18.147877181213047</v>
      </c>
      <c r="N134" s="4">
        <f t="shared" ca="1" si="34"/>
        <v>6.4659580751311436</v>
      </c>
      <c r="O134" s="4"/>
      <c r="P134" s="1">
        <f ca="1">LOOKUP(B134,geomorph!$A:$A,geomorph!$G:$G)</f>
        <v>105.23078100000001</v>
      </c>
      <c r="Q134" s="1">
        <f t="shared" ca="1" si="35"/>
        <v>123.37865818121305</v>
      </c>
    </row>
    <row r="135" spans="2:17" x14ac:dyDescent="0.3">
      <c r="B135" s="6">
        <f ca="1">RANDBETWEEN(ranges!B$2,ranges!B$3)</f>
        <v>14875</v>
      </c>
      <c r="C135" s="9">
        <f ca="1">LOOKUP(B135,geomorph!A:A,geomorph!B:B)</f>
        <v>1502.9</v>
      </c>
      <c r="D135">
        <f t="shared" si="28"/>
        <v>1.13E-4</v>
      </c>
      <c r="E135" s="9">
        <f ca="1">'[2]Q_GEV(random)'!$J135</f>
        <v>13668.561362046879</v>
      </c>
      <c r="F135" s="26">
        <f ca="1">RANDBETWEEN(ranges!F$2*1000,ranges!F$3*1000)/1000</f>
        <v>0.11</v>
      </c>
      <c r="G135" s="3">
        <f t="shared" ca="1" si="29"/>
        <v>9.0947909788055608</v>
      </c>
      <c r="H135" s="4">
        <f t="shared" ca="1" si="30"/>
        <v>12.708701326188367</v>
      </c>
      <c r="I135" s="4">
        <f t="shared" ca="1" si="31"/>
        <v>247.92200797600387</v>
      </c>
      <c r="J135" s="26">
        <f ca="1">RANDBETWEEN(ranges!J$2*1000,ranges!J$3*1000)/1000</f>
        <v>0.77700000000000002</v>
      </c>
      <c r="K135" s="26">
        <f ca="1">RANDBETWEEN(ranges!K$2*1000,ranges!K$3*1000)/1000</f>
        <v>0.81599999999999995</v>
      </c>
      <c r="L135">
        <f t="shared" ca="1" si="32"/>
        <v>104.78718706455381</v>
      </c>
      <c r="M135">
        <f t="shared" ca="1" si="33"/>
        <v>17.795766968642926</v>
      </c>
      <c r="N135" s="4">
        <f t="shared" ca="1" si="34"/>
        <v>5.529419176581043</v>
      </c>
      <c r="O135" s="4"/>
      <c r="P135" s="1">
        <f ca="1">LOOKUP(B135,geomorph!$A:$A,geomorph!$G:$G)</f>
        <v>104.845451</v>
      </c>
      <c r="Q135" s="1">
        <f t="shared" ca="1" si="35"/>
        <v>122.64121796864292</v>
      </c>
    </row>
    <row r="136" spans="2:17" x14ac:dyDescent="0.3">
      <c r="B136" s="6">
        <f ca="1">RANDBETWEEN(ranges!B$2,ranges!B$3)</f>
        <v>13060</v>
      </c>
      <c r="C136" s="9">
        <f ca="1">LOOKUP(B136,geomorph!A:A,geomorph!B:B)</f>
        <v>1148.7</v>
      </c>
      <c r="D136">
        <f t="shared" si="28"/>
        <v>1.13E-4</v>
      </c>
      <c r="E136" s="9">
        <f ca="1">'[2]Q_GEV(random)'!$J136</f>
        <v>13660.830855935188</v>
      </c>
      <c r="F136" s="26">
        <f ca="1">RANDBETWEEN(ranges!F$2*1000,ranges!F$3*1000)/1000</f>
        <v>0.10299999999999999</v>
      </c>
      <c r="G136" s="3">
        <f t="shared" ca="1" si="29"/>
        <v>11.89242696607921</v>
      </c>
      <c r="H136" s="4">
        <f t="shared" ca="1" si="30"/>
        <v>14.867383139108709</v>
      </c>
      <c r="I136" s="4">
        <f t="shared" ca="1" si="31"/>
        <v>387.87375196237713</v>
      </c>
      <c r="J136" s="26">
        <f ca="1">RANDBETWEEN(ranges!J$2*1000,ranges!J$3*1000)/1000</f>
        <v>0.622</v>
      </c>
      <c r="K136" s="26">
        <f ca="1">RANDBETWEEN(ranges!K$2*1000,ranges!K$3*1000)/1000</f>
        <v>0.97599999999999998</v>
      </c>
      <c r="L136">
        <f t="shared" ca="1" si="32"/>
        <v>157.30136619199703</v>
      </c>
      <c r="M136">
        <f t="shared" ca="1" si="33"/>
        <v>20.418204965956409</v>
      </c>
      <c r="N136" s="4">
        <f t="shared" ca="1" si="34"/>
        <v>6.0335019857040217</v>
      </c>
      <c r="O136" s="4"/>
      <c r="P136" s="1">
        <f ca="1">LOOKUP(B136,geomorph!$A:$A,geomorph!$G:$G)</f>
        <v>105.049981</v>
      </c>
      <c r="Q136" s="1">
        <f t="shared" ca="1" si="35"/>
        <v>125.46818596595641</v>
      </c>
    </row>
    <row r="137" spans="2:17" x14ac:dyDescent="0.3">
      <c r="B137" s="6">
        <f ca="1">RANDBETWEEN(ranges!B$2,ranges!B$3)</f>
        <v>14831</v>
      </c>
      <c r="C137" s="9">
        <f ca="1">LOOKUP(B137,geomorph!A:A,geomorph!B:B)</f>
        <v>1497.3</v>
      </c>
      <c r="D137">
        <f t="shared" si="28"/>
        <v>1.13E-4</v>
      </c>
      <c r="E137" s="9">
        <f ca="1">'[2]Q_GEV(random)'!$J137</f>
        <v>13645.070050358343</v>
      </c>
      <c r="F137" s="26">
        <f ca="1">RANDBETWEEN(ranges!F$2*1000,ranges!F$3*1000)/1000</f>
        <v>0.11</v>
      </c>
      <c r="G137" s="3">
        <f t="shared" ca="1" si="29"/>
        <v>9.1131169774649994</v>
      </c>
      <c r="H137" s="4">
        <f t="shared" ca="1" si="30"/>
        <v>12.725767615271275</v>
      </c>
      <c r="I137" s="4">
        <f t="shared" ca="1" si="31"/>
        <v>249.18342774991305</v>
      </c>
      <c r="J137" s="26">
        <f ca="1">RANDBETWEEN(ranges!J$2*1000,ranges!J$3*1000)/1000</f>
        <v>0.65</v>
      </c>
      <c r="K137" s="26">
        <f ca="1">RANDBETWEEN(ranges!K$2*1000,ranges!K$3*1000)/1000</f>
        <v>0.82499999999999996</v>
      </c>
      <c r="L137">
        <f t="shared" ca="1" si="32"/>
        <v>109.15201902028281</v>
      </c>
      <c r="M137">
        <f t="shared" ca="1" si="33"/>
        <v>18.467964942934845</v>
      </c>
      <c r="N137" s="4">
        <f t="shared" ca="1" si="34"/>
        <v>6.2415188344169241</v>
      </c>
      <c r="O137" s="4"/>
      <c r="P137" s="1">
        <f ca="1">LOOKUP(B137,geomorph!$A:$A,geomorph!$G:$G)</f>
        <v>104.849971</v>
      </c>
      <c r="Q137" s="1">
        <f t="shared" ca="1" si="35"/>
        <v>123.31793594293484</v>
      </c>
    </row>
    <row r="138" spans="2:17" x14ac:dyDescent="0.3">
      <c r="B138" s="6">
        <f ca="1">RANDBETWEEN(ranges!B$2,ranges!B$3)</f>
        <v>11181</v>
      </c>
      <c r="C138" s="9">
        <f ca="1">LOOKUP(B138,geomorph!A:A,geomorph!B:B)</f>
        <v>1669.7</v>
      </c>
      <c r="D138">
        <f t="shared" si="28"/>
        <v>1.13E-4</v>
      </c>
      <c r="E138" s="9">
        <f ca="1">'[2]Q_GEV(random)'!$J138</f>
        <v>13643.601341909693</v>
      </c>
      <c r="F138" s="26">
        <f ca="1">RANDBETWEEN(ranges!F$2*1000,ranges!F$3*1000)/1000</f>
        <v>9.5000000000000001E-2</v>
      </c>
      <c r="G138" s="3">
        <f t="shared" ca="1" si="29"/>
        <v>8.1712890590583296</v>
      </c>
      <c r="H138" s="4">
        <f t="shared" ca="1" si="30"/>
        <v>11.268775175981407</v>
      </c>
      <c r="I138" s="4">
        <f t="shared" ca="1" si="31"/>
        <v>207.78073858930958</v>
      </c>
      <c r="J138" s="26">
        <f ca="1">RANDBETWEEN(ranges!J$2*1000,ranges!J$3*1000)/1000</f>
        <v>0.68899999999999995</v>
      </c>
      <c r="K138" s="26">
        <f ca="1">RANDBETWEEN(ranges!K$2*1000,ranges!K$3*1000)/1000</f>
        <v>0.82699999999999996</v>
      </c>
      <c r="L138">
        <f t="shared" ca="1" si="32"/>
        <v>90.063615299657116</v>
      </c>
      <c r="M138">
        <f t="shared" ca="1" si="33"/>
        <v>16.992851686639636</v>
      </c>
      <c r="N138" s="4">
        <f t="shared" ca="1" si="34"/>
        <v>6.2218222941937267</v>
      </c>
      <c r="O138" s="4"/>
      <c r="P138" s="1">
        <f ca="1">LOOKUP(B138,geomorph!$A:$A,geomorph!$G:$G)</f>
        <v>105.262421</v>
      </c>
      <c r="Q138" s="1">
        <f t="shared" ca="1" si="35"/>
        <v>122.25527268663964</v>
      </c>
    </row>
    <row r="139" spans="2:17" x14ac:dyDescent="0.3">
      <c r="B139" s="6">
        <f ca="1">RANDBETWEEN(ranges!B$2,ranges!B$3)</f>
        <v>14476</v>
      </c>
      <c r="C139" s="9">
        <f ca="1">LOOKUP(B139,geomorph!A:A,geomorph!B:B)</f>
        <v>1394</v>
      </c>
      <c r="D139">
        <f t="shared" ref="D139:D202" si="36">D138</f>
        <v>1.13E-4</v>
      </c>
      <c r="E139" s="9">
        <f ca="1">'[2]Q_GEV(random)'!$J139</f>
        <v>13638.195935751399</v>
      </c>
      <c r="F139" s="26">
        <f ca="1">RANDBETWEEN(ranges!F$2*1000,ranges!F$3*1000)/1000</f>
        <v>9.6000000000000002E-2</v>
      </c>
      <c r="G139" s="3">
        <f t="shared" ref="G139:G202" ca="1" si="37">E139/C139</f>
        <v>9.7834978018302721</v>
      </c>
      <c r="H139" s="4">
        <f t="shared" ref="H139:H202" ca="1" si="38">POWER(G139/SQRT(4*9.807*D139/F139),2/3)</f>
        <v>12.75053209624294</v>
      </c>
      <c r="I139" s="4">
        <f t="shared" ref="I139:I202" ca="1" si="39">POWER(G139*G139/9.807/D139,1/3)/C139/D139</f>
        <v>280.61874477532251</v>
      </c>
      <c r="J139" s="26">
        <f ca="1">RANDBETWEEN(ranges!J$2*1000,ranges!J$3*1000)/1000</f>
        <v>0.74399999999999999</v>
      </c>
      <c r="K139" s="26">
        <f ca="1">RANDBETWEEN(ranges!K$2*1000,ranges!K$3*1000)/1000</f>
        <v>0.91500000000000004</v>
      </c>
      <c r="L139">
        <f t="shared" ref="L139:L202" ca="1" si="40">0.63*POWER(F139,1/3)*I139+5.75*(1+SQRT(1+0.11*J139*POWER(F139,1/3)*K139*I139))/J139</f>
        <v>113.8661450106038</v>
      </c>
      <c r="M139">
        <f t="shared" ref="M139:M202" ca="1" si="41">L139*C139*D139</f>
        <v>17.936422894360334</v>
      </c>
      <c r="N139" s="4">
        <f t="shared" ref="N139:N202" ca="1" si="42">(M139-H139)/0.92</f>
        <v>5.6368378240406445</v>
      </c>
      <c r="O139" s="4"/>
      <c r="P139" s="1">
        <f ca="1">LOOKUP(B139,geomorph!$A:$A,geomorph!$G:$G)</f>
        <v>104.89065100000001</v>
      </c>
      <c r="Q139" s="1">
        <f t="shared" ref="Q139:Q202" ca="1" si="43">M139+P139</f>
        <v>122.82707389436034</v>
      </c>
    </row>
    <row r="140" spans="2:17" x14ac:dyDescent="0.3">
      <c r="B140" s="6">
        <f ca="1">RANDBETWEEN(ranges!B$2,ranges!B$3)</f>
        <v>10690</v>
      </c>
      <c r="C140" s="9">
        <f ca="1">LOOKUP(B140,geomorph!A:A,geomorph!B:B)</f>
        <v>1714.6</v>
      </c>
      <c r="D140">
        <f t="shared" si="36"/>
        <v>1.13E-4</v>
      </c>
      <c r="E140" s="9">
        <f ca="1">'[2]Q_GEV(random)'!$J140</f>
        <v>13631.19975326243</v>
      </c>
      <c r="F140" s="26">
        <f ca="1">RANDBETWEEN(ranges!F$2*1000,ranges!F$3*1000)/1000</f>
        <v>9.7000000000000003E-2</v>
      </c>
      <c r="G140" s="3">
        <f t="shared" ca="1" si="37"/>
        <v>7.9500756755292379</v>
      </c>
      <c r="H140" s="4">
        <f t="shared" ca="1" si="38"/>
        <v>11.141574018130063</v>
      </c>
      <c r="I140" s="4">
        <f t="shared" ca="1" si="39"/>
        <v>198.67110438539694</v>
      </c>
      <c r="J140" s="26">
        <f ca="1">RANDBETWEEN(ranges!J$2*1000,ranges!J$3*1000)/1000</f>
        <v>0.69599999999999995</v>
      </c>
      <c r="K140" s="26">
        <f ca="1">RANDBETWEEN(ranges!K$2*1000,ranges!K$3*1000)/1000</f>
        <v>0.91300000000000003</v>
      </c>
      <c r="L140">
        <f t="shared" ca="1" si="40"/>
        <v>88.214341181367359</v>
      </c>
      <c r="M140">
        <f t="shared" ca="1" si="41"/>
        <v>17.09151096102169</v>
      </c>
      <c r="N140" s="4">
        <f t="shared" ca="1" si="42"/>
        <v>6.4673227640126383</v>
      </c>
      <c r="O140" s="4"/>
      <c r="P140" s="1">
        <f ca="1">LOOKUP(B140,geomorph!$A:$A,geomorph!$G:$G)</f>
        <v>105.317791</v>
      </c>
      <c r="Q140" s="1">
        <f t="shared" ca="1" si="43"/>
        <v>122.4093019610217</v>
      </c>
    </row>
    <row r="141" spans="2:17" x14ac:dyDescent="0.3">
      <c r="B141" s="6">
        <f ca="1">RANDBETWEEN(ranges!B$2,ranges!B$3)</f>
        <v>14731</v>
      </c>
      <c r="C141" s="9">
        <f ca="1">LOOKUP(B141,geomorph!A:A,geomorph!B:B)</f>
        <v>1469.6</v>
      </c>
      <c r="D141">
        <f t="shared" si="36"/>
        <v>1.13E-4</v>
      </c>
      <c r="E141" s="9">
        <f ca="1">'[2]Q_GEV(random)'!$J141</f>
        <v>13624.846069758758</v>
      </c>
      <c r="F141" s="26">
        <f ca="1">RANDBETWEEN(ranges!F$2*1000,ranges!F$3*1000)/1000</f>
        <v>9.4E-2</v>
      </c>
      <c r="G141" s="3">
        <f t="shared" ca="1" si="37"/>
        <v>9.2711255237879406</v>
      </c>
      <c r="H141" s="4">
        <f t="shared" ca="1" si="38"/>
        <v>12.215353941875236</v>
      </c>
      <c r="I141" s="4">
        <f t="shared" ca="1" si="39"/>
        <v>256.80640290127445</v>
      </c>
      <c r="J141" s="26">
        <f ca="1">RANDBETWEEN(ranges!J$2*1000,ranges!J$3*1000)/1000</f>
        <v>0.61099999999999999</v>
      </c>
      <c r="K141" s="26">
        <f ca="1">RANDBETWEEN(ranges!K$2*1000,ranges!K$3*1000)/1000</f>
        <v>0.91200000000000003</v>
      </c>
      <c r="L141">
        <f t="shared" ca="1" si="40"/>
        <v>109.85120092404254</v>
      </c>
      <c r="M141">
        <f t="shared" ca="1" si="41"/>
        <v>18.24241771121094</v>
      </c>
      <c r="N141" s="4">
        <f t="shared" ca="1" si="42"/>
        <v>6.5511562710170699</v>
      </c>
      <c r="O141" s="4"/>
      <c r="P141" s="1">
        <f ca="1">LOOKUP(B141,geomorph!$A:$A,geomorph!$G:$G)</f>
        <v>104.861271</v>
      </c>
      <c r="Q141" s="1">
        <f t="shared" ca="1" si="43"/>
        <v>123.10368871121094</v>
      </c>
    </row>
    <row r="142" spans="2:17" x14ac:dyDescent="0.3">
      <c r="B142" s="6">
        <f ca="1">RANDBETWEEN(ranges!B$2,ranges!B$3)</f>
        <v>12762</v>
      </c>
      <c r="C142" s="9">
        <f ca="1">LOOKUP(B142,geomorph!A:A,geomorph!B:B)</f>
        <v>1143</v>
      </c>
      <c r="D142">
        <f t="shared" si="36"/>
        <v>1.13E-4</v>
      </c>
      <c r="E142" s="9">
        <f ca="1">'[2]Q_GEV(random)'!$J142</f>
        <v>13618.737882035026</v>
      </c>
      <c r="F142" s="26">
        <f ca="1">RANDBETWEEN(ranges!F$2*1000,ranges!F$3*1000)/1000</f>
        <v>0.108</v>
      </c>
      <c r="G142" s="3">
        <f t="shared" ca="1" si="37"/>
        <v>11.914906283495212</v>
      </c>
      <c r="H142" s="4">
        <f t="shared" ca="1" si="38"/>
        <v>15.123192107446037</v>
      </c>
      <c r="I142" s="4">
        <f t="shared" ca="1" si="39"/>
        <v>390.29909149307048</v>
      </c>
      <c r="J142" s="26">
        <f ca="1">RANDBETWEEN(ranges!J$2*1000,ranges!J$3*1000)/1000</f>
        <v>0.77600000000000002</v>
      </c>
      <c r="K142" s="26">
        <f ca="1">RANDBETWEEN(ranges!K$2*1000,ranges!K$3*1000)/1000</f>
        <v>0.9</v>
      </c>
      <c r="L142">
        <f t="shared" ca="1" si="40"/>
        <v>153.47067106917427</v>
      </c>
      <c r="M142">
        <f t="shared" ca="1" si="41"/>
        <v>19.822118404623481</v>
      </c>
      <c r="N142" s="4">
        <f t="shared" ca="1" si="42"/>
        <v>5.1075285838885254</v>
      </c>
      <c r="O142" s="4"/>
      <c r="P142" s="1">
        <f ca="1">LOOKUP(B142,geomorph!$A:$A,geomorph!$G:$G)</f>
        <v>105.08388100000001</v>
      </c>
      <c r="Q142" s="1">
        <f t="shared" ca="1" si="43"/>
        <v>124.90599940462349</v>
      </c>
    </row>
    <row r="143" spans="2:17" x14ac:dyDescent="0.3">
      <c r="B143" s="6">
        <f ca="1">RANDBETWEEN(ranges!B$2,ranges!B$3)</f>
        <v>13440</v>
      </c>
      <c r="C143" s="9">
        <f ca="1">LOOKUP(B143,geomorph!A:A,geomorph!B:B)</f>
        <v>1190.5999999999999</v>
      </c>
      <c r="D143">
        <f t="shared" si="36"/>
        <v>1.13E-4</v>
      </c>
      <c r="E143" s="9">
        <f ca="1">'[2]Q_GEV(random)'!$J143</f>
        <v>13611.234070418028</v>
      </c>
      <c r="F143" s="26">
        <f ca="1">RANDBETWEEN(ranges!F$2*1000,ranges!F$3*1000)/1000</f>
        <v>0.104</v>
      </c>
      <c r="G143" s="3">
        <f t="shared" ca="1" si="37"/>
        <v>11.432247665393943</v>
      </c>
      <c r="H143" s="4">
        <f t="shared" ca="1" si="38"/>
        <v>14.528050003212583</v>
      </c>
      <c r="I143" s="4">
        <f t="shared" ca="1" si="39"/>
        <v>364.50645332608326</v>
      </c>
      <c r="J143" s="26">
        <f ca="1">RANDBETWEEN(ranges!J$2*1000,ranges!J$3*1000)/1000</f>
        <v>0.64700000000000002</v>
      </c>
      <c r="K143" s="26">
        <f ca="1">RANDBETWEEN(ranges!K$2*1000,ranges!K$3*1000)/1000</f>
        <v>1</v>
      </c>
      <c r="L143">
        <f t="shared" ca="1" si="40"/>
        <v>149.16707602098845</v>
      </c>
      <c r="M143">
        <f t="shared" ca="1" si="41"/>
        <v>20.068610240296536</v>
      </c>
      <c r="N143" s="4">
        <f t="shared" ca="1" si="42"/>
        <v>6.0223480837869054</v>
      </c>
      <c r="O143" s="4"/>
      <c r="P143" s="1">
        <f ca="1">LOOKUP(B143,geomorph!$A:$A,geomorph!$G:$G)</f>
        <v>105.007041</v>
      </c>
      <c r="Q143" s="1">
        <f t="shared" ca="1" si="43"/>
        <v>125.07565124029654</v>
      </c>
    </row>
    <row r="144" spans="2:17" x14ac:dyDescent="0.3">
      <c r="B144" s="6">
        <f ca="1">RANDBETWEEN(ranges!B$2,ranges!B$3)</f>
        <v>12571</v>
      </c>
      <c r="C144" s="9">
        <f ca="1">LOOKUP(B144,geomorph!A:A,geomorph!B:B)</f>
        <v>1191.5</v>
      </c>
      <c r="D144">
        <f t="shared" si="36"/>
        <v>1.13E-4</v>
      </c>
      <c r="E144" s="9">
        <f ca="1">'[2]Q_GEV(random)'!$J144</f>
        <v>13597.299060330524</v>
      </c>
      <c r="F144" s="26">
        <f ca="1">RANDBETWEEN(ranges!F$2*1000,ranges!F$3*1000)/1000</f>
        <v>9.7000000000000003E-2</v>
      </c>
      <c r="G144" s="3">
        <f t="shared" ca="1" si="37"/>
        <v>11.411916962090244</v>
      </c>
      <c r="H144" s="4">
        <f t="shared" ca="1" si="38"/>
        <v>14.177667165236123</v>
      </c>
      <c r="I144" s="4">
        <f t="shared" ca="1" si="39"/>
        <v>363.79917134251605</v>
      </c>
      <c r="J144" s="26">
        <f ca="1">RANDBETWEEN(ranges!J$2*1000,ranges!J$3*1000)/1000</f>
        <v>0.78700000000000003</v>
      </c>
      <c r="K144" s="26">
        <f ca="1">RANDBETWEEN(ranges!K$2*1000,ranges!K$3*1000)/1000</f>
        <v>0.93400000000000005</v>
      </c>
      <c r="L144">
        <f t="shared" ca="1" si="40"/>
        <v>140.44995399805543</v>
      </c>
      <c r="M144">
        <f t="shared" ca="1" si="41"/>
        <v>18.910111581321182</v>
      </c>
      <c r="N144" s="4">
        <f t="shared" ca="1" si="42"/>
        <v>5.1439613218315854</v>
      </c>
      <c r="O144" s="4"/>
      <c r="P144" s="1">
        <f ca="1">LOOKUP(B144,geomorph!$A:$A,geomorph!$G:$G)</f>
        <v>105.105351</v>
      </c>
      <c r="Q144" s="1">
        <f t="shared" ca="1" si="43"/>
        <v>124.01546258132117</v>
      </c>
    </row>
    <row r="145" spans="2:17" x14ac:dyDescent="0.3">
      <c r="B145" s="6">
        <f ca="1">RANDBETWEEN(ranges!B$2,ranges!B$3)</f>
        <v>11603</v>
      </c>
      <c r="C145" s="9">
        <f ca="1">LOOKUP(B145,geomorph!A:A,geomorph!B:B)</f>
        <v>1465.1</v>
      </c>
      <c r="D145">
        <f t="shared" si="36"/>
        <v>1.13E-4</v>
      </c>
      <c r="E145" s="9">
        <f ca="1">'[2]Q_GEV(random)'!$J145</f>
        <v>13587.395959596848</v>
      </c>
      <c r="F145" s="26">
        <f ca="1">RANDBETWEEN(ranges!F$2*1000,ranges!F$3*1000)/1000</f>
        <v>9.0999999999999998E-2</v>
      </c>
      <c r="G145" s="3">
        <f t="shared" ca="1" si="37"/>
        <v>9.2740399696927511</v>
      </c>
      <c r="H145" s="4">
        <f t="shared" ca="1" si="38"/>
        <v>12.086528198302737</v>
      </c>
      <c r="I145" s="4">
        <f t="shared" ca="1" si="39"/>
        <v>257.64915597468229</v>
      </c>
      <c r="J145" s="26">
        <f ca="1">RANDBETWEEN(ranges!J$2*1000,ranges!J$3*1000)/1000</f>
        <v>0.70499999999999996</v>
      </c>
      <c r="K145" s="26">
        <f ca="1">RANDBETWEEN(ranges!K$2*1000,ranges!K$3*1000)/1000</f>
        <v>0.82299999999999995</v>
      </c>
      <c r="L145">
        <f t="shared" ca="1" si="40"/>
        <v>104.79959022754926</v>
      </c>
      <c r="M145">
        <f t="shared" ca="1" si="41"/>
        <v>17.350232399589213</v>
      </c>
      <c r="N145" s="4">
        <f t="shared" ca="1" si="42"/>
        <v>5.7214176100939955</v>
      </c>
      <c r="O145" s="4"/>
      <c r="P145" s="1">
        <f ca="1">LOOKUP(B145,geomorph!$A:$A,geomorph!$G:$G)</f>
        <v>105.214961</v>
      </c>
      <c r="Q145" s="1">
        <f t="shared" ca="1" si="43"/>
        <v>122.56519339958922</v>
      </c>
    </row>
    <row r="146" spans="2:17" x14ac:dyDescent="0.3">
      <c r="B146" s="6">
        <f ca="1">RANDBETWEEN(ranges!B$2,ranges!B$3)</f>
        <v>13230</v>
      </c>
      <c r="C146" s="9">
        <f ca="1">LOOKUP(B146,geomorph!A:A,geomorph!B:B)</f>
        <v>1166.5</v>
      </c>
      <c r="D146">
        <f t="shared" si="36"/>
        <v>1.13E-4</v>
      </c>
      <c r="E146" s="9">
        <f ca="1">'[2]Q_GEV(random)'!$J146</f>
        <v>13569.780554114335</v>
      </c>
      <c r="F146" s="26">
        <f ca="1">RANDBETWEEN(ranges!F$2*1000,ranges!F$3*1000)/1000</f>
        <v>9.6000000000000002E-2</v>
      </c>
      <c r="G146" s="3">
        <f t="shared" ca="1" si="37"/>
        <v>11.632902318143451</v>
      </c>
      <c r="H146" s="4">
        <f t="shared" ca="1" si="38"/>
        <v>14.310591841295873</v>
      </c>
      <c r="I146" s="4">
        <f t="shared" ca="1" si="39"/>
        <v>376.37779590988481</v>
      </c>
      <c r="J146" s="26">
        <f ca="1">RANDBETWEEN(ranges!J$2*1000,ranges!J$3*1000)/1000</f>
        <v>0.78700000000000003</v>
      </c>
      <c r="K146" s="26">
        <f ca="1">RANDBETWEEN(ranges!K$2*1000,ranges!K$3*1000)/1000</f>
        <v>0.80300000000000005</v>
      </c>
      <c r="L146">
        <f t="shared" ca="1" si="40"/>
        <v>142.20207545811814</v>
      </c>
      <c r="M146">
        <f t="shared" ca="1" si="41"/>
        <v>18.744295475474111</v>
      </c>
      <c r="N146" s="4">
        <f t="shared" ca="1" si="42"/>
        <v>4.81924308062852</v>
      </c>
      <c r="O146" s="4"/>
      <c r="P146" s="1">
        <f ca="1">LOOKUP(B146,geomorph!$A:$A,geomorph!$G:$G)</f>
        <v>105.030771</v>
      </c>
      <c r="Q146" s="1">
        <f t="shared" ca="1" si="43"/>
        <v>123.77506647547412</v>
      </c>
    </row>
    <row r="147" spans="2:17" x14ac:dyDescent="0.3">
      <c r="B147" s="6">
        <f ca="1">RANDBETWEEN(ranges!B$2,ranges!B$3)</f>
        <v>10047</v>
      </c>
      <c r="C147" s="9">
        <f ca="1">LOOKUP(B147,geomorph!A:A,geomorph!B:B)</f>
        <v>1645.1</v>
      </c>
      <c r="D147">
        <f t="shared" si="36"/>
        <v>1.13E-4</v>
      </c>
      <c r="E147" s="9">
        <f ca="1">'[2]Q_GEV(random)'!$J147</f>
        <v>13547.803334773687</v>
      </c>
      <c r="F147" s="26">
        <f ca="1">RANDBETWEEN(ranges!F$2*1000,ranges!F$3*1000)/1000</f>
        <v>9.5000000000000001E-2</v>
      </c>
      <c r="G147" s="3">
        <f t="shared" ca="1" si="37"/>
        <v>8.2352460852067892</v>
      </c>
      <c r="H147" s="4">
        <f t="shared" ca="1" si="38"/>
        <v>11.327499523164157</v>
      </c>
      <c r="I147" s="4">
        <f t="shared" ca="1" si="39"/>
        <v>211.98677541127424</v>
      </c>
      <c r="J147" s="26">
        <f ca="1">RANDBETWEEN(ranges!J$2*1000,ranges!J$3*1000)/1000</f>
        <v>0.75600000000000001</v>
      </c>
      <c r="K147" s="26">
        <f ca="1">RANDBETWEEN(ranges!K$2*1000,ranges!K$3*1000)/1000</f>
        <v>0.86399999999999999</v>
      </c>
      <c r="L147">
        <f t="shared" ca="1" si="40"/>
        <v>89.989179370302196</v>
      </c>
      <c r="M147">
        <f t="shared" ca="1" si="41"/>
        <v>16.728655484975508</v>
      </c>
      <c r="N147" s="4">
        <f t="shared" ca="1" si="42"/>
        <v>5.8708216976210341</v>
      </c>
      <c r="O147" s="4"/>
      <c r="P147" s="1">
        <f ca="1">LOOKUP(B147,geomorph!$A:$A,geomorph!$G:$G)</f>
        <v>105.39124100000001</v>
      </c>
      <c r="Q147" s="1">
        <f t="shared" ca="1" si="43"/>
        <v>122.11989648497551</v>
      </c>
    </row>
    <row r="148" spans="2:17" x14ac:dyDescent="0.3">
      <c r="B148" s="6">
        <f ca="1">RANDBETWEEN(ranges!B$2,ranges!B$3)</f>
        <v>12186</v>
      </c>
      <c r="C148" s="9">
        <f ca="1">LOOKUP(B148,geomorph!A:A,geomorph!B:B)</f>
        <v>1295.7</v>
      </c>
      <c r="D148">
        <f t="shared" si="36"/>
        <v>1.13E-4</v>
      </c>
      <c r="E148" s="9">
        <f ca="1">'[2]Q_GEV(random)'!$J148</f>
        <v>13535.952575440411</v>
      </c>
      <c r="F148" s="26">
        <f ca="1">RANDBETWEEN(ranges!F$2*1000,ranges!F$3*1000)/1000</f>
        <v>0.10100000000000001</v>
      </c>
      <c r="G148" s="3">
        <f t="shared" ca="1" si="37"/>
        <v>10.446826098202061</v>
      </c>
      <c r="H148" s="4">
        <f t="shared" ca="1" si="38"/>
        <v>13.547895292201606</v>
      </c>
      <c r="I148" s="4">
        <f t="shared" ca="1" si="39"/>
        <v>315.40492346835867</v>
      </c>
      <c r="J148" s="26">
        <f ca="1">RANDBETWEEN(ranges!J$2*1000,ranges!J$3*1000)/1000</f>
        <v>0.745</v>
      </c>
      <c r="K148" s="26">
        <f ca="1">RANDBETWEEN(ranges!K$2*1000,ranges!K$3*1000)/1000</f>
        <v>0.94499999999999995</v>
      </c>
      <c r="L148">
        <f t="shared" ca="1" si="40"/>
        <v>127.40631457171914</v>
      </c>
      <c r="M148">
        <f t="shared" ca="1" si="41"/>
        <v>18.654080882335141</v>
      </c>
      <c r="N148" s="4">
        <f t="shared" ca="1" si="42"/>
        <v>5.5502017284060159</v>
      </c>
      <c r="O148" s="4"/>
      <c r="P148" s="1">
        <f ca="1">LOOKUP(B148,geomorph!$A:$A,geomorph!$G:$G)</f>
        <v>105.149421</v>
      </c>
      <c r="Q148" s="1">
        <f t="shared" ca="1" si="43"/>
        <v>123.80350188233514</v>
      </c>
    </row>
    <row r="149" spans="2:17" x14ac:dyDescent="0.3">
      <c r="B149" s="6">
        <f ca="1">RANDBETWEEN(ranges!B$2,ranges!B$3)</f>
        <v>11845</v>
      </c>
      <c r="C149" s="9">
        <f ca="1">LOOKUP(B149,geomorph!A:A,geomorph!B:B)</f>
        <v>1399.1</v>
      </c>
      <c r="D149">
        <f t="shared" si="36"/>
        <v>1.13E-4</v>
      </c>
      <c r="E149" s="9">
        <f ca="1">'[2]Q_GEV(random)'!$J149</f>
        <v>13518.09785020134</v>
      </c>
      <c r="F149" s="26">
        <f ca="1">RANDBETWEEN(ranges!F$2*1000,ranges!F$3*1000)/1000</f>
        <v>9.5000000000000001E-2</v>
      </c>
      <c r="G149" s="3">
        <f t="shared" ca="1" si="37"/>
        <v>9.6619954615119301</v>
      </c>
      <c r="H149" s="4">
        <f t="shared" ca="1" si="38"/>
        <v>12.600686824899388</v>
      </c>
      <c r="I149" s="4">
        <f t="shared" ca="1" si="39"/>
        <v>277.27612737661491</v>
      </c>
      <c r="J149" s="26">
        <f ca="1">RANDBETWEEN(ranges!J$2*1000,ranges!J$3*1000)/1000</f>
        <v>0.78600000000000003</v>
      </c>
      <c r="K149" s="26">
        <f ca="1">RANDBETWEEN(ranges!K$2*1000,ranges!K$3*1000)/1000</f>
        <v>0.90600000000000003</v>
      </c>
      <c r="L149">
        <f t="shared" ca="1" si="40"/>
        <v>111.18608406026712</v>
      </c>
      <c r="M149">
        <f t="shared" ca="1" si="41"/>
        <v>17.57833087358533</v>
      </c>
      <c r="N149" s="4">
        <f t="shared" ca="1" si="42"/>
        <v>5.4104826616151547</v>
      </c>
      <c r="O149" s="4"/>
      <c r="P149" s="1">
        <f ca="1">LOOKUP(B149,geomorph!$A:$A,geomorph!$G:$G)</f>
        <v>105.18784100000001</v>
      </c>
      <c r="Q149" s="1">
        <f t="shared" ca="1" si="43"/>
        <v>122.76617187358534</v>
      </c>
    </row>
    <row r="150" spans="2:17" x14ac:dyDescent="0.3">
      <c r="B150" s="6">
        <f ca="1">RANDBETWEEN(ranges!B$2,ranges!B$3)</f>
        <v>12874</v>
      </c>
      <c r="C150" s="9">
        <f ca="1">LOOKUP(B150,geomorph!A:A,geomorph!B:B)</f>
        <v>1135.3</v>
      </c>
      <c r="D150">
        <f t="shared" si="36"/>
        <v>1.13E-4</v>
      </c>
      <c r="E150" s="9">
        <f ca="1">'[2]Q_GEV(random)'!$J150</f>
        <v>13512.961316249537</v>
      </c>
      <c r="F150" s="26">
        <f ca="1">RANDBETWEEN(ranges!F$2*1000,ranges!F$3*1000)/1000</f>
        <v>0.1</v>
      </c>
      <c r="G150" s="3">
        <f t="shared" ca="1" si="37"/>
        <v>11.902546742050152</v>
      </c>
      <c r="H150" s="4">
        <f t="shared" ca="1" si="38"/>
        <v>14.729965412127756</v>
      </c>
      <c r="I150" s="4">
        <f t="shared" ca="1" si="39"/>
        <v>392.67444884348021</v>
      </c>
      <c r="J150" s="26">
        <f ca="1">RANDBETWEEN(ranges!J$2*1000,ranges!J$3*1000)/1000</f>
        <v>0.629</v>
      </c>
      <c r="K150" s="26">
        <f ca="1">RANDBETWEEN(ranges!K$2*1000,ranges!K$3*1000)/1000</f>
        <v>0.97599999999999998</v>
      </c>
      <c r="L150">
        <f t="shared" ca="1" si="40"/>
        <v>157.31586313559944</v>
      </c>
      <c r="M150">
        <f t="shared" ca="1" si="41"/>
        <v>20.181879034216603</v>
      </c>
      <c r="N150" s="4">
        <f t="shared" ca="1" si="42"/>
        <v>5.9259930674878776</v>
      </c>
      <c r="O150" s="4"/>
      <c r="P150" s="1">
        <f ca="1">LOOKUP(B150,geomorph!$A:$A,geomorph!$G:$G)</f>
        <v>105.071451</v>
      </c>
      <c r="Q150" s="1">
        <f t="shared" ca="1" si="43"/>
        <v>125.2533300342166</v>
      </c>
    </row>
    <row r="151" spans="2:17" x14ac:dyDescent="0.3">
      <c r="B151" s="6">
        <f ca="1">RANDBETWEEN(ranges!B$2,ranges!B$3)</f>
        <v>14448</v>
      </c>
      <c r="C151" s="9">
        <f ca="1">LOOKUP(B151,geomorph!A:A,geomorph!B:B)</f>
        <v>1386.6</v>
      </c>
      <c r="D151">
        <f t="shared" si="36"/>
        <v>1.13E-4</v>
      </c>
      <c r="E151" s="9">
        <f ca="1">'[2]Q_GEV(random)'!$J151</f>
        <v>13511.674623874753</v>
      </c>
      <c r="F151" s="26">
        <f ca="1">RANDBETWEEN(ranges!F$2*1000,ranges!F$3*1000)/1000</f>
        <v>9.8000000000000004E-2</v>
      </c>
      <c r="G151" s="3">
        <f t="shared" ca="1" si="37"/>
        <v>9.7444646068619303</v>
      </c>
      <c r="H151" s="4">
        <f t="shared" ca="1" si="38"/>
        <v>12.804299093859861</v>
      </c>
      <c r="I151" s="4">
        <f t="shared" ca="1" si="39"/>
        <v>281.3654770908426</v>
      </c>
      <c r="J151" s="26">
        <f ca="1">RANDBETWEEN(ranges!J$2*1000,ranges!J$3*1000)/1000</f>
        <v>0.79500000000000004</v>
      </c>
      <c r="K151" s="26">
        <f ca="1">RANDBETWEEN(ranges!K$2*1000,ranges!K$3*1000)/1000</f>
        <v>0.80400000000000005</v>
      </c>
      <c r="L151">
        <f t="shared" ca="1" si="40"/>
        <v>111.96686316957178</v>
      </c>
      <c r="M151">
        <f t="shared" ca="1" si="41"/>
        <v>17.543617529214888</v>
      </c>
      <c r="N151" s="4">
        <f t="shared" ca="1" si="42"/>
        <v>5.1514330819076379</v>
      </c>
      <c r="O151" s="4"/>
      <c r="P151" s="1">
        <f ca="1">LOOKUP(B151,geomorph!$A:$A,geomorph!$G:$G)</f>
        <v>104.894041</v>
      </c>
      <c r="Q151" s="1">
        <f t="shared" ca="1" si="43"/>
        <v>122.43765852921489</v>
      </c>
    </row>
    <row r="152" spans="2:17" x14ac:dyDescent="0.3">
      <c r="B152" s="6">
        <f ca="1">RANDBETWEEN(ranges!B$2,ranges!B$3)</f>
        <v>12226</v>
      </c>
      <c r="C152" s="9">
        <f ca="1">LOOKUP(B152,geomorph!A:A,geomorph!B:B)</f>
        <v>1285</v>
      </c>
      <c r="D152">
        <f t="shared" si="36"/>
        <v>1.13E-4</v>
      </c>
      <c r="E152" s="9">
        <f ca="1">'[2]Q_GEV(random)'!$J152</f>
        <v>13503.883635102284</v>
      </c>
      <c r="F152" s="26">
        <f ca="1">RANDBETWEEN(ranges!F$2*1000,ranges!F$3*1000)/1000</f>
        <v>9.2999999999999999E-2</v>
      </c>
      <c r="G152" s="3">
        <f t="shared" ca="1" si="37"/>
        <v>10.508858860001776</v>
      </c>
      <c r="H152" s="4">
        <f t="shared" ca="1" si="38"/>
        <v>13.23243651257504</v>
      </c>
      <c r="I152" s="4">
        <f t="shared" ca="1" si="39"/>
        <v>319.28897947067986</v>
      </c>
      <c r="J152" s="26">
        <f ca="1">RANDBETWEEN(ranges!J$2*1000,ranges!J$3*1000)/1000</f>
        <v>0.79300000000000004</v>
      </c>
      <c r="K152" s="26">
        <f ca="1">RANDBETWEEN(ranges!K$2*1000,ranges!K$3*1000)/1000</f>
        <v>0.90200000000000002</v>
      </c>
      <c r="L152">
        <f t="shared" ca="1" si="40"/>
        <v>123.90064294894532</v>
      </c>
      <c r="M152">
        <f t="shared" ca="1" si="41"/>
        <v>17.990992859401604</v>
      </c>
      <c r="N152" s="4">
        <f t="shared" ca="1" si="42"/>
        <v>5.1723438552462655</v>
      </c>
      <c r="O152" s="4"/>
      <c r="P152" s="1">
        <f ca="1">LOOKUP(B152,geomorph!$A:$A,geomorph!$G:$G)</f>
        <v>105.144901</v>
      </c>
      <c r="Q152" s="1">
        <f t="shared" ca="1" si="43"/>
        <v>123.13589385940161</v>
      </c>
    </row>
    <row r="153" spans="2:17" x14ac:dyDescent="0.3">
      <c r="B153" s="6">
        <f ca="1">RANDBETWEEN(ranges!B$2,ranges!B$3)</f>
        <v>10607</v>
      </c>
      <c r="C153" s="9">
        <f ca="1">LOOKUP(B153,geomorph!A:A,geomorph!B:B)</f>
        <v>1740.5</v>
      </c>
      <c r="D153">
        <f t="shared" si="36"/>
        <v>1.13E-4</v>
      </c>
      <c r="E153" s="9">
        <f ca="1">'[2]Q_GEV(random)'!$J153</f>
        <v>13479.70755217208</v>
      </c>
      <c r="F153" s="26">
        <f ca="1">RANDBETWEEN(ranges!F$2*1000,ranges!F$3*1000)/1000</f>
        <v>9.1999999999999998E-2</v>
      </c>
      <c r="G153" s="3">
        <f t="shared" ca="1" si="37"/>
        <v>7.7447328653674692</v>
      </c>
      <c r="H153" s="4">
        <f t="shared" ca="1" si="38"/>
        <v>10.757434259936456</v>
      </c>
      <c r="I153" s="4">
        <f t="shared" ca="1" si="39"/>
        <v>192.32996428526644</v>
      </c>
      <c r="J153" s="26">
        <f ca="1">RANDBETWEEN(ranges!J$2*1000,ranges!J$3*1000)/1000</f>
        <v>0.63500000000000001</v>
      </c>
      <c r="K153" s="26">
        <f ca="1">RANDBETWEEN(ranges!K$2*1000,ranges!K$3*1000)/1000</f>
        <v>0.83199999999999996</v>
      </c>
      <c r="L153">
        <f t="shared" ca="1" si="40"/>
        <v>86.01959781747756</v>
      </c>
      <c r="M153">
        <f t="shared" ca="1" si="41"/>
        <v>16.918033430149126</v>
      </c>
      <c r="N153" s="4">
        <f t="shared" ca="1" si="42"/>
        <v>6.6963034458833368</v>
      </c>
      <c r="O153" s="4"/>
      <c r="P153" s="1">
        <f ca="1">LOOKUP(B153,geomorph!$A:$A,geomorph!$G:$G)</f>
        <v>105.327961</v>
      </c>
      <c r="Q153" s="1">
        <f t="shared" ca="1" si="43"/>
        <v>122.24599443014912</v>
      </c>
    </row>
    <row r="154" spans="2:17" x14ac:dyDescent="0.3">
      <c r="B154" s="6">
        <f ca="1">RANDBETWEEN(ranges!B$2,ranges!B$3)</f>
        <v>12830</v>
      </c>
      <c r="C154" s="9">
        <f ca="1">LOOKUP(B154,geomorph!A:A,geomorph!B:B)</f>
        <v>1132.9000000000001</v>
      </c>
      <c r="D154">
        <f t="shared" si="36"/>
        <v>1.13E-4</v>
      </c>
      <c r="E154" s="9">
        <f ca="1">'[2]Q_GEV(random)'!$J154</f>
        <v>13477.28298431656</v>
      </c>
      <c r="F154" s="26">
        <f ca="1">RANDBETWEEN(ranges!F$2*1000,ranges!F$3*1000)/1000</f>
        <v>9.6000000000000002E-2</v>
      </c>
      <c r="G154" s="3">
        <f t="shared" ca="1" si="37"/>
        <v>11.896268853664541</v>
      </c>
      <c r="H154" s="4">
        <f t="shared" ca="1" si="38"/>
        <v>14.525777517342641</v>
      </c>
      <c r="I154" s="4">
        <f t="shared" ca="1" si="39"/>
        <v>393.36793312012685</v>
      </c>
      <c r="J154" s="26">
        <f ca="1">RANDBETWEEN(ranges!J$2*1000,ranges!J$3*1000)/1000</f>
        <v>0.64</v>
      </c>
      <c r="K154" s="26">
        <f ca="1">RANDBETWEEN(ranges!K$2*1000,ranges!K$3*1000)/1000</f>
        <v>0.91500000000000004</v>
      </c>
      <c r="L154">
        <f t="shared" ca="1" si="40"/>
        <v>154.35290231063618</v>
      </c>
      <c r="M154">
        <f t="shared" ca="1" si="41"/>
        <v>19.759903542132328</v>
      </c>
      <c r="N154" s="4">
        <f t="shared" ca="1" si="42"/>
        <v>5.689267418249659</v>
      </c>
      <c r="O154" s="4"/>
      <c r="P154" s="1">
        <f ca="1">LOOKUP(B154,geomorph!$A:$A,geomorph!$G:$G)</f>
        <v>105.07597100000001</v>
      </c>
      <c r="Q154" s="1">
        <f t="shared" ca="1" si="43"/>
        <v>124.83587454213233</v>
      </c>
    </row>
    <row r="155" spans="2:17" x14ac:dyDescent="0.3">
      <c r="B155" s="6">
        <f ca="1">RANDBETWEEN(ranges!B$2,ranges!B$3)</f>
        <v>13269</v>
      </c>
      <c r="C155" s="9">
        <f ca="1">LOOKUP(B155,geomorph!A:A,geomorph!B:B)</f>
        <v>1169.8</v>
      </c>
      <c r="D155">
        <f t="shared" si="36"/>
        <v>1.13E-4</v>
      </c>
      <c r="E155" s="9">
        <f ca="1">'[2]Q_GEV(random)'!$J155</f>
        <v>13470.477516190287</v>
      </c>
      <c r="F155" s="26">
        <f ca="1">RANDBETWEEN(ranges!F$2*1000,ranges!F$3*1000)/1000</f>
        <v>0.10100000000000001</v>
      </c>
      <c r="G155" s="3">
        <f t="shared" ca="1" si="37"/>
        <v>11.51519705606966</v>
      </c>
      <c r="H155" s="4">
        <f t="shared" ca="1" si="38"/>
        <v>14.456500340175751</v>
      </c>
      <c r="I155" s="4">
        <f t="shared" ca="1" si="39"/>
        <v>372.78003900403291</v>
      </c>
      <c r="J155" s="26">
        <f ca="1">RANDBETWEEN(ranges!J$2*1000,ranges!J$3*1000)/1000</f>
        <v>0.78200000000000003</v>
      </c>
      <c r="K155" s="26">
        <f ca="1">RANDBETWEEN(ranges!K$2*1000,ranges!K$3*1000)/1000</f>
        <v>0.89</v>
      </c>
      <c r="L155">
        <f t="shared" ca="1" si="40"/>
        <v>144.51986804350418</v>
      </c>
      <c r="M155">
        <f t="shared" ca="1" si="41"/>
        <v>19.103705605013904</v>
      </c>
      <c r="N155" s="4">
        <f t="shared" ca="1" si="42"/>
        <v>5.0513100704762524</v>
      </c>
      <c r="O155" s="4"/>
      <c r="P155" s="1">
        <f ca="1">LOOKUP(B155,geomorph!$A:$A,geomorph!$G:$G)</f>
        <v>105.02738100000001</v>
      </c>
      <c r="Q155" s="1">
        <f t="shared" ca="1" si="43"/>
        <v>124.13108660501391</v>
      </c>
    </row>
    <row r="156" spans="2:17" x14ac:dyDescent="0.3">
      <c r="B156" s="6">
        <f ca="1">RANDBETWEEN(ranges!B$2,ranges!B$3)</f>
        <v>10725</v>
      </c>
      <c r="C156" s="9">
        <f ca="1">LOOKUP(B156,geomorph!A:A,geomorph!B:B)</f>
        <v>1700.5</v>
      </c>
      <c r="D156">
        <f t="shared" si="36"/>
        <v>1.13E-4</v>
      </c>
      <c r="E156" s="9">
        <f ca="1">'[2]Q_GEV(random)'!$J156</f>
        <v>13453.755734649214</v>
      </c>
      <c r="F156" s="26">
        <f ca="1">RANDBETWEEN(ranges!F$2*1000,ranges!F$3*1000)/1000</f>
        <v>0.108</v>
      </c>
      <c r="G156" s="3">
        <f t="shared" ca="1" si="37"/>
        <v>7.911647006556433</v>
      </c>
      <c r="H156" s="4">
        <f t="shared" ca="1" si="38"/>
        <v>11.51050337562379</v>
      </c>
      <c r="I156" s="4">
        <f t="shared" ca="1" si="39"/>
        <v>199.67237426479267</v>
      </c>
      <c r="J156" s="26">
        <f ca="1">RANDBETWEEN(ranges!J$2*1000,ranges!J$3*1000)/1000</f>
        <v>0.77200000000000002</v>
      </c>
      <c r="K156" s="26">
        <f ca="1">RANDBETWEEN(ranges!K$2*1000,ranges!K$3*1000)/1000</f>
        <v>0.86</v>
      </c>
      <c r="L156">
        <f t="shared" ca="1" si="40"/>
        <v>88.346962698904917</v>
      </c>
      <c r="M156">
        <f t="shared" ca="1" si="41"/>
        <v>16.976443137852122</v>
      </c>
      <c r="N156" s="4">
        <f t="shared" ca="1" si="42"/>
        <v>5.9412388719873181</v>
      </c>
      <c r="O156" s="4"/>
      <c r="P156" s="1">
        <f ca="1">LOOKUP(B156,geomorph!$A:$A,geomorph!$G:$G)</f>
        <v>105.314401</v>
      </c>
      <c r="Q156" s="1">
        <f t="shared" ca="1" si="43"/>
        <v>122.29084413785213</v>
      </c>
    </row>
    <row r="157" spans="2:17" x14ac:dyDescent="0.3">
      <c r="B157" s="6">
        <f ca="1">RANDBETWEEN(ranges!B$2,ranges!B$3)</f>
        <v>11016</v>
      </c>
      <c r="C157" s="9">
        <f ca="1">LOOKUP(B157,geomorph!A:A,geomorph!B:B)</f>
        <v>1687.2</v>
      </c>
      <c r="D157">
        <f t="shared" si="36"/>
        <v>1.13E-4</v>
      </c>
      <c r="E157" s="9">
        <f ca="1">'[2]Q_GEV(random)'!$J157</f>
        <v>13451.003979515222</v>
      </c>
      <c r="F157" s="26">
        <f ca="1">RANDBETWEEN(ranges!F$2*1000,ranges!F$3*1000)/1000</f>
        <v>9.8000000000000004E-2</v>
      </c>
      <c r="G157" s="3">
        <f t="shared" ca="1" si="37"/>
        <v>7.972382633662412</v>
      </c>
      <c r="H157" s="4">
        <f t="shared" ca="1" si="38"/>
        <v>11.200633278225105</v>
      </c>
      <c r="I157" s="4">
        <f t="shared" ca="1" si="39"/>
        <v>202.2749984367901</v>
      </c>
      <c r="J157" s="26">
        <f ca="1">RANDBETWEEN(ranges!J$2*1000,ranges!J$3*1000)/1000</f>
        <v>0.60199999999999998</v>
      </c>
      <c r="K157" s="26">
        <f ca="1">RANDBETWEEN(ranges!K$2*1000,ranges!K$3*1000)/1000</f>
        <v>0.96899999999999997</v>
      </c>
      <c r="L157">
        <f t="shared" ca="1" si="40"/>
        <v>93.545905006134319</v>
      </c>
      <c r="M157">
        <f t="shared" ca="1" si="41"/>
        <v>17.834863554677529</v>
      </c>
      <c r="N157" s="4">
        <f t="shared" ca="1" si="42"/>
        <v>7.211119865709156</v>
      </c>
      <c r="O157" s="4"/>
      <c r="P157" s="1">
        <f ca="1">LOOKUP(B157,geomorph!$A:$A,geomorph!$G:$G)</f>
        <v>105.281631</v>
      </c>
      <c r="Q157" s="1">
        <f t="shared" ca="1" si="43"/>
        <v>123.11649455467753</v>
      </c>
    </row>
    <row r="158" spans="2:17" x14ac:dyDescent="0.3">
      <c r="B158" s="6">
        <f ca="1">RANDBETWEEN(ranges!B$2,ranges!B$3)</f>
        <v>14422</v>
      </c>
      <c r="C158" s="9">
        <f ca="1">LOOKUP(B158,geomorph!A:A,geomorph!B:B)</f>
        <v>1381.7</v>
      </c>
      <c r="D158">
        <f t="shared" si="36"/>
        <v>1.13E-4</v>
      </c>
      <c r="E158" s="9">
        <f ca="1">'[2]Q_GEV(random)'!$J158</f>
        <v>13449.989709230123</v>
      </c>
      <c r="F158" s="26">
        <f ca="1">RANDBETWEEN(ranges!F$2*1000,ranges!F$3*1000)/1000</f>
        <v>0.1</v>
      </c>
      <c r="G158" s="3">
        <f t="shared" ca="1" si="37"/>
        <v>9.7343777297750034</v>
      </c>
      <c r="H158" s="4">
        <f t="shared" ca="1" si="38"/>
        <v>12.881919857298879</v>
      </c>
      <c r="I158" s="4">
        <f t="shared" ca="1" si="39"/>
        <v>282.16840871285274</v>
      </c>
      <c r="J158" s="26">
        <f ca="1">RANDBETWEEN(ranges!J$2*1000,ranges!J$3*1000)/1000</f>
        <v>0.61599999999999999</v>
      </c>
      <c r="K158" s="26">
        <f ca="1">RANDBETWEEN(ranges!K$2*1000,ranges!K$3*1000)/1000</f>
        <v>0.93</v>
      </c>
      <c r="L158">
        <f t="shared" ca="1" si="40"/>
        <v>120.24081912019204</v>
      </c>
      <c r="M158">
        <f t="shared" ca="1" si="41"/>
        <v>18.773451594955734</v>
      </c>
      <c r="N158" s="4">
        <f t="shared" ca="1" si="42"/>
        <v>6.4038388452791901</v>
      </c>
      <c r="O158" s="4"/>
      <c r="P158" s="1">
        <f ca="1">LOOKUP(B158,geomorph!$A:$A,geomorph!$G:$G)</f>
        <v>104.89630100000001</v>
      </c>
      <c r="Q158" s="1">
        <f t="shared" ca="1" si="43"/>
        <v>123.66975259495574</v>
      </c>
    </row>
    <row r="159" spans="2:17" x14ac:dyDescent="0.3">
      <c r="B159" s="6">
        <f ca="1">RANDBETWEEN(ranges!B$2,ranges!B$3)</f>
        <v>11675</v>
      </c>
      <c r="C159" s="9">
        <f ca="1">LOOKUP(B159,geomorph!A:A,geomorph!B:B)</f>
        <v>1447.2</v>
      </c>
      <c r="D159">
        <f t="shared" si="36"/>
        <v>1.13E-4</v>
      </c>
      <c r="E159" s="9">
        <f ca="1">'[2]Q_GEV(random)'!$J159</f>
        <v>13447.513293752634</v>
      </c>
      <c r="F159" s="26">
        <f ca="1">RANDBETWEEN(ranges!F$2*1000,ranges!F$3*1000)/1000</f>
        <v>0.10299999999999999</v>
      </c>
      <c r="G159" s="3">
        <f t="shared" ca="1" si="37"/>
        <v>9.2920904462082881</v>
      </c>
      <c r="H159" s="4">
        <f t="shared" ca="1" si="38"/>
        <v>12.612363832802844</v>
      </c>
      <c r="I159" s="4">
        <f t="shared" ca="1" si="39"/>
        <v>261.17428555231726</v>
      </c>
      <c r="J159" s="26">
        <f ca="1">RANDBETWEEN(ranges!J$2*1000,ranges!J$3*1000)/1000</f>
        <v>0.64800000000000002</v>
      </c>
      <c r="K159" s="26">
        <f ca="1">RANDBETWEEN(ranges!K$2*1000,ranges!K$3*1000)/1000</f>
        <v>0.99299999999999999</v>
      </c>
      <c r="L159">
        <f t="shared" ca="1" si="40"/>
        <v>113.58929856244188</v>
      </c>
      <c r="M159">
        <f t="shared" ca="1" si="41"/>
        <v>18.575666915390947</v>
      </c>
      <c r="N159" s="4">
        <f t="shared" ca="1" si="42"/>
        <v>6.4818511767261988</v>
      </c>
      <c r="O159" s="4"/>
      <c r="P159" s="1">
        <f ca="1">LOOKUP(B159,geomorph!$A:$A,geomorph!$G:$G)</f>
        <v>105.20705100000001</v>
      </c>
      <c r="Q159" s="1">
        <f t="shared" ca="1" si="43"/>
        <v>123.78271791539095</v>
      </c>
    </row>
    <row r="160" spans="2:17" x14ac:dyDescent="0.3">
      <c r="B160" s="6">
        <f ca="1">RANDBETWEEN(ranges!B$2,ranges!B$3)</f>
        <v>12106</v>
      </c>
      <c r="C160" s="9">
        <f ca="1">LOOKUP(B160,geomorph!A:A,geomorph!B:B)</f>
        <v>1319.1</v>
      </c>
      <c r="D160">
        <f t="shared" si="36"/>
        <v>1.13E-4</v>
      </c>
      <c r="E160" s="9">
        <f ca="1">'[2]Q_GEV(random)'!$J160</f>
        <v>13439.180359067008</v>
      </c>
      <c r="F160" s="26">
        <f ca="1">RANDBETWEEN(ranges!F$2*1000,ranges!F$3*1000)/1000</f>
        <v>0.109</v>
      </c>
      <c r="G160" s="3">
        <f t="shared" ca="1" si="37"/>
        <v>10.18814370333334</v>
      </c>
      <c r="H160" s="4">
        <f t="shared" ca="1" si="38"/>
        <v>13.66618631550287</v>
      </c>
      <c r="I160" s="4">
        <f t="shared" ca="1" si="39"/>
        <v>304.67419426289075</v>
      </c>
      <c r="J160" s="26">
        <f ca="1">RANDBETWEEN(ranges!J$2*1000,ranges!J$3*1000)/1000</f>
        <v>0.70599999999999996</v>
      </c>
      <c r="K160" s="26">
        <f ca="1">RANDBETWEEN(ranges!K$2*1000,ranges!K$3*1000)/1000</f>
        <v>0.92300000000000004</v>
      </c>
      <c r="L160">
        <f t="shared" ca="1" si="40"/>
        <v>127.3714728185012</v>
      </c>
      <c r="M160">
        <f t="shared" ca="1" si="41"/>
        <v>18.985775206821994</v>
      </c>
      <c r="N160" s="4">
        <f t="shared" ca="1" si="42"/>
        <v>5.782161838390353</v>
      </c>
      <c r="O160" s="4"/>
      <c r="P160" s="1">
        <f ca="1">LOOKUP(B160,geomorph!$A:$A,geomorph!$G:$G)</f>
        <v>105.158461</v>
      </c>
      <c r="Q160" s="1">
        <f t="shared" ca="1" si="43"/>
        <v>124.144236206822</v>
      </c>
    </row>
    <row r="161" spans="2:17" x14ac:dyDescent="0.3">
      <c r="B161" s="6">
        <f ca="1">RANDBETWEEN(ranges!B$2,ranges!B$3)</f>
        <v>13577</v>
      </c>
      <c r="C161" s="9">
        <f ca="1">LOOKUP(B161,geomorph!A:A,geomorph!B:B)</f>
        <v>1220.3</v>
      </c>
      <c r="D161">
        <f t="shared" si="36"/>
        <v>1.13E-4</v>
      </c>
      <c r="E161" s="9">
        <f ca="1">'[2]Q_GEV(random)'!$J161</f>
        <v>13437.539032989858</v>
      </c>
      <c r="F161" s="26">
        <f ca="1">RANDBETWEEN(ranges!F$2*1000,ranges!F$3*1000)/1000</f>
        <v>9.8000000000000004E-2</v>
      </c>
      <c r="G161" s="3">
        <f t="shared" ca="1" si="37"/>
        <v>11.011668469220568</v>
      </c>
      <c r="H161" s="4">
        <f t="shared" ca="1" si="38"/>
        <v>13.891609722625264</v>
      </c>
      <c r="I161" s="4">
        <f t="shared" ca="1" si="39"/>
        <v>346.85835279284294</v>
      </c>
      <c r="J161" s="26">
        <f ca="1">RANDBETWEEN(ranges!J$2*1000,ranges!J$3*1000)/1000</f>
        <v>0.72699999999999998</v>
      </c>
      <c r="K161" s="26">
        <f ca="1">RANDBETWEEN(ranges!K$2*1000,ranges!K$3*1000)/1000</f>
        <v>0.98699999999999999</v>
      </c>
      <c r="L161">
        <f t="shared" ca="1" si="40"/>
        <v>137.84846988508946</v>
      </c>
      <c r="M161">
        <f t="shared" ca="1" si="41"/>
        <v>19.008463121487537</v>
      </c>
      <c r="N161" s="4">
        <f t="shared" ca="1" si="42"/>
        <v>5.5617971726763846</v>
      </c>
      <c r="O161" s="4"/>
      <c r="P161" s="1">
        <f ca="1">LOOKUP(B161,geomorph!$A:$A,geomorph!$G:$G)</f>
        <v>104.992351</v>
      </c>
      <c r="Q161" s="1">
        <f t="shared" ca="1" si="43"/>
        <v>124.00081412148754</v>
      </c>
    </row>
    <row r="162" spans="2:17" x14ac:dyDescent="0.3">
      <c r="B162" s="6">
        <f ca="1">RANDBETWEEN(ranges!B$2,ranges!B$3)</f>
        <v>10417</v>
      </c>
      <c r="C162" s="9">
        <f ca="1">LOOKUP(B162,geomorph!A:A,geomorph!B:B)</f>
        <v>1750.5</v>
      </c>
      <c r="D162">
        <f t="shared" si="36"/>
        <v>1.13E-4</v>
      </c>
      <c r="E162" s="9">
        <f ca="1">'[2]Q_GEV(random)'!$J162</f>
        <v>13430.961919679241</v>
      </c>
      <c r="F162" s="26">
        <f ca="1">RANDBETWEEN(ranges!F$2*1000,ranges!F$3*1000)/1000</f>
        <v>9.1999999999999998E-2</v>
      </c>
      <c r="G162" s="3">
        <f t="shared" ca="1" si="37"/>
        <v>7.6726431989027368</v>
      </c>
      <c r="H162" s="4">
        <f t="shared" ca="1" si="38"/>
        <v>10.690575234352458</v>
      </c>
      <c r="I162" s="4">
        <f t="shared" ca="1" si="39"/>
        <v>190.04271967976476</v>
      </c>
      <c r="J162" s="26">
        <f ca="1">RANDBETWEEN(ranges!J$2*1000,ranges!J$3*1000)/1000</f>
        <v>0.73699999999999999</v>
      </c>
      <c r="K162" s="26">
        <f ca="1">RANDBETWEEN(ranges!K$2*1000,ranges!K$3*1000)/1000</f>
        <v>0.91200000000000003</v>
      </c>
      <c r="L162">
        <f t="shared" ca="1" si="40"/>
        <v>82.992629448267976</v>
      </c>
      <c r="M162">
        <f t="shared" ca="1" si="41"/>
        <v>16.416481556958818</v>
      </c>
      <c r="N162" s="4">
        <f t="shared" ca="1" si="42"/>
        <v>6.2238112202243032</v>
      </c>
      <c r="O162" s="4"/>
      <c r="P162" s="1">
        <f ca="1">LOOKUP(B162,geomorph!$A:$A,geomorph!$G:$G)</f>
        <v>105.34943100000001</v>
      </c>
      <c r="Q162" s="1">
        <f t="shared" ca="1" si="43"/>
        <v>121.76591255695882</v>
      </c>
    </row>
    <row r="163" spans="2:17" x14ac:dyDescent="0.3">
      <c r="B163" s="6">
        <f ca="1">RANDBETWEEN(ranges!B$2,ranges!B$3)</f>
        <v>13760</v>
      </c>
      <c r="C163" s="9">
        <f ca="1">LOOKUP(B163,geomorph!A:A,geomorph!B:B)</f>
        <v>1268.2</v>
      </c>
      <c r="D163">
        <f t="shared" si="36"/>
        <v>1.13E-4</v>
      </c>
      <c r="E163" s="9">
        <f ca="1">'[2]Q_GEV(random)'!$J163</f>
        <v>13425.636798510863</v>
      </c>
      <c r="F163" s="26">
        <f ca="1">RANDBETWEEN(ranges!F$2*1000,ranges!F$3*1000)/1000</f>
        <v>0.105</v>
      </c>
      <c r="G163" s="3">
        <f t="shared" ca="1" si="37"/>
        <v>10.586371864462121</v>
      </c>
      <c r="H163" s="4">
        <f t="shared" ca="1" si="38"/>
        <v>13.846382559484669</v>
      </c>
      <c r="I163" s="4">
        <f t="shared" ca="1" si="39"/>
        <v>325.10753226464499</v>
      </c>
      <c r="J163" s="26">
        <f ca="1">RANDBETWEEN(ranges!J$2*1000,ranges!J$3*1000)/1000</f>
        <v>0.78100000000000003</v>
      </c>
      <c r="K163" s="26">
        <f ca="1">RANDBETWEEN(ranges!K$2*1000,ranges!K$3*1000)/1000</f>
        <v>0.97799999999999998</v>
      </c>
      <c r="L163">
        <f t="shared" ca="1" si="40"/>
        <v>131.42475004572123</v>
      </c>
      <c r="M163">
        <f t="shared" ca="1" si="41"/>
        <v>18.834034084902154</v>
      </c>
      <c r="N163" s="4">
        <f t="shared" ca="1" si="42"/>
        <v>5.4213603537146575</v>
      </c>
      <c r="O163" s="4"/>
      <c r="P163" s="1">
        <f ca="1">LOOKUP(B163,geomorph!$A:$A,geomorph!$G:$G)</f>
        <v>104.97088100000001</v>
      </c>
      <c r="Q163" s="1">
        <f t="shared" ca="1" si="43"/>
        <v>123.80491508490216</v>
      </c>
    </row>
    <row r="164" spans="2:17" x14ac:dyDescent="0.3">
      <c r="B164" s="6">
        <f ca="1">RANDBETWEEN(ranges!B$2,ranges!B$3)</f>
        <v>11126</v>
      </c>
      <c r="C164" s="9">
        <f ca="1">LOOKUP(B164,geomorph!A:A,geomorph!B:B)</f>
        <v>1681.9</v>
      </c>
      <c r="D164">
        <f t="shared" si="36"/>
        <v>1.13E-4</v>
      </c>
      <c r="E164" s="9">
        <f ca="1">'[2]Q_GEV(random)'!$J164</f>
        <v>13416.692113003519</v>
      </c>
      <c r="F164" s="26">
        <f ca="1">RANDBETWEEN(ranges!F$2*1000,ranges!F$3*1000)/1000</f>
        <v>9.8000000000000004E-2</v>
      </c>
      <c r="G164" s="3">
        <f t="shared" ca="1" si="37"/>
        <v>7.9771045323761927</v>
      </c>
      <c r="H164" s="4">
        <f t="shared" ca="1" si="38"/>
        <v>11.205055464070099</v>
      </c>
      <c r="I164" s="4">
        <f t="shared" ca="1" si="39"/>
        <v>202.99252002098743</v>
      </c>
      <c r="J164" s="26">
        <f ca="1">RANDBETWEEN(ranges!J$2*1000,ranges!J$3*1000)/1000</f>
        <v>0.71399999999999997</v>
      </c>
      <c r="K164" s="26">
        <f ca="1">RANDBETWEEN(ranges!K$2*1000,ranges!K$3*1000)/1000</f>
        <v>0.94699999999999995</v>
      </c>
      <c r="L164">
        <f t="shared" ca="1" si="40"/>
        <v>89.736079915754942</v>
      </c>
      <c r="M164">
        <f t="shared" ca="1" si="41"/>
        <v>17.054763747564834</v>
      </c>
      <c r="N164" s="4">
        <f t="shared" ca="1" si="42"/>
        <v>6.3583785690160157</v>
      </c>
      <c r="O164" s="4"/>
      <c r="P164" s="1">
        <f ca="1">LOOKUP(B164,geomorph!$A:$A,geomorph!$G:$G)</f>
        <v>105.26920100000001</v>
      </c>
      <c r="Q164" s="1">
        <f t="shared" ca="1" si="43"/>
        <v>122.32396474756484</v>
      </c>
    </row>
    <row r="165" spans="2:17" x14ac:dyDescent="0.3">
      <c r="B165" s="6">
        <f ca="1">RANDBETWEEN(ranges!B$2,ranges!B$3)</f>
        <v>10805</v>
      </c>
      <c r="C165" s="9">
        <f ca="1">LOOKUP(B165,geomorph!A:A,geomorph!B:B)</f>
        <v>1670.1</v>
      </c>
      <c r="D165">
        <f t="shared" si="36"/>
        <v>1.13E-4</v>
      </c>
      <c r="E165" s="9">
        <f ca="1">'[2]Q_GEV(random)'!$J165</f>
        <v>13411.778414964178</v>
      </c>
      <c r="F165" s="26">
        <f ca="1">RANDBETWEEN(ranges!F$2*1000,ranges!F$3*1000)/1000</f>
        <v>0.109</v>
      </c>
      <c r="G165" s="3">
        <f t="shared" ca="1" si="37"/>
        <v>8.0305241691899756</v>
      </c>
      <c r="H165" s="4">
        <f t="shared" ca="1" si="38"/>
        <v>11.661288993229174</v>
      </c>
      <c r="I165" s="4">
        <f t="shared" ca="1" si="39"/>
        <v>205.33838246062223</v>
      </c>
      <c r="J165" s="26">
        <f ca="1">RANDBETWEEN(ranges!J$2*1000,ranges!J$3*1000)/1000</f>
        <v>0.63800000000000001</v>
      </c>
      <c r="K165" s="26">
        <f ca="1">RANDBETWEEN(ranges!K$2*1000,ranges!K$3*1000)/1000</f>
        <v>0.94299999999999995</v>
      </c>
      <c r="L165">
        <f t="shared" ca="1" si="40"/>
        <v>95.475145403602482</v>
      </c>
      <c r="M165">
        <f t="shared" ca="1" si="41"/>
        <v>18.018193558256883</v>
      </c>
      <c r="N165" s="4">
        <f t="shared" ca="1" si="42"/>
        <v>6.9096788750301172</v>
      </c>
      <c r="O165" s="4"/>
      <c r="P165" s="1">
        <f ca="1">LOOKUP(B165,geomorph!$A:$A,geomorph!$G:$G)</f>
        <v>105.305361</v>
      </c>
      <c r="Q165" s="1">
        <f t="shared" ca="1" si="43"/>
        <v>123.32355455825689</v>
      </c>
    </row>
    <row r="166" spans="2:17" x14ac:dyDescent="0.3">
      <c r="B166" s="6">
        <f ca="1">RANDBETWEEN(ranges!B$2,ranges!B$3)</f>
        <v>13010</v>
      </c>
      <c r="C166" s="9">
        <f ca="1">LOOKUP(B166,geomorph!A:A,geomorph!B:B)</f>
        <v>1144.8</v>
      </c>
      <c r="D166">
        <f t="shared" si="36"/>
        <v>1.13E-4</v>
      </c>
      <c r="E166" s="9">
        <f ca="1">'[2]Q_GEV(random)'!$J166</f>
        <v>13398.657069357592</v>
      </c>
      <c r="F166" s="26">
        <f ca="1">RANDBETWEEN(ranges!F$2*1000,ranges!F$3*1000)/1000</f>
        <v>9.7000000000000003E-2</v>
      </c>
      <c r="G166" s="3">
        <f t="shared" ca="1" si="37"/>
        <v>11.703928257649888</v>
      </c>
      <c r="H166" s="4">
        <f t="shared" ca="1" si="38"/>
        <v>14.418502001377799</v>
      </c>
      <c r="I166" s="4">
        <f t="shared" ca="1" si="39"/>
        <v>385.07160651314956</v>
      </c>
      <c r="J166" s="26">
        <f ca="1">RANDBETWEEN(ranges!J$2*1000,ranges!J$3*1000)/1000</f>
        <v>0.73099999999999998</v>
      </c>
      <c r="K166" s="26">
        <f ca="1">RANDBETWEEN(ranges!K$2*1000,ranges!K$3*1000)/1000</f>
        <v>0.92500000000000004</v>
      </c>
      <c r="L166">
        <f t="shared" ca="1" si="40"/>
        <v>148.9303099165864</v>
      </c>
      <c r="M166">
        <f t="shared" ca="1" si="41"/>
        <v>19.265982323553416</v>
      </c>
      <c r="N166" s="4">
        <f t="shared" ca="1" si="42"/>
        <v>5.269000350190888</v>
      </c>
      <c r="O166" s="4"/>
      <c r="P166" s="1">
        <f ca="1">LOOKUP(B166,geomorph!$A:$A,geomorph!$G:$G)</f>
        <v>105.05563100000001</v>
      </c>
      <c r="Q166" s="1">
        <f t="shared" ca="1" si="43"/>
        <v>124.32161332355342</v>
      </c>
    </row>
    <row r="167" spans="2:17" x14ac:dyDescent="0.3">
      <c r="B167" s="6">
        <f ca="1">RANDBETWEEN(ranges!B$2,ranges!B$3)</f>
        <v>10938</v>
      </c>
      <c r="C167" s="9">
        <f ca="1">LOOKUP(B167,geomorph!A:A,geomorph!B:B)</f>
        <v>1681.1</v>
      </c>
      <c r="D167">
        <f t="shared" si="36"/>
        <v>1.13E-4</v>
      </c>
      <c r="E167" s="9">
        <f ca="1">'[2]Q_GEV(random)'!$J167</f>
        <v>13393.557782023183</v>
      </c>
      <c r="F167" s="26">
        <f ca="1">RANDBETWEEN(ranges!F$2*1000,ranges!F$3*1000)/1000</f>
        <v>0.104</v>
      </c>
      <c r="G167" s="3">
        <f t="shared" ca="1" si="37"/>
        <v>7.9671392433663577</v>
      </c>
      <c r="H167" s="4">
        <f t="shared" ca="1" si="38"/>
        <v>11.419695260298603</v>
      </c>
      <c r="I167" s="4">
        <f t="shared" ca="1" si="39"/>
        <v>202.91994709924552</v>
      </c>
      <c r="J167" s="26">
        <f ca="1">RANDBETWEEN(ranges!J$2*1000,ranges!J$3*1000)/1000</f>
        <v>0.67600000000000005</v>
      </c>
      <c r="K167" s="26">
        <f ca="1">RANDBETWEEN(ranges!K$2*1000,ranges!K$3*1000)/1000</f>
        <v>0.89</v>
      </c>
      <c r="L167">
        <f t="shared" ca="1" si="40"/>
        <v>91.630537210362775</v>
      </c>
      <c r="M167">
        <f t="shared" ca="1" si="41"/>
        <v>17.406530859790518</v>
      </c>
      <c r="N167" s="4">
        <f t="shared" ca="1" si="42"/>
        <v>6.5074299994477336</v>
      </c>
      <c r="O167" s="4"/>
      <c r="P167" s="1">
        <f ca="1">LOOKUP(B167,geomorph!$A:$A,geomorph!$G:$G)</f>
        <v>105.290671</v>
      </c>
      <c r="Q167" s="1">
        <f t="shared" ca="1" si="43"/>
        <v>122.69720185979052</v>
      </c>
    </row>
    <row r="168" spans="2:17" x14ac:dyDescent="0.3">
      <c r="B168" s="6">
        <f ca="1">RANDBETWEEN(ranges!B$2,ranges!B$3)</f>
        <v>11701</v>
      </c>
      <c r="C168" s="9">
        <f ca="1">LOOKUP(B168,geomorph!A:A,geomorph!B:B)</f>
        <v>1439</v>
      </c>
      <c r="D168">
        <f t="shared" si="36"/>
        <v>1.13E-4</v>
      </c>
      <c r="E168" s="9">
        <f ca="1">'[2]Q_GEV(random)'!$J168</f>
        <v>13387.479024567625</v>
      </c>
      <c r="F168" s="26">
        <f ca="1">RANDBETWEEN(ranges!F$2*1000,ranges!F$3*1000)/1000</f>
        <v>0.10299999999999999</v>
      </c>
      <c r="G168" s="3">
        <f t="shared" ca="1" si="37"/>
        <v>9.303321073361797</v>
      </c>
      <c r="H168" s="4">
        <f t="shared" ca="1" si="38"/>
        <v>12.62252417575732</v>
      </c>
      <c r="I168" s="4">
        <f t="shared" ca="1" si="39"/>
        <v>262.87415880283595</v>
      </c>
      <c r="J168" s="26">
        <f ca="1">RANDBETWEEN(ranges!J$2*1000,ranges!J$3*1000)/1000</f>
        <v>0.76900000000000002</v>
      </c>
      <c r="K168" s="26">
        <f ca="1">RANDBETWEEN(ranges!K$2*1000,ranges!K$3*1000)/1000</f>
        <v>0.85499999999999998</v>
      </c>
      <c r="L168">
        <f t="shared" ca="1" si="40"/>
        <v>108.64900390571609</v>
      </c>
      <c r="M168">
        <f t="shared" ca="1" si="41"/>
        <v>17.667088578096774</v>
      </c>
      <c r="N168" s="4">
        <f t="shared" ca="1" si="42"/>
        <v>5.4832221764559277</v>
      </c>
      <c r="O168" s="4"/>
      <c r="P168" s="1">
        <f ca="1">LOOKUP(B168,geomorph!$A:$A,geomorph!$G:$G)</f>
        <v>105.203661</v>
      </c>
      <c r="Q168" s="1">
        <f t="shared" ca="1" si="43"/>
        <v>122.87074957809676</v>
      </c>
    </row>
    <row r="169" spans="2:17" x14ac:dyDescent="0.3">
      <c r="B169" s="6">
        <f ca="1">RANDBETWEEN(ranges!B$2,ranges!B$3)</f>
        <v>12071</v>
      </c>
      <c r="C169" s="9">
        <f ca="1">LOOKUP(B169,geomorph!A:A,geomorph!B:B)</f>
        <v>1328.5</v>
      </c>
      <c r="D169">
        <f t="shared" si="36"/>
        <v>1.13E-4</v>
      </c>
      <c r="E169" s="9">
        <f ca="1">'[2]Q_GEV(random)'!$J169</f>
        <v>13376.387398000539</v>
      </c>
      <c r="F169" s="26">
        <f ca="1">RANDBETWEEN(ranges!F$2*1000,ranges!F$3*1000)/1000</f>
        <v>9.7000000000000003E-2</v>
      </c>
      <c r="G169" s="3">
        <f t="shared" ca="1" si="37"/>
        <v>10.068789911931155</v>
      </c>
      <c r="H169" s="4">
        <f t="shared" ca="1" si="38"/>
        <v>13.042191145312223</v>
      </c>
      <c r="I169" s="4">
        <f t="shared" ca="1" si="39"/>
        <v>300.15112653079825</v>
      </c>
      <c r="J169" s="26">
        <f ca="1">RANDBETWEEN(ranges!J$2*1000,ranges!J$3*1000)/1000</f>
        <v>0.79</v>
      </c>
      <c r="K169" s="26">
        <f ca="1">RANDBETWEEN(ranges!K$2*1000,ranges!K$3*1000)/1000</f>
        <v>0.94899999999999995</v>
      </c>
      <c r="L169">
        <f t="shared" ca="1" si="40"/>
        <v>119.76455272175428</v>
      </c>
      <c r="M169">
        <f t="shared" ca="1" si="41"/>
        <v>17.979114536866113</v>
      </c>
      <c r="N169" s="4">
        <f t="shared" ca="1" si="42"/>
        <v>5.3662210777759674</v>
      </c>
      <c r="O169" s="4"/>
      <c r="P169" s="1">
        <f ca="1">LOOKUP(B169,geomorph!$A:$A,geomorph!$G:$G)</f>
        <v>105.161851</v>
      </c>
      <c r="Q169" s="1">
        <f t="shared" ca="1" si="43"/>
        <v>123.1409655368661</v>
      </c>
    </row>
    <row r="170" spans="2:17" x14ac:dyDescent="0.3">
      <c r="B170" s="6">
        <f ca="1">RANDBETWEEN(ranges!B$2,ranges!B$3)</f>
        <v>13251</v>
      </c>
      <c r="C170" s="9">
        <f ca="1">LOOKUP(B170,geomorph!A:A,geomorph!B:B)</f>
        <v>1168.7</v>
      </c>
      <c r="D170">
        <f t="shared" si="36"/>
        <v>1.13E-4</v>
      </c>
      <c r="E170" s="9">
        <f ca="1">'[2]Q_GEV(random)'!$J170</f>
        <v>13362.611833907169</v>
      </c>
      <c r="F170" s="26">
        <f ca="1">RANDBETWEEN(ranges!F$2*1000,ranges!F$3*1000)/1000</f>
        <v>0.106</v>
      </c>
      <c r="G170" s="3">
        <f t="shared" ca="1" si="37"/>
        <v>11.433739910932804</v>
      </c>
      <c r="H170" s="4">
        <f t="shared" ca="1" si="38"/>
        <v>14.621860099456532</v>
      </c>
      <c r="I170" s="4">
        <f t="shared" ca="1" si="39"/>
        <v>371.36916866860366</v>
      </c>
      <c r="J170" s="26">
        <f ca="1">RANDBETWEEN(ranges!J$2*1000,ranges!J$3*1000)/1000</f>
        <v>0.69299999999999995</v>
      </c>
      <c r="K170" s="26">
        <f ca="1">RANDBETWEEN(ranges!K$2*1000,ranges!K$3*1000)/1000</f>
        <v>0.82599999999999996</v>
      </c>
      <c r="L170">
        <f t="shared" ca="1" si="40"/>
        <v>147.84511927007111</v>
      </c>
      <c r="M170">
        <f t="shared" ca="1" si="41"/>
        <v>19.524884770675328</v>
      </c>
      <c r="N170" s="4">
        <f t="shared" ca="1" si="42"/>
        <v>5.3293746426291264</v>
      </c>
      <c r="O170" s="4"/>
      <c r="P170" s="1">
        <f ca="1">LOOKUP(B170,geomorph!$A:$A,geomorph!$G:$G)</f>
        <v>105.02851100000001</v>
      </c>
      <c r="Q170" s="1">
        <f t="shared" ca="1" si="43"/>
        <v>124.55339577067534</v>
      </c>
    </row>
    <row r="171" spans="2:17" x14ac:dyDescent="0.3">
      <c r="B171" s="6">
        <f ca="1">RANDBETWEEN(ranges!B$2,ranges!B$3)</f>
        <v>11338</v>
      </c>
      <c r="C171" s="9">
        <f ca="1">LOOKUP(B171,geomorph!A:A,geomorph!B:B)</f>
        <v>1586.1</v>
      </c>
      <c r="D171">
        <f t="shared" si="36"/>
        <v>1.13E-4</v>
      </c>
      <c r="E171" s="9">
        <f ca="1">'[2]Q_GEV(random)'!$J171</f>
        <v>13355.672924928878</v>
      </c>
      <c r="F171" s="26">
        <f ca="1">RANDBETWEEN(ranges!F$2*1000,ranges!F$3*1000)/1000</f>
        <v>0.10299999999999999</v>
      </c>
      <c r="G171" s="3">
        <f t="shared" ca="1" si="37"/>
        <v>8.420448222009254</v>
      </c>
      <c r="H171" s="4">
        <f t="shared" ca="1" si="38"/>
        <v>11.810755470699529</v>
      </c>
      <c r="I171" s="4">
        <f t="shared" ca="1" si="39"/>
        <v>223.15652584592652</v>
      </c>
      <c r="J171" s="26">
        <f ca="1">RANDBETWEEN(ranges!J$2*1000,ranges!J$3*1000)/1000</f>
        <v>0.73499999999999999</v>
      </c>
      <c r="K171" s="26">
        <f ca="1">RANDBETWEEN(ranges!K$2*1000,ranges!K$3*1000)/1000</f>
        <v>0.94399999999999995</v>
      </c>
      <c r="L171">
        <f t="shared" ca="1" si="40"/>
        <v>97.172918369532425</v>
      </c>
      <c r="M171">
        <f t="shared" ca="1" si="41"/>
        <v>17.416234138328434</v>
      </c>
      <c r="N171" s="4">
        <f t="shared" ca="1" si="42"/>
        <v>6.0929115952488093</v>
      </c>
      <c r="O171" s="4"/>
      <c r="P171" s="1">
        <f ca="1">LOOKUP(B171,geomorph!$A:$A,geomorph!$G:$G)</f>
        <v>105.24547100000001</v>
      </c>
      <c r="Q171" s="1">
        <f t="shared" ca="1" si="43"/>
        <v>122.66170513832844</v>
      </c>
    </row>
    <row r="172" spans="2:17" x14ac:dyDescent="0.3">
      <c r="B172" s="6">
        <f ca="1">RANDBETWEEN(ranges!B$2,ranges!B$3)</f>
        <v>12539</v>
      </c>
      <c r="C172" s="9">
        <f ca="1">LOOKUP(B172,geomorph!A:A,geomorph!B:B)</f>
        <v>1201.9000000000001</v>
      </c>
      <c r="D172">
        <f t="shared" si="36"/>
        <v>1.13E-4</v>
      </c>
      <c r="E172" s="9">
        <f ca="1">'[2]Q_GEV(random)'!$J172</f>
        <v>13343.455560088532</v>
      </c>
      <c r="F172" s="26">
        <f ca="1">RANDBETWEEN(ranges!F$2*1000,ranges!F$3*1000)/1000</f>
        <v>0.106</v>
      </c>
      <c r="G172" s="3">
        <f t="shared" ca="1" si="37"/>
        <v>11.101968183782787</v>
      </c>
      <c r="H172" s="4">
        <f t="shared" ca="1" si="38"/>
        <v>14.33762016019495</v>
      </c>
      <c r="I172" s="4">
        <f t="shared" ca="1" si="39"/>
        <v>354.09109157885712</v>
      </c>
      <c r="J172" s="26">
        <f ca="1">RANDBETWEEN(ranges!J$2*1000,ranges!J$3*1000)/1000</f>
        <v>0.70099999999999996</v>
      </c>
      <c r="K172" s="26">
        <f ca="1">RANDBETWEEN(ranges!K$2*1000,ranges!K$3*1000)/1000</f>
        <v>0.85599999999999998</v>
      </c>
      <c r="L172">
        <f t="shared" ca="1" si="40"/>
        <v>142.26356471547865</v>
      </c>
      <c r="M172">
        <f t="shared" ca="1" si="41"/>
        <v>19.321483362763317</v>
      </c>
      <c r="N172" s="4">
        <f t="shared" ca="1" si="42"/>
        <v>5.4172426114873549</v>
      </c>
      <c r="O172" s="4"/>
      <c r="P172" s="1">
        <f ca="1">LOOKUP(B172,geomorph!$A:$A,geomorph!$G:$G)</f>
        <v>105.109871</v>
      </c>
      <c r="Q172" s="1">
        <f t="shared" ca="1" si="43"/>
        <v>124.43135436276332</v>
      </c>
    </row>
    <row r="173" spans="2:17" x14ac:dyDescent="0.3">
      <c r="B173" s="6">
        <f ca="1">RANDBETWEEN(ranges!B$2,ranges!B$3)</f>
        <v>10149</v>
      </c>
      <c r="C173" s="9">
        <f ca="1">LOOKUP(B173,geomorph!A:A,geomorph!B:B)</f>
        <v>1594.2</v>
      </c>
      <c r="D173">
        <f t="shared" si="36"/>
        <v>1.13E-4</v>
      </c>
      <c r="E173" s="9">
        <f ca="1">'[2]Q_GEV(random)'!$J173</f>
        <v>13331.839389444413</v>
      </c>
      <c r="F173" s="26">
        <f ca="1">RANDBETWEEN(ranges!F$2*1000,ranges!F$3*1000)/1000</f>
        <v>0.105</v>
      </c>
      <c r="G173" s="3">
        <f t="shared" ca="1" si="37"/>
        <v>8.3627144583141462</v>
      </c>
      <c r="H173" s="4">
        <f t="shared" ca="1" si="38"/>
        <v>11.832315513958196</v>
      </c>
      <c r="I173" s="4">
        <f t="shared" ca="1" si="39"/>
        <v>221.00667509585813</v>
      </c>
      <c r="J173" s="26">
        <f ca="1">RANDBETWEEN(ranges!J$2*1000,ranges!J$3*1000)/1000</f>
        <v>0.65600000000000003</v>
      </c>
      <c r="K173" s="26">
        <f ca="1">RANDBETWEEN(ranges!K$2*1000,ranges!K$3*1000)/1000</f>
        <v>0.96699999999999997</v>
      </c>
      <c r="L173">
        <f t="shared" ca="1" si="40"/>
        <v>99.666686530943508</v>
      </c>
      <c r="M173">
        <f t="shared" ca="1" si="41"/>
        <v>17.954415378442203</v>
      </c>
      <c r="N173" s="4">
        <f t="shared" ca="1" si="42"/>
        <v>6.6544563744391372</v>
      </c>
      <c r="O173" s="4"/>
      <c r="P173" s="1">
        <f ca="1">LOOKUP(B173,geomorph!$A:$A,geomorph!$G:$G)</f>
        <v>105.379941</v>
      </c>
      <c r="Q173" s="1">
        <f t="shared" ca="1" si="43"/>
        <v>123.33435637844221</v>
      </c>
    </row>
    <row r="174" spans="2:17" x14ac:dyDescent="0.3">
      <c r="B174" s="6">
        <f ca="1">RANDBETWEEN(ranges!B$2,ranges!B$3)</f>
        <v>10878</v>
      </c>
      <c r="C174" s="9">
        <f ca="1">LOOKUP(B174,geomorph!A:A,geomorph!B:B)</f>
        <v>1670.1</v>
      </c>
      <c r="D174">
        <f t="shared" si="36"/>
        <v>1.13E-4</v>
      </c>
      <c r="E174" s="9">
        <f ca="1">'[2]Q_GEV(random)'!$J174</f>
        <v>13312.470902113633</v>
      </c>
      <c r="F174" s="26">
        <f ca="1">RANDBETWEEN(ranges!F$2*1000,ranges!F$3*1000)/1000</f>
        <v>9.1999999999999998E-2</v>
      </c>
      <c r="G174" s="3">
        <f t="shared" ca="1" si="37"/>
        <v>7.9710621532325217</v>
      </c>
      <c r="H174" s="4">
        <f t="shared" ca="1" si="38"/>
        <v>10.966007436827129</v>
      </c>
      <c r="I174" s="4">
        <f t="shared" ca="1" si="39"/>
        <v>204.32350873864289</v>
      </c>
      <c r="J174" s="26">
        <f ca="1">RANDBETWEEN(ranges!J$2*1000,ranges!J$3*1000)/1000</f>
        <v>0.79900000000000004</v>
      </c>
      <c r="K174" s="26">
        <f ca="1">RANDBETWEEN(ranges!K$2*1000,ranges!K$3*1000)/1000</f>
        <v>0.89</v>
      </c>
      <c r="L174">
        <f t="shared" ca="1" si="40"/>
        <v>85.933646539990164</v>
      </c>
      <c r="M174">
        <f t="shared" ca="1" si="41"/>
        <v>16.217509488767444</v>
      </c>
      <c r="N174" s="4">
        <f t="shared" ca="1" si="42"/>
        <v>5.7081544042829515</v>
      </c>
      <c r="O174" s="4"/>
      <c r="P174" s="1">
        <f ca="1">LOOKUP(B174,geomorph!$A:$A,geomorph!$G:$G)</f>
        <v>105.29745100000001</v>
      </c>
      <c r="Q174" s="1">
        <f t="shared" ca="1" si="43"/>
        <v>121.51496048876746</v>
      </c>
    </row>
    <row r="175" spans="2:17" x14ac:dyDescent="0.3">
      <c r="B175" s="6">
        <f ca="1">RANDBETWEEN(ranges!B$2,ranges!B$3)</f>
        <v>10240</v>
      </c>
      <c r="C175" s="9">
        <f ca="1">LOOKUP(B175,geomorph!A:A,geomorph!B:B)</f>
        <v>1632.5</v>
      </c>
      <c r="D175">
        <f t="shared" si="36"/>
        <v>1.13E-4</v>
      </c>
      <c r="E175" s="9">
        <f ca="1">'[2]Q_GEV(random)'!$J175</f>
        <v>13308.67229648996</v>
      </c>
      <c r="F175" s="26">
        <f ca="1">RANDBETWEEN(ranges!F$2*1000,ranges!F$3*1000)/1000</f>
        <v>9.1999999999999998E-2</v>
      </c>
      <c r="G175" s="3">
        <f t="shared" ca="1" si="37"/>
        <v>8.152326062168429</v>
      </c>
      <c r="H175" s="4">
        <f t="shared" ca="1" si="38"/>
        <v>11.131630107092521</v>
      </c>
      <c r="I175" s="4">
        <f t="shared" ca="1" si="39"/>
        <v>212.18655150652754</v>
      </c>
      <c r="J175" s="26">
        <f ca="1">RANDBETWEEN(ranges!J$2*1000,ranges!J$3*1000)/1000</f>
        <v>0.77300000000000002</v>
      </c>
      <c r="K175" s="26">
        <f ca="1">RANDBETWEEN(ranges!K$2*1000,ranges!K$3*1000)/1000</f>
        <v>0.99199999999999999</v>
      </c>
      <c r="L175">
        <f t="shared" ca="1" si="40"/>
        <v>90.199664765321998</v>
      </c>
      <c r="M175">
        <f t="shared" ca="1" si="41"/>
        <v>16.639357658420863</v>
      </c>
      <c r="N175" s="4">
        <f t="shared" ca="1" si="42"/>
        <v>5.9866603818786324</v>
      </c>
      <c r="O175" s="4"/>
      <c r="P175" s="1">
        <f ca="1">LOOKUP(B175,geomorph!$A:$A,geomorph!$G:$G)</f>
        <v>105.368641</v>
      </c>
      <c r="Q175" s="1">
        <f t="shared" ca="1" si="43"/>
        <v>122.00799865842086</v>
      </c>
    </row>
    <row r="176" spans="2:17" x14ac:dyDescent="0.3">
      <c r="B176" s="6">
        <f ca="1">RANDBETWEEN(ranges!B$2,ranges!B$3)</f>
        <v>12342</v>
      </c>
      <c r="C176" s="9">
        <f ca="1">LOOKUP(B176,geomorph!A:A,geomorph!B:B)</f>
        <v>1252.2</v>
      </c>
      <c r="D176">
        <f t="shared" si="36"/>
        <v>1.13E-4</v>
      </c>
      <c r="E176" s="9">
        <f ca="1">'[2]Q_GEV(random)'!$J176</f>
        <v>13305.062957763501</v>
      </c>
      <c r="F176" s="26">
        <f ca="1">RANDBETWEEN(ranges!F$2*1000,ranges!F$3*1000)/1000</f>
        <v>9.8000000000000004E-2</v>
      </c>
      <c r="G176" s="3">
        <f t="shared" ca="1" si="37"/>
        <v>10.625349750649656</v>
      </c>
      <c r="H176" s="4">
        <f t="shared" ca="1" si="38"/>
        <v>13.56477657286713</v>
      </c>
      <c r="I176" s="4">
        <f t="shared" ca="1" si="39"/>
        <v>330.06930631278419</v>
      </c>
      <c r="J176" s="26">
        <f ca="1">RANDBETWEEN(ranges!J$2*1000,ranges!J$3*1000)/1000</f>
        <v>0.79700000000000004</v>
      </c>
      <c r="K176" s="26">
        <f ca="1">RANDBETWEEN(ranges!K$2*1000,ranges!K$3*1000)/1000</f>
        <v>0.93400000000000005</v>
      </c>
      <c r="L176">
        <f t="shared" ca="1" si="40"/>
        <v>129.55508343195629</v>
      </c>
      <c r="M176">
        <f t="shared" ca="1" si="41"/>
        <v>18.331862928505007</v>
      </c>
      <c r="N176" s="4">
        <f t="shared" ca="1" si="42"/>
        <v>5.1816156039542145</v>
      </c>
      <c r="O176" s="4"/>
      <c r="P176" s="1">
        <f ca="1">LOOKUP(B176,geomorph!$A:$A,geomorph!$G:$G)</f>
        <v>105.13134100000001</v>
      </c>
      <c r="Q176" s="1">
        <f t="shared" ca="1" si="43"/>
        <v>123.46320392850501</v>
      </c>
    </row>
    <row r="177" spans="2:17" x14ac:dyDescent="0.3">
      <c r="B177" s="6">
        <f ca="1">RANDBETWEEN(ranges!B$2,ranges!B$3)</f>
        <v>14911</v>
      </c>
      <c r="C177" s="9">
        <f ca="1">LOOKUP(B177,geomorph!A:A,geomorph!B:B)</f>
        <v>1508.3</v>
      </c>
      <c r="D177">
        <f t="shared" si="36"/>
        <v>1.13E-4</v>
      </c>
      <c r="E177" s="9">
        <f ca="1">'[2]Q_GEV(random)'!$J177</f>
        <v>13291.877181560762</v>
      </c>
      <c r="F177" s="26">
        <f ca="1">RANDBETWEEN(ranges!F$2*1000,ranges!F$3*1000)/1000</f>
        <v>9.6000000000000002E-2</v>
      </c>
      <c r="G177" s="3">
        <f t="shared" ca="1" si="37"/>
        <v>8.8124890151566415</v>
      </c>
      <c r="H177" s="4">
        <f t="shared" ca="1" si="38"/>
        <v>11.892265599136252</v>
      </c>
      <c r="I177" s="4">
        <f t="shared" ca="1" si="39"/>
        <v>241.89562388216842</v>
      </c>
      <c r="J177" s="26">
        <f ca="1">RANDBETWEEN(ranges!J$2*1000,ranges!J$3*1000)/1000</f>
        <v>0.71399999999999997</v>
      </c>
      <c r="K177" s="26">
        <f ca="1">RANDBETWEEN(ranges!K$2*1000,ranges!K$3*1000)/1000</f>
        <v>0.92800000000000005</v>
      </c>
      <c r="L177">
        <f t="shared" ca="1" si="40"/>
        <v>102.08953923786055</v>
      </c>
      <c r="M177">
        <f t="shared" ca="1" si="41"/>
        <v>17.39992667966855</v>
      </c>
      <c r="N177" s="4">
        <f t="shared" ca="1" si="42"/>
        <v>5.9865881310133666</v>
      </c>
      <c r="O177" s="4"/>
      <c r="P177" s="1">
        <f ca="1">LOOKUP(B177,geomorph!$A:$A,geomorph!$G:$G)</f>
        <v>104.840931</v>
      </c>
      <c r="Q177" s="1">
        <f t="shared" ca="1" si="43"/>
        <v>122.24085767966855</v>
      </c>
    </row>
    <row r="178" spans="2:17" x14ac:dyDescent="0.3">
      <c r="B178" s="6">
        <f ca="1">RANDBETWEEN(ranges!B$2,ranges!B$3)</f>
        <v>13906</v>
      </c>
      <c r="C178" s="9">
        <f ca="1">LOOKUP(B178,geomorph!A:A,geomorph!B:B)</f>
        <v>1302.8</v>
      </c>
      <c r="D178">
        <f t="shared" si="36"/>
        <v>1.13E-4</v>
      </c>
      <c r="E178" s="9">
        <f ca="1">'[2]Q_GEV(random)'!$J178</f>
        <v>13282.449062282556</v>
      </c>
      <c r="F178" s="26">
        <f ca="1">RANDBETWEEN(ranges!F$2*1000,ranges!F$3*1000)/1000</f>
        <v>9.1999999999999998E-2</v>
      </c>
      <c r="G178" s="3">
        <f t="shared" ca="1" si="37"/>
        <v>10.195309381549398</v>
      </c>
      <c r="H178" s="4">
        <f t="shared" ca="1" si="38"/>
        <v>12.921254440686875</v>
      </c>
      <c r="I178" s="4">
        <f t="shared" ca="1" si="39"/>
        <v>308.63075872129389</v>
      </c>
      <c r="J178" s="26">
        <f ca="1">RANDBETWEEN(ranges!J$2*1000,ranges!J$3*1000)/1000</f>
        <v>0.74299999999999999</v>
      </c>
      <c r="K178" s="26">
        <f ca="1">RANDBETWEEN(ranges!K$2*1000,ranges!K$3*1000)/1000</f>
        <v>0.94599999999999995</v>
      </c>
      <c r="L178">
        <f t="shared" ca="1" si="40"/>
        <v>122.06762164455205</v>
      </c>
      <c r="M178">
        <f t="shared" ca="1" si="41"/>
        <v>17.970355815073031</v>
      </c>
      <c r="N178" s="4">
        <f t="shared" ca="1" si="42"/>
        <v>5.488153667811039</v>
      </c>
      <c r="O178" s="4"/>
      <c r="P178" s="1">
        <f ca="1">LOOKUP(B178,geomorph!$A:$A,geomorph!$G:$G)</f>
        <v>104.955061</v>
      </c>
      <c r="Q178" s="1">
        <f t="shared" ca="1" si="43"/>
        <v>122.92541681507304</v>
      </c>
    </row>
    <row r="179" spans="2:17" x14ac:dyDescent="0.3">
      <c r="B179" s="6">
        <f ca="1">RANDBETWEEN(ranges!B$2,ranges!B$3)</f>
        <v>14755</v>
      </c>
      <c r="C179" s="9">
        <f ca="1">LOOKUP(B179,geomorph!A:A,geomorph!B:B)</f>
        <v>1476.3</v>
      </c>
      <c r="D179">
        <f t="shared" si="36"/>
        <v>1.13E-4</v>
      </c>
      <c r="E179" s="9">
        <f ca="1">'[2]Q_GEV(random)'!$J179</f>
        <v>13275.499823584443</v>
      </c>
      <c r="F179" s="26">
        <f ca="1">RANDBETWEEN(ranges!F$2*1000,ranges!F$3*1000)/1000</f>
        <v>9.8000000000000004E-2</v>
      </c>
      <c r="G179" s="3">
        <f t="shared" ca="1" si="37"/>
        <v>8.9924133465992302</v>
      </c>
      <c r="H179" s="4">
        <f t="shared" ca="1" si="38"/>
        <v>12.136719912619528</v>
      </c>
      <c r="I179" s="4">
        <f t="shared" ca="1" si="39"/>
        <v>250.49144892043066</v>
      </c>
      <c r="J179" s="26">
        <f ca="1">RANDBETWEEN(ranges!J$2*1000,ranges!J$3*1000)/1000</f>
        <v>0.751</v>
      </c>
      <c r="K179" s="26">
        <f ca="1">RANDBETWEEN(ranges!K$2*1000,ranges!K$3*1000)/1000</f>
        <v>0.93100000000000005</v>
      </c>
      <c r="L179">
        <f t="shared" ca="1" si="40"/>
        <v>104.48230813730758</v>
      </c>
      <c r="M179">
        <f t="shared" ca="1" si="41"/>
        <v>17.429937159851111</v>
      </c>
      <c r="N179" s="4">
        <f t="shared" ca="1" si="42"/>
        <v>5.7534970078604157</v>
      </c>
      <c r="O179" s="4"/>
      <c r="P179" s="1">
        <f ca="1">LOOKUP(B179,geomorph!$A:$A,geomorph!$G:$G)</f>
        <v>104.85901100000001</v>
      </c>
      <c r="Q179" s="1">
        <f t="shared" ca="1" si="43"/>
        <v>122.28894815985112</v>
      </c>
    </row>
    <row r="180" spans="2:17" x14ac:dyDescent="0.3">
      <c r="B180" s="6">
        <f ca="1">RANDBETWEEN(ranges!B$2,ranges!B$3)</f>
        <v>12326</v>
      </c>
      <c r="C180" s="9">
        <f ca="1">LOOKUP(B180,geomorph!A:A,geomorph!B:B)</f>
        <v>1257.5999999999999</v>
      </c>
      <c r="D180">
        <f t="shared" si="36"/>
        <v>1.13E-4</v>
      </c>
      <c r="E180" s="9">
        <f ca="1">'[2]Q_GEV(random)'!$J180</f>
        <v>13273.041604868027</v>
      </c>
      <c r="F180" s="26">
        <f ca="1">RANDBETWEEN(ranges!F$2*1000,ranges!F$3*1000)/1000</f>
        <v>0.105</v>
      </c>
      <c r="G180" s="3">
        <f t="shared" ca="1" si="37"/>
        <v>10.554263362649513</v>
      </c>
      <c r="H180" s="4">
        <f t="shared" ca="1" si="38"/>
        <v>13.818370970782569</v>
      </c>
      <c r="I180" s="4">
        <f t="shared" ca="1" si="39"/>
        <v>327.18453889767579</v>
      </c>
      <c r="J180" s="26">
        <f ca="1">RANDBETWEEN(ranges!J$2*1000,ranges!J$3*1000)/1000</f>
        <v>0.61299999999999999</v>
      </c>
      <c r="K180" s="26">
        <f ca="1">RANDBETWEEN(ranges!K$2*1000,ranges!K$3*1000)/1000</f>
        <v>0.82299999999999995</v>
      </c>
      <c r="L180">
        <f t="shared" ca="1" si="40"/>
        <v>135.63574201484602</v>
      </c>
      <c r="M180">
        <f t="shared" ca="1" si="41"/>
        <v>19.275032534839347</v>
      </c>
      <c r="N180" s="4">
        <f t="shared" ca="1" si="42"/>
        <v>5.9311538739747593</v>
      </c>
      <c r="O180" s="4"/>
      <c r="P180" s="1">
        <f ca="1">LOOKUP(B180,geomorph!$A:$A,geomorph!$G:$G)</f>
        <v>105.133601</v>
      </c>
      <c r="Q180" s="1">
        <f t="shared" ca="1" si="43"/>
        <v>124.40863353483934</v>
      </c>
    </row>
    <row r="181" spans="2:17" x14ac:dyDescent="0.3">
      <c r="B181" s="6">
        <f ca="1">RANDBETWEEN(ranges!B$2,ranges!B$3)</f>
        <v>12475</v>
      </c>
      <c r="C181" s="9">
        <f ca="1">LOOKUP(B181,geomorph!A:A,geomorph!B:B)</f>
        <v>1217.5999999999999</v>
      </c>
      <c r="D181">
        <f t="shared" si="36"/>
        <v>1.13E-4</v>
      </c>
      <c r="E181" s="9">
        <f ca="1">'[2]Q_GEV(random)'!$J181</f>
        <v>13269.661959539124</v>
      </c>
      <c r="F181" s="26">
        <f ca="1">RANDBETWEEN(ranges!F$2*1000,ranges!F$3*1000)/1000</f>
        <v>0.104</v>
      </c>
      <c r="G181" s="3">
        <f t="shared" ca="1" si="37"/>
        <v>10.898211201986797</v>
      </c>
      <c r="H181" s="4">
        <f t="shared" ca="1" si="38"/>
        <v>14.072018252763513</v>
      </c>
      <c r="I181" s="4">
        <f t="shared" ca="1" si="39"/>
        <v>345.23556127062375</v>
      </c>
      <c r="J181" s="26">
        <f ca="1">RANDBETWEEN(ranges!J$2*1000,ranges!J$3*1000)/1000</f>
        <v>0.72099999999999997</v>
      </c>
      <c r="K181" s="26">
        <f ca="1">RANDBETWEEN(ranges!K$2*1000,ranges!K$3*1000)/1000</f>
        <v>0.88500000000000001</v>
      </c>
      <c r="L181">
        <f t="shared" ca="1" si="40"/>
        <v>138.33517647465371</v>
      </c>
      <c r="M181">
        <f t="shared" ca="1" si="41"/>
        <v>19.033370928935831</v>
      </c>
      <c r="N181" s="4">
        <f t="shared" ca="1" si="42"/>
        <v>5.3927746480133889</v>
      </c>
      <c r="O181" s="4"/>
      <c r="P181" s="1">
        <f ca="1">LOOKUP(B181,geomorph!$A:$A,geomorph!$G:$G)</f>
        <v>105.116651</v>
      </c>
      <c r="Q181" s="1">
        <f t="shared" ca="1" si="43"/>
        <v>124.15002192893584</v>
      </c>
    </row>
    <row r="182" spans="2:17" x14ac:dyDescent="0.3">
      <c r="B182" s="6">
        <f ca="1">RANDBETWEEN(ranges!B$2,ranges!B$3)</f>
        <v>11236</v>
      </c>
      <c r="C182" s="9">
        <f ca="1">LOOKUP(B182,geomorph!A:A,geomorph!B:B)</f>
        <v>1645.7</v>
      </c>
      <c r="D182">
        <f t="shared" si="36"/>
        <v>1.13E-4</v>
      </c>
      <c r="E182" s="9">
        <f ca="1">'[2]Q_GEV(random)'!$J182</f>
        <v>13269.479770710204</v>
      </c>
      <c r="F182" s="26">
        <f ca="1">RANDBETWEEN(ranges!F$2*1000,ranges!F$3*1000)/1000</f>
        <v>0.106</v>
      </c>
      <c r="G182" s="3">
        <f t="shared" ca="1" si="37"/>
        <v>8.0631219363858566</v>
      </c>
      <c r="H182" s="4">
        <f t="shared" ca="1" si="38"/>
        <v>11.584551824739423</v>
      </c>
      <c r="I182" s="4">
        <f t="shared" ca="1" si="39"/>
        <v>208.94637107140639</v>
      </c>
      <c r="J182" s="26">
        <f ca="1">RANDBETWEEN(ranges!J$2*1000,ranges!J$3*1000)/1000</f>
        <v>0.60799999999999998</v>
      </c>
      <c r="K182" s="26">
        <f ca="1">RANDBETWEEN(ranges!K$2*1000,ranges!K$3*1000)/1000</f>
        <v>0.85</v>
      </c>
      <c r="L182">
        <f t="shared" ca="1" si="40"/>
        <v>96.091317310882303</v>
      </c>
      <c r="M182">
        <f t="shared" ca="1" si="41"/>
        <v>17.869535341532647</v>
      </c>
      <c r="N182" s="4">
        <f t="shared" ca="1" si="42"/>
        <v>6.8315038226013298</v>
      </c>
      <c r="O182" s="4"/>
      <c r="P182" s="1">
        <f ca="1">LOOKUP(B182,geomorph!$A:$A,geomorph!$G:$G)</f>
        <v>105.256771</v>
      </c>
      <c r="Q182" s="1">
        <f t="shared" ca="1" si="43"/>
        <v>123.12630634153265</v>
      </c>
    </row>
    <row r="183" spans="2:17" x14ac:dyDescent="0.3">
      <c r="B183" s="6">
        <f ca="1">RANDBETWEEN(ranges!B$2,ranges!B$3)</f>
        <v>10467</v>
      </c>
      <c r="C183" s="9">
        <f ca="1">LOOKUP(B183,geomorph!A:A,geomorph!B:B)</f>
        <v>1762.9</v>
      </c>
      <c r="D183">
        <f t="shared" si="36"/>
        <v>1.13E-4</v>
      </c>
      <c r="E183" s="9">
        <f ca="1">'[2]Q_GEV(random)'!$J183</f>
        <v>13215.365641982131</v>
      </c>
      <c r="F183" s="26">
        <f ca="1">RANDBETWEEN(ranges!F$2*1000,ranges!F$3*1000)/1000</f>
        <v>9.9000000000000005E-2</v>
      </c>
      <c r="G183" s="3">
        <f t="shared" ca="1" si="37"/>
        <v>7.4963784911124458</v>
      </c>
      <c r="H183" s="4">
        <f t="shared" ca="1" si="38"/>
        <v>10.786681748064211</v>
      </c>
      <c r="I183" s="4">
        <f t="shared" ca="1" si="39"/>
        <v>185.80469186399174</v>
      </c>
      <c r="J183" s="26">
        <f ca="1">RANDBETWEEN(ranges!J$2*1000,ranges!J$3*1000)/1000</f>
        <v>0.65400000000000003</v>
      </c>
      <c r="K183" s="26">
        <f ca="1">RANDBETWEEN(ranges!K$2*1000,ranges!K$3*1000)/1000</f>
        <v>0.84499999999999997</v>
      </c>
      <c r="L183">
        <f t="shared" ca="1" si="40"/>
        <v>84.879671926338474</v>
      </c>
      <c r="M183">
        <f t="shared" ca="1" si="41"/>
        <v>16.908684221200456</v>
      </c>
      <c r="N183" s="4">
        <f t="shared" ca="1" si="42"/>
        <v>6.6543505142785273</v>
      </c>
      <c r="O183" s="4"/>
      <c r="P183" s="1">
        <f ca="1">LOOKUP(B183,geomorph!$A:$A,geomorph!$G:$G)</f>
        <v>105.34378100000001</v>
      </c>
      <c r="Q183" s="1">
        <f t="shared" ca="1" si="43"/>
        <v>122.25246522120047</v>
      </c>
    </row>
    <row r="184" spans="2:17" x14ac:dyDescent="0.3">
      <c r="B184" s="6">
        <f ca="1">RANDBETWEEN(ranges!B$2,ranges!B$3)</f>
        <v>10687</v>
      </c>
      <c r="C184" s="9">
        <f ca="1">LOOKUP(B184,geomorph!A:A,geomorph!B:B)</f>
        <v>1717.5</v>
      </c>
      <c r="D184">
        <f t="shared" si="36"/>
        <v>1.13E-4</v>
      </c>
      <c r="E184" s="9">
        <f ca="1">'[2]Q_GEV(random)'!$J184</f>
        <v>13211.288380057316</v>
      </c>
      <c r="F184" s="26">
        <f ca="1">RANDBETWEEN(ranges!F$2*1000,ranges!F$3*1000)/1000</f>
        <v>0.10100000000000001</v>
      </c>
      <c r="G184" s="3">
        <f t="shared" ca="1" si="37"/>
        <v>7.692162084458408</v>
      </c>
      <c r="H184" s="4">
        <f t="shared" ca="1" si="38"/>
        <v>11.047089497870731</v>
      </c>
      <c r="I184" s="4">
        <f t="shared" ca="1" si="39"/>
        <v>194.02255638313895</v>
      </c>
      <c r="J184" s="26">
        <f ca="1">RANDBETWEEN(ranges!J$2*1000,ranges!J$3*1000)/1000</f>
        <v>0.79800000000000004</v>
      </c>
      <c r="K184" s="26">
        <f ca="1">RANDBETWEEN(ranges!K$2*1000,ranges!K$3*1000)/1000</f>
        <v>0.94199999999999995</v>
      </c>
      <c r="L184">
        <f t="shared" ca="1" si="40"/>
        <v>85.102313892812674</v>
      </c>
      <c r="M184">
        <f t="shared" ca="1" si="41"/>
        <v>16.516444324532351</v>
      </c>
      <c r="N184" s="4">
        <f t="shared" ca="1" si="42"/>
        <v>5.9449508985452386</v>
      </c>
      <c r="O184" s="4"/>
      <c r="P184" s="1">
        <f ca="1">LOOKUP(B184,geomorph!$A:$A,geomorph!$G:$G)</f>
        <v>105.318921</v>
      </c>
      <c r="Q184" s="1">
        <f t="shared" ca="1" si="43"/>
        <v>121.83536532453235</v>
      </c>
    </row>
    <row r="185" spans="2:17" x14ac:dyDescent="0.3">
      <c r="B185" s="6">
        <f ca="1">RANDBETWEEN(ranges!B$2,ranges!B$3)</f>
        <v>11621</v>
      </c>
      <c r="C185" s="9">
        <f ca="1">LOOKUP(B185,geomorph!A:A,geomorph!B:B)</f>
        <v>1460.1</v>
      </c>
      <c r="D185">
        <f t="shared" si="36"/>
        <v>1.13E-4</v>
      </c>
      <c r="E185" s="9">
        <f ca="1">'[2]Q_GEV(random)'!$J185</f>
        <v>13188.361948380243</v>
      </c>
      <c r="F185" s="26">
        <f ca="1">RANDBETWEEN(ranges!F$2*1000,ranges!F$3*1000)/1000</f>
        <v>0.107</v>
      </c>
      <c r="G185" s="3">
        <f t="shared" ca="1" si="37"/>
        <v>9.0325059573866469</v>
      </c>
      <c r="H185" s="4">
        <f t="shared" ca="1" si="38"/>
        <v>12.534544609842083</v>
      </c>
      <c r="I185" s="4">
        <f t="shared" ca="1" si="39"/>
        <v>254.02292963172462</v>
      </c>
      <c r="J185" s="26">
        <f ca="1">RANDBETWEEN(ranges!J$2*1000,ranges!J$3*1000)/1000</f>
        <v>0.754</v>
      </c>
      <c r="K185" s="26">
        <f ca="1">RANDBETWEEN(ranges!K$2*1000,ranges!K$3*1000)/1000</f>
        <v>0.90300000000000002</v>
      </c>
      <c r="L185">
        <f t="shared" ca="1" si="40"/>
        <v>107.75581555018496</v>
      </c>
      <c r="M185">
        <f t="shared" ca="1" si="41"/>
        <v>17.778772090185228</v>
      </c>
      <c r="N185" s="4">
        <f t="shared" ca="1" si="42"/>
        <v>5.7002472612425485</v>
      </c>
      <c r="O185" s="4"/>
      <c r="P185" s="1">
        <f ca="1">LOOKUP(B185,geomorph!$A:$A,geomorph!$G:$G)</f>
        <v>105.21270100000001</v>
      </c>
      <c r="Q185" s="1">
        <f t="shared" ca="1" si="43"/>
        <v>122.99147309018524</v>
      </c>
    </row>
    <row r="186" spans="2:17" x14ac:dyDescent="0.3">
      <c r="B186" s="6">
        <f ca="1">RANDBETWEEN(ranges!B$2,ranges!B$3)</f>
        <v>14657</v>
      </c>
      <c r="C186" s="9">
        <f ca="1">LOOKUP(B186,geomorph!A:A,geomorph!B:B)</f>
        <v>1443.7</v>
      </c>
      <c r="D186">
        <f t="shared" si="36"/>
        <v>1.13E-4</v>
      </c>
      <c r="E186" s="9">
        <f ca="1">'[2]Q_GEV(random)'!$J186</f>
        <v>13182.917688679985</v>
      </c>
      <c r="F186" s="26">
        <f ca="1">RANDBETWEEN(ranges!F$2*1000,ranges!F$3*1000)/1000</f>
        <v>0.10299999999999999</v>
      </c>
      <c r="G186" s="3">
        <f t="shared" ca="1" si="37"/>
        <v>9.1313414758467726</v>
      </c>
      <c r="H186" s="4">
        <f t="shared" ca="1" si="38"/>
        <v>12.466482379209404</v>
      </c>
      <c r="I186" s="4">
        <f t="shared" ca="1" si="39"/>
        <v>258.77924994776419</v>
      </c>
      <c r="J186" s="26">
        <f ca="1">RANDBETWEEN(ranges!J$2*1000,ranges!J$3*1000)/1000</f>
        <v>0.64800000000000002</v>
      </c>
      <c r="K186" s="26">
        <f ca="1">RANDBETWEEN(ranges!K$2*1000,ranges!K$3*1000)/1000</f>
        <v>0.93899999999999995</v>
      </c>
      <c r="L186">
        <f t="shared" ca="1" si="40"/>
        <v>112.09093462865667</v>
      </c>
      <c r="M186">
        <f t="shared" ca="1" si="41"/>
        <v>18.286302102543253</v>
      </c>
      <c r="N186" s="4">
        <f t="shared" ca="1" si="42"/>
        <v>6.3258910036237479</v>
      </c>
      <c r="O186" s="4"/>
      <c r="P186" s="1">
        <f ca="1">LOOKUP(B186,geomorph!$A:$A,geomorph!$G:$G)</f>
        <v>104.870311</v>
      </c>
      <c r="Q186" s="1">
        <f t="shared" ca="1" si="43"/>
        <v>123.15661310254325</v>
      </c>
    </row>
    <row r="187" spans="2:17" x14ac:dyDescent="0.3">
      <c r="B187" s="6">
        <f ca="1">RANDBETWEEN(ranges!B$2,ranges!B$3)</f>
        <v>11971</v>
      </c>
      <c r="C187" s="9">
        <f ca="1">LOOKUP(B187,geomorph!A:A,geomorph!B:B)</f>
        <v>1359.6</v>
      </c>
      <c r="D187">
        <f t="shared" si="36"/>
        <v>1.13E-4</v>
      </c>
      <c r="E187" s="9">
        <f ca="1">'[2]Q_GEV(random)'!$J187</f>
        <v>13181.209597174908</v>
      </c>
      <c r="F187" s="26">
        <f ca="1">RANDBETWEEN(ranges!F$2*1000,ranges!F$3*1000)/1000</f>
        <v>9.7000000000000003E-2</v>
      </c>
      <c r="G187" s="3">
        <f t="shared" ca="1" si="37"/>
        <v>9.6949173265481825</v>
      </c>
      <c r="H187" s="4">
        <f t="shared" ca="1" si="38"/>
        <v>12.71730580759581</v>
      </c>
      <c r="I187" s="4">
        <f t="shared" ca="1" si="39"/>
        <v>285.97952095247865</v>
      </c>
      <c r="J187" s="26">
        <f ca="1">RANDBETWEEN(ranges!J$2*1000,ranges!J$3*1000)/1000</f>
        <v>0.65800000000000003</v>
      </c>
      <c r="K187" s="26">
        <f ca="1">RANDBETWEEN(ranges!K$2*1000,ranges!K$3*1000)/1000</f>
        <v>0.91800000000000004</v>
      </c>
      <c r="L187">
        <f t="shared" ca="1" si="40"/>
        <v>118.77937331599907</v>
      </c>
      <c r="M187">
        <f t="shared" ca="1" si="41"/>
        <v>18.24864526352885</v>
      </c>
      <c r="N187" s="4">
        <f t="shared" ca="1" si="42"/>
        <v>6.0123254955793906</v>
      </c>
      <c r="O187" s="4"/>
      <c r="P187" s="1">
        <f ca="1">LOOKUP(B187,geomorph!$A:$A,geomorph!$G:$G)</f>
        <v>105.173151</v>
      </c>
      <c r="Q187" s="1">
        <f t="shared" ca="1" si="43"/>
        <v>123.42179626352885</v>
      </c>
    </row>
    <row r="188" spans="2:17" x14ac:dyDescent="0.3">
      <c r="B188" s="6">
        <f ca="1">RANDBETWEEN(ranges!B$2,ranges!B$3)</f>
        <v>14031</v>
      </c>
      <c r="C188" s="9">
        <f ca="1">LOOKUP(B188,geomorph!A:A,geomorph!B:B)</f>
        <v>1334.8</v>
      </c>
      <c r="D188">
        <f t="shared" si="36"/>
        <v>1.13E-4</v>
      </c>
      <c r="E188" s="9">
        <f ca="1">'[2]Q_GEV(random)'!$J188</f>
        <v>13180.858539716992</v>
      </c>
      <c r="F188" s="26">
        <f ca="1">RANDBETWEEN(ranges!F$2*1000,ranges!F$3*1000)/1000</f>
        <v>9.1999999999999998E-2</v>
      </c>
      <c r="G188" s="3">
        <f t="shared" ca="1" si="37"/>
        <v>9.8747816449782686</v>
      </c>
      <c r="H188" s="4">
        <f t="shared" ca="1" si="38"/>
        <v>12.648996521846371</v>
      </c>
      <c r="I188" s="4">
        <f t="shared" ca="1" si="39"/>
        <v>294.88464100391809</v>
      </c>
      <c r="J188" s="26">
        <f ca="1">RANDBETWEEN(ranges!J$2*1000,ranges!J$3*1000)/1000</f>
        <v>0.61099999999999999</v>
      </c>
      <c r="K188" s="26">
        <f ca="1">RANDBETWEEN(ranges!K$2*1000,ranges!K$3*1000)/1000</f>
        <v>0.86099999999999999</v>
      </c>
      <c r="L188">
        <f t="shared" ca="1" si="40"/>
        <v>121.0407037756315</v>
      </c>
      <c r="M188">
        <f t="shared" ca="1" si="41"/>
        <v>18.256859848167561</v>
      </c>
      <c r="N188" s="4">
        <f t="shared" ca="1" si="42"/>
        <v>6.0955036155665114</v>
      </c>
      <c r="O188" s="4"/>
      <c r="P188" s="1">
        <f ca="1">LOOKUP(B188,geomorph!$A:$A,geomorph!$G:$G)</f>
        <v>104.940371</v>
      </c>
      <c r="Q188" s="1">
        <f t="shared" ca="1" si="43"/>
        <v>123.19723084816756</v>
      </c>
    </row>
    <row r="189" spans="2:17" x14ac:dyDescent="0.3">
      <c r="B189" s="6">
        <f ca="1">RANDBETWEEN(ranges!B$2,ranges!B$3)</f>
        <v>10397</v>
      </c>
      <c r="C189" s="9">
        <f ca="1">LOOKUP(B189,geomorph!A:A,geomorph!B:B)</f>
        <v>1726.3</v>
      </c>
      <c r="D189">
        <f t="shared" si="36"/>
        <v>1.13E-4</v>
      </c>
      <c r="E189" s="9">
        <f ca="1">'[2]Q_GEV(random)'!$J189</f>
        <v>13150.826885904566</v>
      </c>
      <c r="F189" s="26">
        <f ca="1">RANDBETWEEN(ranges!F$2*1000,ranges!F$3*1000)/1000</f>
        <v>9.7000000000000003E-2</v>
      </c>
      <c r="G189" s="3">
        <f t="shared" ca="1" si="37"/>
        <v>7.6179267137256366</v>
      </c>
      <c r="H189" s="4">
        <f t="shared" ca="1" si="38"/>
        <v>10.829046907835775</v>
      </c>
      <c r="I189" s="4">
        <f t="shared" ca="1" si="39"/>
        <v>191.78954990248323</v>
      </c>
      <c r="J189" s="26">
        <f ca="1">RANDBETWEEN(ranges!J$2*1000,ranges!J$3*1000)/1000</f>
        <v>0.70099999999999996</v>
      </c>
      <c r="K189" s="26">
        <f ca="1">RANDBETWEEN(ranges!K$2*1000,ranges!K$3*1000)/1000</f>
        <v>0.89</v>
      </c>
      <c r="L189">
        <f t="shared" ca="1" si="40"/>
        <v>85.494764084136861</v>
      </c>
      <c r="M189">
        <f t="shared" ca="1" si="41"/>
        <v>16.677626069944335</v>
      </c>
      <c r="N189" s="4">
        <f t="shared" ca="1" si="42"/>
        <v>6.3571512631614784</v>
      </c>
      <c r="O189" s="4"/>
      <c r="P189" s="1">
        <f ca="1">LOOKUP(B189,geomorph!$A:$A,geomorph!$G:$G)</f>
        <v>105.351691</v>
      </c>
      <c r="Q189" s="1">
        <f t="shared" ca="1" si="43"/>
        <v>122.02931706994434</v>
      </c>
    </row>
    <row r="190" spans="2:17" x14ac:dyDescent="0.3">
      <c r="B190" s="6">
        <f ca="1">RANDBETWEEN(ranges!B$2,ranges!B$3)</f>
        <v>14977</v>
      </c>
      <c r="C190" s="9">
        <f ca="1">LOOKUP(B190,geomorph!A:A,geomorph!B:B)</f>
        <v>1493.8</v>
      </c>
      <c r="D190">
        <f t="shared" si="36"/>
        <v>1.13E-4</v>
      </c>
      <c r="E190" s="9">
        <f ca="1">'[2]Q_GEV(random)'!$J190</f>
        <v>13140.894337650694</v>
      </c>
      <c r="F190" s="26">
        <f ca="1">RANDBETWEEN(ranges!F$2*1000,ranges!F$3*1000)/1000</f>
        <v>9.2999999999999999E-2</v>
      </c>
      <c r="G190" s="3">
        <f t="shared" ca="1" si="37"/>
        <v>8.7969569806203598</v>
      </c>
      <c r="H190" s="4">
        <f t="shared" ca="1" si="38"/>
        <v>11.753244161285616</v>
      </c>
      <c r="I190" s="4">
        <f t="shared" ca="1" si="39"/>
        <v>243.95658235536933</v>
      </c>
      <c r="J190" s="26">
        <f ca="1">RANDBETWEEN(ranges!J$2*1000,ranges!J$3*1000)/1000</f>
        <v>0.76300000000000001</v>
      </c>
      <c r="K190" s="26">
        <f ca="1">RANDBETWEEN(ranges!K$2*1000,ranges!K$3*1000)/1000</f>
        <v>0.91900000000000004</v>
      </c>
      <c r="L190">
        <f t="shared" ca="1" si="40"/>
        <v>100.4273445668986</v>
      </c>
      <c r="M190">
        <f t="shared" ca="1" si="41"/>
        <v>16.952075506485741</v>
      </c>
      <c r="N190" s="4">
        <f t="shared" ca="1" si="42"/>
        <v>5.6509036360870919</v>
      </c>
      <c r="O190" s="4"/>
      <c r="P190" s="1">
        <f ca="1">LOOKUP(B190,geomorph!$A:$A,geomorph!$G:$G)</f>
        <v>104.83415100000001</v>
      </c>
      <c r="Q190" s="1">
        <f t="shared" ca="1" si="43"/>
        <v>121.78622650648575</v>
      </c>
    </row>
    <row r="191" spans="2:17" x14ac:dyDescent="0.3">
      <c r="B191" s="6">
        <f ca="1">RANDBETWEEN(ranges!B$2,ranges!B$3)</f>
        <v>13834</v>
      </c>
      <c r="C191" s="9">
        <f ca="1">LOOKUP(B191,geomorph!A:A,geomorph!B:B)</f>
        <v>1285.7</v>
      </c>
      <c r="D191">
        <f t="shared" si="36"/>
        <v>1.13E-4</v>
      </c>
      <c r="E191" s="9">
        <f ca="1">'[2]Q_GEV(random)'!$J191</f>
        <v>13119.468082091658</v>
      </c>
      <c r="F191" s="26">
        <f ca="1">RANDBETWEEN(ranges!F$2*1000,ranges!F$3*1000)/1000</f>
        <v>0.108</v>
      </c>
      <c r="G191" s="3">
        <f t="shared" ca="1" si="37"/>
        <v>10.204144109894733</v>
      </c>
      <c r="H191" s="4">
        <f t="shared" ca="1" si="38"/>
        <v>13.638526044595988</v>
      </c>
      <c r="I191" s="4">
        <f t="shared" ca="1" si="39"/>
        <v>312.91623434351482</v>
      </c>
      <c r="J191" s="26">
        <f ca="1">RANDBETWEEN(ranges!J$2*1000,ranges!J$3*1000)/1000</f>
        <v>0.69</v>
      </c>
      <c r="K191" s="26">
        <f ca="1">RANDBETWEEN(ranges!K$2*1000,ranges!K$3*1000)/1000</f>
        <v>0.98699999999999999</v>
      </c>
      <c r="L191">
        <f t="shared" ca="1" si="40"/>
        <v>131.27742725242564</v>
      </c>
      <c r="M191">
        <f t="shared" ca="1" si="41"/>
        <v>19.072522868684132</v>
      </c>
      <c r="N191" s="4">
        <f t="shared" ca="1" si="42"/>
        <v>5.9065182870523305</v>
      </c>
      <c r="O191" s="4"/>
      <c r="P191" s="1">
        <f ca="1">LOOKUP(B191,geomorph!$A:$A,geomorph!$G:$G)</f>
        <v>104.962971</v>
      </c>
      <c r="Q191" s="1">
        <f t="shared" ca="1" si="43"/>
        <v>124.03549386868413</v>
      </c>
    </row>
    <row r="192" spans="2:17" x14ac:dyDescent="0.3">
      <c r="B192" s="6">
        <f ca="1">RANDBETWEEN(ranges!B$2,ranges!B$3)</f>
        <v>14505</v>
      </c>
      <c r="C192" s="9">
        <f ca="1">LOOKUP(B192,geomorph!A:A,geomorph!B:B)</f>
        <v>1401.3</v>
      </c>
      <c r="D192">
        <f t="shared" si="36"/>
        <v>1.13E-4</v>
      </c>
      <c r="E192" s="9">
        <f ca="1">'[2]Q_GEV(random)'!$J192</f>
        <v>13110.238912817127</v>
      </c>
      <c r="F192" s="26">
        <f ca="1">RANDBETWEEN(ranges!F$2*1000,ranges!F$3*1000)/1000</f>
        <v>0.109</v>
      </c>
      <c r="G192" s="3">
        <f t="shared" ca="1" si="37"/>
        <v>9.3557688666360725</v>
      </c>
      <c r="H192" s="4">
        <f t="shared" ca="1" si="38"/>
        <v>12.91130930667452</v>
      </c>
      <c r="I192" s="4">
        <f t="shared" ca="1" si="39"/>
        <v>270.96002120608313</v>
      </c>
      <c r="J192" s="26">
        <f ca="1">RANDBETWEEN(ranges!J$2*1000,ranges!J$3*1000)/1000</f>
        <v>0.72799999999999998</v>
      </c>
      <c r="K192" s="26">
        <f ca="1">RANDBETWEEN(ranges!K$2*1000,ranges!K$3*1000)/1000</f>
        <v>0.85299999999999998</v>
      </c>
      <c r="L192">
        <f t="shared" ca="1" si="40"/>
        <v>114.21949505528013</v>
      </c>
      <c r="M192">
        <f t="shared" ca="1" si="41"/>
        <v>18.086302961568936</v>
      </c>
      <c r="N192" s="4">
        <f t="shared" ca="1" si="42"/>
        <v>5.6249931031461049</v>
      </c>
      <c r="O192" s="4"/>
      <c r="P192" s="1">
        <f ca="1">LOOKUP(B192,geomorph!$A:$A,geomorph!$G:$G)</f>
        <v>104.88726100000001</v>
      </c>
      <c r="Q192" s="1">
        <f t="shared" ca="1" si="43"/>
        <v>122.97356396156894</v>
      </c>
    </row>
    <row r="193" spans="2:17" x14ac:dyDescent="0.3">
      <c r="B193" s="6">
        <f ca="1">RANDBETWEEN(ranges!B$2,ranges!B$3)</f>
        <v>10339</v>
      </c>
      <c r="C193" s="9">
        <f ca="1">LOOKUP(B193,geomorph!A:A,geomorph!B:B)</f>
        <v>1660.3</v>
      </c>
      <c r="D193">
        <f t="shared" si="36"/>
        <v>1.13E-4</v>
      </c>
      <c r="E193" s="9">
        <f ca="1">'[2]Q_GEV(random)'!$J193</f>
        <v>13082.194924022328</v>
      </c>
      <c r="F193" s="26">
        <f ca="1">RANDBETWEEN(ranges!F$2*1000,ranges!F$3*1000)/1000</f>
        <v>9.8000000000000004E-2</v>
      </c>
      <c r="G193" s="3">
        <f t="shared" ca="1" si="37"/>
        <v>7.8794163247740334</v>
      </c>
      <c r="H193" s="4">
        <f t="shared" ca="1" si="38"/>
        <v>11.113389110475563</v>
      </c>
      <c r="I193" s="4">
        <f t="shared" ca="1" si="39"/>
        <v>203.9511449036097</v>
      </c>
      <c r="J193" s="26">
        <f ca="1">RANDBETWEEN(ranges!J$2*1000,ranges!J$3*1000)/1000</f>
        <v>0.66600000000000004</v>
      </c>
      <c r="K193" s="26">
        <f ca="1">RANDBETWEEN(ranges!K$2*1000,ranges!K$3*1000)/1000</f>
        <v>0.93799999999999994</v>
      </c>
      <c r="L193">
        <f t="shared" ca="1" si="40"/>
        <v>91.456292808283237</v>
      </c>
      <c r="M193">
        <f t="shared" ca="1" si="41"/>
        <v>17.158471773303969</v>
      </c>
      <c r="N193" s="4">
        <f t="shared" ca="1" si="42"/>
        <v>6.5707420248134847</v>
      </c>
      <c r="O193" s="4"/>
      <c r="P193" s="1">
        <f ca="1">LOOKUP(B193,geomorph!$A:$A,geomorph!$G:$G)</f>
        <v>105.35847100000001</v>
      </c>
      <c r="Q193" s="1">
        <f t="shared" ca="1" si="43"/>
        <v>122.51694277330398</v>
      </c>
    </row>
    <row r="194" spans="2:17" x14ac:dyDescent="0.3">
      <c r="B194" s="6">
        <f ca="1">RANDBETWEEN(ranges!B$2,ranges!B$3)</f>
        <v>10851</v>
      </c>
      <c r="C194" s="9">
        <f ca="1">LOOKUP(B194,geomorph!A:A,geomorph!B:B)</f>
        <v>1665.5</v>
      </c>
      <c r="D194">
        <f t="shared" si="36"/>
        <v>1.13E-4</v>
      </c>
      <c r="E194" s="9">
        <f ca="1">'[2]Q_GEV(random)'!$J194</f>
        <v>13081.396349493032</v>
      </c>
      <c r="F194" s="26">
        <f ca="1">RANDBETWEEN(ranges!F$2*1000,ranges!F$3*1000)/1000</f>
        <v>9.2999999999999999E-2</v>
      </c>
      <c r="G194" s="3">
        <f t="shared" ca="1" si="37"/>
        <v>7.8543358447871707</v>
      </c>
      <c r="H194" s="4">
        <f t="shared" ca="1" si="38"/>
        <v>10.897890111901452</v>
      </c>
      <c r="I194" s="4">
        <f t="shared" ca="1" si="39"/>
        <v>202.88270416535426</v>
      </c>
      <c r="J194" s="26">
        <f ca="1">RANDBETWEEN(ranges!J$2*1000,ranges!J$3*1000)/1000</f>
        <v>0.70099999999999996</v>
      </c>
      <c r="K194" s="26">
        <f ca="1">RANDBETWEEN(ranges!K$2*1000,ranges!K$3*1000)/1000</f>
        <v>0.9</v>
      </c>
      <c r="L194">
        <f t="shared" ca="1" si="40"/>
        <v>88.393493397045077</v>
      </c>
      <c r="M194">
        <f t="shared" ca="1" si="41"/>
        <v>16.635788047563977</v>
      </c>
      <c r="N194" s="4">
        <f t="shared" ca="1" si="42"/>
        <v>6.2368455822418749</v>
      </c>
      <c r="O194" s="4"/>
      <c r="P194" s="1">
        <f ca="1">LOOKUP(B194,geomorph!$A:$A,geomorph!$G:$G)</f>
        <v>105.299711</v>
      </c>
      <c r="Q194" s="1">
        <f t="shared" ca="1" si="43"/>
        <v>121.93549904756398</v>
      </c>
    </row>
    <row r="195" spans="2:17" x14ac:dyDescent="0.3">
      <c r="B195" s="6">
        <f ca="1">RANDBETWEEN(ranges!B$2,ranges!B$3)</f>
        <v>12117</v>
      </c>
      <c r="C195" s="9">
        <f ca="1">LOOKUP(B195,geomorph!A:A,geomorph!B:B)</f>
        <v>1315.7</v>
      </c>
      <c r="D195">
        <f t="shared" si="36"/>
        <v>1.13E-4</v>
      </c>
      <c r="E195" s="9">
        <f ca="1">'[2]Q_GEV(random)'!$J195</f>
        <v>13076.456144942242</v>
      </c>
      <c r="F195" s="26">
        <f ca="1">RANDBETWEEN(ranges!F$2*1000,ranges!F$3*1000)/1000</f>
        <v>9.4E-2</v>
      </c>
      <c r="G195" s="3">
        <f t="shared" ca="1" si="37"/>
        <v>9.9387825073666036</v>
      </c>
      <c r="H195" s="4">
        <f t="shared" ca="1" si="38"/>
        <v>12.794987691945826</v>
      </c>
      <c r="I195" s="4">
        <f t="shared" ca="1" si="39"/>
        <v>300.45672806610469</v>
      </c>
      <c r="J195" s="26">
        <f ca="1">RANDBETWEEN(ranges!J$2*1000,ranges!J$3*1000)/1000</f>
        <v>0.626</v>
      </c>
      <c r="K195" s="26">
        <f ca="1">RANDBETWEEN(ranges!K$2*1000,ranges!K$3*1000)/1000</f>
        <v>0.82699999999999996</v>
      </c>
      <c r="L195">
        <f t="shared" ca="1" si="40"/>
        <v>122.46792514280423</v>
      </c>
      <c r="M195">
        <f t="shared" ca="1" si="41"/>
        <v>18.207808549473793</v>
      </c>
      <c r="N195" s="4">
        <f t="shared" ca="1" si="42"/>
        <v>5.8835009320956155</v>
      </c>
      <c r="O195" s="4"/>
      <c r="P195" s="1">
        <f ca="1">LOOKUP(B195,geomorph!$A:$A,geomorph!$G:$G)</f>
        <v>105.157331</v>
      </c>
      <c r="Q195" s="1">
        <f t="shared" ca="1" si="43"/>
        <v>123.3651395494738</v>
      </c>
    </row>
    <row r="196" spans="2:17" x14ac:dyDescent="0.3">
      <c r="B196" s="6">
        <f ca="1">RANDBETWEEN(ranges!B$2,ranges!B$3)</f>
        <v>12088</v>
      </c>
      <c r="C196" s="9">
        <f ca="1">LOOKUP(B196,geomorph!A:A,geomorph!B:B)</f>
        <v>1325.3</v>
      </c>
      <c r="D196">
        <f t="shared" si="36"/>
        <v>1.13E-4</v>
      </c>
      <c r="E196" s="9">
        <f ca="1">'[2]Q_GEV(random)'!$J196</f>
        <v>13060.054740385103</v>
      </c>
      <c r="F196" s="26">
        <f ca="1">RANDBETWEEN(ranges!F$2*1000,ranges!F$3*1000)/1000</f>
        <v>0.109</v>
      </c>
      <c r="G196" s="3">
        <f t="shared" ca="1" si="37"/>
        <v>9.8544138990304866</v>
      </c>
      <c r="H196" s="4">
        <f t="shared" ca="1" si="38"/>
        <v>13.366093519910645</v>
      </c>
      <c r="I196" s="4">
        <f t="shared" ca="1" si="39"/>
        <v>296.58989605843965</v>
      </c>
      <c r="J196" s="26">
        <f ca="1">RANDBETWEEN(ranges!J$2*1000,ranges!J$3*1000)/1000</f>
        <v>0.70399999999999996</v>
      </c>
      <c r="K196" s="26">
        <f ca="1">RANDBETWEEN(ranges!K$2*1000,ranges!K$3*1000)/1000</f>
        <v>0.83099999999999996</v>
      </c>
      <c r="L196">
        <f t="shared" ca="1" si="40"/>
        <v>123.40321878379152</v>
      </c>
      <c r="M196">
        <f t="shared" ca="1" si="41"/>
        <v>18.480730301519955</v>
      </c>
      <c r="N196" s="4">
        <f t="shared" ca="1" si="42"/>
        <v>5.5593878060970754</v>
      </c>
      <c r="O196" s="4"/>
      <c r="P196" s="1">
        <f ca="1">LOOKUP(B196,geomorph!$A:$A,geomorph!$G:$G)</f>
        <v>105.16072100000001</v>
      </c>
      <c r="Q196" s="1">
        <f t="shared" ca="1" si="43"/>
        <v>123.64145130151996</v>
      </c>
    </row>
    <row r="197" spans="2:17" x14ac:dyDescent="0.3">
      <c r="B197" s="6">
        <f ca="1">RANDBETWEEN(ranges!B$2,ranges!B$3)</f>
        <v>10247</v>
      </c>
      <c r="C197" s="9">
        <f ca="1">LOOKUP(B197,geomorph!A:A,geomorph!B:B)</f>
        <v>1632.5</v>
      </c>
      <c r="D197">
        <f t="shared" si="36"/>
        <v>1.13E-4</v>
      </c>
      <c r="E197" s="9">
        <f ca="1">'[2]Q_GEV(random)'!$J197</f>
        <v>13045.231479014414</v>
      </c>
      <c r="F197" s="26">
        <f ca="1">RANDBETWEEN(ranges!F$2*1000,ranges!F$3*1000)/1000</f>
        <v>0.106</v>
      </c>
      <c r="G197" s="3">
        <f t="shared" ca="1" si="37"/>
        <v>7.9909534327806515</v>
      </c>
      <c r="H197" s="4">
        <f t="shared" ca="1" si="38"/>
        <v>11.515323725238439</v>
      </c>
      <c r="I197" s="4">
        <f t="shared" ca="1" si="39"/>
        <v>209.37712246201357</v>
      </c>
      <c r="J197" s="26">
        <f ca="1">RANDBETWEEN(ranges!J$2*1000,ranges!J$3*1000)/1000</f>
        <v>0.77700000000000002</v>
      </c>
      <c r="K197" s="26">
        <f ca="1">RANDBETWEEN(ranges!K$2*1000,ranges!K$3*1000)/1000</f>
        <v>0.89800000000000002</v>
      </c>
      <c r="L197">
        <f t="shared" ca="1" si="40"/>
        <v>91.535760474901679</v>
      </c>
      <c r="M197">
        <f t="shared" ca="1" si="41"/>
        <v>16.885830574206299</v>
      </c>
      <c r="N197" s="4">
        <f t="shared" ca="1" si="42"/>
        <v>5.8375074445302824</v>
      </c>
      <c r="O197" s="4"/>
      <c r="P197" s="1">
        <f ca="1">LOOKUP(B197,geomorph!$A:$A,geomorph!$G:$G)</f>
        <v>105.368641</v>
      </c>
      <c r="Q197" s="1">
        <f t="shared" ca="1" si="43"/>
        <v>122.25447157420629</v>
      </c>
    </row>
    <row r="198" spans="2:17" x14ac:dyDescent="0.3">
      <c r="B198" s="6">
        <f ca="1">RANDBETWEEN(ranges!B$2,ranges!B$3)</f>
        <v>11264</v>
      </c>
      <c r="C198" s="9">
        <f ca="1">LOOKUP(B198,geomorph!A:A,geomorph!B:B)</f>
        <v>1629</v>
      </c>
      <c r="D198">
        <f t="shared" si="36"/>
        <v>1.13E-4</v>
      </c>
      <c r="E198" s="9">
        <f ca="1">'[2]Q_GEV(random)'!$J198</f>
        <v>13033.451908367673</v>
      </c>
      <c r="F198" s="26">
        <f ca="1">RANDBETWEEN(ranges!F$2*1000,ranges!F$3*1000)/1000</f>
        <v>0.105</v>
      </c>
      <c r="G198" s="3">
        <f t="shared" ca="1" si="37"/>
        <v>8.0008912881323955</v>
      </c>
      <c r="H198" s="4">
        <f t="shared" ca="1" si="38"/>
        <v>11.488512716902113</v>
      </c>
      <c r="I198" s="4">
        <f t="shared" ca="1" si="39"/>
        <v>210.0009110953965</v>
      </c>
      <c r="J198" s="26">
        <f ca="1">RANDBETWEEN(ranges!J$2*1000,ranges!J$3*1000)/1000</f>
        <v>0.73299999999999998</v>
      </c>
      <c r="K198" s="26">
        <f ca="1">RANDBETWEEN(ranges!K$2*1000,ranges!K$3*1000)/1000</f>
        <v>0.81200000000000006</v>
      </c>
      <c r="L198">
        <f t="shared" ca="1" si="40"/>
        <v>91.723327081312291</v>
      </c>
      <c r="M198">
        <f t="shared" ca="1" si="41"/>
        <v>16.88415487914672</v>
      </c>
      <c r="N198" s="4">
        <f t="shared" ca="1" si="42"/>
        <v>5.8648284372223989</v>
      </c>
      <c r="O198" s="4"/>
      <c r="P198" s="1">
        <f ca="1">LOOKUP(B198,geomorph!$A:$A,geomorph!$G:$G)</f>
        <v>105.253381</v>
      </c>
      <c r="Q198" s="1">
        <f t="shared" ca="1" si="43"/>
        <v>122.13753587914672</v>
      </c>
    </row>
    <row r="199" spans="2:17" x14ac:dyDescent="0.3">
      <c r="B199" s="6">
        <f ca="1">RANDBETWEEN(ranges!B$2,ranges!B$3)</f>
        <v>13797</v>
      </c>
      <c r="C199" s="9">
        <f ca="1">LOOKUP(B199,geomorph!A:A,geomorph!B:B)</f>
        <v>1275.7</v>
      </c>
      <c r="D199">
        <f t="shared" si="36"/>
        <v>1.13E-4</v>
      </c>
      <c r="E199" s="9">
        <f ca="1">'[2]Q_GEV(random)'!$J199</f>
        <v>13030.073183139888</v>
      </c>
      <c r="F199" s="26">
        <f ca="1">RANDBETWEEN(ranges!F$2*1000,ranges!F$3*1000)/1000</f>
        <v>9.7000000000000003E-2</v>
      </c>
      <c r="G199" s="3">
        <f t="shared" ca="1" si="37"/>
        <v>10.214057523822127</v>
      </c>
      <c r="H199" s="4">
        <f t="shared" ca="1" si="38"/>
        <v>13.167335689309294</v>
      </c>
      <c r="I199" s="4">
        <f t="shared" ca="1" si="39"/>
        <v>315.57335545754739</v>
      </c>
      <c r="J199" s="26">
        <f ca="1">RANDBETWEEN(ranges!J$2*1000,ranges!J$3*1000)/1000</f>
        <v>0.72399999999999998</v>
      </c>
      <c r="K199" s="26">
        <f ca="1">RANDBETWEEN(ranges!K$2*1000,ranges!K$3*1000)/1000</f>
        <v>0.96799999999999997</v>
      </c>
      <c r="L199">
        <f t="shared" ca="1" si="40"/>
        <v>127.00494928645664</v>
      </c>
      <c r="M199">
        <f t="shared" ca="1" si="41"/>
        <v>18.3082841599348</v>
      </c>
      <c r="N199" s="4">
        <f t="shared" ca="1" si="42"/>
        <v>5.5879874680712023</v>
      </c>
      <c r="O199" s="4"/>
      <c r="P199" s="1">
        <f ca="1">LOOKUP(B199,geomorph!$A:$A,geomorph!$G:$G)</f>
        <v>104.96749100000001</v>
      </c>
      <c r="Q199" s="1">
        <f t="shared" ca="1" si="43"/>
        <v>123.27577515993481</v>
      </c>
    </row>
    <row r="200" spans="2:17" x14ac:dyDescent="0.3">
      <c r="B200" s="6">
        <f ca="1">RANDBETWEEN(ranges!B$2,ranges!B$3)</f>
        <v>12591</v>
      </c>
      <c r="C200" s="9">
        <f ca="1">LOOKUP(B200,geomorph!A:A,geomorph!B:B)</f>
        <v>1186.3</v>
      </c>
      <c r="D200">
        <f t="shared" si="36"/>
        <v>1.13E-4</v>
      </c>
      <c r="E200" s="9">
        <f ca="1">'[2]Q_GEV(random)'!$J200</f>
        <v>13010.170281492285</v>
      </c>
      <c r="F200" s="26">
        <f ca="1">RANDBETWEEN(ranges!F$2*1000,ranges!F$3*1000)/1000</f>
        <v>0.10299999999999999</v>
      </c>
      <c r="G200" s="3">
        <f t="shared" ca="1" si="37"/>
        <v>10.967015326217892</v>
      </c>
      <c r="H200" s="4">
        <f t="shared" ca="1" si="38"/>
        <v>14.085745536472896</v>
      </c>
      <c r="I200" s="4">
        <f t="shared" ca="1" si="39"/>
        <v>355.8342819645041</v>
      </c>
      <c r="J200" s="26">
        <f ca="1">RANDBETWEEN(ranges!J$2*1000,ranges!J$3*1000)/1000</f>
        <v>0.66700000000000004</v>
      </c>
      <c r="K200" s="26">
        <f ca="1">RANDBETWEEN(ranges!K$2*1000,ranges!K$3*1000)/1000</f>
        <v>0.84799999999999998</v>
      </c>
      <c r="L200">
        <f t="shared" ca="1" si="40"/>
        <v>142.78260354498565</v>
      </c>
      <c r="M200">
        <f t="shared" ca="1" si="41"/>
        <v>19.140279292152059</v>
      </c>
      <c r="N200" s="4">
        <f t="shared" ca="1" si="42"/>
        <v>5.4940584300860467</v>
      </c>
      <c r="O200" s="4"/>
      <c r="P200" s="1">
        <f ca="1">LOOKUP(B200,geomorph!$A:$A,geomorph!$G:$G)</f>
        <v>105.10309100000001</v>
      </c>
      <c r="Q200" s="1">
        <f t="shared" ca="1" si="43"/>
        <v>124.24337029215206</v>
      </c>
    </row>
    <row r="201" spans="2:17" x14ac:dyDescent="0.3">
      <c r="B201" s="6">
        <f ca="1">RANDBETWEEN(ranges!B$2,ranges!B$3)</f>
        <v>12358</v>
      </c>
      <c r="C201" s="9">
        <f ca="1">LOOKUP(B201,geomorph!A:A,geomorph!B:B)</f>
        <v>1249.5</v>
      </c>
      <c r="D201">
        <f t="shared" si="36"/>
        <v>1.13E-4</v>
      </c>
      <c r="E201" s="9">
        <f ca="1">'[2]Q_GEV(random)'!$J201</f>
        <v>12966.298907695751</v>
      </c>
      <c r="F201" s="26">
        <f ca="1">RANDBETWEEN(ranges!F$2*1000,ranges!F$3*1000)/1000</f>
        <v>9.7000000000000003E-2</v>
      </c>
      <c r="G201" s="3">
        <f t="shared" ca="1" si="37"/>
        <v>10.377190002157464</v>
      </c>
      <c r="H201" s="4">
        <f t="shared" ca="1" si="38"/>
        <v>13.307165364153409</v>
      </c>
      <c r="I201" s="4">
        <f t="shared" ca="1" si="39"/>
        <v>325.61190026374652</v>
      </c>
      <c r="J201" s="26">
        <f ca="1">RANDBETWEEN(ranges!J$2*1000,ranges!J$3*1000)/1000</f>
        <v>0.64400000000000002</v>
      </c>
      <c r="K201" s="26">
        <f ca="1">RANDBETWEEN(ranges!K$2*1000,ranges!K$3*1000)/1000</f>
        <v>0.94099999999999995</v>
      </c>
      <c r="L201">
        <f t="shared" ca="1" si="40"/>
        <v>132.75854873440332</v>
      </c>
      <c r="M201">
        <f t="shared" ca="1" si="41"/>
        <v>18.744644150730974</v>
      </c>
      <c r="N201" s="4">
        <f t="shared" ca="1" si="42"/>
        <v>5.9103030288886567</v>
      </c>
      <c r="O201" s="4"/>
      <c r="P201" s="1">
        <f ca="1">LOOKUP(B201,geomorph!$A:$A,geomorph!$G:$G)</f>
        <v>105.130211</v>
      </c>
      <c r="Q201" s="1">
        <f t="shared" ca="1" si="43"/>
        <v>123.87485515073098</v>
      </c>
    </row>
    <row r="202" spans="2:17" x14ac:dyDescent="0.3">
      <c r="B202" s="6">
        <f ca="1">RANDBETWEEN(ranges!B$2,ranges!B$3)</f>
        <v>11345</v>
      </c>
      <c r="C202" s="9">
        <f ca="1">LOOKUP(B202,geomorph!A:A,geomorph!B:B)</f>
        <v>1579.6</v>
      </c>
      <c r="D202">
        <f t="shared" si="36"/>
        <v>1.13E-4</v>
      </c>
      <c r="E202" s="9">
        <f ca="1">'[2]Q_GEV(random)'!$J202</f>
        <v>12966.123608699265</v>
      </c>
      <c r="F202" s="26">
        <f ca="1">RANDBETWEEN(ranges!F$2*1000,ranges!F$3*1000)/1000</f>
        <v>0.105</v>
      </c>
      <c r="G202" s="3">
        <f t="shared" ca="1" si="37"/>
        <v>8.2084854448589937</v>
      </c>
      <c r="H202" s="4">
        <f t="shared" ca="1" si="38"/>
        <v>11.686386655796243</v>
      </c>
      <c r="I202" s="4">
        <f t="shared" ca="1" si="39"/>
        <v>220.29852032907536</v>
      </c>
      <c r="J202" s="26">
        <f ca="1">RANDBETWEEN(ranges!J$2*1000,ranges!J$3*1000)/1000</f>
        <v>0.61199999999999999</v>
      </c>
      <c r="K202" s="26">
        <f ca="1">RANDBETWEEN(ranges!K$2*1000,ranges!K$3*1000)/1000</f>
        <v>0.81499999999999995</v>
      </c>
      <c r="L202">
        <f t="shared" ca="1" si="40"/>
        <v>99.194849355192247</v>
      </c>
      <c r="M202">
        <f t="shared" ca="1" si="41"/>
        <v>17.70576479668517</v>
      </c>
      <c r="N202" s="4">
        <f t="shared" ca="1" si="42"/>
        <v>6.542802327053181</v>
      </c>
      <c r="O202" s="4"/>
      <c r="P202" s="1">
        <f ca="1">LOOKUP(B202,geomorph!$A:$A,geomorph!$G:$G)</f>
        <v>105.24434100000001</v>
      </c>
      <c r="Q202" s="1">
        <f t="shared" ca="1" si="43"/>
        <v>122.95010579668518</v>
      </c>
    </row>
    <row r="203" spans="2:17" x14ac:dyDescent="0.3">
      <c r="B203" s="6">
        <f ca="1">RANDBETWEEN(ranges!B$2,ranges!B$3)</f>
        <v>13273</v>
      </c>
      <c r="C203" s="9">
        <f ca="1">LOOKUP(B203,geomorph!A:A,geomorph!B:B)</f>
        <v>1171</v>
      </c>
      <c r="D203">
        <f t="shared" ref="D203:D266" si="44">D202</f>
        <v>1.13E-4</v>
      </c>
      <c r="E203" s="9">
        <f ca="1">'[2]Q_GEV(random)'!$J203</f>
        <v>12956.813634179436</v>
      </c>
      <c r="F203" s="26">
        <f ca="1">RANDBETWEEN(ranges!F$2*1000,ranges!F$3*1000)/1000</f>
        <v>0.108</v>
      </c>
      <c r="G203" s="3">
        <f t="shared" ref="G203:G266" ca="1" si="45">E203/C203</f>
        <v>11.064742642339398</v>
      </c>
      <c r="H203" s="4">
        <f t="shared" ref="H203:H266" ca="1" si="46">POWER(G203/SQRT(4*9.807*D203/F203),2/3)</f>
        <v>14.394964332642665</v>
      </c>
      <c r="I203" s="4">
        <f t="shared" ref="I203:I266" ca="1" si="47">POWER(G203*G203/9.807/D203,1/3)/C203/D203</f>
        <v>362.62187557826087</v>
      </c>
      <c r="J203" s="26">
        <f ca="1">RANDBETWEEN(ranges!J$2*1000,ranges!J$3*1000)/1000</f>
        <v>0.66200000000000003</v>
      </c>
      <c r="K203" s="26">
        <f ca="1">RANDBETWEEN(ranges!K$2*1000,ranges!K$3*1000)/1000</f>
        <v>0.93600000000000005</v>
      </c>
      <c r="L203">
        <f t="shared" ref="L203:L266" ca="1" si="48">0.63*POWER(F203,1/3)*I203+5.75*(1+SQRT(1+0.11*J203*POWER(F203,1/3)*K203*I203))/J203</f>
        <v>148.51840194052059</v>
      </c>
      <c r="M203">
        <f t="shared" ref="M203:M266" ca="1" si="49">L203*C203*D203</f>
        <v>19.652400499975503</v>
      </c>
      <c r="N203" s="4">
        <f t="shared" ref="N203:N266" ca="1" si="50">(M203-H203)/0.92</f>
        <v>5.7146045297096055</v>
      </c>
      <c r="O203" s="4"/>
      <c r="P203" s="1">
        <f ca="1">LOOKUP(B203,geomorph!$A:$A,geomorph!$G:$G)</f>
        <v>105.026251</v>
      </c>
      <c r="Q203" s="1">
        <f t="shared" ref="Q203:Q266" ca="1" si="51">M203+P203</f>
        <v>124.6786514999755</v>
      </c>
    </row>
    <row r="204" spans="2:17" x14ac:dyDescent="0.3">
      <c r="B204" s="6">
        <f ca="1">RANDBETWEEN(ranges!B$2,ranges!B$3)</f>
        <v>14302</v>
      </c>
      <c r="C204" s="9">
        <f ca="1">LOOKUP(B204,geomorph!A:A,geomorph!B:B)</f>
        <v>1346.2</v>
      </c>
      <c r="D204">
        <f t="shared" si="44"/>
        <v>1.13E-4</v>
      </c>
      <c r="E204" s="9">
        <f ca="1">'[2]Q_GEV(random)'!$J204</f>
        <v>12940.496135909449</v>
      </c>
      <c r="F204" s="26">
        <f ca="1">RANDBETWEEN(ranges!F$2*1000,ranges!F$3*1000)/1000</f>
        <v>0.108</v>
      </c>
      <c r="G204" s="3">
        <f t="shared" ca="1" si="45"/>
        <v>9.6126104114614837</v>
      </c>
      <c r="H204" s="4">
        <f t="shared" ca="1" si="46"/>
        <v>13.106214634435364</v>
      </c>
      <c r="I204" s="4">
        <f t="shared" ca="1" si="47"/>
        <v>287.18912569885038</v>
      </c>
      <c r="J204" s="26">
        <f ca="1">RANDBETWEEN(ranges!J$2*1000,ranges!J$3*1000)/1000</f>
        <v>0.71599999999999997</v>
      </c>
      <c r="K204" s="26">
        <f ca="1">RANDBETWEEN(ranges!K$2*1000,ranges!K$3*1000)/1000</f>
        <v>0.81799999999999995</v>
      </c>
      <c r="L204">
        <f t="shared" ca="1" si="48"/>
        <v>119.3473706392023</v>
      </c>
      <c r="M204">
        <f t="shared" ca="1" si="49"/>
        <v>18.155193630057838</v>
      </c>
      <c r="N204" s="4">
        <f t="shared" ca="1" si="50"/>
        <v>5.4880206474157314</v>
      </c>
      <c r="O204" s="4"/>
      <c r="P204" s="1">
        <f ca="1">LOOKUP(B204,geomorph!$A:$A,geomorph!$G:$G)</f>
        <v>104.90986100000001</v>
      </c>
      <c r="Q204" s="1">
        <f t="shared" ca="1" si="51"/>
        <v>123.06505463005784</v>
      </c>
    </row>
    <row r="205" spans="2:17" x14ac:dyDescent="0.3">
      <c r="B205" s="6">
        <f ca="1">RANDBETWEEN(ranges!B$2,ranges!B$3)</f>
        <v>12764</v>
      </c>
      <c r="C205" s="9">
        <f ca="1">LOOKUP(B205,geomorph!A:A,geomorph!B:B)</f>
        <v>1143</v>
      </c>
      <c r="D205">
        <f t="shared" si="44"/>
        <v>1.13E-4</v>
      </c>
      <c r="E205" s="9">
        <f ca="1">'[2]Q_GEV(random)'!$J205</f>
        <v>12933.443332073506</v>
      </c>
      <c r="F205" s="26">
        <f ca="1">RANDBETWEEN(ranges!F$2*1000,ranges!F$3*1000)/1000</f>
        <v>0.10199999999999999</v>
      </c>
      <c r="G205" s="3">
        <f t="shared" ca="1" si="45"/>
        <v>11.315348497002192</v>
      </c>
      <c r="H205" s="4">
        <f t="shared" ca="1" si="46"/>
        <v>14.335751911288478</v>
      </c>
      <c r="I205" s="4">
        <f t="shared" ca="1" si="47"/>
        <v>377.09352559541099</v>
      </c>
      <c r="J205" s="26">
        <f ca="1">RANDBETWEEN(ranges!J$2*1000,ranges!J$3*1000)/1000</f>
        <v>0.63200000000000001</v>
      </c>
      <c r="K205" s="26">
        <f ca="1">RANDBETWEEN(ranges!K$2*1000,ranges!K$3*1000)/1000</f>
        <v>0.90300000000000002</v>
      </c>
      <c r="L205">
        <f t="shared" ca="1" si="48"/>
        <v>151.69438079785164</v>
      </c>
      <c r="M205">
        <f t="shared" ca="1" si="49"/>
        <v>19.592694529469718</v>
      </c>
      <c r="N205" s="4">
        <f t="shared" ca="1" si="50"/>
        <v>5.7140680632404779</v>
      </c>
      <c r="O205" s="4"/>
      <c r="P205" s="1">
        <f ca="1">LOOKUP(B205,geomorph!$A:$A,geomorph!$G:$G)</f>
        <v>105.08388100000001</v>
      </c>
      <c r="Q205" s="1">
        <f t="shared" ca="1" si="51"/>
        <v>124.67657552946972</v>
      </c>
    </row>
    <row r="206" spans="2:17" x14ac:dyDescent="0.3">
      <c r="B206" s="6">
        <f ca="1">RANDBETWEEN(ranges!B$2,ranges!B$3)</f>
        <v>14377</v>
      </c>
      <c r="C206" s="9">
        <f ca="1">LOOKUP(B206,geomorph!A:A,geomorph!B:B)</f>
        <v>1367.7</v>
      </c>
      <c r="D206">
        <f t="shared" si="44"/>
        <v>1.13E-4</v>
      </c>
      <c r="E206" s="9">
        <f ca="1">'[2]Q_GEV(random)'!$J206</f>
        <v>12924.360387777191</v>
      </c>
      <c r="F206" s="26">
        <f ca="1">RANDBETWEEN(ranges!F$2*1000,ranges!F$3*1000)/1000</f>
        <v>0.107</v>
      </c>
      <c r="G206" s="3">
        <f t="shared" ca="1" si="45"/>
        <v>9.4497041659553922</v>
      </c>
      <c r="H206" s="4">
        <f t="shared" ca="1" si="46"/>
        <v>12.917600952015368</v>
      </c>
      <c r="I206" s="4">
        <f t="shared" ca="1" si="47"/>
        <v>279.47179119055909</v>
      </c>
      <c r="J206" s="26">
        <f ca="1">RANDBETWEEN(ranges!J$2*1000,ranges!J$3*1000)/1000</f>
        <v>0.74399999999999999</v>
      </c>
      <c r="K206" s="26">
        <f ca="1">RANDBETWEEN(ranges!K$2*1000,ranges!K$3*1000)/1000</f>
        <v>0.97</v>
      </c>
      <c r="L206">
        <f t="shared" ca="1" si="48"/>
        <v>117.56144606640518</v>
      </c>
      <c r="M206">
        <f t="shared" ca="1" si="49"/>
        <v>18.169133245707528</v>
      </c>
      <c r="N206" s="4">
        <f t="shared" ca="1" si="50"/>
        <v>5.7081872757523469</v>
      </c>
      <c r="O206" s="4"/>
      <c r="P206" s="1">
        <f ca="1">LOOKUP(B206,geomorph!$A:$A,geomorph!$G:$G)</f>
        <v>104.901951</v>
      </c>
      <c r="Q206" s="1">
        <f t="shared" ca="1" si="51"/>
        <v>123.07108424570752</v>
      </c>
    </row>
    <row r="207" spans="2:17" x14ac:dyDescent="0.3">
      <c r="B207" s="6">
        <f ca="1">RANDBETWEEN(ranges!B$2,ranges!B$3)</f>
        <v>12715</v>
      </c>
      <c r="C207" s="9">
        <f ca="1">LOOKUP(B207,geomorph!A:A,geomorph!B:B)</f>
        <v>1155.5999999999999</v>
      </c>
      <c r="D207">
        <f t="shared" si="44"/>
        <v>1.13E-4</v>
      </c>
      <c r="E207" s="9">
        <f ca="1">'[2]Q_GEV(random)'!$J207</f>
        <v>12916.280949108619</v>
      </c>
      <c r="F207" s="26">
        <f ca="1">RANDBETWEEN(ranges!F$2*1000,ranges!F$3*1000)/1000</f>
        <v>0.106</v>
      </c>
      <c r="G207" s="3">
        <f t="shared" ca="1" si="45"/>
        <v>11.177120932077379</v>
      </c>
      <c r="H207" s="4">
        <f t="shared" ca="1" si="46"/>
        <v>14.402251314757773</v>
      </c>
      <c r="I207" s="4">
        <f t="shared" ca="1" si="47"/>
        <v>369.93814709651599</v>
      </c>
      <c r="J207" s="26">
        <f ca="1">RANDBETWEEN(ranges!J$2*1000,ranges!J$3*1000)/1000</f>
        <v>0.72399999999999998</v>
      </c>
      <c r="K207" s="26">
        <f ca="1">RANDBETWEEN(ranges!K$2*1000,ranges!K$3*1000)/1000</f>
        <v>0.90300000000000002</v>
      </c>
      <c r="L207">
        <f t="shared" ca="1" si="48"/>
        <v>147.51959918272365</v>
      </c>
      <c r="M207">
        <f t="shared" ca="1" si="49"/>
        <v>19.263522316157765</v>
      </c>
      <c r="N207" s="4">
        <f t="shared" ca="1" si="50"/>
        <v>5.2839902189130337</v>
      </c>
      <c r="O207" s="4"/>
      <c r="P207" s="1">
        <f ca="1">LOOKUP(B207,geomorph!$A:$A,geomorph!$G:$G)</f>
        <v>105.08953100000001</v>
      </c>
      <c r="Q207" s="1">
        <f t="shared" ca="1" si="51"/>
        <v>124.35305331615777</v>
      </c>
    </row>
    <row r="208" spans="2:17" x14ac:dyDescent="0.3">
      <c r="B208" s="6">
        <f ca="1">RANDBETWEEN(ranges!B$2,ranges!B$3)</f>
        <v>11056</v>
      </c>
      <c r="C208" s="9">
        <f ca="1">LOOKUP(B208,geomorph!A:A,geomorph!B:B)</f>
        <v>1686.9</v>
      </c>
      <c r="D208">
        <f t="shared" si="44"/>
        <v>1.13E-4</v>
      </c>
      <c r="E208" s="9">
        <f ca="1">'[2]Q_GEV(random)'!$J208</f>
        <v>12913.424623425663</v>
      </c>
      <c r="F208" s="26">
        <f ca="1">RANDBETWEEN(ranges!F$2*1000,ranges!F$3*1000)/1000</f>
        <v>9.6000000000000002E-2</v>
      </c>
      <c r="G208" s="3">
        <f t="shared" ca="1" si="45"/>
        <v>7.6551215978574083</v>
      </c>
      <c r="H208" s="4">
        <f t="shared" ca="1" si="46"/>
        <v>10.826803884072749</v>
      </c>
      <c r="I208" s="4">
        <f t="shared" ca="1" si="47"/>
        <v>196.90741665748837</v>
      </c>
      <c r="J208" s="26">
        <f ca="1">RANDBETWEEN(ranges!J$2*1000,ranges!J$3*1000)/1000</f>
        <v>0.74</v>
      </c>
      <c r="K208" s="26">
        <f ca="1">RANDBETWEEN(ranges!K$2*1000,ranges!K$3*1000)/1000</f>
        <v>0.83099999999999996</v>
      </c>
      <c r="L208">
        <f t="shared" ca="1" si="48"/>
        <v>85.274537247943485</v>
      </c>
      <c r="M208">
        <f t="shared" ca="1" si="49"/>
        <v>16.255006707841812</v>
      </c>
      <c r="N208" s="4">
        <f t="shared" ca="1" si="50"/>
        <v>5.900220460618546</v>
      </c>
      <c r="O208" s="4"/>
      <c r="P208" s="1">
        <f ca="1">LOOKUP(B208,geomorph!$A:$A,geomorph!$G:$G)</f>
        <v>105.277111</v>
      </c>
      <c r="Q208" s="1">
        <f t="shared" ca="1" si="51"/>
        <v>121.53211770784182</v>
      </c>
    </row>
    <row r="209" spans="2:17" x14ac:dyDescent="0.3">
      <c r="B209" s="6">
        <f ca="1">RANDBETWEEN(ranges!B$2,ranges!B$3)</f>
        <v>10074</v>
      </c>
      <c r="C209" s="9">
        <f ca="1">LOOKUP(B209,geomorph!A:A,geomorph!B:B)</f>
        <v>1616.6</v>
      </c>
      <c r="D209">
        <f t="shared" si="44"/>
        <v>1.13E-4</v>
      </c>
      <c r="E209" s="9">
        <f ca="1">'[2]Q_GEV(random)'!$J209</f>
        <v>12903.933015727318</v>
      </c>
      <c r="F209" s="26">
        <f ca="1">RANDBETWEEN(ranges!F$2*1000,ranges!F$3*1000)/1000</f>
        <v>0.09</v>
      </c>
      <c r="G209" s="3">
        <f t="shared" ca="1" si="45"/>
        <v>7.982143397084819</v>
      </c>
      <c r="H209" s="4">
        <f t="shared" ca="1" si="46"/>
        <v>10.896047390049789</v>
      </c>
      <c r="I209" s="4">
        <f t="shared" ca="1" si="47"/>
        <v>211.28100765137356</v>
      </c>
      <c r="J209" s="26">
        <f ca="1">RANDBETWEEN(ranges!J$2*1000,ranges!J$3*1000)/1000</f>
        <v>0.624</v>
      </c>
      <c r="K209" s="26">
        <f ca="1">RANDBETWEEN(ranges!K$2*1000,ranges!K$3*1000)/1000</f>
        <v>0.90500000000000003</v>
      </c>
      <c r="L209">
        <f t="shared" ca="1" si="48"/>
        <v>93.03836838518319</v>
      </c>
      <c r="M209">
        <f t="shared" ca="1" si="49"/>
        <v>16.995858375458045</v>
      </c>
      <c r="N209" s="4">
        <f t="shared" ca="1" si="50"/>
        <v>6.630229331965495</v>
      </c>
      <c r="O209" s="4"/>
      <c r="P209" s="1">
        <f ca="1">LOOKUP(B209,geomorph!$A:$A,geomorph!$G:$G)</f>
        <v>105.387851</v>
      </c>
      <c r="Q209" s="1">
        <f t="shared" ca="1" si="51"/>
        <v>122.38370937545804</v>
      </c>
    </row>
    <row r="210" spans="2:17" x14ac:dyDescent="0.3">
      <c r="B210" s="6">
        <f ca="1">RANDBETWEEN(ranges!B$2,ranges!B$3)</f>
        <v>11249</v>
      </c>
      <c r="C210" s="9">
        <f ca="1">LOOKUP(B210,geomorph!A:A,geomorph!B:B)</f>
        <v>1640.3</v>
      </c>
      <c r="D210">
        <f t="shared" si="44"/>
        <v>1.13E-4</v>
      </c>
      <c r="E210" s="9">
        <f ca="1">'[2]Q_GEV(random)'!$J210</f>
        <v>12902.216839858524</v>
      </c>
      <c r="F210" s="26">
        <f ca="1">RANDBETWEEN(ranges!F$2*1000,ranges!F$3*1000)/1000</f>
        <v>0.10100000000000001</v>
      </c>
      <c r="G210" s="3">
        <f t="shared" ca="1" si="45"/>
        <v>7.8657665304264608</v>
      </c>
      <c r="H210" s="4">
        <f t="shared" ca="1" si="46"/>
        <v>11.212685018475501</v>
      </c>
      <c r="I210" s="4">
        <f t="shared" ca="1" si="47"/>
        <v>206.19941704112125</v>
      </c>
      <c r="J210" s="26">
        <f ca="1">RANDBETWEEN(ranges!J$2*1000,ranges!J$3*1000)/1000</f>
        <v>0.66300000000000003</v>
      </c>
      <c r="K210" s="26">
        <f ca="1">RANDBETWEEN(ranges!K$2*1000,ranges!K$3*1000)/1000</f>
        <v>0.89400000000000002</v>
      </c>
      <c r="L210">
        <f t="shared" ca="1" si="48"/>
        <v>92.539418499310855</v>
      </c>
      <c r="M210">
        <f t="shared" ca="1" si="49"/>
        <v>17.152542122579412</v>
      </c>
      <c r="N210" s="4">
        <f t="shared" ca="1" si="50"/>
        <v>6.4563664175042508</v>
      </c>
      <c r="O210" s="4"/>
      <c r="P210" s="1">
        <f ca="1">LOOKUP(B210,geomorph!$A:$A,geomorph!$G:$G)</f>
        <v>105.255641</v>
      </c>
      <c r="Q210" s="1">
        <f t="shared" ca="1" si="51"/>
        <v>122.4081831225794</v>
      </c>
    </row>
    <row r="211" spans="2:17" x14ac:dyDescent="0.3">
      <c r="B211" s="6">
        <f ca="1">RANDBETWEEN(ranges!B$2,ranges!B$3)</f>
        <v>10073</v>
      </c>
      <c r="C211" s="9">
        <f ca="1">LOOKUP(B211,geomorph!A:A,geomorph!B:B)</f>
        <v>1616.6</v>
      </c>
      <c r="D211">
        <f t="shared" si="44"/>
        <v>1.13E-4</v>
      </c>
      <c r="E211" s="9">
        <f ca="1">'[2]Q_GEV(random)'!$J211</f>
        <v>12896.973916924755</v>
      </c>
      <c r="F211" s="26">
        <f ca="1">RANDBETWEEN(ranges!F$2*1000,ranges!F$3*1000)/1000</f>
        <v>9.8000000000000004E-2</v>
      </c>
      <c r="G211" s="3">
        <f t="shared" ca="1" si="45"/>
        <v>7.9778386223708742</v>
      </c>
      <c r="H211" s="4">
        <f t="shared" ca="1" si="46"/>
        <v>11.205742880823832</v>
      </c>
      <c r="I211" s="4">
        <f t="shared" ca="1" si="47"/>
        <v>211.20503817265515</v>
      </c>
      <c r="J211" s="26">
        <f ca="1">RANDBETWEEN(ranges!J$2*1000,ranges!J$3*1000)/1000</f>
        <v>0.76</v>
      </c>
      <c r="K211" s="26">
        <f ca="1">RANDBETWEEN(ranges!K$2*1000,ranges!K$3*1000)/1000</f>
        <v>0.88500000000000001</v>
      </c>
      <c r="L211">
        <f t="shared" ca="1" si="48"/>
        <v>90.58276660057912</v>
      </c>
      <c r="M211">
        <f t="shared" ca="1" si="49"/>
        <v>16.547279354974069</v>
      </c>
      <c r="N211" s="4">
        <f t="shared" ca="1" si="50"/>
        <v>5.8060179066850397</v>
      </c>
      <c r="O211" s="4"/>
      <c r="P211" s="1">
        <f ca="1">LOOKUP(B211,geomorph!$A:$A,geomorph!$G:$G)</f>
        <v>105.387851</v>
      </c>
      <c r="Q211" s="1">
        <f t="shared" ca="1" si="51"/>
        <v>121.93513035497406</v>
      </c>
    </row>
    <row r="212" spans="2:17" x14ac:dyDescent="0.3">
      <c r="B212" s="6">
        <f ca="1">RANDBETWEEN(ranges!B$2,ranges!B$3)</f>
        <v>13010</v>
      </c>
      <c r="C212" s="9">
        <f ca="1">LOOKUP(B212,geomorph!A:A,geomorph!B:B)</f>
        <v>1144.8</v>
      </c>
      <c r="D212">
        <f t="shared" si="44"/>
        <v>1.13E-4</v>
      </c>
      <c r="E212" s="9">
        <f ca="1">'[2]Q_GEV(random)'!$J212</f>
        <v>12896.422752998578</v>
      </c>
      <c r="F212" s="26">
        <f ca="1">RANDBETWEEN(ranges!F$2*1000,ranges!F$3*1000)/1000</f>
        <v>0.109</v>
      </c>
      <c r="G212" s="3">
        <f t="shared" ca="1" si="45"/>
        <v>11.265219036511686</v>
      </c>
      <c r="H212" s="4">
        <f t="shared" ca="1" si="46"/>
        <v>14.61314598389454</v>
      </c>
      <c r="I212" s="4">
        <f t="shared" ca="1" si="47"/>
        <v>375.387802047886</v>
      </c>
      <c r="J212" s="26">
        <f ca="1">RANDBETWEEN(ranges!J$2*1000,ranges!J$3*1000)/1000</f>
        <v>0.71599999999999997</v>
      </c>
      <c r="K212" s="26">
        <f ca="1">RANDBETWEEN(ranges!K$2*1000,ranges!K$3*1000)/1000</f>
        <v>0.88700000000000001</v>
      </c>
      <c r="L212">
        <f t="shared" ca="1" si="48"/>
        <v>150.53706784489046</v>
      </c>
      <c r="M212">
        <f t="shared" ca="1" si="49"/>
        <v>19.473836385377854</v>
      </c>
      <c r="N212" s="4">
        <f t="shared" ca="1" si="50"/>
        <v>5.2833591320470807</v>
      </c>
      <c r="O212" s="4"/>
      <c r="P212" s="1">
        <f ca="1">LOOKUP(B212,geomorph!$A:$A,geomorph!$G:$G)</f>
        <v>105.05563100000001</v>
      </c>
      <c r="Q212" s="1">
        <f t="shared" ca="1" si="51"/>
        <v>124.52946738537786</v>
      </c>
    </row>
    <row r="213" spans="2:17" x14ac:dyDescent="0.3">
      <c r="B213" s="6">
        <f ca="1">RANDBETWEEN(ranges!B$2,ranges!B$3)</f>
        <v>14194</v>
      </c>
      <c r="C213" s="9">
        <f ca="1">LOOKUP(B213,geomorph!A:A,geomorph!B:B)</f>
        <v>1308.8</v>
      </c>
      <c r="D213">
        <f t="shared" si="44"/>
        <v>1.13E-4</v>
      </c>
      <c r="E213" s="9">
        <f ca="1">'[2]Q_GEV(random)'!$J213</f>
        <v>12884.91231481308</v>
      </c>
      <c r="F213" s="26">
        <f ca="1">RANDBETWEEN(ranges!F$2*1000,ranges!F$3*1000)/1000</f>
        <v>9.5000000000000001E-2</v>
      </c>
      <c r="G213" s="3">
        <f t="shared" ca="1" si="45"/>
        <v>9.8448290913914125</v>
      </c>
      <c r="H213" s="4">
        <f t="shared" ca="1" si="46"/>
        <v>12.759151252557263</v>
      </c>
      <c r="I213" s="4">
        <f t="shared" ca="1" si="47"/>
        <v>300.13422232554666</v>
      </c>
      <c r="J213" s="26">
        <f ca="1">RANDBETWEEN(ranges!J$2*1000,ranges!J$3*1000)/1000</f>
        <v>0.73699999999999999</v>
      </c>
      <c r="K213" s="26">
        <f ca="1">RANDBETWEEN(ranges!K$2*1000,ranges!K$3*1000)/1000</f>
        <v>0.90900000000000003</v>
      </c>
      <c r="L213">
        <f t="shared" ca="1" si="48"/>
        <v>120.0633964346145</v>
      </c>
      <c r="M213">
        <f t="shared" ca="1" si="49"/>
        <v>17.756703977659452</v>
      </c>
      <c r="N213" s="4">
        <f t="shared" ca="1" si="50"/>
        <v>5.4321225272849878</v>
      </c>
      <c r="O213" s="4"/>
      <c r="P213" s="1">
        <f ca="1">LOOKUP(B213,geomorph!$A:$A,geomorph!$G:$G)</f>
        <v>104.922291</v>
      </c>
      <c r="Q213" s="1">
        <f t="shared" ca="1" si="51"/>
        <v>122.67899497765946</v>
      </c>
    </row>
    <row r="214" spans="2:17" x14ac:dyDescent="0.3">
      <c r="B214" s="6">
        <f ca="1">RANDBETWEEN(ranges!B$2,ranges!B$3)</f>
        <v>10011</v>
      </c>
      <c r="C214" s="9">
        <f ca="1">LOOKUP(B214,geomorph!A:A,geomorph!B:B)</f>
        <v>1705.9</v>
      </c>
      <c r="D214">
        <f t="shared" si="44"/>
        <v>1.13E-4</v>
      </c>
      <c r="E214" s="9">
        <f ca="1">'[2]Q_GEV(random)'!$J214</f>
        <v>12877.001241194925</v>
      </c>
      <c r="F214" s="26">
        <f ca="1">RANDBETWEEN(ranges!F$2*1000,ranges!F$3*1000)/1000</f>
        <v>0.10100000000000001</v>
      </c>
      <c r="G214" s="3">
        <f t="shared" ca="1" si="45"/>
        <v>7.5485088464710266</v>
      </c>
      <c r="H214" s="4">
        <f t="shared" ca="1" si="46"/>
        <v>10.909119525788801</v>
      </c>
      <c r="I214" s="4">
        <f t="shared" ca="1" si="47"/>
        <v>192.90222040460768</v>
      </c>
      <c r="J214" s="26">
        <f ca="1">RANDBETWEEN(ranges!J$2*1000,ranges!J$3*1000)/1000</f>
        <v>0.6</v>
      </c>
      <c r="K214" s="26">
        <f ca="1">RANDBETWEEN(ranges!K$2*1000,ranges!K$3*1000)/1000</f>
        <v>0.97</v>
      </c>
      <c r="L214">
        <f t="shared" ca="1" si="48"/>
        <v>91.079705526952438</v>
      </c>
      <c r="M214">
        <f t="shared" ca="1" si="49"/>
        <v>17.557134271402383</v>
      </c>
      <c r="N214" s="4">
        <f t="shared" ca="1" si="50"/>
        <v>7.2261029843625879</v>
      </c>
      <c r="O214" s="4"/>
      <c r="P214" s="1">
        <f ca="1">LOOKUP(B214,geomorph!$A:$A,geomorph!$G:$G)</f>
        <v>105.394631</v>
      </c>
      <c r="Q214" s="1">
        <f t="shared" ca="1" si="51"/>
        <v>122.95176527140239</v>
      </c>
    </row>
    <row r="215" spans="2:17" x14ac:dyDescent="0.3">
      <c r="B215" s="6">
        <f ca="1">RANDBETWEEN(ranges!B$2,ranges!B$3)</f>
        <v>13865</v>
      </c>
      <c r="C215" s="9">
        <f ca="1">LOOKUP(B215,geomorph!A:A,geomorph!B:B)</f>
        <v>1292.9000000000001</v>
      </c>
      <c r="D215">
        <f t="shared" si="44"/>
        <v>1.13E-4</v>
      </c>
      <c r="E215" s="9">
        <f ca="1">'[2]Q_GEV(random)'!$J215</f>
        <v>12870.099147353469</v>
      </c>
      <c r="F215" s="26">
        <f ca="1">RANDBETWEEN(ranges!F$2*1000,ranges!F$3*1000)/1000</f>
        <v>0.10199999999999999</v>
      </c>
      <c r="G215" s="3">
        <f t="shared" ca="1" si="45"/>
        <v>9.9544428396267826</v>
      </c>
      <c r="H215" s="4">
        <f t="shared" ca="1" si="46"/>
        <v>13.161937533455621</v>
      </c>
      <c r="I215" s="4">
        <f t="shared" ca="1" si="47"/>
        <v>306.07631184538377</v>
      </c>
      <c r="J215" s="26">
        <f ca="1">RANDBETWEEN(ranges!J$2*1000,ranges!J$3*1000)/1000</f>
        <v>0.69499999999999995</v>
      </c>
      <c r="K215" s="26">
        <f ca="1">RANDBETWEEN(ranges!K$2*1000,ranges!K$3*1000)/1000</f>
        <v>0.88400000000000001</v>
      </c>
      <c r="L215">
        <f t="shared" ca="1" si="48"/>
        <v>125.38738298429226</v>
      </c>
      <c r="M215">
        <f t="shared" ca="1" si="49"/>
        <v>18.318808263024234</v>
      </c>
      <c r="N215" s="4">
        <f t="shared" ca="1" si="50"/>
        <v>5.6052942712702318</v>
      </c>
      <c r="O215" s="4"/>
      <c r="P215" s="1">
        <f ca="1">LOOKUP(B215,geomorph!$A:$A,geomorph!$G:$G)</f>
        <v>104.959581</v>
      </c>
      <c r="Q215" s="1">
        <f t="shared" ca="1" si="51"/>
        <v>123.27838926302424</v>
      </c>
    </row>
    <row r="216" spans="2:17" x14ac:dyDescent="0.3">
      <c r="B216" s="6">
        <f ca="1">RANDBETWEEN(ranges!B$2,ranges!B$3)</f>
        <v>11714</v>
      </c>
      <c r="C216" s="9">
        <f ca="1">LOOKUP(B216,geomorph!A:A,geomorph!B:B)</f>
        <v>1436.4</v>
      </c>
      <c r="D216">
        <f t="shared" si="44"/>
        <v>1.13E-4</v>
      </c>
      <c r="E216" s="9">
        <f ca="1">'[2]Q_GEV(random)'!$J216</f>
        <v>12869.724836434794</v>
      </c>
      <c r="F216" s="26">
        <f ca="1">RANDBETWEEN(ranges!F$2*1000,ranges!F$3*1000)/1000</f>
        <v>9.8000000000000004E-2</v>
      </c>
      <c r="G216" s="3">
        <f t="shared" ca="1" si="45"/>
        <v>8.9597081846524596</v>
      </c>
      <c r="H216" s="4">
        <f t="shared" ca="1" si="46"/>
        <v>12.107274766608001</v>
      </c>
      <c r="I216" s="4">
        <f t="shared" ca="1" si="47"/>
        <v>256.82494108378324</v>
      </c>
      <c r="J216" s="26">
        <f ca="1">RANDBETWEEN(ranges!J$2*1000,ranges!J$3*1000)/1000</f>
        <v>0.72099999999999997</v>
      </c>
      <c r="K216" s="26">
        <f ca="1">RANDBETWEEN(ranges!K$2*1000,ranges!K$3*1000)/1000</f>
        <v>0.85799999999999998</v>
      </c>
      <c r="L216">
        <f t="shared" ca="1" si="48"/>
        <v>106.57302735739658</v>
      </c>
      <c r="M216">
        <f t="shared" ca="1" si="49"/>
        <v>17.298209104066586</v>
      </c>
      <c r="N216" s="4">
        <f t="shared" ca="1" si="50"/>
        <v>5.642319932020202</v>
      </c>
      <c r="O216" s="4"/>
      <c r="P216" s="1">
        <f ca="1">LOOKUP(B216,geomorph!$A:$A,geomorph!$G:$G)</f>
        <v>105.20253100000001</v>
      </c>
      <c r="Q216" s="1">
        <f t="shared" ca="1" si="51"/>
        <v>122.50074010406659</v>
      </c>
    </row>
    <row r="217" spans="2:17" x14ac:dyDescent="0.3">
      <c r="B217" s="6">
        <f ca="1">RANDBETWEEN(ranges!B$2,ranges!B$3)</f>
        <v>12658</v>
      </c>
      <c r="C217" s="9">
        <f ca="1">LOOKUP(B217,geomorph!A:A,geomorph!B:B)</f>
        <v>1170.8</v>
      </c>
      <c r="D217">
        <f t="shared" si="44"/>
        <v>1.13E-4</v>
      </c>
      <c r="E217" s="9">
        <f ca="1">'[2]Q_GEV(random)'!$J217</f>
        <v>12864.498751020303</v>
      </c>
      <c r="F217" s="26">
        <f ca="1">RANDBETWEEN(ranges!F$2*1000,ranges!F$3*1000)/1000</f>
        <v>9.5000000000000001E-2</v>
      </c>
      <c r="G217" s="3">
        <f t="shared" ca="1" si="45"/>
        <v>10.987785062367871</v>
      </c>
      <c r="H217" s="4">
        <f t="shared" ca="1" si="46"/>
        <v>13.728500440200154</v>
      </c>
      <c r="I217" s="4">
        <f t="shared" ca="1" si="47"/>
        <v>361.00017026940048</v>
      </c>
      <c r="J217" s="26">
        <f ca="1">RANDBETWEEN(ranges!J$2*1000,ranges!J$3*1000)/1000</f>
        <v>0.61499999999999999</v>
      </c>
      <c r="K217" s="26">
        <f ca="1">RANDBETWEEN(ranges!K$2*1000,ranges!K$3*1000)/1000</f>
        <v>0.97499999999999998</v>
      </c>
      <c r="L217">
        <f t="shared" ca="1" si="48"/>
        <v>145.32868597134191</v>
      </c>
      <c r="M217">
        <f t="shared" ca="1" si="49"/>
        <v>19.227043285482921</v>
      </c>
      <c r="N217" s="4">
        <f t="shared" ca="1" si="50"/>
        <v>5.9766770057421379</v>
      </c>
      <c r="O217" s="4"/>
      <c r="P217" s="1">
        <f ca="1">LOOKUP(B217,geomorph!$A:$A,geomorph!$G:$G)</f>
        <v>105.096311</v>
      </c>
      <c r="Q217" s="1">
        <f t="shared" ca="1" si="51"/>
        <v>124.32335428548292</v>
      </c>
    </row>
    <row r="218" spans="2:17" x14ac:dyDescent="0.3">
      <c r="B218" s="6">
        <f ca="1">RANDBETWEEN(ranges!B$2,ranges!B$3)</f>
        <v>13397</v>
      </c>
      <c r="C218" s="9">
        <f ca="1">LOOKUP(B218,geomorph!A:A,geomorph!B:B)</f>
        <v>1184.9000000000001</v>
      </c>
      <c r="D218">
        <f t="shared" si="44"/>
        <v>1.13E-4</v>
      </c>
      <c r="E218" s="9">
        <f ca="1">'[2]Q_GEV(random)'!$J218</f>
        <v>12855.528774084592</v>
      </c>
      <c r="F218" s="26">
        <f ca="1">RANDBETWEEN(ranges!F$2*1000,ranges!F$3*1000)/1000</f>
        <v>0.104</v>
      </c>
      <c r="G218" s="3">
        <f t="shared" ca="1" si="45"/>
        <v>10.849463055181527</v>
      </c>
      <c r="H218" s="4">
        <f t="shared" ca="1" si="46"/>
        <v>14.030023762436461</v>
      </c>
      <c r="I218" s="4">
        <f t="shared" ca="1" si="47"/>
        <v>353.70441514858993</v>
      </c>
      <c r="J218" s="26">
        <f ca="1">RANDBETWEEN(ranges!J$2*1000,ranges!J$3*1000)/1000</f>
        <v>0.79</v>
      </c>
      <c r="K218" s="26">
        <f ca="1">RANDBETWEEN(ranges!K$2*1000,ranges!K$3*1000)/1000</f>
        <v>0.93899999999999995</v>
      </c>
      <c r="L218">
        <f t="shared" ca="1" si="48"/>
        <v>139.85498491090348</v>
      </c>
      <c r="M218">
        <f t="shared" ca="1" si="49"/>
        <v>18.725701393165039</v>
      </c>
      <c r="N218" s="4">
        <f t="shared" ca="1" si="50"/>
        <v>5.1039974247049766</v>
      </c>
      <c r="O218" s="4"/>
      <c r="P218" s="1">
        <f ca="1">LOOKUP(B218,geomorph!$A:$A,geomorph!$G:$G)</f>
        <v>105.012691</v>
      </c>
      <c r="Q218" s="1">
        <f t="shared" ca="1" si="51"/>
        <v>123.73839239316504</v>
      </c>
    </row>
    <row r="219" spans="2:17" x14ac:dyDescent="0.3">
      <c r="B219" s="6">
        <f ca="1">RANDBETWEEN(ranges!B$2,ranges!B$3)</f>
        <v>12582</v>
      </c>
      <c r="C219" s="9">
        <f ca="1">LOOKUP(B219,geomorph!A:A,geomorph!B:B)</f>
        <v>1188.8</v>
      </c>
      <c r="D219">
        <f t="shared" si="44"/>
        <v>1.13E-4</v>
      </c>
      <c r="E219" s="9">
        <f ca="1">'[2]Q_GEV(random)'!$J219</f>
        <v>12842.053627798829</v>
      </c>
      <c r="F219" s="26">
        <f ca="1">RANDBETWEEN(ranges!F$2*1000,ranges!F$3*1000)/1000</f>
        <v>9.5000000000000001E-2</v>
      </c>
      <c r="G219" s="3">
        <f t="shared" ca="1" si="45"/>
        <v>10.802535016654465</v>
      </c>
      <c r="H219" s="4">
        <f t="shared" ca="1" si="46"/>
        <v>13.5737585668292</v>
      </c>
      <c r="I219" s="4">
        <f t="shared" ca="1" si="47"/>
        <v>351.52672036507045</v>
      </c>
      <c r="J219" s="26">
        <f ca="1">RANDBETWEEN(ranges!J$2*1000,ranges!J$3*1000)/1000</f>
        <v>0.623</v>
      </c>
      <c r="K219" s="26">
        <f ca="1">RANDBETWEEN(ranges!K$2*1000,ranges!K$3*1000)/1000</f>
        <v>0.93500000000000005</v>
      </c>
      <c r="L219">
        <f t="shared" ca="1" si="48"/>
        <v>141.27516900723782</v>
      </c>
      <c r="M219">
        <f t="shared" ca="1" si="49"/>
        <v>18.978115063485888</v>
      </c>
      <c r="N219" s="4">
        <f t="shared" ca="1" si="50"/>
        <v>5.8743005398442252</v>
      </c>
      <c r="O219" s="4"/>
      <c r="P219" s="1">
        <f ca="1">LOOKUP(B219,geomorph!$A:$A,geomorph!$G:$G)</f>
        <v>105.10422100000001</v>
      </c>
      <c r="Q219" s="1">
        <f t="shared" ca="1" si="51"/>
        <v>124.0823360634859</v>
      </c>
    </row>
    <row r="220" spans="2:17" x14ac:dyDescent="0.3">
      <c r="B220" s="6">
        <f ca="1">RANDBETWEEN(ranges!B$2,ranges!B$3)</f>
        <v>12252</v>
      </c>
      <c r="C220" s="9">
        <f ca="1">LOOKUP(B220,geomorph!A:A,geomorph!B:B)</f>
        <v>1276.7</v>
      </c>
      <c r="D220">
        <f t="shared" si="44"/>
        <v>1.13E-4</v>
      </c>
      <c r="E220" s="9">
        <f ca="1">'[2]Q_GEV(random)'!$J220</f>
        <v>12836.971389696153</v>
      </c>
      <c r="F220" s="26">
        <f ca="1">RANDBETWEEN(ranges!F$2*1000,ranges!F$3*1000)/1000</f>
        <v>0.106</v>
      </c>
      <c r="G220" s="3">
        <f t="shared" ca="1" si="45"/>
        <v>10.054806446068891</v>
      </c>
      <c r="H220" s="4">
        <f t="shared" ca="1" si="46"/>
        <v>13.421247801556271</v>
      </c>
      <c r="I220" s="4">
        <f t="shared" ca="1" si="47"/>
        <v>312.0400234025314</v>
      </c>
      <c r="J220" s="26">
        <f ca="1">RANDBETWEEN(ranges!J$2*1000,ranges!J$3*1000)/1000</f>
        <v>0.66700000000000004</v>
      </c>
      <c r="K220" s="26">
        <f ca="1">RANDBETWEEN(ranges!K$2*1000,ranges!K$3*1000)/1000</f>
        <v>0.90500000000000003</v>
      </c>
      <c r="L220">
        <f t="shared" ca="1" si="48"/>
        <v>129.9950447055657</v>
      </c>
      <c r="M220">
        <f t="shared" ca="1" si="49"/>
        <v>18.754008114042318</v>
      </c>
      <c r="N220" s="4">
        <f t="shared" ca="1" si="50"/>
        <v>5.7964786005283111</v>
      </c>
      <c r="O220" s="4"/>
      <c r="P220" s="1">
        <f ca="1">LOOKUP(B220,geomorph!$A:$A,geomorph!$G:$G)</f>
        <v>105.14151100000001</v>
      </c>
      <c r="Q220" s="1">
        <f t="shared" ca="1" si="51"/>
        <v>123.89551911404233</v>
      </c>
    </row>
    <row r="221" spans="2:17" x14ac:dyDescent="0.3">
      <c r="B221" s="6">
        <f ca="1">RANDBETWEEN(ranges!B$2,ranges!B$3)</f>
        <v>13471</v>
      </c>
      <c r="C221" s="9">
        <f ca="1">LOOKUP(B221,geomorph!A:A,geomorph!B:B)</f>
        <v>1193.5999999999999</v>
      </c>
      <c r="D221">
        <f t="shared" si="44"/>
        <v>1.13E-4</v>
      </c>
      <c r="E221" s="9">
        <f ca="1">'[2]Q_GEV(random)'!$J221</f>
        <v>12830.160701239523</v>
      </c>
      <c r="F221" s="26">
        <f ca="1">RANDBETWEEN(ranges!F$2*1000,ranges!F$3*1000)/1000</f>
        <v>0.107</v>
      </c>
      <c r="G221" s="3">
        <f t="shared" ca="1" si="45"/>
        <v>10.749129273826679</v>
      </c>
      <c r="H221" s="4">
        <f t="shared" ca="1" si="46"/>
        <v>14.076194089872679</v>
      </c>
      <c r="I221" s="4">
        <f t="shared" ca="1" si="47"/>
        <v>348.95819145066281</v>
      </c>
      <c r="J221" s="26">
        <f ca="1">RANDBETWEEN(ranges!J$2*1000,ranges!J$3*1000)/1000</f>
        <v>0.66800000000000004</v>
      </c>
      <c r="K221" s="26">
        <f ca="1">RANDBETWEEN(ranges!K$2*1000,ranges!K$3*1000)/1000</f>
        <v>0.98599999999999999</v>
      </c>
      <c r="L221">
        <f t="shared" ca="1" si="48"/>
        <v>144.01675894397636</v>
      </c>
      <c r="M221">
        <f t="shared" ca="1" si="49"/>
        <v>19.424519592734907</v>
      </c>
      <c r="N221" s="4">
        <f t="shared" ca="1" si="50"/>
        <v>5.8133972857198124</v>
      </c>
      <c r="O221" s="4"/>
      <c r="P221" s="1">
        <f ca="1">LOOKUP(B221,geomorph!$A:$A,geomorph!$G:$G)</f>
        <v>105.003651</v>
      </c>
      <c r="Q221" s="1">
        <f t="shared" ca="1" si="51"/>
        <v>124.42817059273492</v>
      </c>
    </row>
    <row r="222" spans="2:17" x14ac:dyDescent="0.3">
      <c r="B222" s="6">
        <f ca="1">RANDBETWEEN(ranges!B$2,ranges!B$3)</f>
        <v>12300</v>
      </c>
      <c r="C222" s="9">
        <f ca="1">LOOKUP(B222,geomorph!A:A,geomorph!B:B)</f>
        <v>1263.0999999999999</v>
      </c>
      <c r="D222">
        <f t="shared" si="44"/>
        <v>1.13E-4</v>
      </c>
      <c r="E222" s="9">
        <f ca="1">'[2]Q_GEV(random)'!$J222</f>
        <v>12813.687146852435</v>
      </c>
      <c r="F222" s="26">
        <f ca="1">RANDBETWEEN(ranges!F$2*1000,ranges!F$3*1000)/1000</f>
        <v>0.108</v>
      </c>
      <c r="G222" s="3">
        <f t="shared" ca="1" si="45"/>
        <v>10.144633953647721</v>
      </c>
      <c r="H222" s="4">
        <f t="shared" ca="1" si="46"/>
        <v>13.585448147444311</v>
      </c>
      <c r="I222" s="4">
        <f t="shared" ca="1" si="47"/>
        <v>317.27549902261609</v>
      </c>
      <c r="J222" s="26">
        <f ca="1">RANDBETWEEN(ranges!J$2*1000,ranges!J$3*1000)/1000</f>
        <v>0.77100000000000002</v>
      </c>
      <c r="K222" s="26">
        <f ca="1">RANDBETWEEN(ranges!K$2*1000,ranges!K$3*1000)/1000</f>
        <v>0.88700000000000001</v>
      </c>
      <c r="L222">
        <f t="shared" ca="1" si="48"/>
        <v>128.87242912057931</v>
      </c>
      <c r="M222">
        <f t="shared" ca="1" si="49"/>
        <v>18.39400047010902</v>
      </c>
      <c r="N222" s="4">
        <f t="shared" ca="1" si="50"/>
        <v>5.2266873072442497</v>
      </c>
      <c r="O222" s="4"/>
      <c r="P222" s="1">
        <f ca="1">LOOKUP(B222,geomorph!$A:$A,geomorph!$G:$G)</f>
        <v>105.13586100000001</v>
      </c>
      <c r="Q222" s="1">
        <f t="shared" ca="1" si="51"/>
        <v>123.52986147010903</v>
      </c>
    </row>
    <row r="223" spans="2:17" x14ac:dyDescent="0.3">
      <c r="B223" s="6">
        <f ca="1">RANDBETWEEN(ranges!B$2,ranges!B$3)</f>
        <v>13592</v>
      </c>
      <c r="C223" s="9">
        <f ca="1">LOOKUP(B223,geomorph!A:A,geomorph!B:B)</f>
        <v>1225.4000000000001</v>
      </c>
      <c r="D223">
        <f t="shared" si="44"/>
        <v>1.13E-4</v>
      </c>
      <c r="E223" s="9">
        <f ca="1">'[2]Q_GEV(random)'!$J223</f>
        <v>12808.727174930322</v>
      </c>
      <c r="F223" s="26">
        <f ca="1">RANDBETWEEN(ranges!F$2*1000,ranges!F$3*1000)/1000</f>
        <v>0.09</v>
      </c>
      <c r="G223" s="3">
        <f t="shared" ca="1" si="45"/>
        <v>10.45269069277813</v>
      </c>
      <c r="H223" s="4">
        <f t="shared" ca="1" si="46"/>
        <v>13.041915017812379</v>
      </c>
      <c r="I223" s="4">
        <f t="shared" ca="1" si="47"/>
        <v>333.62419621044108</v>
      </c>
      <c r="J223" s="26">
        <f ca="1">RANDBETWEEN(ranges!J$2*1000,ranges!J$3*1000)/1000</f>
        <v>0.69199999999999995</v>
      </c>
      <c r="K223" s="26">
        <f ca="1">RANDBETWEEN(ranges!K$2*1000,ranges!K$3*1000)/1000</f>
        <v>0.95399999999999996</v>
      </c>
      <c r="L223">
        <f t="shared" ca="1" si="48"/>
        <v>131.11320156388842</v>
      </c>
      <c r="M223">
        <f t="shared" ca="1" si="49"/>
        <v>18.155271243191944</v>
      </c>
      <c r="N223" s="4">
        <f t="shared" ca="1" si="50"/>
        <v>5.5579958971517014</v>
      </c>
      <c r="O223" s="4"/>
      <c r="P223" s="1">
        <f ca="1">LOOKUP(B223,geomorph!$A:$A,geomorph!$G:$G)</f>
        <v>104.99009100000001</v>
      </c>
      <c r="Q223" s="1">
        <f t="shared" ca="1" si="51"/>
        <v>123.14536224319195</v>
      </c>
    </row>
    <row r="224" spans="2:17" x14ac:dyDescent="0.3">
      <c r="B224" s="6">
        <f ca="1">RANDBETWEEN(ranges!B$2,ranges!B$3)</f>
        <v>11102</v>
      </c>
      <c r="C224" s="9">
        <f ca="1">LOOKUP(B224,geomorph!A:A,geomorph!B:B)</f>
        <v>1684.1</v>
      </c>
      <c r="D224">
        <f t="shared" si="44"/>
        <v>1.13E-4</v>
      </c>
      <c r="E224" s="9">
        <f ca="1">'[2]Q_GEV(random)'!$J224</f>
        <v>12804.905506306051</v>
      </c>
      <c r="F224" s="26">
        <f ca="1">RANDBETWEEN(ranges!F$2*1000,ranges!F$3*1000)/1000</f>
        <v>0.10100000000000001</v>
      </c>
      <c r="G224" s="3">
        <f t="shared" ca="1" si="45"/>
        <v>7.6034116182566667</v>
      </c>
      <c r="H224" s="4">
        <f t="shared" ca="1" si="46"/>
        <v>10.961952670291415</v>
      </c>
      <c r="I224" s="4">
        <f t="shared" ca="1" si="47"/>
        <v>196.34558600695766</v>
      </c>
      <c r="J224" s="26">
        <f ca="1">RANDBETWEEN(ranges!J$2*1000,ranges!J$3*1000)/1000</f>
        <v>0.78500000000000003</v>
      </c>
      <c r="K224" s="26">
        <f ca="1">RANDBETWEEN(ranges!K$2*1000,ranges!K$3*1000)/1000</f>
        <v>0.875</v>
      </c>
      <c r="L224">
        <f t="shared" ca="1" si="48"/>
        <v>85.530252658820032</v>
      </c>
      <c r="M224">
        <f t="shared" ca="1" si="49"/>
        <v>16.276689330807226</v>
      </c>
      <c r="N224" s="4">
        <f t="shared" ca="1" si="50"/>
        <v>5.7768876744737074</v>
      </c>
      <c r="O224" s="4"/>
      <c r="P224" s="1">
        <f ca="1">LOOKUP(B224,geomorph!$A:$A,geomorph!$G:$G)</f>
        <v>105.271461</v>
      </c>
      <c r="Q224" s="1">
        <f t="shared" ca="1" si="51"/>
        <v>121.54815033080723</v>
      </c>
    </row>
    <row r="225" spans="2:17" x14ac:dyDescent="0.3">
      <c r="B225" s="6">
        <f ca="1">RANDBETWEEN(ranges!B$2,ranges!B$3)</f>
        <v>10846</v>
      </c>
      <c r="C225" s="9">
        <f ca="1">LOOKUP(B225,geomorph!A:A,geomorph!B:B)</f>
        <v>1663</v>
      </c>
      <c r="D225">
        <f t="shared" si="44"/>
        <v>1.13E-4</v>
      </c>
      <c r="E225" s="9">
        <f ca="1">'[2]Q_GEV(random)'!$J225</f>
        <v>12790.585349381303</v>
      </c>
      <c r="F225" s="26">
        <f ca="1">RANDBETWEEN(ranges!F$2*1000,ranges!F$3*1000)/1000</f>
        <v>0.109</v>
      </c>
      <c r="G225" s="3">
        <f t="shared" ca="1" si="45"/>
        <v>7.691272008046484</v>
      </c>
      <c r="H225" s="4">
        <f t="shared" ca="1" si="46"/>
        <v>11.330508731687983</v>
      </c>
      <c r="I225" s="4">
        <f t="shared" ca="1" si="47"/>
        <v>200.36562475627497</v>
      </c>
      <c r="J225" s="26">
        <f ca="1">RANDBETWEEN(ranges!J$2*1000,ranges!J$3*1000)/1000</f>
        <v>0.78800000000000003</v>
      </c>
      <c r="K225" s="26">
        <f ca="1">RANDBETWEEN(ranges!K$2*1000,ranges!K$3*1000)/1000</f>
        <v>0.873</v>
      </c>
      <c r="L225">
        <f t="shared" ca="1" si="48"/>
        <v>88.544963095992571</v>
      </c>
      <c r="M225">
        <f t="shared" ca="1" si="49"/>
        <v>16.639280920035826</v>
      </c>
      <c r="N225" s="4">
        <f t="shared" ca="1" si="50"/>
        <v>5.7704045525520034</v>
      </c>
      <c r="O225" s="4"/>
      <c r="P225" s="1">
        <f ca="1">LOOKUP(B225,geomorph!$A:$A,geomorph!$G:$G)</f>
        <v>105.30084100000001</v>
      </c>
      <c r="Q225" s="1">
        <f t="shared" ca="1" si="51"/>
        <v>121.94012192003584</v>
      </c>
    </row>
    <row r="226" spans="2:17" x14ac:dyDescent="0.3">
      <c r="B226" s="6">
        <f ca="1">RANDBETWEEN(ranges!B$2,ranges!B$3)</f>
        <v>10490</v>
      </c>
      <c r="C226" s="9">
        <f ca="1">LOOKUP(B226,geomorph!A:A,geomorph!B:B)</f>
        <v>1762.1</v>
      </c>
      <c r="D226">
        <f t="shared" si="44"/>
        <v>1.13E-4</v>
      </c>
      <c r="E226" s="9">
        <f ca="1">'[2]Q_GEV(random)'!$J226</f>
        <v>12788.471299266457</v>
      </c>
      <c r="F226" s="26">
        <f ca="1">RANDBETWEEN(ranges!F$2*1000,ranges!F$3*1000)/1000</f>
        <v>0.11</v>
      </c>
      <c r="G226" s="3">
        <f t="shared" ca="1" si="45"/>
        <v>7.2575173368517438</v>
      </c>
      <c r="H226" s="4">
        <f t="shared" ca="1" si="46"/>
        <v>10.933639397446335</v>
      </c>
      <c r="I226" s="4">
        <f t="shared" ca="1" si="47"/>
        <v>181.91905318962509</v>
      </c>
      <c r="J226" s="26">
        <f ca="1">RANDBETWEEN(ranges!J$2*1000,ranges!J$3*1000)/1000</f>
        <v>0.74199999999999999</v>
      </c>
      <c r="K226" s="26">
        <f ca="1">RANDBETWEEN(ranges!K$2*1000,ranges!K$3*1000)/1000</f>
        <v>0.90700000000000003</v>
      </c>
      <c r="L226">
        <f t="shared" ca="1" si="48"/>
        <v>83.818789799616766</v>
      </c>
      <c r="M226">
        <f t="shared" ca="1" si="49"/>
        <v>16.689771114167232</v>
      </c>
      <c r="N226" s="4">
        <f t="shared" ca="1" si="50"/>
        <v>6.2566649094792366</v>
      </c>
      <c r="O226" s="4"/>
      <c r="P226" s="1">
        <f ca="1">LOOKUP(B226,geomorph!$A:$A,geomorph!$G:$G)</f>
        <v>105.340391</v>
      </c>
      <c r="Q226" s="1">
        <f t="shared" ca="1" si="51"/>
        <v>122.03016211416723</v>
      </c>
    </row>
    <row r="227" spans="2:17" x14ac:dyDescent="0.3">
      <c r="B227" s="6">
        <f ca="1">RANDBETWEEN(ranges!B$2,ranges!B$3)</f>
        <v>13086</v>
      </c>
      <c r="C227" s="9">
        <f ca="1">LOOKUP(B227,geomorph!A:A,geomorph!B:B)</f>
        <v>1150.5</v>
      </c>
      <c r="D227">
        <f t="shared" si="44"/>
        <v>1.13E-4</v>
      </c>
      <c r="E227" s="9">
        <f ca="1">'[2]Q_GEV(random)'!$J227</f>
        <v>12787.682390059941</v>
      </c>
      <c r="F227" s="26">
        <f ca="1">RANDBETWEEN(ranges!F$2*1000,ranges!F$3*1000)/1000</f>
        <v>0.108</v>
      </c>
      <c r="G227" s="3">
        <f t="shared" ca="1" si="45"/>
        <v>11.114891256027763</v>
      </c>
      <c r="H227" s="4">
        <f t="shared" ca="1" si="46"/>
        <v>14.438426304525295</v>
      </c>
      <c r="I227" s="4">
        <f t="shared" ca="1" si="47"/>
        <v>370.19754921293151</v>
      </c>
      <c r="J227" s="26">
        <f ca="1">RANDBETWEEN(ranges!J$2*1000,ranges!J$3*1000)/1000</f>
        <v>0.72899999999999998</v>
      </c>
      <c r="K227" s="26">
        <f ca="1">RANDBETWEEN(ranges!K$2*1000,ranges!K$3*1000)/1000</f>
        <v>0.85099999999999998</v>
      </c>
      <c r="L227">
        <f t="shared" ca="1" si="48"/>
        <v>147.42615872279669</v>
      </c>
      <c r="M227">
        <f t="shared" ca="1" si="49"/>
        <v>19.166358903995267</v>
      </c>
      <c r="N227" s="4">
        <f t="shared" ca="1" si="50"/>
        <v>5.1390571733369255</v>
      </c>
      <c r="O227" s="4"/>
      <c r="P227" s="1">
        <f ca="1">LOOKUP(B227,geomorph!$A:$A,geomorph!$G:$G)</f>
        <v>105.047721</v>
      </c>
      <c r="Q227" s="1">
        <f t="shared" ca="1" si="51"/>
        <v>124.21407990399527</v>
      </c>
    </row>
    <row r="228" spans="2:17" x14ac:dyDescent="0.3">
      <c r="B228" s="6">
        <f ca="1">RANDBETWEEN(ranges!B$2,ranges!B$3)</f>
        <v>12509</v>
      </c>
      <c r="C228" s="9">
        <f ca="1">LOOKUP(B228,geomorph!A:A,geomorph!B:B)</f>
        <v>1209.7</v>
      </c>
      <c r="D228">
        <f t="shared" si="44"/>
        <v>1.13E-4</v>
      </c>
      <c r="E228" s="9">
        <f ca="1">'[2]Q_GEV(random)'!$J228</f>
        <v>12783.946015856047</v>
      </c>
      <c r="F228" s="26">
        <f ca="1">RANDBETWEEN(ranges!F$2*1000,ranges!F$3*1000)/1000</f>
        <v>0.1</v>
      </c>
      <c r="G228" s="3">
        <f t="shared" ca="1" si="45"/>
        <v>10.567864772965237</v>
      </c>
      <c r="H228" s="4">
        <f t="shared" ca="1" si="46"/>
        <v>13.607132952763585</v>
      </c>
      <c r="I228" s="4">
        <f t="shared" ca="1" si="47"/>
        <v>340.43209795243007</v>
      </c>
      <c r="J228" s="26">
        <f ca="1">RANDBETWEEN(ranges!J$2*1000,ranges!J$3*1000)/1000</f>
        <v>0.61599999999999999</v>
      </c>
      <c r="K228" s="26">
        <f ca="1">RANDBETWEEN(ranges!K$2*1000,ranges!K$3*1000)/1000</f>
        <v>0.98</v>
      </c>
      <c r="L228">
        <f t="shared" ca="1" si="48"/>
        <v>140.52840956258362</v>
      </c>
      <c r="M228">
        <f t="shared" ca="1" si="49"/>
        <v>19.209685526407888</v>
      </c>
      <c r="N228" s="4">
        <f t="shared" ca="1" si="50"/>
        <v>6.0897310583090247</v>
      </c>
      <c r="O228" s="4"/>
      <c r="P228" s="1">
        <f ca="1">LOOKUP(B228,geomorph!$A:$A,geomorph!$G:$G)</f>
        <v>105.11326100000001</v>
      </c>
      <c r="Q228" s="1">
        <f t="shared" ca="1" si="51"/>
        <v>124.32294652640789</v>
      </c>
    </row>
    <row r="229" spans="2:17" x14ac:dyDescent="0.3">
      <c r="B229" s="6">
        <f ca="1">RANDBETWEEN(ranges!B$2,ranges!B$3)</f>
        <v>14228</v>
      </c>
      <c r="C229" s="9">
        <f ca="1">LOOKUP(B229,geomorph!A:A,geomorph!B:B)</f>
        <v>1319.5</v>
      </c>
      <c r="D229">
        <f t="shared" si="44"/>
        <v>1.13E-4</v>
      </c>
      <c r="E229" s="9">
        <f ca="1">'[2]Q_GEV(random)'!$J229</f>
        <v>12772.706321990494</v>
      </c>
      <c r="F229" s="26">
        <f ca="1">RANDBETWEEN(ranges!F$2*1000,ranges!F$3*1000)/1000</f>
        <v>0.106</v>
      </c>
      <c r="G229" s="3">
        <f t="shared" ca="1" si="45"/>
        <v>9.679959319431978</v>
      </c>
      <c r="H229" s="4">
        <f t="shared" ca="1" si="46"/>
        <v>13.085573861315577</v>
      </c>
      <c r="I229" s="4">
        <f t="shared" ca="1" si="47"/>
        <v>294.36735380078335</v>
      </c>
      <c r="J229" s="26">
        <f ca="1">RANDBETWEEN(ranges!J$2*1000,ranges!J$3*1000)/1000</f>
        <v>0.65200000000000002</v>
      </c>
      <c r="K229" s="26">
        <f ca="1">RANDBETWEEN(ranges!K$2*1000,ranges!K$3*1000)/1000</f>
        <v>0.99099999999999999</v>
      </c>
      <c r="L229">
        <f t="shared" ca="1" si="48"/>
        <v>125.70446064754731</v>
      </c>
      <c r="M229">
        <f t="shared" ca="1" si="49"/>
        <v>18.742975048161568</v>
      </c>
      <c r="N229" s="4">
        <f t="shared" ca="1" si="50"/>
        <v>6.1493491161369471</v>
      </c>
      <c r="O229" s="4"/>
      <c r="P229" s="1">
        <f ca="1">LOOKUP(B229,geomorph!$A:$A,geomorph!$G:$G)</f>
        <v>104.91890100000001</v>
      </c>
      <c r="Q229" s="1">
        <f t="shared" ca="1" si="51"/>
        <v>123.66187604816157</v>
      </c>
    </row>
    <row r="230" spans="2:17" x14ac:dyDescent="0.3">
      <c r="B230" s="6">
        <f ca="1">RANDBETWEEN(ranges!B$2,ranges!B$3)</f>
        <v>10341</v>
      </c>
      <c r="C230" s="9">
        <f ca="1">LOOKUP(B230,geomorph!A:A,geomorph!B:B)</f>
        <v>1660.5</v>
      </c>
      <c r="D230">
        <f t="shared" si="44"/>
        <v>1.13E-4</v>
      </c>
      <c r="E230" s="9">
        <f ca="1">'[2]Q_GEV(random)'!$J230</f>
        <v>12767.425102557594</v>
      </c>
      <c r="F230" s="26">
        <f ca="1">RANDBETWEEN(ranges!F$2*1000,ranges!F$3*1000)/1000</f>
        <v>0.109</v>
      </c>
      <c r="G230" s="3">
        <f t="shared" ca="1" si="45"/>
        <v>7.6889040063580811</v>
      </c>
      <c r="H230" s="4">
        <f t="shared" ca="1" si="46"/>
        <v>11.328182975016809</v>
      </c>
      <c r="I230" s="4">
        <f t="shared" ca="1" si="47"/>
        <v>200.62609938487276</v>
      </c>
      <c r="J230" s="26">
        <f ca="1">RANDBETWEEN(ranges!J$2*1000,ranges!J$3*1000)/1000</f>
        <v>0.68400000000000005</v>
      </c>
      <c r="K230" s="26">
        <f ca="1">RANDBETWEEN(ranges!K$2*1000,ranges!K$3*1000)/1000</f>
        <v>0.93600000000000005</v>
      </c>
      <c r="L230">
        <f t="shared" ca="1" si="48"/>
        <v>92.184595993605939</v>
      </c>
      <c r="M230">
        <f t="shared" ca="1" si="49"/>
        <v>17.297194946154242</v>
      </c>
      <c r="N230" s="4">
        <f t="shared" ca="1" si="50"/>
        <v>6.488056490366775</v>
      </c>
      <c r="O230" s="4"/>
      <c r="P230" s="1">
        <f ca="1">LOOKUP(B230,geomorph!$A:$A,geomorph!$G:$G)</f>
        <v>105.35734100000001</v>
      </c>
      <c r="Q230" s="1">
        <f t="shared" ca="1" si="51"/>
        <v>122.65453594615425</v>
      </c>
    </row>
    <row r="231" spans="2:17" x14ac:dyDescent="0.3">
      <c r="B231" s="6">
        <f ca="1">RANDBETWEEN(ranges!B$2,ranges!B$3)</f>
        <v>14102</v>
      </c>
      <c r="C231" s="9">
        <f ca="1">LOOKUP(B231,geomorph!A:A,geomorph!B:B)</f>
        <v>1352</v>
      </c>
      <c r="D231">
        <f t="shared" si="44"/>
        <v>1.13E-4</v>
      </c>
      <c r="E231" s="9">
        <f ca="1">'[2]Q_GEV(random)'!$J231</f>
        <v>12761.975703166303</v>
      </c>
      <c r="F231" s="26">
        <f ca="1">RANDBETWEEN(ranges!F$2*1000,ranges!F$3*1000)/1000</f>
        <v>9.2999999999999999E-2</v>
      </c>
      <c r="G231" s="3">
        <f t="shared" ca="1" si="45"/>
        <v>9.4393311413951952</v>
      </c>
      <c r="H231" s="4">
        <f t="shared" ca="1" si="46"/>
        <v>12.318663555935279</v>
      </c>
      <c r="I231" s="4">
        <f t="shared" ca="1" si="47"/>
        <v>282.51020474273571</v>
      </c>
      <c r="J231" s="26">
        <f ca="1">RANDBETWEEN(ranges!J$2*1000,ranges!J$3*1000)/1000</f>
        <v>0.77500000000000002</v>
      </c>
      <c r="K231" s="26">
        <f ca="1">RANDBETWEEN(ranges!K$2*1000,ranges!K$3*1000)/1000</f>
        <v>0.81699999999999995</v>
      </c>
      <c r="L231">
        <f t="shared" ca="1" si="48"/>
        <v>111.41849507995946</v>
      </c>
      <c r="M231">
        <f t="shared" ca="1" si="49"/>
        <v>17.022072004335882</v>
      </c>
      <c r="N231" s="4">
        <f t="shared" ca="1" si="50"/>
        <v>5.1124004873919597</v>
      </c>
      <c r="O231" s="4"/>
      <c r="P231" s="1">
        <f ca="1">LOOKUP(B231,geomorph!$A:$A,geomorph!$G:$G)</f>
        <v>104.932461</v>
      </c>
      <c r="Q231" s="1">
        <f t="shared" ca="1" si="51"/>
        <v>121.95453300433589</v>
      </c>
    </row>
    <row r="232" spans="2:17" x14ac:dyDescent="0.3">
      <c r="B232" s="6">
        <f ca="1">RANDBETWEEN(ranges!B$2,ranges!B$3)</f>
        <v>10911</v>
      </c>
      <c r="C232" s="9">
        <f ca="1">LOOKUP(B232,geomorph!A:A,geomorph!B:B)</f>
        <v>1678.2</v>
      </c>
      <c r="D232">
        <f t="shared" si="44"/>
        <v>1.13E-4</v>
      </c>
      <c r="E232" s="9">
        <f ca="1">'[2]Q_GEV(random)'!$J232</f>
        <v>12750.665201124448</v>
      </c>
      <c r="F232" s="26">
        <f ca="1">RANDBETWEEN(ranges!F$2*1000,ranges!F$3*1000)/1000</f>
        <v>0.104</v>
      </c>
      <c r="G232" s="3">
        <f t="shared" ca="1" si="45"/>
        <v>7.5978221911121722</v>
      </c>
      <c r="H232" s="4">
        <f t="shared" ca="1" si="46"/>
        <v>11.064004070252595</v>
      </c>
      <c r="I232" s="4">
        <f t="shared" ca="1" si="47"/>
        <v>196.93929729861657</v>
      </c>
      <c r="J232" s="26">
        <f ca="1">RANDBETWEEN(ranges!J$2*1000,ranges!J$3*1000)/1000</f>
        <v>0.74099999999999999</v>
      </c>
      <c r="K232" s="26">
        <f ca="1">RANDBETWEEN(ranges!K$2*1000,ranges!K$3*1000)/1000</f>
        <v>0.92700000000000005</v>
      </c>
      <c r="L232">
        <f t="shared" ca="1" si="48"/>
        <v>88.0517262488016</v>
      </c>
      <c r="M232">
        <f t="shared" ca="1" si="49"/>
        <v>16.69782998995349</v>
      </c>
      <c r="N232" s="4">
        <f t="shared" ca="1" si="50"/>
        <v>6.123723825761842</v>
      </c>
      <c r="O232" s="4"/>
      <c r="P232" s="1">
        <f ca="1">LOOKUP(B232,geomorph!$A:$A,geomorph!$G:$G)</f>
        <v>105.29293100000001</v>
      </c>
      <c r="Q232" s="1">
        <f t="shared" ca="1" si="51"/>
        <v>121.9907609899535</v>
      </c>
    </row>
    <row r="233" spans="2:17" x14ac:dyDescent="0.3">
      <c r="B233" s="6">
        <f ca="1">RANDBETWEEN(ranges!B$2,ranges!B$3)</f>
        <v>12700</v>
      </c>
      <c r="C233" s="9">
        <f ca="1">LOOKUP(B233,geomorph!A:A,geomorph!B:B)</f>
        <v>1158.0999999999999</v>
      </c>
      <c r="D233">
        <f t="shared" si="44"/>
        <v>1.13E-4</v>
      </c>
      <c r="E233" s="9">
        <f ca="1">'[2]Q_GEV(random)'!$J233</f>
        <v>12733.752669583308</v>
      </c>
      <c r="F233" s="26">
        <f ca="1">RANDBETWEEN(ranges!F$2*1000,ranges!F$3*1000)/1000</f>
        <v>9.1999999999999998E-2</v>
      </c>
      <c r="G233" s="3">
        <f t="shared" ca="1" si="45"/>
        <v>10.995382669530532</v>
      </c>
      <c r="H233" s="4">
        <f t="shared" ca="1" si="46"/>
        <v>13.588701899991044</v>
      </c>
      <c r="I233" s="4">
        <f t="shared" ca="1" si="47"/>
        <v>365.12720081256987</v>
      </c>
      <c r="J233" s="26">
        <f ca="1">RANDBETWEEN(ranges!J$2*1000,ranges!J$3*1000)/1000</f>
        <v>0.61899999999999999</v>
      </c>
      <c r="K233" s="26">
        <f ca="1">RANDBETWEEN(ranges!K$2*1000,ranges!K$3*1000)/1000</f>
        <v>0.93400000000000005</v>
      </c>
      <c r="L233">
        <f t="shared" ca="1" si="48"/>
        <v>144.61033413777076</v>
      </c>
      <c r="M233">
        <f t="shared" ca="1" si="49"/>
        <v>18.924474760039608</v>
      </c>
      <c r="N233" s="4">
        <f t="shared" ca="1" si="50"/>
        <v>5.7997531087484395</v>
      </c>
      <c r="O233" s="4"/>
      <c r="P233" s="1">
        <f ca="1">LOOKUP(B233,geomorph!$A:$A,geomorph!$G:$G)</f>
        <v>105.090661</v>
      </c>
      <c r="Q233" s="1">
        <f t="shared" ca="1" si="51"/>
        <v>124.01513576003961</v>
      </c>
    </row>
    <row r="234" spans="2:17" x14ac:dyDescent="0.3">
      <c r="B234" s="6">
        <f ca="1">RANDBETWEEN(ranges!B$2,ranges!B$3)</f>
        <v>12200</v>
      </c>
      <c r="C234" s="9">
        <f ca="1">LOOKUP(B234,geomorph!A:A,geomorph!B:B)</f>
        <v>1290.5</v>
      </c>
      <c r="D234">
        <f t="shared" si="44"/>
        <v>1.13E-4</v>
      </c>
      <c r="E234" s="9">
        <f ca="1">'[2]Q_GEV(random)'!$J234</f>
        <v>12728.824149463502</v>
      </c>
      <c r="F234" s="26">
        <f ca="1">RANDBETWEEN(ranges!F$2*1000,ranges!F$3*1000)/1000</f>
        <v>9.6000000000000002E-2</v>
      </c>
      <c r="G234" s="3">
        <f t="shared" ca="1" si="45"/>
        <v>9.8634824869922522</v>
      </c>
      <c r="H234" s="4">
        <f t="shared" ca="1" si="46"/>
        <v>12.819932135615266</v>
      </c>
      <c r="I234" s="4">
        <f t="shared" ca="1" si="47"/>
        <v>304.77466313183305</v>
      </c>
      <c r="J234" s="26">
        <f ca="1">RANDBETWEEN(ranges!J$2*1000,ranges!J$3*1000)/1000</f>
        <v>0.64</v>
      </c>
      <c r="K234" s="26">
        <f ca="1">RANDBETWEEN(ranges!K$2*1000,ranges!K$3*1000)/1000</f>
        <v>0.93500000000000005</v>
      </c>
      <c r="L234">
        <f t="shared" ca="1" si="48"/>
        <v>125.57601776381458</v>
      </c>
      <c r="M234">
        <f t="shared" ca="1" si="49"/>
        <v>18.312311154434905</v>
      </c>
      <c r="N234" s="4">
        <f t="shared" ca="1" si="50"/>
        <v>5.9699771943691724</v>
      </c>
      <c r="O234" s="4"/>
      <c r="P234" s="1">
        <f ca="1">LOOKUP(B234,geomorph!$A:$A,geomorph!$G:$G)</f>
        <v>105.147161</v>
      </c>
      <c r="Q234" s="1">
        <f t="shared" ca="1" si="51"/>
        <v>123.45947215443491</v>
      </c>
    </row>
    <row r="235" spans="2:17" x14ac:dyDescent="0.3">
      <c r="B235" s="6">
        <f ca="1">RANDBETWEEN(ranges!B$2,ranges!B$3)</f>
        <v>11156</v>
      </c>
      <c r="C235" s="9">
        <f ca="1">LOOKUP(B235,geomorph!A:A,geomorph!B:B)</f>
        <v>1677.7</v>
      </c>
      <c r="D235">
        <f t="shared" si="44"/>
        <v>1.13E-4</v>
      </c>
      <c r="E235" s="9">
        <f ca="1">'[2]Q_GEV(random)'!$J235</f>
        <v>12716.868148854974</v>
      </c>
      <c r="F235" s="26">
        <f ca="1">RANDBETWEEN(ranges!F$2*1000,ranges!F$3*1000)/1000</f>
        <v>0.104</v>
      </c>
      <c r="G235" s="3">
        <f t="shared" ca="1" si="45"/>
        <v>7.5799416754216926</v>
      </c>
      <c r="H235" s="4">
        <f t="shared" ca="1" si="46"/>
        <v>11.046638763075004</v>
      </c>
      <c r="I235" s="4">
        <f t="shared" ca="1" si="47"/>
        <v>196.68879591088509</v>
      </c>
      <c r="J235" s="26">
        <f ca="1">RANDBETWEEN(ranges!J$2*1000,ranges!J$3*1000)/1000</f>
        <v>0.629</v>
      </c>
      <c r="K235" s="26">
        <f ca="1">RANDBETWEEN(ranges!K$2*1000,ranges!K$3*1000)/1000</f>
        <v>0.98799999999999999</v>
      </c>
      <c r="L235">
        <f t="shared" ca="1" si="48"/>
        <v>92.15198933621275</v>
      </c>
      <c r="M235">
        <f t="shared" ca="1" si="49"/>
        <v>17.470183353558149</v>
      </c>
      <c r="N235" s="4">
        <f t="shared" ca="1" si="50"/>
        <v>6.9821136853077661</v>
      </c>
      <c r="O235" s="4"/>
      <c r="P235" s="1">
        <f ca="1">LOOKUP(B235,geomorph!$A:$A,geomorph!$G:$G)</f>
        <v>105.265811</v>
      </c>
      <c r="Q235" s="1">
        <f t="shared" ca="1" si="51"/>
        <v>122.73599435355814</v>
      </c>
    </row>
    <row r="236" spans="2:17" x14ac:dyDescent="0.3">
      <c r="B236" s="6">
        <f ca="1">RANDBETWEEN(ranges!B$2,ranges!B$3)</f>
        <v>14275</v>
      </c>
      <c r="C236" s="9">
        <f ca="1">LOOKUP(B236,geomorph!A:A,geomorph!B:B)</f>
        <v>1336.7</v>
      </c>
      <c r="D236">
        <f t="shared" si="44"/>
        <v>1.13E-4</v>
      </c>
      <c r="E236" s="9">
        <f ca="1">'[2]Q_GEV(random)'!$J236</f>
        <v>12708.205914913149</v>
      </c>
      <c r="F236" s="26">
        <f ca="1">RANDBETWEEN(ranges!F$2*1000,ranges!F$3*1000)/1000</f>
        <v>0.108</v>
      </c>
      <c r="G236" s="3">
        <f t="shared" ca="1" si="45"/>
        <v>9.507148885249606</v>
      </c>
      <c r="H236" s="4">
        <f t="shared" ca="1" si="46"/>
        <v>13.01017820345575</v>
      </c>
      <c r="I236" s="4">
        <f t="shared" ca="1" si="47"/>
        <v>287.11084607507098</v>
      </c>
      <c r="J236" s="26">
        <f ca="1">RANDBETWEEN(ranges!J$2*1000,ranges!J$3*1000)/1000</f>
        <v>0.7</v>
      </c>
      <c r="K236" s="26">
        <f ca="1">RANDBETWEEN(ranges!K$2*1000,ranges!K$3*1000)/1000</f>
        <v>0.91</v>
      </c>
      <c r="L236">
        <f t="shared" ca="1" si="48"/>
        <v>121.07214368414768</v>
      </c>
      <c r="M236">
        <f t="shared" ca="1" si="49"/>
        <v>18.287596194273821</v>
      </c>
      <c r="N236" s="4">
        <f t="shared" ca="1" si="50"/>
        <v>5.7363239030631208</v>
      </c>
      <c r="O236" s="4"/>
      <c r="P236" s="1">
        <f ca="1">LOOKUP(B236,geomorph!$A:$A,geomorph!$G:$G)</f>
        <v>104.913251</v>
      </c>
      <c r="Q236" s="1">
        <f t="shared" ca="1" si="51"/>
        <v>123.20084719427382</v>
      </c>
    </row>
    <row r="237" spans="2:17" x14ac:dyDescent="0.3">
      <c r="B237" s="6">
        <f ca="1">RANDBETWEEN(ranges!B$2,ranges!B$3)</f>
        <v>13239</v>
      </c>
      <c r="C237" s="9">
        <f ca="1">LOOKUP(B237,geomorph!A:A,geomorph!B:B)</f>
        <v>1166.5</v>
      </c>
      <c r="D237">
        <f t="shared" si="44"/>
        <v>1.13E-4</v>
      </c>
      <c r="E237" s="9">
        <f ca="1">'[2]Q_GEV(random)'!$J237</f>
        <v>12707.150356799211</v>
      </c>
      <c r="F237" s="26">
        <f ca="1">RANDBETWEEN(ranges!F$2*1000,ranges!F$3*1000)/1000</f>
        <v>9.2999999999999999E-2</v>
      </c>
      <c r="G237" s="3">
        <f t="shared" ca="1" si="45"/>
        <v>10.893399362879736</v>
      </c>
      <c r="H237" s="4">
        <f t="shared" ca="1" si="46"/>
        <v>13.553300366403935</v>
      </c>
      <c r="I237" s="4">
        <f t="shared" ca="1" si="47"/>
        <v>360.252959719594</v>
      </c>
      <c r="J237" s="26">
        <f ca="1">RANDBETWEEN(ranges!J$2*1000,ranges!J$3*1000)/1000</f>
        <v>0.66</v>
      </c>
      <c r="K237" s="26">
        <f ca="1">RANDBETWEEN(ranges!K$2*1000,ranges!K$3*1000)/1000</f>
        <v>0.96499999999999997</v>
      </c>
      <c r="L237">
        <f t="shared" ca="1" si="48"/>
        <v>142.26126705653598</v>
      </c>
      <c r="M237">
        <f t="shared" ca="1" si="49"/>
        <v>18.752097786423761</v>
      </c>
      <c r="N237" s="4">
        <f t="shared" ca="1" si="50"/>
        <v>5.6508667608911152</v>
      </c>
      <c r="O237" s="4"/>
      <c r="P237" s="1">
        <f ca="1">LOOKUP(B237,geomorph!$A:$A,geomorph!$G:$G)</f>
        <v>105.030771</v>
      </c>
      <c r="Q237" s="1">
        <f t="shared" ca="1" si="51"/>
        <v>123.78286878642376</v>
      </c>
    </row>
    <row r="238" spans="2:17" x14ac:dyDescent="0.3">
      <c r="B238" s="6">
        <f ca="1">RANDBETWEEN(ranges!B$2,ranges!B$3)</f>
        <v>11549</v>
      </c>
      <c r="C238" s="9">
        <f ca="1">LOOKUP(B238,geomorph!A:A,geomorph!B:B)</f>
        <v>1479.1</v>
      </c>
      <c r="D238">
        <f t="shared" si="44"/>
        <v>1.13E-4</v>
      </c>
      <c r="E238" s="9">
        <f ca="1">'[2]Q_GEV(random)'!$J238</f>
        <v>12683.146120707126</v>
      </c>
      <c r="F238" s="26">
        <f ca="1">RANDBETWEEN(ranges!F$2*1000,ranges!F$3*1000)/1000</f>
        <v>9.9000000000000005E-2</v>
      </c>
      <c r="G238" s="3">
        <f t="shared" ca="1" si="45"/>
        <v>8.5749077957589925</v>
      </c>
      <c r="H238" s="4">
        <f t="shared" ca="1" si="46"/>
        <v>11.797948626734351</v>
      </c>
      <c r="I238" s="4">
        <f t="shared" ca="1" si="47"/>
        <v>242.21746380136682</v>
      </c>
      <c r="J238" s="26">
        <f ca="1">RANDBETWEEN(ranges!J$2*1000,ranges!J$3*1000)/1000</f>
        <v>0.69599999999999995</v>
      </c>
      <c r="K238" s="26">
        <f ca="1">RANDBETWEEN(ranges!K$2*1000,ranges!K$3*1000)/1000</f>
        <v>0.98199999999999998</v>
      </c>
      <c r="L238">
        <f t="shared" ca="1" si="48"/>
        <v>104.21575527451984</v>
      </c>
      <c r="M238">
        <f t="shared" ca="1" si="49"/>
        <v>17.418444169799276</v>
      </c>
      <c r="N238" s="4">
        <f t="shared" ca="1" si="50"/>
        <v>6.1092342859401354</v>
      </c>
      <c r="O238" s="4"/>
      <c r="P238" s="1">
        <f ca="1">LOOKUP(B238,geomorph!$A:$A,geomorph!$G:$G)</f>
        <v>105.22174100000001</v>
      </c>
      <c r="Q238" s="1">
        <f t="shared" ca="1" si="51"/>
        <v>122.64018516979928</v>
      </c>
    </row>
    <row r="239" spans="2:17" x14ac:dyDescent="0.3">
      <c r="B239" s="6">
        <f ca="1">RANDBETWEEN(ranges!B$2,ranges!B$3)</f>
        <v>12944</v>
      </c>
      <c r="C239" s="9">
        <f ca="1">LOOKUP(B239,geomorph!A:A,geomorph!B:B)</f>
        <v>1140</v>
      </c>
      <c r="D239">
        <f t="shared" si="44"/>
        <v>1.13E-4</v>
      </c>
      <c r="E239" s="9">
        <f ca="1">'[2]Q_GEV(random)'!$J239</f>
        <v>12669.40167450107</v>
      </c>
      <c r="F239" s="26">
        <f ca="1">RANDBETWEEN(ranges!F$2*1000,ranges!F$3*1000)/1000</f>
        <v>0.107</v>
      </c>
      <c r="G239" s="3">
        <f t="shared" ca="1" si="45"/>
        <v>11.113510240790413</v>
      </c>
      <c r="H239" s="4">
        <f t="shared" ca="1" si="46"/>
        <v>14.392532711928643</v>
      </c>
      <c r="I239" s="4">
        <f t="shared" ca="1" si="47"/>
        <v>373.57631593023183</v>
      </c>
      <c r="J239" s="26">
        <f ca="1">RANDBETWEEN(ranges!J$2*1000,ranges!J$3*1000)/1000</f>
        <v>0.6</v>
      </c>
      <c r="K239" s="26">
        <f ca="1">RANDBETWEEN(ranges!K$2*1000,ranges!K$3*1000)/1000</f>
        <v>0.86399999999999999</v>
      </c>
      <c r="L239">
        <f t="shared" ca="1" si="48"/>
        <v>153.26402299442088</v>
      </c>
      <c r="M239">
        <f t="shared" ca="1" si="49"/>
        <v>19.743471442141299</v>
      </c>
      <c r="N239" s="4">
        <f t="shared" ca="1" si="50"/>
        <v>5.8162377502311475</v>
      </c>
      <c r="O239" s="4"/>
      <c r="P239" s="1">
        <f ca="1">LOOKUP(B239,geomorph!$A:$A,geomorph!$G:$G)</f>
        <v>105.063541</v>
      </c>
      <c r="Q239" s="1">
        <f t="shared" ca="1" si="51"/>
        <v>124.8070124421413</v>
      </c>
    </row>
    <row r="240" spans="2:17" x14ac:dyDescent="0.3">
      <c r="B240" s="6">
        <f ca="1">RANDBETWEEN(ranges!B$2,ranges!B$3)</f>
        <v>14922</v>
      </c>
      <c r="C240" s="9">
        <f ca="1">LOOKUP(B240,geomorph!A:A,geomorph!B:B)</f>
        <v>1509.8</v>
      </c>
      <c r="D240">
        <f t="shared" si="44"/>
        <v>1.13E-4</v>
      </c>
      <c r="E240" s="9">
        <f ca="1">'[2]Q_GEV(random)'!$J240</f>
        <v>12664.727616055667</v>
      </c>
      <c r="F240" s="26">
        <f ca="1">RANDBETWEEN(ranges!F$2*1000,ranges!F$3*1000)/1000</f>
        <v>9.8000000000000004E-2</v>
      </c>
      <c r="G240" s="3">
        <f t="shared" ca="1" si="45"/>
        <v>8.3883478712780946</v>
      </c>
      <c r="H240" s="4">
        <f t="shared" ca="1" si="46"/>
        <v>11.586922717719908</v>
      </c>
      <c r="I240" s="4">
        <f t="shared" ca="1" si="47"/>
        <v>233.83789041564651</v>
      </c>
      <c r="J240" s="26">
        <f ca="1">RANDBETWEEN(ranges!J$2*1000,ranges!J$3*1000)/1000</f>
        <v>0.73599999999999999</v>
      </c>
      <c r="K240" s="26">
        <f ca="1">RANDBETWEEN(ranges!K$2*1000,ranges!K$3*1000)/1000</f>
        <v>0.88</v>
      </c>
      <c r="L240">
        <f t="shared" ca="1" si="48"/>
        <v>98.750673817999242</v>
      </c>
      <c r="M240">
        <f t="shared" ca="1" si="49"/>
        <v>16.847595708336922</v>
      </c>
      <c r="N240" s="4">
        <f t="shared" ca="1" si="50"/>
        <v>5.7181228158880586</v>
      </c>
      <c r="O240" s="4"/>
      <c r="P240" s="1">
        <f ca="1">LOOKUP(B240,geomorph!$A:$A,geomorph!$G:$G)</f>
        <v>104.83980100000001</v>
      </c>
      <c r="Q240" s="1">
        <f t="shared" ca="1" si="51"/>
        <v>121.68739670833693</v>
      </c>
    </row>
    <row r="241" spans="2:17" x14ac:dyDescent="0.3">
      <c r="B241" s="6">
        <f ca="1">RANDBETWEEN(ranges!B$2,ranges!B$3)</f>
        <v>11737</v>
      </c>
      <c r="C241" s="9">
        <f ca="1">LOOKUP(B241,geomorph!A:A,geomorph!B:B)</f>
        <v>1430.8</v>
      </c>
      <c r="D241">
        <f t="shared" si="44"/>
        <v>1.13E-4</v>
      </c>
      <c r="E241" s="9">
        <f ca="1">'[2]Q_GEV(random)'!$J241</f>
        <v>12643.861362799766</v>
      </c>
      <c r="F241" s="26">
        <f ca="1">RANDBETWEEN(ranges!F$2*1000,ranges!F$3*1000)/1000</f>
        <v>0.104</v>
      </c>
      <c r="G241" s="3">
        <f t="shared" ca="1" si="45"/>
        <v>8.8369173628737538</v>
      </c>
      <c r="H241" s="4">
        <f t="shared" ca="1" si="46"/>
        <v>12.236393619974649</v>
      </c>
      <c r="I241" s="4">
        <f t="shared" ca="1" si="47"/>
        <v>255.46904310803569</v>
      </c>
      <c r="J241" s="26">
        <f ca="1">RANDBETWEEN(ranges!J$2*1000,ranges!J$3*1000)/1000</f>
        <v>0.68600000000000005</v>
      </c>
      <c r="K241" s="26">
        <f ca="1">RANDBETWEEN(ranges!K$2*1000,ranges!K$3*1000)/1000</f>
        <v>0.96499999999999997</v>
      </c>
      <c r="L241">
        <f t="shared" ca="1" si="48"/>
        <v>110.2396242000691</v>
      </c>
      <c r="M241">
        <f t="shared" ca="1" si="49"/>
        <v>17.823586536516853</v>
      </c>
      <c r="N241" s="4">
        <f t="shared" ca="1" si="50"/>
        <v>6.0730357788502216</v>
      </c>
      <c r="O241" s="4"/>
      <c r="P241" s="1">
        <f ca="1">LOOKUP(B241,geomorph!$A:$A,geomorph!$G:$G)</f>
        <v>105.200271</v>
      </c>
      <c r="Q241" s="1">
        <f t="shared" ca="1" si="51"/>
        <v>123.02385753651686</v>
      </c>
    </row>
    <row r="242" spans="2:17" x14ac:dyDescent="0.3">
      <c r="B242" s="6">
        <f ca="1">RANDBETWEEN(ranges!B$2,ranges!B$3)</f>
        <v>13993</v>
      </c>
      <c r="C242" s="9">
        <f ca="1">LOOKUP(B242,geomorph!A:A,geomorph!B:B)</f>
        <v>1324.9</v>
      </c>
      <c r="D242">
        <f t="shared" si="44"/>
        <v>1.13E-4</v>
      </c>
      <c r="E242" s="9">
        <f ca="1">'[2]Q_GEV(random)'!$J242</f>
        <v>12632.375933813812</v>
      </c>
      <c r="F242" s="26">
        <f ca="1">RANDBETWEEN(ranges!F$2*1000,ranges!F$3*1000)/1000</f>
        <v>9.9000000000000005E-2</v>
      </c>
      <c r="G242" s="3">
        <f t="shared" ca="1" si="45"/>
        <v>9.5345882208572803</v>
      </c>
      <c r="H242" s="4">
        <f t="shared" ca="1" si="46"/>
        <v>12.662559211072628</v>
      </c>
      <c r="I242" s="4">
        <f t="shared" ca="1" si="47"/>
        <v>290.22503873633133</v>
      </c>
      <c r="J242" s="26">
        <f ca="1">RANDBETWEEN(ranges!J$2*1000,ranges!J$3*1000)/1000</f>
        <v>0.60799999999999998</v>
      </c>
      <c r="K242" s="26">
        <f ca="1">RANDBETWEEN(ranges!K$2*1000,ranges!K$3*1000)/1000</f>
        <v>0.8</v>
      </c>
      <c r="L242">
        <f t="shared" ca="1" si="48"/>
        <v>121.09508657993933</v>
      </c>
      <c r="M242">
        <f t="shared" ca="1" si="49"/>
        <v>18.129593463703063</v>
      </c>
      <c r="N242" s="4">
        <f t="shared" ca="1" si="50"/>
        <v>5.9424285354678643</v>
      </c>
      <c r="O242" s="4"/>
      <c r="P242" s="1">
        <f ca="1">LOOKUP(B242,geomorph!$A:$A,geomorph!$G:$G)</f>
        <v>104.944891</v>
      </c>
      <c r="Q242" s="1">
        <f t="shared" ca="1" si="51"/>
        <v>123.07448446370306</v>
      </c>
    </row>
    <row r="243" spans="2:17" x14ac:dyDescent="0.3">
      <c r="B243" s="6">
        <f ca="1">RANDBETWEEN(ranges!B$2,ranges!B$3)</f>
        <v>10810</v>
      </c>
      <c r="C243" s="9">
        <f ca="1">LOOKUP(B243,geomorph!A:A,geomorph!B:B)</f>
        <v>1667.1</v>
      </c>
      <c r="D243">
        <f t="shared" si="44"/>
        <v>1.13E-4</v>
      </c>
      <c r="E243" s="9">
        <f ca="1">'[2]Q_GEV(random)'!$J243</f>
        <v>12616.212828982292</v>
      </c>
      <c r="F243" s="26">
        <f ca="1">RANDBETWEEN(ranges!F$2*1000,ranges!F$3*1000)/1000</f>
        <v>9.5000000000000001E-2</v>
      </c>
      <c r="G243" s="3">
        <f t="shared" ca="1" si="45"/>
        <v>7.567760079768636</v>
      </c>
      <c r="H243" s="4">
        <f t="shared" ca="1" si="46"/>
        <v>10.706838087969258</v>
      </c>
      <c r="I243" s="4">
        <f t="shared" ca="1" si="47"/>
        <v>197.72728460342128</v>
      </c>
      <c r="J243" s="26">
        <f ca="1">RANDBETWEEN(ranges!J$2*1000,ranges!J$3*1000)/1000</f>
        <v>0.747</v>
      </c>
      <c r="K243" s="26">
        <f ca="1">RANDBETWEEN(ranges!K$2*1000,ranges!K$3*1000)/1000</f>
        <v>0.876</v>
      </c>
      <c r="L243">
        <f t="shared" ca="1" si="48"/>
        <v>85.608898835699961</v>
      </c>
      <c r="M243">
        <f t="shared" ca="1" si="49"/>
        <v>16.127201263136481</v>
      </c>
      <c r="N243" s="4">
        <f t="shared" ca="1" si="50"/>
        <v>5.8916991034426331</v>
      </c>
      <c r="O243" s="4"/>
      <c r="P243" s="1">
        <f ca="1">LOOKUP(B243,geomorph!$A:$A,geomorph!$G:$G)</f>
        <v>105.304231</v>
      </c>
      <c r="Q243" s="1">
        <f t="shared" ca="1" si="51"/>
        <v>121.43143226313649</v>
      </c>
    </row>
    <row r="244" spans="2:17" x14ac:dyDescent="0.3">
      <c r="B244" s="6">
        <f ca="1">RANDBETWEEN(ranges!B$2,ranges!B$3)</f>
        <v>12949</v>
      </c>
      <c r="C244" s="9">
        <f ca="1">LOOKUP(B244,geomorph!A:A,geomorph!B:B)</f>
        <v>1140</v>
      </c>
      <c r="D244">
        <f t="shared" si="44"/>
        <v>1.13E-4</v>
      </c>
      <c r="E244" s="9">
        <f ca="1">'[2]Q_GEV(random)'!$J244</f>
        <v>12615.643314700186</v>
      </c>
      <c r="F244" s="26">
        <f ca="1">RANDBETWEEN(ranges!F$2*1000,ranges!F$3*1000)/1000</f>
        <v>9.9000000000000005E-2</v>
      </c>
      <c r="G244" s="3">
        <f t="shared" ca="1" si="45"/>
        <v>11.066353784824726</v>
      </c>
      <c r="H244" s="4">
        <f t="shared" ca="1" si="46"/>
        <v>13.98480972003572</v>
      </c>
      <c r="I244" s="4">
        <f t="shared" ca="1" si="47"/>
        <v>372.51880325282275</v>
      </c>
      <c r="J244" s="26">
        <f ca="1">RANDBETWEEN(ranges!J$2*1000,ranges!J$3*1000)/1000</f>
        <v>0.79300000000000004</v>
      </c>
      <c r="K244" s="26">
        <f ca="1">RANDBETWEEN(ranges!K$2*1000,ranges!K$3*1000)/1000</f>
        <v>0.96099999999999997</v>
      </c>
      <c r="L244">
        <f t="shared" ca="1" si="48"/>
        <v>144.31588656987998</v>
      </c>
      <c r="M244">
        <f t="shared" ca="1" si="49"/>
        <v>18.590772507931938</v>
      </c>
      <c r="N244" s="4">
        <f t="shared" ca="1" si="50"/>
        <v>5.0064812911915402</v>
      </c>
      <c r="O244" s="4"/>
      <c r="P244" s="1">
        <f ca="1">LOOKUP(B244,geomorph!$A:$A,geomorph!$G:$G)</f>
        <v>105.063541</v>
      </c>
      <c r="Q244" s="1">
        <f t="shared" ca="1" si="51"/>
        <v>123.65431350793193</v>
      </c>
    </row>
    <row r="245" spans="2:17" x14ac:dyDescent="0.3">
      <c r="B245" s="6">
        <f ca="1">RANDBETWEEN(ranges!B$2,ranges!B$3)</f>
        <v>10826</v>
      </c>
      <c r="C245" s="9">
        <f ca="1">LOOKUP(B245,geomorph!A:A,geomorph!B:B)</f>
        <v>1664.2</v>
      </c>
      <c r="D245">
        <f t="shared" si="44"/>
        <v>1.13E-4</v>
      </c>
      <c r="E245" s="9">
        <f ca="1">'[2]Q_GEV(random)'!$J245</f>
        <v>12585.831018473327</v>
      </c>
      <c r="F245" s="26">
        <f ca="1">RANDBETWEEN(ranges!F$2*1000,ranges!F$3*1000)/1000</f>
        <v>9.7000000000000003E-2</v>
      </c>
      <c r="G245" s="3">
        <f t="shared" ca="1" si="45"/>
        <v>7.562691394347631</v>
      </c>
      <c r="H245" s="4">
        <f t="shared" ca="1" si="46"/>
        <v>10.776637982076878</v>
      </c>
      <c r="I245" s="4">
        <f t="shared" ca="1" si="47"/>
        <v>197.98338796068046</v>
      </c>
      <c r="J245" s="26">
        <f ca="1">RANDBETWEEN(ranges!J$2*1000,ranges!J$3*1000)/1000</f>
        <v>0.66100000000000003</v>
      </c>
      <c r="K245" s="26">
        <f ca="1">RANDBETWEEN(ranges!K$2*1000,ranges!K$3*1000)/1000</f>
        <v>0.92400000000000004</v>
      </c>
      <c r="L245">
        <f t="shared" ca="1" si="48"/>
        <v>89.20634019846915</v>
      </c>
      <c r="M245">
        <f t="shared" ca="1" si="49"/>
        <v>16.775662623487037</v>
      </c>
      <c r="N245" s="4">
        <f t="shared" ca="1" si="50"/>
        <v>6.5206789580545204</v>
      </c>
      <c r="O245" s="4"/>
      <c r="P245" s="1">
        <f ca="1">LOOKUP(B245,geomorph!$A:$A,geomorph!$G:$G)</f>
        <v>105.303101</v>
      </c>
      <c r="Q245" s="1">
        <f t="shared" ca="1" si="51"/>
        <v>122.07876362348703</v>
      </c>
    </row>
    <row r="246" spans="2:17" x14ac:dyDescent="0.3">
      <c r="B246" s="6">
        <f ca="1">RANDBETWEEN(ranges!B$2,ranges!B$3)</f>
        <v>14313</v>
      </c>
      <c r="C246" s="9">
        <f ca="1">LOOKUP(B246,geomorph!A:A,geomorph!B:B)</f>
        <v>1349.6</v>
      </c>
      <c r="D246">
        <f t="shared" si="44"/>
        <v>1.13E-4</v>
      </c>
      <c r="E246" s="9">
        <f ca="1">'[2]Q_GEV(random)'!$J246</f>
        <v>12582.166197505783</v>
      </c>
      <c r="F246" s="26">
        <f ca="1">RANDBETWEEN(ranges!F$2*1000,ranges!F$3*1000)/1000</f>
        <v>0.10100000000000001</v>
      </c>
      <c r="G246" s="3">
        <f t="shared" ca="1" si="45"/>
        <v>9.322885445691897</v>
      </c>
      <c r="H246" s="4">
        <f t="shared" ca="1" si="46"/>
        <v>12.55786528445978</v>
      </c>
      <c r="I246" s="4">
        <f t="shared" ca="1" si="47"/>
        <v>280.68024434784502</v>
      </c>
      <c r="J246" s="26">
        <f ca="1">RANDBETWEEN(ranges!J$2*1000,ranges!J$3*1000)/1000</f>
        <v>0.78600000000000003</v>
      </c>
      <c r="K246" s="26">
        <f ca="1">RANDBETWEEN(ranges!K$2*1000,ranges!K$3*1000)/1000</f>
        <v>0.999</v>
      </c>
      <c r="L246">
        <f t="shared" ca="1" si="48"/>
        <v>115.3109978426269</v>
      </c>
      <c r="M246">
        <f t="shared" ca="1" si="49"/>
        <v>17.585480663790246</v>
      </c>
      <c r="N246" s="4">
        <f t="shared" ca="1" si="50"/>
        <v>5.4647993253592029</v>
      </c>
      <c r="O246" s="4"/>
      <c r="P246" s="1">
        <f ca="1">LOOKUP(B246,geomorph!$A:$A,geomorph!$G:$G)</f>
        <v>104.908731</v>
      </c>
      <c r="Q246" s="1">
        <f t="shared" ca="1" si="51"/>
        <v>122.49421166379025</v>
      </c>
    </row>
    <row r="247" spans="2:17" x14ac:dyDescent="0.3">
      <c r="B247" s="6">
        <f ca="1">RANDBETWEEN(ranges!B$2,ranges!B$3)</f>
        <v>13434</v>
      </c>
      <c r="C247" s="9">
        <f ca="1">LOOKUP(B247,geomorph!A:A,geomorph!B:B)</f>
        <v>1189.5</v>
      </c>
      <c r="D247">
        <f t="shared" si="44"/>
        <v>1.13E-4</v>
      </c>
      <c r="E247" s="9">
        <f ca="1">'[2]Q_GEV(random)'!$J247</f>
        <v>12566.023886290848</v>
      </c>
      <c r="F247" s="26">
        <f ca="1">RANDBETWEEN(ranges!F$2*1000,ranges!F$3*1000)/1000</f>
        <v>9.0999999999999998E-2</v>
      </c>
      <c r="G247" s="3">
        <f t="shared" ca="1" si="45"/>
        <v>10.564122645053256</v>
      </c>
      <c r="H247" s="4">
        <f t="shared" ca="1" si="46"/>
        <v>13.182907873556868</v>
      </c>
      <c r="I247" s="4">
        <f t="shared" ca="1" si="47"/>
        <v>346.13155510015707</v>
      </c>
      <c r="J247" s="26">
        <f ca="1">RANDBETWEEN(ranges!J$2*1000,ranges!J$3*1000)/1000</f>
        <v>0.61199999999999999</v>
      </c>
      <c r="K247" s="26">
        <f ca="1">RANDBETWEEN(ranges!K$2*1000,ranges!K$3*1000)/1000</f>
        <v>0.82299999999999995</v>
      </c>
      <c r="L247">
        <f t="shared" ca="1" si="48"/>
        <v>136.62856805494152</v>
      </c>
      <c r="M247">
        <f t="shared" ca="1" si="49"/>
        <v>18.36472403225288</v>
      </c>
      <c r="N247" s="4">
        <f t="shared" ca="1" si="50"/>
        <v>5.6324088681478388</v>
      </c>
      <c r="O247" s="4"/>
      <c r="P247" s="1">
        <f ca="1">LOOKUP(B247,geomorph!$A:$A,geomorph!$G:$G)</f>
        <v>105.008171</v>
      </c>
      <c r="Q247" s="1">
        <f t="shared" ca="1" si="51"/>
        <v>123.37289503225288</v>
      </c>
    </row>
    <row r="248" spans="2:17" x14ac:dyDescent="0.3">
      <c r="B248" s="6">
        <f ca="1">RANDBETWEEN(ranges!B$2,ranges!B$3)</f>
        <v>12781</v>
      </c>
      <c r="C248" s="9">
        <f ca="1">LOOKUP(B248,geomorph!A:A,geomorph!B:B)</f>
        <v>1138</v>
      </c>
      <c r="D248">
        <f t="shared" si="44"/>
        <v>1.13E-4</v>
      </c>
      <c r="E248" s="9">
        <f ca="1">'[2]Q_GEV(random)'!$J248</f>
        <v>12559.608301060289</v>
      </c>
      <c r="F248" s="26">
        <f ca="1">RANDBETWEEN(ranges!F$2*1000,ranges!F$3*1000)/1000</f>
        <v>0.109</v>
      </c>
      <c r="G248" s="3">
        <f t="shared" ca="1" si="45"/>
        <v>11.036562654710272</v>
      </c>
      <c r="H248" s="4">
        <f t="shared" ca="1" si="46"/>
        <v>14.414730196750694</v>
      </c>
      <c r="I248" s="4">
        <f t="shared" ca="1" si="47"/>
        <v>372.50345934117553</v>
      </c>
      <c r="J248" s="26">
        <f ca="1">RANDBETWEEN(ranges!J$2*1000,ranges!J$3*1000)/1000</f>
        <v>0.64600000000000002</v>
      </c>
      <c r="K248" s="26">
        <f ca="1">RANDBETWEEN(ranges!K$2*1000,ranges!K$3*1000)/1000</f>
        <v>0.94899999999999995</v>
      </c>
      <c r="L248">
        <f t="shared" ca="1" si="48"/>
        <v>153.09500556681286</v>
      </c>
      <c r="M248">
        <f t="shared" ca="1" si="49"/>
        <v>19.687099145858731</v>
      </c>
      <c r="N248" s="4">
        <f t="shared" ca="1" si="50"/>
        <v>5.7308358142478655</v>
      </c>
      <c r="O248" s="4"/>
      <c r="P248" s="1">
        <f ca="1">LOOKUP(B248,geomorph!$A:$A,geomorph!$G:$G)</f>
        <v>105.081621</v>
      </c>
      <c r="Q248" s="1">
        <f t="shared" ca="1" si="51"/>
        <v>124.76872014585874</v>
      </c>
    </row>
    <row r="249" spans="2:17" x14ac:dyDescent="0.3">
      <c r="B249" s="6">
        <f ca="1">RANDBETWEEN(ranges!B$2,ranges!B$3)</f>
        <v>14552</v>
      </c>
      <c r="C249" s="9">
        <f ca="1">LOOKUP(B249,geomorph!A:A,geomorph!B:B)</f>
        <v>1413.3</v>
      </c>
      <c r="D249">
        <f t="shared" si="44"/>
        <v>1.13E-4</v>
      </c>
      <c r="E249" s="9">
        <f ca="1">'[2]Q_GEV(random)'!$J249</f>
        <v>12559.106259891538</v>
      </c>
      <c r="F249" s="26">
        <f ca="1">RANDBETWEEN(ranges!F$2*1000,ranges!F$3*1000)/1000</f>
        <v>0.106</v>
      </c>
      <c r="G249" s="3">
        <f t="shared" ca="1" si="45"/>
        <v>8.8863696737363185</v>
      </c>
      <c r="H249" s="4">
        <f t="shared" ca="1" si="46"/>
        <v>12.360233324772381</v>
      </c>
      <c r="I249" s="4">
        <f t="shared" ca="1" si="47"/>
        <v>259.59634606174467</v>
      </c>
      <c r="J249" s="26">
        <f ca="1">RANDBETWEEN(ranges!J$2*1000,ranges!J$3*1000)/1000</f>
        <v>0.629</v>
      </c>
      <c r="K249" s="26">
        <f ca="1">RANDBETWEEN(ranges!K$2*1000,ranges!K$3*1000)/1000</f>
        <v>0.80400000000000005</v>
      </c>
      <c r="L249">
        <f t="shared" ca="1" si="48"/>
        <v>112.12854453162535</v>
      </c>
      <c r="M249">
        <f t="shared" ca="1" si="49"/>
        <v>17.90725373447971</v>
      </c>
      <c r="N249" s="4">
        <f t="shared" ca="1" si="50"/>
        <v>6.0293700105514443</v>
      </c>
      <c r="O249" s="4"/>
      <c r="P249" s="1">
        <f ca="1">LOOKUP(B249,geomorph!$A:$A,geomorph!$G:$G)</f>
        <v>104.88161100000001</v>
      </c>
      <c r="Q249" s="1">
        <f t="shared" ca="1" si="51"/>
        <v>122.78886473447972</v>
      </c>
    </row>
    <row r="250" spans="2:17" x14ac:dyDescent="0.3">
      <c r="B250" s="6">
        <f ca="1">RANDBETWEEN(ranges!B$2,ranges!B$3)</f>
        <v>11922</v>
      </c>
      <c r="C250" s="9">
        <f ca="1">LOOKUP(B250,geomorph!A:A,geomorph!B:B)</f>
        <v>1375</v>
      </c>
      <c r="D250">
        <f t="shared" si="44"/>
        <v>1.13E-4</v>
      </c>
      <c r="E250" s="9">
        <f ca="1">'[2]Q_GEV(random)'!$J250</f>
        <v>12549.829958894512</v>
      </c>
      <c r="F250" s="26">
        <f ca="1">RANDBETWEEN(ranges!F$2*1000,ranges!F$3*1000)/1000</f>
        <v>9.8000000000000004E-2</v>
      </c>
      <c r="G250" s="3">
        <f t="shared" ca="1" si="45"/>
        <v>9.1271490610141903</v>
      </c>
      <c r="H250" s="4">
        <f t="shared" ca="1" si="46"/>
        <v>12.257650965653434</v>
      </c>
      <c r="I250" s="4">
        <f t="shared" ca="1" si="47"/>
        <v>271.62563063399301</v>
      </c>
      <c r="J250" s="26">
        <f ca="1">RANDBETWEEN(ranges!J$2*1000,ranges!J$3*1000)/1000</f>
        <v>0.73599999999999999</v>
      </c>
      <c r="K250" s="26">
        <f ca="1">RANDBETWEEN(ranges!K$2*1000,ranges!K$3*1000)/1000</f>
        <v>0.93200000000000005</v>
      </c>
      <c r="L250">
        <f t="shared" ca="1" si="48"/>
        <v>111.962386817663</v>
      </c>
      <c r="M250">
        <f t="shared" ca="1" si="49"/>
        <v>17.396155851794386</v>
      </c>
      <c r="N250" s="4">
        <f t="shared" ca="1" si="50"/>
        <v>5.5853313979792949</v>
      </c>
      <c r="O250" s="4"/>
      <c r="P250" s="1">
        <f ca="1">LOOKUP(B250,geomorph!$A:$A,geomorph!$G:$G)</f>
        <v>105.17880100000001</v>
      </c>
      <c r="Q250" s="1">
        <f t="shared" ca="1" si="51"/>
        <v>122.5749568517944</v>
      </c>
    </row>
    <row r="251" spans="2:17" x14ac:dyDescent="0.3">
      <c r="B251" s="6">
        <f ca="1">RANDBETWEEN(ranges!B$2,ranges!B$3)</f>
        <v>14311</v>
      </c>
      <c r="C251" s="9">
        <f ca="1">LOOKUP(B251,geomorph!A:A,geomorph!B:B)</f>
        <v>1349.6</v>
      </c>
      <c r="D251">
        <f t="shared" si="44"/>
        <v>1.13E-4</v>
      </c>
      <c r="E251" s="9">
        <f ca="1">'[2]Q_GEV(random)'!$J251</f>
        <v>12526.473952508924</v>
      </c>
      <c r="F251" s="26">
        <f ca="1">RANDBETWEEN(ranges!F$2*1000,ranges!F$3*1000)/1000</f>
        <v>9.0999999999999998E-2</v>
      </c>
      <c r="G251" s="3">
        <f t="shared" ca="1" si="45"/>
        <v>9.2816197039929804</v>
      </c>
      <c r="H251" s="4">
        <f t="shared" ca="1" si="46"/>
        <v>12.093112901259348</v>
      </c>
      <c r="I251" s="4">
        <f t="shared" ca="1" si="47"/>
        <v>279.8513850895813</v>
      </c>
      <c r="J251" s="26">
        <f ca="1">RANDBETWEEN(ranges!J$2*1000,ranges!J$3*1000)/1000</f>
        <v>0.71899999999999997</v>
      </c>
      <c r="K251" s="26">
        <f ca="1">RANDBETWEEN(ranges!K$2*1000,ranges!K$3*1000)/1000</f>
        <v>0.879</v>
      </c>
      <c r="L251">
        <f t="shared" ca="1" si="48"/>
        <v>112.27122509965184</v>
      </c>
      <c r="M251">
        <f t="shared" ca="1" si="49"/>
        <v>17.12190072957738</v>
      </c>
      <c r="N251" s="4">
        <f t="shared" ca="1" si="50"/>
        <v>5.4660737264326436</v>
      </c>
      <c r="O251" s="4"/>
      <c r="P251" s="1">
        <f ca="1">LOOKUP(B251,geomorph!$A:$A,geomorph!$G:$G)</f>
        <v>104.908731</v>
      </c>
      <c r="Q251" s="1">
        <f t="shared" ca="1" si="51"/>
        <v>122.03063172957738</v>
      </c>
    </row>
    <row r="252" spans="2:17" x14ac:dyDescent="0.3">
      <c r="B252" s="6">
        <f ca="1">RANDBETWEEN(ranges!B$2,ranges!B$3)</f>
        <v>12035</v>
      </c>
      <c r="C252" s="9">
        <f ca="1">LOOKUP(B252,geomorph!A:A,geomorph!B:B)</f>
        <v>1341</v>
      </c>
      <c r="D252">
        <f t="shared" si="44"/>
        <v>1.13E-4</v>
      </c>
      <c r="E252" s="9">
        <f ca="1">'[2]Q_GEV(random)'!$J252</f>
        <v>12523.59800148031</v>
      </c>
      <c r="F252" s="26">
        <f ca="1">RANDBETWEEN(ranges!F$2*1000,ranges!F$3*1000)/1000</f>
        <v>9.2999999999999999E-2</v>
      </c>
      <c r="G252" s="3">
        <f t="shared" ca="1" si="45"/>
        <v>9.3389992553917303</v>
      </c>
      <c r="H252" s="4">
        <f t="shared" ca="1" si="46"/>
        <v>12.231217058023537</v>
      </c>
      <c r="I252" s="4">
        <f t="shared" ca="1" si="47"/>
        <v>282.80568334526367</v>
      </c>
      <c r="J252" s="26">
        <f ca="1">RANDBETWEEN(ranges!J$2*1000,ranges!J$3*1000)/1000</f>
        <v>0.70299999999999996</v>
      </c>
      <c r="K252" s="26">
        <f ca="1">RANDBETWEEN(ranges!K$2*1000,ranges!K$3*1000)/1000</f>
        <v>0.90600000000000003</v>
      </c>
      <c r="L252">
        <f t="shared" ca="1" si="48"/>
        <v>114.73589634123451</v>
      </c>
      <c r="M252">
        <f t="shared" ca="1" si="49"/>
        <v>17.386274580276286</v>
      </c>
      <c r="N252" s="4">
        <f t="shared" ca="1" si="50"/>
        <v>5.603323393752988</v>
      </c>
      <c r="O252" s="4"/>
      <c r="P252" s="1">
        <f ca="1">LOOKUP(B252,geomorph!$A:$A,geomorph!$G:$G)</f>
        <v>105.166371</v>
      </c>
      <c r="Q252" s="1">
        <f t="shared" ca="1" si="51"/>
        <v>122.55264558027628</v>
      </c>
    </row>
    <row r="253" spans="2:17" x14ac:dyDescent="0.3">
      <c r="B253" s="6">
        <f ca="1">RANDBETWEEN(ranges!B$2,ranges!B$3)</f>
        <v>11820</v>
      </c>
      <c r="C253" s="9">
        <f ca="1">LOOKUP(B253,geomorph!A:A,geomorph!B:B)</f>
        <v>1405</v>
      </c>
      <c r="D253">
        <f t="shared" si="44"/>
        <v>1.13E-4</v>
      </c>
      <c r="E253" s="9">
        <f ca="1">'[2]Q_GEV(random)'!$J253</f>
        <v>12517.190604087866</v>
      </c>
      <c r="F253" s="26">
        <f ca="1">RANDBETWEEN(ranges!F$2*1000,ranges!F$3*1000)/1000</f>
        <v>0.108</v>
      </c>
      <c r="G253" s="3">
        <f t="shared" ca="1" si="45"/>
        <v>8.9090324584255267</v>
      </c>
      <c r="H253" s="4">
        <f t="shared" ca="1" si="46"/>
        <v>12.458623910150882</v>
      </c>
      <c r="I253" s="4">
        <f t="shared" ca="1" si="47"/>
        <v>261.57368668894026</v>
      </c>
      <c r="J253" s="26">
        <f ca="1">RANDBETWEEN(ranges!J$2*1000,ranges!J$3*1000)/1000</f>
        <v>0.60399999999999998</v>
      </c>
      <c r="K253" s="26">
        <f ca="1">RANDBETWEEN(ranges!K$2*1000,ranges!K$3*1000)/1000</f>
        <v>0.91900000000000004</v>
      </c>
      <c r="L253">
        <f t="shared" ca="1" si="48"/>
        <v>115.92409791212242</v>
      </c>
      <c r="M253">
        <f t="shared" ca="1" si="49"/>
        <v>18.404689405018118</v>
      </c>
      <c r="N253" s="4">
        <f t="shared" ca="1" si="50"/>
        <v>6.4631146683339518</v>
      </c>
      <c r="O253" s="4"/>
      <c r="P253" s="1">
        <f ca="1">LOOKUP(B253,geomorph!$A:$A,geomorph!$G:$G)</f>
        <v>105.190101</v>
      </c>
      <c r="Q253" s="1">
        <f t="shared" ca="1" si="51"/>
        <v>123.59479040501812</v>
      </c>
    </row>
    <row r="254" spans="2:17" x14ac:dyDescent="0.3">
      <c r="B254" s="6">
        <f ca="1">RANDBETWEEN(ranges!B$2,ranges!B$3)</f>
        <v>10787</v>
      </c>
      <c r="C254" s="9">
        <f ca="1">LOOKUP(B254,geomorph!A:A,geomorph!B:B)</f>
        <v>1676.5</v>
      </c>
      <c r="D254">
        <f t="shared" si="44"/>
        <v>1.13E-4</v>
      </c>
      <c r="E254" s="9">
        <f ca="1">'[2]Q_GEV(random)'!$J254</f>
        <v>12510.460262895025</v>
      </c>
      <c r="F254" s="26">
        <f ca="1">RANDBETWEEN(ranges!F$2*1000,ranges!F$3*1000)/1000</f>
        <v>9.4E-2</v>
      </c>
      <c r="G254" s="3">
        <f t="shared" ca="1" si="45"/>
        <v>7.462248889290203</v>
      </c>
      <c r="H254" s="4">
        <f t="shared" ca="1" si="46"/>
        <v>10.56973829819874</v>
      </c>
      <c r="I254" s="4">
        <f t="shared" ca="1" si="47"/>
        <v>194.78684015949429</v>
      </c>
      <c r="J254" s="26">
        <f ca="1">RANDBETWEEN(ranges!J$2*1000,ranges!J$3*1000)/1000</f>
        <v>0.72399999999999998</v>
      </c>
      <c r="K254" s="26">
        <f ca="1">RANDBETWEEN(ranges!K$2*1000,ranges!K$3*1000)/1000</f>
        <v>0.86799999999999999</v>
      </c>
      <c r="L254">
        <f t="shared" ca="1" si="48"/>
        <v>84.934211501295778</v>
      </c>
      <c r="M254">
        <f t="shared" ca="1" si="49"/>
        <v>16.090319230757228</v>
      </c>
      <c r="N254" s="4">
        <f t="shared" ca="1" si="50"/>
        <v>6.0006314484331389</v>
      </c>
      <c r="O254" s="4"/>
      <c r="P254" s="1">
        <f ca="1">LOOKUP(B254,geomorph!$A:$A,geomorph!$G:$G)</f>
        <v>105.307621</v>
      </c>
      <c r="Q254" s="1">
        <f t="shared" ca="1" si="51"/>
        <v>121.39794023075723</v>
      </c>
    </row>
    <row r="255" spans="2:17" x14ac:dyDescent="0.3">
      <c r="B255" s="6">
        <f ca="1">RANDBETWEEN(ranges!B$2,ranges!B$3)</f>
        <v>10329</v>
      </c>
      <c r="C255" s="9">
        <f ca="1">LOOKUP(B255,geomorph!A:A,geomorph!B:B)</f>
        <v>1660.2</v>
      </c>
      <c r="D255">
        <f t="shared" si="44"/>
        <v>1.13E-4</v>
      </c>
      <c r="E255" s="9">
        <f ca="1">'[2]Q_GEV(random)'!$J255</f>
        <v>12494.565484983104</v>
      </c>
      <c r="F255" s="26">
        <f ca="1">RANDBETWEEN(ranges!F$2*1000,ranges!F$3*1000)/1000</f>
        <v>9.8000000000000004E-2</v>
      </c>
      <c r="G255" s="3">
        <f t="shared" ca="1" si="45"/>
        <v>7.5259399379491052</v>
      </c>
      <c r="H255" s="4">
        <f t="shared" ca="1" si="46"/>
        <v>10.778483317698567</v>
      </c>
      <c r="I255" s="4">
        <f t="shared" ca="1" si="47"/>
        <v>197.81692172475954</v>
      </c>
      <c r="J255" s="26">
        <f ca="1">RANDBETWEEN(ranges!J$2*1000,ranges!J$3*1000)/1000</f>
        <v>0.64200000000000002</v>
      </c>
      <c r="K255" s="26">
        <f ca="1">RANDBETWEEN(ranges!K$2*1000,ranges!K$3*1000)/1000</f>
        <v>0.82799999999999996</v>
      </c>
      <c r="L255">
        <f t="shared" ca="1" si="48"/>
        <v>88.952767214228317</v>
      </c>
      <c r="M255">
        <f t="shared" ca="1" si="49"/>
        <v>16.68777040658399</v>
      </c>
      <c r="N255" s="4">
        <f t="shared" ca="1" si="50"/>
        <v>6.42313814009285</v>
      </c>
      <c r="O255" s="4"/>
      <c r="P255" s="1">
        <f ca="1">LOOKUP(B255,geomorph!$A:$A,geomorph!$G:$G)</f>
        <v>105.359601</v>
      </c>
      <c r="Q255" s="1">
        <f t="shared" ca="1" si="51"/>
        <v>122.04737140658399</v>
      </c>
    </row>
    <row r="256" spans="2:17" x14ac:dyDescent="0.3">
      <c r="B256" s="6">
        <f ca="1">RANDBETWEEN(ranges!B$2,ranges!B$3)</f>
        <v>13186</v>
      </c>
      <c r="C256" s="9">
        <f ca="1">LOOKUP(B256,geomorph!A:A,geomorph!B:B)</f>
        <v>1161</v>
      </c>
      <c r="D256">
        <f t="shared" si="44"/>
        <v>1.13E-4</v>
      </c>
      <c r="E256" s="9">
        <f ca="1">'[2]Q_GEV(random)'!$J256</f>
        <v>12494.225789440159</v>
      </c>
      <c r="F256" s="26">
        <f ca="1">RANDBETWEEN(ranges!F$2*1000,ranges!F$3*1000)/1000</f>
        <v>0.109</v>
      </c>
      <c r="G256" s="3">
        <f t="shared" ca="1" si="45"/>
        <v>10.76160705378136</v>
      </c>
      <c r="H256" s="4">
        <f t="shared" ca="1" si="46"/>
        <v>14.174314004109995</v>
      </c>
      <c r="I256" s="4">
        <f t="shared" ca="1" si="47"/>
        <v>359.03425335528357</v>
      </c>
      <c r="J256" s="26">
        <f ca="1">RANDBETWEEN(ranges!J$2*1000,ranges!J$3*1000)/1000</f>
        <v>0.66700000000000004</v>
      </c>
      <c r="K256" s="26">
        <f ca="1">RANDBETWEEN(ranges!K$2*1000,ranges!K$3*1000)/1000</f>
        <v>0.878</v>
      </c>
      <c r="L256">
        <f t="shared" ca="1" si="48"/>
        <v>146.59199979751764</v>
      </c>
      <c r="M256">
        <f t="shared" ca="1" si="49"/>
        <v>19.23184422943573</v>
      </c>
      <c r="N256" s="4">
        <f t="shared" ca="1" si="50"/>
        <v>5.4973154623105813</v>
      </c>
      <c r="O256" s="4"/>
      <c r="P256" s="1">
        <f ca="1">LOOKUP(B256,geomorph!$A:$A,geomorph!$G:$G)</f>
        <v>105.036421</v>
      </c>
      <c r="Q256" s="1">
        <f t="shared" ca="1" si="51"/>
        <v>124.26826522943574</v>
      </c>
    </row>
    <row r="257" spans="2:17" x14ac:dyDescent="0.3">
      <c r="B257" s="6">
        <f ca="1">RANDBETWEEN(ranges!B$2,ranges!B$3)</f>
        <v>13752</v>
      </c>
      <c r="C257" s="9">
        <f ca="1">LOOKUP(B257,geomorph!A:A,geomorph!B:B)</f>
        <v>1265.7</v>
      </c>
      <c r="D257">
        <f t="shared" si="44"/>
        <v>1.13E-4</v>
      </c>
      <c r="E257" s="9">
        <f ca="1">'[2]Q_GEV(random)'!$J257</f>
        <v>12481.961376344927</v>
      </c>
      <c r="F257" s="26">
        <f ca="1">RANDBETWEEN(ranges!F$2*1000,ranges!F$3*1000)/1000</f>
        <v>9.0999999999999998E-2</v>
      </c>
      <c r="G257" s="3">
        <f t="shared" ca="1" si="45"/>
        <v>9.8617060728015531</v>
      </c>
      <c r="H257" s="4">
        <f t="shared" ca="1" si="46"/>
        <v>12.591871901885062</v>
      </c>
      <c r="I257" s="4">
        <f t="shared" ca="1" si="47"/>
        <v>310.70907616533287</v>
      </c>
      <c r="J257" s="26">
        <f ca="1">RANDBETWEEN(ranges!J$2*1000,ranges!J$3*1000)/1000</f>
        <v>0.623</v>
      </c>
      <c r="K257" s="26">
        <f ca="1">RANDBETWEEN(ranges!K$2*1000,ranges!K$3*1000)/1000</f>
        <v>0.86399999999999999</v>
      </c>
      <c r="L257">
        <f t="shared" ca="1" si="48"/>
        <v>125.3835357754855</v>
      </c>
      <c r="M257">
        <f t="shared" ca="1" si="49"/>
        <v>17.932867359106613</v>
      </c>
      <c r="N257" s="4">
        <f t="shared" ca="1" si="50"/>
        <v>5.8054298448060333</v>
      </c>
      <c r="O257" s="4"/>
      <c r="P257" s="1">
        <f ca="1">LOOKUP(B257,geomorph!$A:$A,geomorph!$G:$G)</f>
        <v>104.97201100000001</v>
      </c>
      <c r="Q257" s="1">
        <f t="shared" ca="1" si="51"/>
        <v>122.90487835910662</v>
      </c>
    </row>
    <row r="258" spans="2:17" x14ac:dyDescent="0.3">
      <c r="B258" s="6">
        <f ca="1">RANDBETWEEN(ranges!B$2,ranges!B$3)</f>
        <v>11941</v>
      </c>
      <c r="C258" s="9">
        <f ca="1">LOOKUP(B258,geomorph!A:A,geomorph!B:B)</f>
        <v>1368.9</v>
      </c>
      <c r="D258">
        <f t="shared" si="44"/>
        <v>1.13E-4</v>
      </c>
      <c r="E258" s="9">
        <f ca="1">'[2]Q_GEV(random)'!$J258</f>
        <v>12481.084720425277</v>
      </c>
      <c r="F258" s="26">
        <f ca="1">RANDBETWEEN(ranges!F$2*1000,ranges!F$3*1000)/1000</f>
        <v>9.6000000000000002E-2</v>
      </c>
      <c r="G258" s="3">
        <f t="shared" ca="1" si="45"/>
        <v>9.1176015197788551</v>
      </c>
      <c r="H258" s="4">
        <f t="shared" ca="1" si="46"/>
        <v>12.16520073223535</v>
      </c>
      <c r="I258" s="4">
        <f t="shared" ca="1" si="47"/>
        <v>272.64572880473025</v>
      </c>
      <c r="J258" s="26">
        <f ca="1">RANDBETWEEN(ranges!J$2*1000,ranges!J$3*1000)/1000</f>
        <v>0.65600000000000003</v>
      </c>
      <c r="K258" s="26">
        <f ca="1">RANDBETWEEN(ranges!K$2*1000,ranges!K$3*1000)/1000</f>
        <v>0.80800000000000005</v>
      </c>
      <c r="L258">
        <f t="shared" ca="1" si="48"/>
        <v>112.63506002420158</v>
      </c>
      <c r="M258">
        <f t="shared" ca="1" si="49"/>
        <v>17.423033104385638</v>
      </c>
      <c r="N258" s="4">
        <f t="shared" ca="1" si="50"/>
        <v>5.7150351871198781</v>
      </c>
      <c r="O258" s="4"/>
      <c r="P258" s="1">
        <f ca="1">LOOKUP(B258,geomorph!$A:$A,geomorph!$G:$G)</f>
        <v>105.176541</v>
      </c>
      <c r="Q258" s="1">
        <f t="shared" ca="1" si="51"/>
        <v>122.59957410438564</v>
      </c>
    </row>
    <row r="259" spans="2:17" x14ac:dyDescent="0.3">
      <c r="B259" s="6">
        <f ca="1">RANDBETWEEN(ranges!B$2,ranges!B$3)</f>
        <v>10106</v>
      </c>
      <c r="C259" s="9">
        <f ca="1">LOOKUP(B259,geomorph!A:A,geomorph!B:B)</f>
        <v>1600.5</v>
      </c>
      <c r="D259">
        <f t="shared" si="44"/>
        <v>1.13E-4</v>
      </c>
      <c r="E259" s="9">
        <f ca="1">'[2]Q_GEV(random)'!$J259</f>
        <v>12478.309321601357</v>
      </c>
      <c r="F259" s="26">
        <f ca="1">RANDBETWEEN(ranges!F$2*1000,ranges!F$3*1000)/1000</f>
        <v>9.7000000000000003E-2</v>
      </c>
      <c r="G259" s="3">
        <f t="shared" ca="1" si="45"/>
        <v>7.7965069175891015</v>
      </c>
      <c r="H259" s="4">
        <f t="shared" ca="1" si="46"/>
        <v>10.997629562834074</v>
      </c>
      <c r="I259" s="4">
        <f t="shared" ca="1" si="47"/>
        <v>210.08468030724552</v>
      </c>
      <c r="J259" s="26">
        <f ca="1">RANDBETWEEN(ranges!J$2*1000,ranges!J$3*1000)/1000</f>
        <v>0.78600000000000003</v>
      </c>
      <c r="K259" s="26">
        <f ca="1">RANDBETWEEN(ranges!K$2*1000,ranges!K$3*1000)/1000</f>
        <v>0.96699999999999997</v>
      </c>
      <c r="L259">
        <f t="shared" ca="1" si="48"/>
        <v>90.160120689554574</v>
      </c>
      <c r="M259">
        <f t="shared" ca="1" si="49"/>
        <v>16.306043867490423</v>
      </c>
      <c r="N259" s="4">
        <f t="shared" ca="1" si="50"/>
        <v>5.7700155485395097</v>
      </c>
      <c r="O259" s="4"/>
      <c r="P259" s="1">
        <f ca="1">LOOKUP(B259,geomorph!$A:$A,geomorph!$G:$G)</f>
        <v>105.384461</v>
      </c>
      <c r="Q259" s="1">
        <f t="shared" ca="1" si="51"/>
        <v>121.69050486749043</v>
      </c>
    </row>
    <row r="260" spans="2:17" x14ac:dyDescent="0.3">
      <c r="B260" s="6">
        <f ca="1">RANDBETWEEN(ranges!B$2,ranges!B$3)</f>
        <v>14484</v>
      </c>
      <c r="C260" s="9">
        <f ca="1">LOOKUP(B260,geomorph!A:A,geomorph!B:B)</f>
        <v>1396.3</v>
      </c>
      <c r="D260">
        <f t="shared" si="44"/>
        <v>1.13E-4</v>
      </c>
      <c r="E260" s="9">
        <f ca="1">'[2]Q_GEV(random)'!$J260</f>
        <v>12473.123700536433</v>
      </c>
      <c r="F260" s="26">
        <f ca="1">RANDBETWEEN(ranges!F$2*1000,ranges!F$3*1000)/1000</f>
        <v>0.10100000000000001</v>
      </c>
      <c r="G260" s="3">
        <f t="shared" ca="1" si="45"/>
        <v>8.9329826688651668</v>
      </c>
      <c r="H260" s="4">
        <f t="shared" ca="1" si="46"/>
        <v>12.20524726454455</v>
      </c>
      <c r="I260" s="4">
        <f t="shared" ca="1" si="47"/>
        <v>263.67499098680736</v>
      </c>
      <c r="J260" s="26">
        <f ca="1">RANDBETWEEN(ranges!J$2*1000,ranges!J$3*1000)/1000</f>
        <v>0.625</v>
      </c>
      <c r="K260" s="26">
        <f ca="1">RANDBETWEEN(ranges!K$2*1000,ranges!K$3*1000)/1000</f>
        <v>0.85</v>
      </c>
      <c r="L260">
        <f t="shared" ca="1" si="48"/>
        <v>112.86584462911202</v>
      </c>
      <c r="M260">
        <f t="shared" ca="1" si="49"/>
        <v>17.808187410686088</v>
      </c>
      <c r="N260" s="4">
        <f t="shared" ca="1" si="50"/>
        <v>6.0901523327625409</v>
      </c>
      <c r="O260" s="4"/>
      <c r="P260" s="1">
        <f ca="1">LOOKUP(B260,geomorph!$A:$A,geomorph!$G:$G)</f>
        <v>104.889521</v>
      </c>
      <c r="Q260" s="1">
        <f t="shared" ca="1" si="51"/>
        <v>122.69770841068609</v>
      </c>
    </row>
    <row r="261" spans="2:17" x14ac:dyDescent="0.3">
      <c r="B261" s="6">
        <f ca="1">RANDBETWEEN(ranges!B$2,ranges!B$3)</f>
        <v>10843</v>
      </c>
      <c r="C261" s="9">
        <f ca="1">LOOKUP(B261,geomorph!A:A,geomorph!B:B)</f>
        <v>1663</v>
      </c>
      <c r="D261">
        <f t="shared" si="44"/>
        <v>1.13E-4</v>
      </c>
      <c r="E261" s="9">
        <f ca="1">'[2]Q_GEV(random)'!$J261</f>
        <v>12435.521836127773</v>
      </c>
      <c r="F261" s="26">
        <f ca="1">RANDBETWEEN(ranges!F$2*1000,ranges!F$3*1000)/1000</f>
        <v>0.109</v>
      </c>
      <c r="G261" s="3">
        <f t="shared" ca="1" si="45"/>
        <v>7.4777641828789978</v>
      </c>
      <c r="H261" s="4">
        <f t="shared" ca="1" si="46"/>
        <v>11.119838320257253</v>
      </c>
      <c r="I261" s="4">
        <f t="shared" ca="1" si="47"/>
        <v>196.6401866842908</v>
      </c>
      <c r="J261" s="26">
        <f ca="1">RANDBETWEEN(ranges!J$2*1000,ranges!J$3*1000)/1000</f>
        <v>0.72299999999999998</v>
      </c>
      <c r="K261" s="26">
        <f ca="1">RANDBETWEEN(ranges!K$2*1000,ranges!K$3*1000)/1000</f>
        <v>0.94599999999999995</v>
      </c>
      <c r="L261">
        <f t="shared" ca="1" si="48"/>
        <v>89.718691908799542</v>
      </c>
      <c r="M261">
        <f t="shared" ca="1" si="49"/>
        <v>16.8598468648097</v>
      </c>
      <c r="N261" s="4">
        <f t="shared" ca="1" si="50"/>
        <v>6.2391397223396163</v>
      </c>
      <c r="O261" s="4"/>
      <c r="P261" s="1">
        <f ca="1">LOOKUP(B261,geomorph!$A:$A,geomorph!$G:$G)</f>
        <v>105.30084100000001</v>
      </c>
      <c r="Q261" s="1">
        <f t="shared" ca="1" si="51"/>
        <v>122.1606878648097</v>
      </c>
    </row>
    <row r="262" spans="2:17" x14ac:dyDescent="0.3">
      <c r="B262" s="6">
        <f ca="1">RANDBETWEEN(ranges!B$2,ranges!B$3)</f>
        <v>13196</v>
      </c>
      <c r="C262" s="9">
        <f ca="1">LOOKUP(B262,geomorph!A:A,geomorph!B:B)</f>
        <v>1162.3</v>
      </c>
      <c r="D262">
        <f t="shared" si="44"/>
        <v>1.13E-4</v>
      </c>
      <c r="E262" s="9">
        <f ca="1">'[2]Q_GEV(random)'!$J262</f>
        <v>12432.082181491522</v>
      </c>
      <c r="F262" s="26">
        <f ca="1">RANDBETWEEN(ranges!F$2*1000,ranges!F$3*1000)/1000</f>
        <v>0.1</v>
      </c>
      <c r="G262" s="3">
        <f t="shared" ca="1" si="45"/>
        <v>10.696104432153078</v>
      </c>
      <c r="H262" s="4">
        <f t="shared" ca="1" si="46"/>
        <v>13.716992030752273</v>
      </c>
      <c r="I262" s="4">
        <f t="shared" ca="1" si="47"/>
        <v>357.17594475619865</v>
      </c>
      <c r="J262" s="26">
        <f ca="1">RANDBETWEEN(ranges!J$2*1000,ranges!J$3*1000)/1000</f>
        <v>0.60699999999999998</v>
      </c>
      <c r="K262" s="26">
        <f ca="1">RANDBETWEEN(ranges!K$2*1000,ranges!K$3*1000)/1000</f>
        <v>0.85099999999999998</v>
      </c>
      <c r="L262">
        <f t="shared" ca="1" si="48"/>
        <v>144.49680188341392</v>
      </c>
      <c r="M262">
        <f t="shared" ca="1" si="49"/>
        <v>18.978195509687396</v>
      </c>
      <c r="N262" s="4">
        <f t="shared" ca="1" si="50"/>
        <v>5.7186994336251331</v>
      </c>
      <c r="O262" s="4"/>
      <c r="P262" s="1">
        <f ca="1">LOOKUP(B262,geomorph!$A:$A,geomorph!$G:$G)</f>
        <v>105.035291</v>
      </c>
      <c r="Q262" s="1">
        <f t="shared" ca="1" si="51"/>
        <v>124.0134865096874</v>
      </c>
    </row>
    <row r="263" spans="2:17" x14ac:dyDescent="0.3">
      <c r="B263" s="6">
        <f ca="1">RANDBETWEEN(ranges!B$2,ranges!B$3)</f>
        <v>10600</v>
      </c>
      <c r="C263" s="9">
        <f ca="1">LOOKUP(B263,geomorph!A:A,geomorph!B:B)</f>
        <v>1740.5</v>
      </c>
      <c r="D263">
        <f t="shared" si="44"/>
        <v>1.13E-4</v>
      </c>
      <c r="E263" s="9">
        <f ca="1">'[2]Q_GEV(random)'!$J263</f>
        <v>12411.823079853855</v>
      </c>
      <c r="F263" s="26">
        <f ca="1">RANDBETWEEN(ranges!F$2*1000,ranges!F$3*1000)/1000</f>
        <v>9.6000000000000002E-2</v>
      </c>
      <c r="G263" s="3">
        <f t="shared" ca="1" si="45"/>
        <v>7.1311824647249962</v>
      </c>
      <c r="H263" s="4">
        <f t="shared" ca="1" si="46"/>
        <v>10.326977723483655</v>
      </c>
      <c r="I263" s="4">
        <f t="shared" ca="1" si="47"/>
        <v>182.03309583364671</v>
      </c>
      <c r="J263" s="26">
        <f ca="1">RANDBETWEEN(ranges!J$2*1000,ranges!J$3*1000)/1000</f>
        <v>0.78700000000000003</v>
      </c>
      <c r="K263" s="26">
        <f ca="1">RANDBETWEEN(ranges!K$2*1000,ranges!K$3*1000)/1000</f>
        <v>0.92100000000000004</v>
      </c>
      <c r="L263">
        <f t="shared" ca="1" si="48"/>
        <v>80.019163826338129</v>
      </c>
      <c r="M263">
        <f t="shared" ca="1" si="49"/>
        <v>15.73788907429079</v>
      </c>
      <c r="N263" s="4">
        <f t="shared" ca="1" si="50"/>
        <v>5.8814253813121029</v>
      </c>
      <c r="O263" s="4"/>
      <c r="P263" s="1">
        <f ca="1">LOOKUP(B263,geomorph!$A:$A,geomorph!$G:$G)</f>
        <v>105.327961</v>
      </c>
      <c r="Q263" s="1">
        <f t="shared" ca="1" si="51"/>
        <v>121.06585007429079</v>
      </c>
    </row>
    <row r="264" spans="2:17" x14ac:dyDescent="0.3">
      <c r="B264" s="6">
        <f ca="1">RANDBETWEEN(ranges!B$2,ranges!B$3)</f>
        <v>14274</v>
      </c>
      <c r="C264" s="9">
        <f ca="1">LOOKUP(B264,geomorph!A:A,geomorph!B:B)</f>
        <v>1336.7</v>
      </c>
      <c r="D264">
        <f t="shared" si="44"/>
        <v>1.13E-4</v>
      </c>
      <c r="E264" s="9">
        <f ca="1">'[2]Q_GEV(random)'!$J264</f>
        <v>12409.518766870446</v>
      </c>
      <c r="F264" s="26">
        <f ca="1">RANDBETWEEN(ranges!F$2*1000,ranges!F$3*1000)/1000</f>
        <v>0.10199999999999999</v>
      </c>
      <c r="G264" s="3">
        <f t="shared" ca="1" si="45"/>
        <v>9.2836977383634665</v>
      </c>
      <c r="H264" s="4">
        <f t="shared" ca="1" si="46"/>
        <v>12.563843421002062</v>
      </c>
      <c r="I264" s="4">
        <f t="shared" ca="1" si="47"/>
        <v>282.59429946451002</v>
      </c>
      <c r="J264" s="26">
        <f ca="1">RANDBETWEEN(ranges!J$2*1000,ranges!J$3*1000)/1000</f>
        <v>0.79500000000000004</v>
      </c>
      <c r="K264" s="26">
        <f ca="1">RANDBETWEEN(ranges!K$2*1000,ranges!K$3*1000)/1000</f>
        <v>0.85699999999999998</v>
      </c>
      <c r="L264">
        <f t="shared" ca="1" si="48"/>
        <v>114.29017566182743</v>
      </c>
      <c r="M264">
        <f t="shared" ca="1" si="49"/>
        <v>17.263199592209613</v>
      </c>
      <c r="N264" s="4">
        <f t="shared" ca="1" si="50"/>
        <v>5.1079958382690771</v>
      </c>
      <c r="O264" s="4"/>
      <c r="P264" s="1">
        <f ca="1">LOOKUP(B264,geomorph!$A:$A,geomorph!$G:$G)</f>
        <v>104.913251</v>
      </c>
      <c r="Q264" s="1">
        <f t="shared" ca="1" si="51"/>
        <v>122.17645059220962</v>
      </c>
    </row>
    <row r="265" spans="2:17" x14ac:dyDescent="0.3">
      <c r="B265" s="6">
        <f ca="1">RANDBETWEEN(ranges!B$2,ranges!B$3)</f>
        <v>12823</v>
      </c>
      <c r="C265" s="9">
        <f ca="1">LOOKUP(B265,geomorph!A:A,geomorph!B:B)</f>
        <v>1132.3</v>
      </c>
      <c r="D265">
        <f t="shared" si="44"/>
        <v>1.13E-4</v>
      </c>
      <c r="E265" s="9">
        <f ca="1">'[2]Q_GEV(random)'!$J265</f>
        <v>12390.115939260708</v>
      </c>
      <c r="F265" s="26">
        <f ca="1">RANDBETWEEN(ranges!F$2*1000,ranges!F$3*1000)/1000</f>
        <v>9.5000000000000001E-2</v>
      </c>
      <c r="G265" s="3">
        <f t="shared" ca="1" si="45"/>
        <v>10.942432163967773</v>
      </c>
      <c r="H265" s="4">
        <f t="shared" ca="1" si="46"/>
        <v>13.690697468193846</v>
      </c>
      <c r="I265" s="4">
        <f t="shared" ca="1" si="47"/>
        <v>372.24689587448148</v>
      </c>
      <c r="J265" s="26">
        <f ca="1">RANDBETWEEN(ranges!J$2*1000,ranges!J$3*1000)/1000</f>
        <v>0.72499999999999998</v>
      </c>
      <c r="K265" s="26">
        <f ca="1">RANDBETWEEN(ranges!K$2*1000,ranges!K$3*1000)/1000</f>
        <v>0.93100000000000005</v>
      </c>
      <c r="L265">
        <f t="shared" ca="1" si="48"/>
        <v>144.19832778181134</v>
      </c>
      <c r="M265">
        <f t="shared" ca="1" si="49"/>
        <v>18.450161619849982</v>
      </c>
      <c r="N265" s="4">
        <f t="shared" ca="1" si="50"/>
        <v>5.1733305996262349</v>
      </c>
      <c r="O265" s="4"/>
      <c r="P265" s="1">
        <f ca="1">LOOKUP(B265,geomorph!$A:$A,geomorph!$G:$G)</f>
        <v>105.077101</v>
      </c>
      <c r="Q265" s="1">
        <f t="shared" ca="1" si="51"/>
        <v>123.52726261984998</v>
      </c>
    </row>
    <row r="266" spans="2:17" x14ac:dyDescent="0.3">
      <c r="B266" s="6">
        <f ca="1">RANDBETWEEN(ranges!B$2,ranges!B$3)</f>
        <v>14220</v>
      </c>
      <c r="C266" s="9">
        <f ca="1">LOOKUP(B266,geomorph!A:A,geomorph!B:B)</f>
        <v>1319.5</v>
      </c>
      <c r="D266">
        <f t="shared" si="44"/>
        <v>1.13E-4</v>
      </c>
      <c r="E266" s="9">
        <f ca="1">'[2]Q_GEV(random)'!$J266</f>
        <v>12382.786835280674</v>
      </c>
      <c r="F266" s="26">
        <f ca="1">RANDBETWEEN(ranges!F$2*1000,ranges!F$3*1000)/1000</f>
        <v>0.1</v>
      </c>
      <c r="G266" s="3">
        <f t="shared" ca="1" si="45"/>
        <v>9.3844538349986166</v>
      </c>
      <c r="H266" s="4">
        <f t="shared" ca="1" si="46"/>
        <v>12.571327238158212</v>
      </c>
      <c r="I266" s="4">
        <f t="shared" ca="1" si="47"/>
        <v>288.34557465186458</v>
      </c>
      <c r="J266" s="26">
        <f ca="1">RANDBETWEEN(ranges!J$2*1000,ranges!J$3*1000)/1000</f>
        <v>0.76200000000000001</v>
      </c>
      <c r="K266" s="26">
        <f ca="1">RANDBETWEEN(ranges!K$2*1000,ranges!K$3*1000)/1000</f>
        <v>0.98399999999999999</v>
      </c>
      <c r="L266">
        <f t="shared" ca="1" si="48"/>
        <v>118.04609569640658</v>
      </c>
      <c r="M266">
        <f t="shared" ca="1" si="49"/>
        <v>17.601086029669158</v>
      </c>
      <c r="N266" s="4">
        <f t="shared" ca="1" si="50"/>
        <v>5.4671291212075506</v>
      </c>
      <c r="O266" s="4"/>
      <c r="P266" s="1">
        <f ca="1">LOOKUP(B266,geomorph!$A:$A,geomorph!$G:$G)</f>
        <v>104.91890100000001</v>
      </c>
      <c r="Q266" s="1">
        <f t="shared" ca="1" si="51"/>
        <v>122.51998702966917</v>
      </c>
    </row>
    <row r="267" spans="2:17" x14ac:dyDescent="0.3">
      <c r="B267" s="6">
        <f ca="1">RANDBETWEEN(ranges!B$2,ranges!B$3)</f>
        <v>12241</v>
      </c>
      <c r="C267" s="9">
        <f ca="1">LOOKUP(B267,geomorph!A:A,geomorph!B:B)</f>
        <v>1279.4000000000001</v>
      </c>
      <c r="D267">
        <f t="shared" ref="D267:D330" si="52">D266</f>
        <v>1.13E-4</v>
      </c>
      <c r="E267" s="9">
        <f ca="1">'[2]Q_GEV(random)'!$J267</f>
        <v>12371.467703208038</v>
      </c>
      <c r="F267" s="26">
        <f ca="1">RANDBETWEEN(ranges!F$2*1000,ranges!F$3*1000)/1000</f>
        <v>9.5000000000000001E-2</v>
      </c>
      <c r="G267" s="3">
        <f t="shared" ref="G267:G330" ca="1" si="53">E267/C267</f>
        <v>9.6697418346162554</v>
      </c>
      <c r="H267" s="4">
        <f t="shared" ref="H267:H330" ca="1" si="54">POWER(G267/SQRT(4*9.807*D267/F267),2/3)</f>
        <v>12.607420877831256</v>
      </c>
      <c r="I267" s="4">
        <f t="shared" ref="I267:I330" ca="1" si="55">POWER(G267*G267/9.807/D267,1/3)/C267/D267</f>
        <v>303.37998353262822</v>
      </c>
      <c r="J267" s="26">
        <f ca="1">RANDBETWEEN(ranges!J$2*1000,ranges!J$3*1000)/1000</f>
        <v>0.71499999999999997</v>
      </c>
      <c r="K267" s="26">
        <f ca="1">RANDBETWEEN(ranges!K$2*1000,ranges!K$3*1000)/1000</f>
        <v>0.9</v>
      </c>
      <c r="L267">
        <f t="shared" ref="L267:L330" ca="1" si="56">0.63*POWER(F267,1/3)*I267+5.75*(1+SQRT(1+0.11*J267*POWER(F267,1/3)*K267*I267))/J267</f>
        <v>121.67944275710855</v>
      </c>
      <c r="M267">
        <f t="shared" ref="M267:M330" ca="1" si="57">L267*C267*D267</f>
        <v>17.59146473416925</v>
      </c>
      <c r="N267" s="4">
        <f t="shared" ref="N267:N330" ca="1" si="58">(M267-H267)/0.92</f>
        <v>5.4174389742804285</v>
      </c>
      <c r="O267" s="4"/>
      <c r="P267" s="1">
        <f ca="1">LOOKUP(B267,geomorph!$A:$A,geomorph!$G:$G)</f>
        <v>105.142641</v>
      </c>
      <c r="Q267" s="1">
        <f t="shared" ref="Q267:Q330" ca="1" si="59">M267+P267</f>
        <v>122.73410573416925</v>
      </c>
    </row>
    <row r="268" spans="2:17" x14ac:dyDescent="0.3">
      <c r="B268" s="6">
        <f ca="1">RANDBETWEEN(ranges!B$2,ranges!B$3)</f>
        <v>12122</v>
      </c>
      <c r="C268" s="9">
        <f ca="1">LOOKUP(B268,geomorph!A:A,geomorph!B:B)</f>
        <v>1312.4</v>
      </c>
      <c r="D268">
        <f t="shared" si="52"/>
        <v>1.13E-4</v>
      </c>
      <c r="E268" s="9">
        <f ca="1">'[2]Q_GEV(random)'!$J268</f>
        <v>12345.17178264715</v>
      </c>
      <c r="F268" s="26">
        <f ca="1">RANDBETWEEN(ranges!F$2*1000,ranges!F$3*1000)/1000</f>
        <v>0.105</v>
      </c>
      <c r="G268" s="3">
        <f t="shared" ca="1" si="53"/>
        <v>9.4065618581584491</v>
      </c>
      <c r="H268" s="4">
        <f t="shared" ca="1" si="54"/>
        <v>12.797510862347643</v>
      </c>
      <c r="I268" s="4">
        <f t="shared" ca="1" si="55"/>
        <v>290.36063604369735</v>
      </c>
      <c r="J268" s="26">
        <f ca="1">RANDBETWEEN(ranges!J$2*1000,ranges!J$3*1000)/1000</f>
        <v>0.75</v>
      </c>
      <c r="K268" s="26">
        <f ca="1">RANDBETWEEN(ranges!K$2*1000,ranges!K$3*1000)/1000</f>
        <v>0.82699999999999996</v>
      </c>
      <c r="L268">
        <f t="shared" ca="1" si="56"/>
        <v>118.62613804828734</v>
      </c>
      <c r="M268">
        <f t="shared" ca="1" si="57"/>
        <v>17.592398623926673</v>
      </c>
      <c r="N268" s="4">
        <f t="shared" ca="1" si="58"/>
        <v>5.211834523455467</v>
      </c>
      <c r="O268" s="4"/>
      <c r="P268" s="1">
        <f ca="1">LOOKUP(B268,geomorph!$A:$A,geomorph!$G:$G)</f>
        <v>105.15620100000001</v>
      </c>
      <c r="Q268" s="1">
        <f t="shared" ca="1" si="59"/>
        <v>122.74859962392668</v>
      </c>
    </row>
    <row r="269" spans="2:17" x14ac:dyDescent="0.3">
      <c r="B269" s="6">
        <f ca="1">RANDBETWEEN(ranges!B$2,ranges!B$3)</f>
        <v>11473</v>
      </c>
      <c r="C269" s="9">
        <f ca="1">LOOKUP(B269,geomorph!A:A,geomorph!B:B)</f>
        <v>1498.4</v>
      </c>
      <c r="D269">
        <f t="shared" si="52"/>
        <v>1.13E-4</v>
      </c>
      <c r="E269" s="9">
        <f ca="1">'[2]Q_GEV(random)'!$J269</f>
        <v>12343.531912617495</v>
      </c>
      <c r="F269" s="26">
        <f ca="1">RANDBETWEEN(ranges!F$2*1000,ranges!F$3*1000)/1000</f>
        <v>0.105</v>
      </c>
      <c r="G269" s="3">
        <f t="shared" ca="1" si="53"/>
        <v>8.2378082705669335</v>
      </c>
      <c r="H269" s="4">
        <f t="shared" ca="1" si="54"/>
        <v>11.714201302182694</v>
      </c>
      <c r="I269" s="4">
        <f t="shared" ca="1" si="55"/>
        <v>232.7894919209572</v>
      </c>
      <c r="J269" s="26">
        <f ca="1">RANDBETWEEN(ranges!J$2*1000,ranges!J$3*1000)/1000</f>
        <v>0.77900000000000003</v>
      </c>
      <c r="K269" s="26">
        <f ca="1">RANDBETWEEN(ranges!K$2*1000,ranges!K$3*1000)/1000</f>
        <v>0.83899999999999997</v>
      </c>
      <c r="L269">
        <f t="shared" ca="1" si="56"/>
        <v>98.584689747171041</v>
      </c>
      <c r="M269">
        <f t="shared" ca="1" si="57"/>
        <v>16.692280800239203</v>
      </c>
      <c r="N269" s="4">
        <f t="shared" ca="1" si="58"/>
        <v>5.4109559761483794</v>
      </c>
      <c r="O269" s="4"/>
      <c r="P269" s="1">
        <f ca="1">LOOKUP(B269,geomorph!$A:$A,geomorph!$G:$G)</f>
        <v>105.229651</v>
      </c>
      <c r="Q269" s="1">
        <f t="shared" ca="1" si="59"/>
        <v>121.92193180023921</v>
      </c>
    </row>
    <row r="270" spans="2:17" x14ac:dyDescent="0.3">
      <c r="B270" s="6">
        <f ca="1">RANDBETWEEN(ranges!B$2,ranges!B$3)</f>
        <v>12259</v>
      </c>
      <c r="C270" s="9">
        <f ca="1">LOOKUP(B270,geomorph!A:A,geomorph!B:B)</f>
        <v>1276.7</v>
      </c>
      <c r="D270">
        <f t="shared" si="52"/>
        <v>1.13E-4</v>
      </c>
      <c r="E270" s="9">
        <f ca="1">'[2]Q_GEV(random)'!$J270</f>
        <v>12328.049584122431</v>
      </c>
      <c r="F270" s="26">
        <f ca="1">RANDBETWEEN(ranges!F$2*1000,ranges!F$3*1000)/1000</f>
        <v>0.104</v>
      </c>
      <c r="G270" s="3">
        <f t="shared" ca="1" si="53"/>
        <v>9.6561835859030545</v>
      </c>
      <c r="H270" s="4">
        <f t="shared" ca="1" si="54"/>
        <v>12.981451420508693</v>
      </c>
      <c r="I270" s="4">
        <f t="shared" ca="1" si="55"/>
        <v>303.73732787838435</v>
      </c>
      <c r="J270" s="26">
        <f ca="1">RANDBETWEEN(ranges!J$2*1000,ranges!J$3*1000)/1000</f>
        <v>0.64</v>
      </c>
      <c r="K270" s="26">
        <f ca="1">RANDBETWEEN(ranges!K$2*1000,ranges!K$3*1000)/1000</f>
        <v>0.99299999999999999</v>
      </c>
      <c r="L270">
        <f t="shared" ca="1" si="56"/>
        <v>128.75006743001563</v>
      </c>
      <c r="M270">
        <f t="shared" ca="1" si="57"/>
        <v>18.574398852932809</v>
      </c>
      <c r="N270" s="4">
        <f t="shared" ca="1" si="58"/>
        <v>6.0792906874175179</v>
      </c>
      <c r="O270" s="4"/>
      <c r="P270" s="1">
        <f ca="1">LOOKUP(B270,geomorph!$A:$A,geomorph!$G:$G)</f>
        <v>105.14151100000001</v>
      </c>
      <c r="Q270" s="1">
        <f t="shared" ca="1" si="59"/>
        <v>123.71590985293281</v>
      </c>
    </row>
    <row r="271" spans="2:17" x14ac:dyDescent="0.3">
      <c r="B271" s="6">
        <f ca="1">RANDBETWEEN(ranges!B$2,ranges!B$3)</f>
        <v>12431</v>
      </c>
      <c r="C271" s="9">
        <f ca="1">LOOKUP(B271,geomorph!A:A,geomorph!B:B)</f>
        <v>1228.0999999999999</v>
      </c>
      <c r="D271">
        <f t="shared" si="52"/>
        <v>1.13E-4</v>
      </c>
      <c r="E271" s="9">
        <f ca="1">'[2]Q_GEV(random)'!$J271</f>
        <v>12325.194704432837</v>
      </c>
      <c r="F271" s="26">
        <f ca="1">RANDBETWEEN(ranges!F$2*1000,ranges!F$3*1000)/1000</f>
        <v>9.8000000000000004E-2</v>
      </c>
      <c r="G271" s="3">
        <f t="shared" ca="1" si="53"/>
        <v>10.035986242515136</v>
      </c>
      <c r="H271" s="4">
        <f t="shared" ca="1" si="54"/>
        <v>13.058416811467179</v>
      </c>
      <c r="I271" s="4">
        <f t="shared" ca="1" si="55"/>
        <v>323.98357283354977</v>
      </c>
      <c r="J271" s="26">
        <f ca="1">RANDBETWEEN(ranges!J$2*1000,ranges!J$3*1000)/1000</f>
        <v>0.64500000000000002</v>
      </c>
      <c r="K271" s="26">
        <f ca="1">RANDBETWEEN(ranges!K$2*1000,ranges!K$3*1000)/1000</f>
        <v>0.85599999999999998</v>
      </c>
      <c r="L271">
        <f t="shared" ca="1" si="56"/>
        <v>131.30998727422002</v>
      </c>
      <c r="M271">
        <f t="shared" ca="1" si="57"/>
        <v>18.222582876976066</v>
      </c>
      <c r="N271" s="4">
        <f t="shared" ca="1" si="58"/>
        <v>5.6132239842487897</v>
      </c>
      <c r="O271" s="4"/>
      <c r="P271" s="1">
        <f ca="1">LOOKUP(B271,geomorph!$A:$A,geomorph!$G:$G)</f>
        <v>105.121171</v>
      </c>
      <c r="Q271" s="1">
        <f t="shared" ca="1" si="59"/>
        <v>123.34375387697607</v>
      </c>
    </row>
    <row r="272" spans="2:17" x14ac:dyDescent="0.3">
      <c r="B272" s="6">
        <f ca="1">RANDBETWEEN(ranges!B$2,ranges!B$3)</f>
        <v>10589</v>
      </c>
      <c r="C272" s="9">
        <f ca="1">LOOKUP(B272,geomorph!A:A,geomorph!B:B)</f>
        <v>1746</v>
      </c>
      <c r="D272">
        <f t="shared" si="52"/>
        <v>1.13E-4</v>
      </c>
      <c r="E272" s="9">
        <f ca="1">'[2]Q_GEV(random)'!$J272</f>
        <v>12317.623409128037</v>
      </c>
      <c r="F272" s="26">
        <f ca="1">RANDBETWEEN(ranges!F$2*1000,ranges!F$3*1000)/1000</f>
        <v>9.9000000000000005E-2</v>
      </c>
      <c r="G272" s="3">
        <f t="shared" ca="1" si="53"/>
        <v>7.0547671300847865</v>
      </c>
      <c r="H272" s="4">
        <f t="shared" ca="1" si="54"/>
        <v>10.358780963328034</v>
      </c>
      <c r="I272" s="4">
        <f t="shared" ca="1" si="55"/>
        <v>180.16104796357337</v>
      </c>
      <c r="J272" s="26">
        <f ca="1">RANDBETWEEN(ranges!J$2*1000,ranges!J$3*1000)/1000</f>
        <v>0.64800000000000002</v>
      </c>
      <c r="K272" s="26">
        <f ca="1">RANDBETWEEN(ranges!K$2*1000,ranges!K$3*1000)/1000</f>
        <v>0.879</v>
      </c>
      <c r="L272">
        <f t="shared" ca="1" si="56"/>
        <v>83.513700940658893</v>
      </c>
      <c r="M272">
        <f t="shared" ca="1" si="57"/>
        <v>16.47708616819012</v>
      </c>
      <c r="N272" s="4">
        <f t="shared" ca="1" si="58"/>
        <v>6.6503317444153103</v>
      </c>
      <c r="O272" s="4"/>
      <c r="P272" s="1">
        <f ca="1">LOOKUP(B272,geomorph!$A:$A,geomorph!$G:$G)</f>
        <v>105.33022100000001</v>
      </c>
      <c r="Q272" s="1">
        <f t="shared" ca="1" si="59"/>
        <v>121.80730716819014</v>
      </c>
    </row>
    <row r="273" spans="2:17" x14ac:dyDescent="0.3">
      <c r="B273" s="6">
        <f ca="1">RANDBETWEEN(ranges!B$2,ranges!B$3)</f>
        <v>10841</v>
      </c>
      <c r="C273" s="9">
        <f ca="1">LOOKUP(B273,geomorph!A:A,geomorph!B:B)</f>
        <v>1663</v>
      </c>
      <c r="D273">
        <f t="shared" si="52"/>
        <v>1.13E-4</v>
      </c>
      <c r="E273" s="9">
        <f ca="1">'[2]Q_GEV(random)'!$J273</f>
        <v>12313.227189503392</v>
      </c>
      <c r="F273" s="26">
        <f ca="1">RANDBETWEEN(ranges!F$2*1000,ranges!F$3*1000)/1000</f>
        <v>9.2999999999999999E-2</v>
      </c>
      <c r="G273" s="3">
        <f t="shared" ca="1" si="53"/>
        <v>7.4042256100441319</v>
      </c>
      <c r="H273" s="4">
        <f t="shared" ca="1" si="54"/>
        <v>10.477456709438892</v>
      </c>
      <c r="I273" s="4">
        <f t="shared" ca="1" si="55"/>
        <v>195.34885198059445</v>
      </c>
      <c r="J273" s="26">
        <f ca="1">RANDBETWEEN(ranges!J$2*1000,ranges!J$3*1000)/1000</f>
        <v>0.70799999999999996</v>
      </c>
      <c r="K273" s="26">
        <f ca="1">RANDBETWEEN(ranges!K$2*1000,ranges!K$3*1000)/1000</f>
        <v>0.83099999999999996</v>
      </c>
      <c r="L273">
        <f t="shared" ca="1" si="56"/>
        <v>84.9458325877617</v>
      </c>
      <c r="M273">
        <f t="shared" ca="1" si="57"/>
        <v>15.962935914059591</v>
      </c>
      <c r="N273" s="4">
        <f t="shared" ca="1" si="58"/>
        <v>5.9624773963268467</v>
      </c>
      <c r="O273" s="4"/>
      <c r="P273" s="1">
        <f ca="1">LOOKUP(B273,geomorph!$A:$A,geomorph!$G:$G)</f>
        <v>105.30084100000001</v>
      </c>
      <c r="Q273" s="1">
        <f t="shared" ca="1" si="59"/>
        <v>121.26377691405959</v>
      </c>
    </row>
    <row r="274" spans="2:17" x14ac:dyDescent="0.3">
      <c r="B274" s="6">
        <f ca="1">RANDBETWEEN(ranges!B$2,ranges!B$3)</f>
        <v>14248</v>
      </c>
      <c r="C274" s="9">
        <f ca="1">LOOKUP(B274,geomorph!A:A,geomorph!B:B)</f>
        <v>1326.5</v>
      </c>
      <c r="D274">
        <f t="shared" si="52"/>
        <v>1.13E-4</v>
      </c>
      <c r="E274" s="9">
        <f ca="1">'[2]Q_GEV(random)'!$J274</f>
        <v>12291.710873445314</v>
      </c>
      <c r="F274" s="26">
        <f ca="1">RANDBETWEEN(ranges!F$2*1000,ranges!F$3*1000)/1000</f>
        <v>0.108</v>
      </c>
      <c r="G274" s="3">
        <f t="shared" ca="1" si="53"/>
        <v>9.2662728032003869</v>
      </c>
      <c r="H274" s="4">
        <f t="shared" ca="1" si="54"/>
        <v>12.789486358962474</v>
      </c>
      <c r="I274" s="4">
        <f t="shared" ca="1" si="55"/>
        <v>284.41084360361174</v>
      </c>
      <c r="J274" s="26">
        <f ca="1">RANDBETWEEN(ranges!J$2*1000,ranges!J$3*1000)/1000</f>
        <v>0.64400000000000002</v>
      </c>
      <c r="K274" s="26">
        <f ca="1">RANDBETWEEN(ranges!K$2*1000,ranges!K$3*1000)/1000</f>
        <v>0.88700000000000001</v>
      </c>
      <c r="L274">
        <f t="shared" ca="1" si="56"/>
        <v>121.79211358434154</v>
      </c>
      <c r="M274">
        <f t="shared" ca="1" si="57"/>
        <v>18.255967969668081</v>
      </c>
      <c r="N274" s="4">
        <f t="shared" ca="1" si="58"/>
        <v>5.9418278377234852</v>
      </c>
      <c r="O274" s="4"/>
      <c r="P274" s="1">
        <f ca="1">LOOKUP(B274,geomorph!$A:$A,geomorph!$G:$G)</f>
        <v>104.916641</v>
      </c>
      <c r="Q274" s="1">
        <f t="shared" ca="1" si="59"/>
        <v>123.17260896966808</v>
      </c>
    </row>
    <row r="275" spans="2:17" x14ac:dyDescent="0.3">
      <c r="B275" s="6">
        <f ca="1">RANDBETWEEN(ranges!B$2,ranges!B$3)</f>
        <v>14917</v>
      </c>
      <c r="C275" s="9">
        <f ca="1">LOOKUP(B275,geomorph!A:A,geomorph!B:B)</f>
        <v>1508.3</v>
      </c>
      <c r="D275">
        <f t="shared" si="52"/>
        <v>1.13E-4</v>
      </c>
      <c r="E275" s="9">
        <f ca="1">'[2]Q_GEV(random)'!$J275</f>
        <v>12291.669384151348</v>
      </c>
      <c r="F275" s="26">
        <f ca="1">RANDBETWEEN(ranges!F$2*1000,ranges!F$3*1000)/1000</f>
        <v>0.1</v>
      </c>
      <c r="G275" s="3">
        <f t="shared" ca="1" si="53"/>
        <v>8.1493531685681546</v>
      </c>
      <c r="H275" s="4">
        <f t="shared" ca="1" si="54"/>
        <v>11.44257820844801</v>
      </c>
      <c r="I275" s="4">
        <f t="shared" ca="1" si="55"/>
        <v>229.60308129134461</v>
      </c>
      <c r="J275" s="26">
        <f ca="1">RANDBETWEEN(ranges!J$2*1000,ranges!J$3*1000)/1000</f>
        <v>0.61499999999999999</v>
      </c>
      <c r="K275" s="26">
        <f ca="1">RANDBETWEEN(ranges!K$2*1000,ranges!K$3*1000)/1000</f>
        <v>0.86099999999999999</v>
      </c>
      <c r="L275">
        <f t="shared" ca="1" si="56"/>
        <v>101.59076891069995</v>
      </c>
      <c r="M275">
        <f t="shared" ca="1" si="57"/>
        <v>17.314917312524987</v>
      </c>
      <c r="N275" s="4">
        <f t="shared" ca="1" si="58"/>
        <v>6.382977287040192</v>
      </c>
      <c r="O275" s="4"/>
      <c r="P275" s="1">
        <f ca="1">LOOKUP(B275,geomorph!$A:$A,geomorph!$G:$G)</f>
        <v>104.840931</v>
      </c>
      <c r="Q275" s="1">
        <f t="shared" ca="1" si="59"/>
        <v>122.15584831252498</v>
      </c>
    </row>
    <row r="276" spans="2:17" x14ac:dyDescent="0.3">
      <c r="B276" s="6">
        <f ca="1">RANDBETWEEN(ranges!B$2,ranges!B$3)</f>
        <v>12558</v>
      </c>
      <c r="C276" s="9">
        <f ca="1">LOOKUP(B276,geomorph!A:A,geomorph!B:B)</f>
        <v>1196.5999999999999</v>
      </c>
      <c r="D276">
        <f t="shared" si="52"/>
        <v>1.13E-4</v>
      </c>
      <c r="E276" s="9">
        <f ca="1">'[2]Q_GEV(random)'!$J276</f>
        <v>12288.777140056811</v>
      </c>
      <c r="F276" s="26">
        <f ca="1">RANDBETWEEN(ranges!F$2*1000,ranges!F$3*1000)/1000</f>
        <v>9.0999999999999998E-2</v>
      </c>
      <c r="G276" s="3">
        <f t="shared" ca="1" si="53"/>
        <v>10.269745228193893</v>
      </c>
      <c r="H276" s="4">
        <f t="shared" ca="1" si="54"/>
        <v>12.936854903527729</v>
      </c>
      <c r="I276" s="4">
        <f t="shared" ca="1" si="55"/>
        <v>337.65573584096205</v>
      </c>
      <c r="J276" s="26">
        <f ca="1">RANDBETWEEN(ranges!J$2*1000,ranges!J$3*1000)/1000</f>
        <v>0.63100000000000001</v>
      </c>
      <c r="K276" s="26">
        <f ca="1">RANDBETWEEN(ranges!K$2*1000,ranges!K$3*1000)/1000</f>
        <v>0.97</v>
      </c>
      <c r="L276">
        <f t="shared" ca="1" si="56"/>
        <v>135.32506092171076</v>
      </c>
      <c r="M276">
        <f t="shared" ca="1" si="57"/>
        <v>18.298086372577856</v>
      </c>
      <c r="N276" s="4">
        <f t="shared" ca="1" si="58"/>
        <v>5.8274255098370942</v>
      </c>
      <c r="O276" s="4"/>
      <c r="P276" s="1">
        <f ca="1">LOOKUP(B276,geomorph!$A:$A,geomorph!$G:$G)</f>
        <v>105.10761100000001</v>
      </c>
      <c r="Q276" s="1">
        <f t="shared" ca="1" si="59"/>
        <v>123.40569737257786</v>
      </c>
    </row>
    <row r="277" spans="2:17" x14ac:dyDescent="0.3">
      <c r="B277" s="6">
        <f ca="1">RANDBETWEEN(ranges!B$2,ranges!B$3)</f>
        <v>13555</v>
      </c>
      <c r="C277" s="9">
        <f ca="1">LOOKUP(B277,geomorph!A:A,geomorph!B:B)</f>
        <v>1215.2</v>
      </c>
      <c r="D277">
        <f t="shared" si="52"/>
        <v>1.13E-4</v>
      </c>
      <c r="E277" s="9">
        <f ca="1">'[2]Q_GEV(random)'!$J277</f>
        <v>12285.095254976161</v>
      </c>
      <c r="F277" s="26">
        <f ca="1">RANDBETWEEN(ranges!F$2*1000,ranges!F$3*1000)/1000</f>
        <v>0.10100000000000001</v>
      </c>
      <c r="G277" s="3">
        <f t="shared" ca="1" si="53"/>
        <v>10.109525390862542</v>
      </c>
      <c r="H277" s="4">
        <f t="shared" ca="1" si="54"/>
        <v>13.254685662157598</v>
      </c>
      <c r="I277" s="4">
        <f t="shared" ca="1" si="55"/>
        <v>329.02035577960578</v>
      </c>
      <c r="J277" s="26">
        <f ca="1">RANDBETWEEN(ranges!J$2*1000,ranges!J$3*1000)/1000</f>
        <v>0.749</v>
      </c>
      <c r="K277" s="26">
        <f ca="1">RANDBETWEEN(ranges!K$2*1000,ranges!K$3*1000)/1000</f>
        <v>0.80400000000000005</v>
      </c>
      <c r="L277">
        <f t="shared" ca="1" si="56"/>
        <v>129.8429783524827</v>
      </c>
      <c r="M277">
        <f t="shared" ca="1" si="57"/>
        <v>17.829726164214879</v>
      </c>
      <c r="N277" s="4">
        <f t="shared" ca="1" si="58"/>
        <v>4.9728701109318267</v>
      </c>
      <c r="O277" s="4"/>
      <c r="P277" s="1">
        <f ca="1">LOOKUP(B277,geomorph!$A:$A,geomorph!$G:$G)</f>
        <v>104.99461100000001</v>
      </c>
      <c r="Q277" s="1">
        <f t="shared" ca="1" si="59"/>
        <v>122.82433716421488</v>
      </c>
    </row>
    <row r="278" spans="2:17" x14ac:dyDescent="0.3">
      <c r="B278" s="6">
        <f ca="1">RANDBETWEEN(ranges!B$2,ranges!B$3)</f>
        <v>12441</v>
      </c>
      <c r="C278" s="9">
        <f ca="1">LOOKUP(B278,geomorph!A:A,geomorph!B:B)</f>
        <v>1225.5</v>
      </c>
      <c r="D278">
        <f t="shared" si="52"/>
        <v>1.13E-4</v>
      </c>
      <c r="E278" s="9">
        <f ca="1">'[2]Q_GEV(random)'!$J278</f>
        <v>12281.495190477646</v>
      </c>
      <c r="F278" s="26">
        <f ca="1">RANDBETWEEN(ranges!F$2*1000,ranges!F$3*1000)/1000</f>
        <v>0.09</v>
      </c>
      <c r="G278" s="3">
        <f t="shared" ca="1" si="53"/>
        <v>10.02161990247054</v>
      </c>
      <c r="H278" s="4">
        <f t="shared" ca="1" si="54"/>
        <v>12.680836928960625</v>
      </c>
      <c r="I278" s="4">
        <f t="shared" ca="1" si="55"/>
        <v>324.36101638046267</v>
      </c>
      <c r="J278" s="26">
        <f ca="1">RANDBETWEEN(ranges!J$2*1000,ranges!J$3*1000)/1000</f>
        <v>0.61499999999999999</v>
      </c>
      <c r="K278" s="26">
        <f ca="1">RANDBETWEEN(ranges!K$2*1000,ranges!K$3*1000)/1000</f>
        <v>0.94599999999999995</v>
      </c>
      <c r="L278">
        <f t="shared" ca="1" si="56"/>
        <v>130.93588223218683</v>
      </c>
      <c r="M278">
        <f t="shared" ca="1" si="57"/>
        <v>18.132197375336581</v>
      </c>
      <c r="N278" s="4">
        <f t="shared" ca="1" si="58"/>
        <v>5.9253917895390824</v>
      </c>
      <c r="O278" s="4"/>
      <c r="P278" s="1">
        <f ca="1">LOOKUP(B278,geomorph!$A:$A,geomorph!$G:$G)</f>
        <v>105.120041</v>
      </c>
      <c r="Q278" s="1">
        <f t="shared" ca="1" si="59"/>
        <v>123.25223837533659</v>
      </c>
    </row>
    <row r="279" spans="2:17" x14ac:dyDescent="0.3">
      <c r="B279" s="6">
        <f ca="1">RANDBETWEEN(ranges!B$2,ranges!B$3)</f>
        <v>14244</v>
      </c>
      <c r="C279" s="9">
        <f ca="1">LOOKUP(B279,geomorph!A:A,geomorph!B:B)</f>
        <v>1326.5</v>
      </c>
      <c r="D279">
        <f t="shared" si="52"/>
        <v>1.13E-4</v>
      </c>
      <c r="E279" s="9">
        <f ca="1">'[2]Q_GEV(random)'!$J279</f>
        <v>12280.887392105022</v>
      </c>
      <c r="F279" s="26">
        <f ca="1">RANDBETWEEN(ranges!F$2*1000,ranges!F$3*1000)/1000</f>
        <v>9.0999999999999998E-2</v>
      </c>
      <c r="G279" s="3">
        <f t="shared" ca="1" si="53"/>
        <v>9.258113375126289</v>
      </c>
      <c r="H279" s="4">
        <f t="shared" ca="1" si="54"/>
        <v>12.07268652312052</v>
      </c>
      <c r="I279" s="4">
        <f t="shared" ca="1" si="55"/>
        <v>284.24386020933355</v>
      </c>
      <c r="J279" s="26">
        <f ca="1">RANDBETWEEN(ranges!J$2*1000,ranges!J$3*1000)/1000</f>
        <v>0.70899999999999996</v>
      </c>
      <c r="K279" s="26">
        <f ca="1">RANDBETWEEN(ranges!K$2*1000,ranges!K$3*1000)/1000</f>
        <v>0.81299999999999994</v>
      </c>
      <c r="L279">
        <f t="shared" ca="1" si="56"/>
        <v>113.12988119192102</v>
      </c>
      <c r="M279">
        <f t="shared" ca="1" si="57"/>
        <v>16.957546976322401</v>
      </c>
      <c r="N279" s="4">
        <f t="shared" ca="1" si="58"/>
        <v>5.3096309273933491</v>
      </c>
      <c r="O279" s="4"/>
      <c r="P279" s="1">
        <f ca="1">LOOKUP(B279,geomorph!$A:$A,geomorph!$G:$G)</f>
        <v>104.916641</v>
      </c>
      <c r="Q279" s="1">
        <f t="shared" ca="1" si="59"/>
        <v>121.8741879763224</v>
      </c>
    </row>
    <row r="280" spans="2:17" x14ac:dyDescent="0.3">
      <c r="B280" s="6">
        <f ca="1">RANDBETWEEN(ranges!B$2,ranges!B$3)</f>
        <v>11162</v>
      </c>
      <c r="C280" s="9">
        <f ca="1">LOOKUP(B280,geomorph!A:A,geomorph!B:B)</f>
        <v>1676.1</v>
      </c>
      <c r="D280">
        <f t="shared" si="52"/>
        <v>1.13E-4</v>
      </c>
      <c r="E280" s="9">
        <f ca="1">'[2]Q_GEV(random)'!$J280</f>
        <v>12272.535965385656</v>
      </c>
      <c r="F280" s="26">
        <f ca="1">RANDBETWEEN(ranges!F$2*1000,ranges!F$3*1000)/1000</f>
        <v>0.11</v>
      </c>
      <c r="G280" s="3">
        <f t="shared" ca="1" si="53"/>
        <v>7.3220786142745995</v>
      </c>
      <c r="H280" s="4">
        <f t="shared" ca="1" si="54"/>
        <v>10.99838580560521</v>
      </c>
      <c r="I280" s="4">
        <f t="shared" ca="1" si="55"/>
        <v>192.38580096958168</v>
      </c>
      <c r="J280" s="26">
        <f ca="1">RANDBETWEEN(ranges!J$2*1000,ranges!J$3*1000)/1000</f>
        <v>0.68500000000000005</v>
      </c>
      <c r="K280" s="26">
        <f ca="1">RANDBETWEEN(ranges!K$2*1000,ranges!K$3*1000)/1000</f>
        <v>0.86699999999999999</v>
      </c>
      <c r="L280">
        <f t="shared" ca="1" si="56"/>
        <v>88.711341155740797</v>
      </c>
      <c r="M280">
        <f t="shared" ca="1" si="57"/>
        <v>16.801865916958498</v>
      </c>
      <c r="N280" s="4">
        <f t="shared" ca="1" si="58"/>
        <v>6.3081305558187912</v>
      </c>
      <c r="O280" s="4"/>
      <c r="P280" s="1">
        <f ca="1">LOOKUP(B280,geomorph!$A:$A,geomorph!$G:$G)</f>
        <v>105.264681</v>
      </c>
      <c r="Q280" s="1">
        <f t="shared" ca="1" si="59"/>
        <v>122.06654691695849</v>
      </c>
    </row>
    <row r="281" spans="2:17" x14ac:dyDescent="0.3">
      <c r="B281" s="6">
        <f ca="1">RANDBETWEEN(ranges!B$2,ranges!B$3)</f>
        <v>10100</v>
      </c>
      <c r="C281" s="9">
        <f ca="1">LOOKUP(B281,geomorph!A:A,geomorph!B:B)</f>
        <v>1600.5</v>
      </c>
      <c r="D281">
        <f t="shared" si="52"/>
        <v>1.13E-4</v>
      </c>
      <c r="E281" s="9">
        <f ca="1">'[2]Q_GEV(random)'!$J281</f>
        <v>12250.02820225663</v>
      </c>
      <c r="F281" s="26">
        <f ca="1">RANDBETWEEN(ranges!F$2*1000,ranges!F$3*1000)/1000</f>
        <v>9.5000000000000001E-2</v>
      </c>
      <c r="G281" s="3">
        <f t="shared" ca="1" si="53"/>
        <v>7.653875790225948</v>
      </c>
      <c r="H281" s="4">
        <f t="shared" ca="1" si="54"/>
        <v>10.787908935562582</v>
      </c>
      <c r="I281" s="4">
        <f t="shared" ca="1" si="55"/>
        <v>207.51457814280738</v>
      </c>
      <c r="J281" s="26">
        <f ca="1">RANDBETWEEN(ranges!J$2*1000,ranges!J$3*1000)/1000</f>
        <v>0.61599999999999999</v>
      </c>
      <c r="K281" s="26">
        <f ca="1">RANDBETWEEN(ranges!K$2*1000,ranges!K$3*1000)/1000</f>
        <v>0.91800000000000004</v>
      </c>
      <c r="L281">
        <f t="shared" ca="1" si="56"/>
        <v>93.488653864440806</v>
      </c>
      <c r="M281">
        <f t="shared" ca="1" si="57"/>
        <v>16.908030727634241</v>
      </c>
      <c r="N281" s="4">
        <f t="shared" ca="1" si="58"/>
        <v>6.6523062957300638</v>
      </c>
      <c r="O281" s="4"/>
      <c r="P281" s="1">
        <f ca="1">LOOKUP(B281,geomorph!$A:$A,geomorph!$G:$G)</f>
        <v>105.384461</v>
      </c>
      <c r="Q281" s="1">
        <f t="shared" ca="1" si="59"/>
        <v>122.29249172763424</v>
      </c>
    </row>
    <row r="282" spans="2:17" x14ac:dyDescent="0.3">
      <c r="B282" s="6">
        <f ca="1">RANDBETWEEN(ranges!B$2,ranges!B$3)</f>
        <v>13183</v>
      </c>
      <c r="C282" s="9">
        <f ca="1">LOOKUP(B282,geomorph!A:A,geomorph!B:B)</f>
        <v>1161</v>
      </c>
      <c r="D282">
        <f t="shared" si="52"/>
        <v>1.13E-4</v>
      </c>
      <c r="E282" s="9">
        <f ca="1">'[2]Q_GEV(random)'!$J282</f>
        <v>12243.672143571614</v>
      </c>
      <c r="F282" s="26">
        <f ca="1">RANDBETWEEN(ranges!F$2*1000,ranges!F$3*1000)/1000</f>
        <v>0.107</v>
      </c>
      <c r="G282" s="3">
        <f t="shared" ca="1" si="53"/>
        <v>10.54579857327443</v>
      </c>
      <c r="H282" s="4">
        <f t="shared" ca="1" si="54"/>
        <v>13.898119359929723</v>
      </c>
      <c r="I282" s="4">
        <f t="shared" ca="1" si="55"/>
        <v>354.21812389357325</v>
      </c>
      <c r="J282" s="26">
        <f ca="1">RANDBETWEEN(ranges!J$2*1000,ranges!J$3*1000)/1000</f>
        <v>0.79800000000000004</v>
      </c>
      <c r="K282" s="26">
        <f ca="1">RANDBETWEEN(ranges!K$2*1000,ranges!K$3*1000)/1000</f>
        <v>0.81899999999999995</v>
      </c>
      <c r="L282">
        <f t="shared" ca="1" si="56"/>
        <v>139.21780665903142</v>
      </c>
      <c r="M282">
        <f t="shared" ca="1" si="57"/>
        <v>18.264401709018312</v>
      </c>
      <c r="N282" s="4">
        <f t="shared" ca="1" si="58"/>
        <v>4.7459590750962928</v>
      </c>
      <c r="O282" s="4"/>
      <c r="P282" s="1">
        <f ca="1">LOOKUP(B282,geomorph!$A:$A,geomorph!$G:$G)</f>
        <v>105.036421</v>
      </c>
      <c r="Q282" s="1">
        <f t="shared" ca="1" si="59"/>
        <v>123.30082270901832</v>
      </c>
    </row>
    <row r="283" spans="2:17" x14ac:dyDescent="0.3">
      <c r="B283" s="6">
        <f ca="1">RANDBETWEEN(ranges!B$2,ranges!B$3)</f>
        <v>12246</v>
      </c>
      <c r="C283" s="9">
        <f ca="1">LOOKUP(B283,geomorph!A:A,geomorph!B:B)</f>
        <v>1279.4000000000001</v>
      </c>
      <c r="D283">
        <f t="shared" si="52"/>
        <v>1.13E-4</v>
      </c>
      <c r="E283" s="9">
        <f ca="1">'[2]Q_GEV(random)'!$J283</f>
        <v>12243.038575420942</v>
      </c>
      <c r="F283" s="26">
        <f ca="1">RANDBETWEEN(ranges!F$2*1000,ranges!F$3*1000)/1000</f>
        <v>0.10100000000000001</v>
      </c>
      <c r="G283" s="3">
        <f t="shared" ca="1" si="53"/>
        <v>9.5693595243246374</v>
      </c>
      <c r="H283" s="4">
        <f t="shared" ca="1" si="54"/>
        <v>12.77823396210502</v>
      </c>
      <c r="I283" s="4">
        <f t="shared" ca="1" si="55"/>
        <v>301.2767271687058</v>
      </c>
      <c r="J283" s="26">
        <f ca="1">RANDBETWEEN(ranges!J$2*1000,ranges!J$3*1000)/1000</f>
        <v>0.77500000000000002</v>
      </c>
      <c r="K283" s="26">
        <f ca="1">RANDBETWEEN(ranges!K$2*1000,ranges!K$3*1000)/1000</f>
        <v>0.82799999999999996</v>
      </c>
      <c r="L283">
        <f t="shared" ca="1" si="56"/>
        <v>120.31068138350403</v>
      </c>
      <c r="M283">
        <f t="shared" ca="1" si="57"/>
        <v>17.393579891112221</v>
      </c>
      <c r="N283" s="4">
        <f t="shared" ca="1" si="58"/>
        <v>5.0166803576165231</v>
      </c>
      <c r="O283" s="4"/>
      <c r="P283" s="1">
        <f ca="1">LOOKUP(B283,geomorph!$A:$A,geomorph!$G:$G)</f>
        <v>105.142641</v>
      </c>
      <c r="Q283" s="1">
        <f t="shared" ca="1" si="59"/>
        <v>122.53622089111222</v>
      </c>
    </row>
    <row r="284" spans="2:17" x14ac:dyDescent="0.3">
      <c r="B284" s="6">
        <f ca="1">RANDBETWEEN(ranges!B$2,ranges!B$3)</f>
        <v>13921</v>
      </c>
      <c r="C284" s="9">
        <f ca="1">LOOKUP(B284,geomorph!A:A,geomorph!B:B)</f>
        <v>1307.7</v>
      </c>
      <c r="D284">
        <f t="shared" si="52"/>
        <v>1.13E-4</v>
      </c>
      <c r="E284" s="9">
        <f ca="1">'[2]Q_GEV(random)'!$J284</f>
        <v>12211.864486859315</v>
      </c>
      <c r="F284" s="26">
        <f ca="1">RANDBETWEEN(ranges!F$2*1000,ranges!F$3*1000)/1000</f>
        <v>0.10100000000000001</v>
      </c>
      <c r="G284" s="3">
        <f t="shared" ca="1" si="53"/>
        <v>9.3384296756590306</v>
      </c>
      <c r="H284" s="4">
        <f t="shared" ca="1" si="54"/>
        <v>12.571820058658881</v>
      </c>
      <c r="I284" s="4">
        <f t="shared" ca="1" si="55"/>
        <v>289.99541283955267</v>
      </c>
      <c r="J284" s="26">
        <f ca="1">RANDBETWEEN(ranges!J$2*1000,ranges!J$3*1000)/1000</f>
        <v>0.70599999999999996</v>
      </c>
      <c r="K284" s="26">
        <f ca="1">RANDBETWEEN(ranges!K$2*1000,ranges!K$3*1000)/1000</f>
        <v>0.94199999999999995</v>
      </c>
      <c r="L284">
        <f t="shared" ca="1" si="56"/>
        <v>120.09082921288272</v>
      </c>
      <c r="M284">
        <f t="shared" ca="1" si="57"/>
        <v>17.745833841870603</v>
      </c>
      <c r="N284" s="4">
        <f t="shared" ca="1" si="58"/>
        <v>5.623928025230132</v>
      </c>
      <c r="O284" s="4"/>
      <c r="P284" s="1">
        <f ca="1">LOOKUP(B284,geomorph!$A:$A,geomorph!$G:$G)</f>
        <v>104.95280100000001</v>
      </c>
      <c r="Q284" s="1">
        <f t="shared" ca="1" si="59"/>
        <v>122.69863484187061</v>
      </c>
    </row>
    <row r="285" spans="2:17" x14ac:dyDescent="0.3">
      <c r="B285" s="6">
        <f ca="1">RANDBETWEEN(ranges!B$2,ranges!B$3)</f>
        <v>14148</v>
      </c>
      <c r="C285" s="9">
        <f ca="1">LOOKUP(B285,geomorph!A:A,geomorph!B:B)</f>
        <v>1361.8</v>
      </c>
      <c r="D285">
        <f t="shared" si="52"/>
        <v>1.13E-4</v>
      </c>
      <c r="E285" s="9">
        <f ca="1">'[2]Q_GEV(random)'!$J285</f>
        <v>12205.056524297972</v>
      </c>
      <c r="F285" s="26">
        <f ca="1">RANDBETWEEN(ranges!F$2*1000,ranges!F$3*1000)/1000</f>
        <v>9.9000000000000005E-2</v>
      </c>
      <c r="G285" s="3">
        <f t="shared" ca="1" si="53"/>
        <v>8.9624442093537766</v>
      </c>
      <c r="H285" s="4">
        <f t="shared" ca="1" si="54"/>
        <v>12.150789717067561</v>
      </c>
      <c r="I285" s="4">
        <f t="shared" ca="1" si="55"/>
        <v>270.94906950797792</v>
      </c>
      <c r="J285" s="26">
        <f ca="1">RANDBETWEEN(ranges!J$2*1000,ranges!J$3*1000)/1000</f>
        <v>0.624</v>
      </c>
      <c r="K285" s="26">
        <f ca="1">RANDBETWEEN(ranges!K$2*1000,ranges!K$3*1000)/1000</f>
        <v>0.90400000000000003</v>
      </c>
      <c r="L285">
        <f t="shared" ca="1" si="56"/>
        <v>115.48122857255404</v>
      </c>
      <c r="M285">
        <f t="shared" ca="1" si="57"/>
        <v>17.77064408892176</v>
      </c>
      <c r="N285" s="4">
        <f t="shared" ca="1" si="58"/>
        <v>6.108537360711086</v>
      </c>
      <c r="O285" s="4"/>
      <c r="P285" s="1">
        <f ca="1">LOOKUP(B285,geomorph!$A:$A,geomorph!$G:$G)</f>
        <v>104.927941</v>
      </c>
      <c r="Q285" s="1">
        <f t="shared" ca="1" si="59"/>
        <v>122.69858508892176</v>
      </c>
    </row>
    <row r="286" spans="2:17" x14ac:dyDescent="0.3">
      <c r="B286" s="6">
        <f ca="1">RANDBETWEEN(ranges!B$2,ranges!B$3)</f>
        <v>14575</v>
      </c>
      <c r="C286" s="9">
        <f ca="1">LOOKUP(B286,geomorph!A:A,geomorph!B:B)</f>
        <v>1418</v>
      </c>
      <c r="D286">
        <f t="shared" si="52"/>
        <v>1.13E-4</v>
      </c>
      <c r="E286" s="9">
        <f ca="1">'[2]Q_GEV(random)'!$J286</f>
        <v>12197.656770689167</v>
      </c>
      <c r="F286" s="26">
        <f ca="1">RANDBETWEEN(ranges!F$2*1000,ranges!F$3*1000)/1000</f>
        <v>9.2999999999999999E-2</v>
      </c>
      <c r="G286" s="3">
        <f t="shared" ca="1" si="53"/>
        <v>8.6020146478767057</v>
      </c>
      <c r="H286" s="4">
        <f t="shared" ca="1" si="54"/>
        <v>11.578960293414132</v>
      </c>
      <c r="I286" s="4">
        <f t="shared" ca="1" si="55"/>
        <v>253.18651517374747</v>
      </c>
      <c r="J286" s="26">
        <f ca="1">RANDBETWEEN(ranges!J$2*1000,ranges!J$3*1000)/1000</f>
        <v>0.61799999999999999</v>
      </c>
      <c r="K286" s="26">
        <f ca="1">RANDBETWEEN(ranges!K$2*1000,ranges!K$3*1000)/1000</f>
        <v>0.99299999999999999</v>
      </c>
      <c r="L286">
        <f t="shared" ca="1" si="56"/>
        <v>109.08339436061681</v>
      </c>
      <c r="M286">
        <f t="shared" ca="1" si="57"/>
        <v>17.478868611979074</v>
      </c>
      <c r="N286" s="4">
        <f t="shared" ca="1" si="58"/>
        <v>6.41294382452711</v>
      </c>
      <c r="O286" s="4"/>
      <c r="P286" s="1">
        <f ca="1">LOOKUP(B286,geomorph!$A:$A,geomorph!$G:$G)</f>
        <v>104.879351</v>
      </c>
      <c r="Q286" s="1">
        <f t="shared" ca="1" si="59"/>
        <v>122.35821961197908</v>
      </c>
    </row>
    <row r="287" spans="2:17" x14ac:dyDescent="0.3">
      <c r="B287" s="6">
        <f ca="1">RANDBETWEEN(ranges!B$2,ranges!B$3)</f>
        <v>13379</v>
      </c>
      <c r="C287" s="9">
        <f ca="1">LOOKUP(B287,geomorph!A:A,geomorph!B:B)</f>
        <v>1182.4000000000001</v>
      </c>
      <c r="D287">
        <f t="shared" si="52"/>
        <v>1.13E-4</v>
      </c>
      <c r="E287" s="9">
        <f ca="1">'[2]Q_GEV(random)'!$J287</f>
        <v>12194.349794553107</v>
      </c>
      <c r="F287" s="26">
        <f ca="1">RANDBETWEEN(ranges!F$2*1000,ranges!F$3*1000)/1000</f>
        <v>9.8000000000000004E-2</v>
      </c>
      <c r="G287" s="3">
        <f t="shared" ca="1" si="53"/>
        <v>10.313218703106484</v>
      </c>
      <c r="H287" s="4">
        <f t="shared" ca="1" si="54"/>
        <v>13.297805410810939</v>
      </c>
      <c r="I287" s="4">
        <f t="shared" ca="1" si="55"/>
        <v>342.67446827996355</v>
      </c>
      <c r="J287" s="26">
        <f ca="1">RANDBETWEEN(ranges!J$2*1000,ranges!J$3*1000)/1000</f>
        <v>0.78700000000000003</v>
      </c>
      <c r="K287" s="26">
        <f ca="1">RANDBETWEEN(ranges!K$2*1000,ranges!K$3*1000)/1000</f>
        <v>0.998</v>
      </c>
      <c r="L287">
        <f t="shared" ca="1" si="56"/>
        <v>134.80307664528328</v>
      </c>
      <c r="M287">
        <f t="shared" ca="1" si="57"/>
        <v>18.011200834268276</v>
      </c>
      <c r="N287" s="4">
        <f t="shared" ca="1" si="58"/>
        <v>5.1232558950623224</v>
      </c>
      <c r="O287" s="4"/>
      <c r="P287" s="1">
        <f ca="1">LOOKUP(B287,geomorph!$A:$A,geomorph!$G:$G)</f>
        <v>105.014951</v>
      </c>
      <c r="Q287" s="1">
        <f t="shared" ca="1" si="59"/>
        <v>123.02615183426828</v>
      </c>
    </row>
    <row r="288" spans="2:17" x14ac:dyDescent="0.3">
      <c r="B288" s="6">
        <f ca="1">RANDBETWEEN(ranges!B$2,ranges!B$3)</f>
        <v>11332</v>
      </c>
      <c r="C288" s="9">
        <f ca="1">LOOKUP(B288,geomorph!A:A,geomorph!B:B)</f>
        <v>1586.1</v>
      </c>
      <c r="D288">
        <f t="shared" si="52"/>
        <v>1.13E-4</v>
      </c>
      <c r="E288" s="9">
        <f ca="1">'[2]Q_GEV(random)'!$J288</f>
        <v>12170.200008593421</v>
      </c>
      <c r="F288" s="26">
        <f ca="1">RANDBETWEEN(ranges!F$2*1000,ranges!F$3*1000)/1000</f>
        <v>9.2999999999999999E-2</v>
      </c>
      <c r="G288" s="3">
        <f t="shared" ca="1" si="53"/>
        <v>7.6730344925246969</v>
      </c>
      <c r="H288" s="4">
        <f t="shared" ca="1" si="54"/>
        <v>10.729534481748114</v>
      </c>
      <c r="I288" s="4">
        <f t="shared" ca="1" si="55"/>
        <v>209.74786656115396</v>
      </c>
      <c r="J288" s="26">
        <f ca="1">RANDBETWEEN(ranges!J$2*1000,ranges!J$3*1000)/1000</f>
        <v>0.65100000000000002</v>
      </c>
      <c r="K288" s="26">
        <f ca="1">RANDBETWEEN(ranges!K$2*1000,ranges!K$3*1000)/1000</f>
        <v>0.85499999999999998</v>
      </c>
      <c r="L288">
        <f t="shared" ca="1" si="56"/>
        <v>91.764696731897885</v>
      </c>
      <c r="M288">
        <f t="shared" ca="1" si="57"/>
        <v>16.446922359970344</v>
      </c>
      <c r="N288" s="4">
        <f t="shared" ca="1" si="58"/>
        <v>6.2145520415459012</v>
      </c>
      <c r="O288" s="4"/>
      <c r="P288" s="1">
        <f ca="1">LOOKUP(B288,geomorph!$A:$A,geomorph!$G:$G)</f>
        <v>105.24547100000001</v>
      </c>
      <c r="Q288" s="1">
        <f t="shared" ca="1" si="59"/>
        <v>121.69239335997035</v>
      </c>
    </row>
    <row r="289" spans="2:17" x14ac:dyDescent="0.3">
      <c r="B289" s="6">
        <f ca="1">RANDBETWEEN(ranges!B$2,ranges!B$3)</f>
        <v>14103</v>
      </c>
      <c r="C289" s="9">
        <f ca="1">LOOKUP(B289,geomorph!A:A,geomorph!B:B)</f>
        <v>1352</v>
      </c>
      <c r="D289">
        <f t="shared" si="52"/>
        <v>1.13E-4</v>
      </c>
      <c r="E289" s="9">
        <f ca="1">'[2]Q_GEV(random)'!$J289</f>
        <v>12152.903987419097</v>
      </c>
      <c r="F289" s="26">
        <f ca="1">RANDBETWEEN(ranges!F$2*1000,ranges!F$3*1000)/1000</f>
        <v>9.4E-2</v>
      </c>
      <c r="G289" s="3">
        <f t="shared" ca="1" si="53"/>
        <v>8.9888343102212254</v>
      </c>
      <c r="H289" s="4">
        <f t="shared" ca="1" si="54"/>
        <v>11.966119381153105</v>
      </c>
      <c r="I289" s="4">
        <f t="shared" ca="1" si="55"/>
        <v>273.44851893000811</v>
      </c>
      <c r="J289" s="26">
        <f ca="1">RANDBETWEEN(ranges!J$2*1000,ranges!J$3*1000)/1000</f>
        <v>0.623</v>
      </c>
      <c r="K289" s="26">
        <f ca="1">RANDBETWEEN(ranges!K$2*1000,ranges!K$3*1000)/1000</f>
        <v>0.98799999999999999</v>
      </c>
      <c r="L289">
        <f t="shared" ca="1" si="56"/>
        <v>115.88373838912386</v>
      </c>
      <c r="M289">
        <f t="shared" ca="1" si="57"/>
        <v>17.704254016136787</v>
      </c>
      <c r="N289" s="4">
        <f t="shared" ca="1" si="58"/>
        <v>6.237102864112698</v>
      </c>
      <c r="O289" s="4"/>
      <c r="P289" s="1">
        <f ca="1">LOOKUP(B289,geomorph!$A:$A,geomorph!$G:$G)</f>
        <v>104.932461</v>
      </c>
      <c r="Q289" s="1">
        <f t="shared" ca="1" si="59"/>
        <v>122.63671501613679</v>
      </c>
    </row>
    <row r="290" spans="2:17" x14ac:dyDescent="0.3">
      <c r="B290" s="6">
        <f ca="1">RANDBETWEEN(ranges!B$2,ranges!B$3)</f>
        <v>14139</v>
      </c>
      <c r="C290" s="9">
        <f ca="1">LOOKUP(B290,geomorph!A:A,geomorph!B:B)</f>
        <v>1359.3</v>
      </c>
      <c r="D290">
        <f t="shared" si="52"/>
        <v>1.13E-4</v>
      </c>
      <c r="E290" s="9">
        <f ca="1">'[2]Q_GEV(random)'!$J290</f>
        <v>12152.09190207065</v>
      </c>
      <c r="F290" s="26">
        <f ca="1">RANDBETWEEN(ranges!F$2*1000,ranges!F$3*1000)/1000</f>
        <v>9.2999999999999999E-2</v>
      </c>
      <c r="G290" s="3">
        <f t="shared" ca="1" si="53"/>
        <v>8.9399631443174066</v>
      </c>
      <c r="H290" s="4">
        <f t="shared" ca="1" si="54"/>
        <v>11.880277865853268</v>
      </c>
      <c r="I290" s="4">
        <f t="shared" ca="1" si="55"/>
        <v>270.99327839534129</v>
      </c>
      <c r="J290" s="26">
        <f ca="1">RANDBETWEEN(ranges!J$2*1000,ranges!J$3*1000)/1000</f>
        <v>0.72699999999999998</v>
      </c>
      <c r="K290" s="26">
        <f ca="1">RANDBETWEEN(ranges!K$2*1000,ranges!K$3*1000)/1000</f>
        <v>0.93700000000000006</v>
      </c>
      <c r="L290">
        <f t="shared" ca="1" si="56"/>
        <v>110.51913554926428</v>
      </c>
      <c r="M290">
        <f t="shared" ca="1" si="57"/>
        <v>16.975838687588986</v>
      </c>
      <c r="N290" s="4">
        <f t="shared" ca="1" si="58"/>
        <v>5.5386530671040415</v>
      </c>
      <c r="O290" s="4"/>
      <c r="P290" s="1">
        <f ca="1">LOOKUP(B290,geomorph!$A:$A,geomorph!$G:$G)</f>
        <v>104.92907100000001</v>
      </c>
      <c r="Q290" s="1">
        <f t="shared" ca="1" si="59"/>
        <v>121.904909687589</v>
      </c>
    </row>
    <row r="291" spans="2:17" x14ac:dyDescent="0.3">
      <c r="B291" s="6">
        <f ca="1">RANDBETWEEN(ranges!B$2,ranges!B$3)</f>
        <v>11863</v>
      </c>
      <c r="C291" s="9">
        <f ca="1">LOOKUP(B291,geomorph!A:A,geomorph!B:B)</f>
        <v>1393.2</v>
      </c>
      <c r="D291">
        <f t="shared" si="52"/>
        <v>1.13E-4</v>
      </c>
      <c r="E291" s="9">
        <f ca="1">'[2]Q_GEV(random)'!$J291</f>
        <v>12150.25506231729</v>
      </c>
      <c r="F291" s="26">
        <f ca="1">RANDBETWEEN(ranges!F$2*1000,ranges!F$3*1000)/1000</f>
        <v>9.9000000000000005E-2</v>
      </c>
      <c r="G291" s="3">
        <f t="shared" ca="1" si="53"/>
        <v>8.7211133091568254</v>
      </c>
      <c r="H291" s="4">
        <f t="shared" ca="1" si="54"/>
        <v>11.931676800688216</v>
      </c>
      <c r="I291" s="4">
        <f t="shared" ca="1" si="55"/>
        <v>260.06655445557982</v>
      </c>
      <c r="J291" s="26">
        <f ca="1">RANDBETWEEN(ranges!J$2*1000,ranges!J$3*1000)/1000</f>
        <v>0.65900000000000003</v>
      </c>
      <c r="K291" s="26">
        <f ca="1">RANDBETWEEN(ranges!K$2*1000,ranges!K$3*1000)/1000</f>
        <v>0.84899999999999998</v>
      </c>
      <c r="L291">
        <f t="shared" ca="1" si="56"/>
        <v>109.81454599065196</v>
      </c>
      <c r="M291">
        <f t="shared" ca="1" si="57"/>
        <v>17.288279678581922</v>
      </c>
      <c r="N291" s="4">
        <f t="shared" ca="1" si="58"/>
        <v>5.8223944324931596</v>
      </c>
      <c r="O291" s="4"/>
      <c r="P291" s="1">
        <f ca="1">LOOKUP(B291,geomorph!$A:$A,geomorph!$G:$G)</f>
        <v>105.185581</v>
      </c>
      <c r="Q291" s="1">
        <f t="shared" ca="1" si="59"/>
        <v>122.47386067858193</v>
      </c>
    </row>
    <row r="292" spans="2:17" x14ac:dyDescent="0.3">
      <c r="B292" s="6">
        <f ca="1">RANDBETWEEN(ranges!B$2,ranges!B$3)</f>
        <v>13849</v>
      </c>
      <c r="C292" s="9">
        <f ca="1">LOOKUP(B292,geomorph!A:A,geomorph!B:B)</f>
        <v>1288</v>
      </c>
      <c r="D292">
        <f t="shared" si="52"/>
        <v>1.13E-4</v>
      </c>
      <c r="E292" s="9">
        <f ca="1">'[2]Q_GEV(random)'!$J292</f>
        <v>12140.068583243614</v>
      </c>
      <c r="F292" s="26">
        <f ca="1">RANDBETWEEN(ranges!F$2*1000,ranges!F$3*1000)/1000</f>
        <v>0.10199999999999999</v>
      </c>
      <c r="G292" s="3">
        <f t="shared" ca="1" si="53"/>
        <v>9.4255190863692651</v>
      </c>
      <c r="H292" s="4">
        <f t="shared" ca="1" si="54"/>
        <v>12.691473248296667</v>
      </c>
      <c r="I292" s="4">
        <f t="shared" ca="1" si="55"/>
        <v>296.25862671282204</v>
      </c>
      <c r="J292" s="26">
        <f ca="1">RANDBETWEEN(ranges!J$2*1000,ranges!J$3*1000)/1000</f>
        <v>0.77800000000000002</v>
      </c>
      <c r="K292" s="26">
        <f ca="1">RANDBETWEEN(ranges!K$2*1000,ranges!K$3*1000)/1000</f>
        <v>0.94899999999999995</v>
      </c>
      <c r="L292">
        <f t="shared" ca="1" si="56"/>
        <v>120.45560256854466</v>
      </c>
      <c r="M292">
        <f t="shared" ca="1" si="57"/>
        <v>17.531590220236264</v>
      </c>
      <c r="N292" s="4">
        <f t="shared" ca="1" si="58"/>
        <v>5.2609967086299969</v>
      </c>
      <c r="O292" s="4"/>
      <c r="P292" s="1">
        <f ca="1">LOOKUP(B292,geomorph!$A:$A,geomorph!$G:$G)</f>
        <v>104.96184100000001</v>
      </c>
      <c r="Q292" s="1">
        <f t="shared" ca="1" si="59"/>
        <v>122.49343122023627</v>
      </c>
    </row>
    <row r="293" spans="2:17" x14ac:dyDescent="0.3">
      <c r="B293" s="6">
        <f ca="1">RANDBETWEEN(ranges!B$2,ranges!B$3)</f>
        <v>12482</v>
      </c>
      <c r="C293" s="9">
        <f ca="1">LOOKUP(B293,geomorph!A:A,geomorph!B:B)</f>
        <v>1214.9000000000001</v>
      </c>
      <c r="D293">
        <f t="shared" si="52"/>
        <v>1.13E-4</v>
      </c>
      <c r="E293" s="9">
        <f ca="1">'[2]Q_GEV(random)'!$J293</f>
        <v>12136.146816921108</v>
      </c>
      <c r="F293" s="26">
        <f ca="1">RANDBETWEEN(ranges!F$2*1000,ranges!F$3*1000)/1000</f>
        <v>0.107</v>
      </c>
      <c r="G293" s="3">
        <f t="shared" ca="1" si="53"/>
        <v>9.9894203777439348</v>
      </c>
      <c r="H293" s="4">
        <f t="shared" ca="1" si="54"/>
        <v>13.40488982744143</v>
      </c>
      <c r="I293" s="4">
        <f t="shared" ca="1" si="55"/>
        <v>326.48984517303296</v>
      </c>
      <c r="J293" s="26">
        <f ca="1">RANDBETWEEN(ranges!J$2*1000,ranges!J$3*1000)/1000</f>
        <v>0.747</v>
      </c>
      <c r="K293" s="26">
        <f ca="1">RANDBETWEEN(ranges!K$2*1000,ranges!K$3*1000)/1000</f>
        <v>0.95799999999999996</v>
      </c>
      <c r="L293">
        <f t="shared" ca="1" si="56"/>
        <v>133.31501868761808</v>
      </c>
      <c r="M293">
        <f t="shared" ca="1" si="57"/>
        <v>18.301979031005356</v>
      </c>
      <c r="N293" s="4">
        <f t="shared" ca="1" si="58"/>
        <v>5.3229230473520932</v>
      </c>
      <c r="O293" s="4"/>
      <c r="P293" s="1">
        <f ca="1">LOOKUP(B293,geomorph!$A:$A,geomorph!$G:$G)</f>
        <v>105.115521</v>
      </c>
      <c r="Q293" s="1">
        <f t="shared" ca="1" si="59"/>
        <v>123.41750003100536</v>
      </c>
    </row>
    <row r="294" spans="2:17" x14ac:dyDescent="0.3">
      <c r="B294" s="6">
        <f ca="1">RANDBETWEEN(ranges!B$2,ranges!B$3)</f>
        <v>12417</v>
      </c>
      <c r="C294" s="9">
        <f ca="1">LOOKUP(B294,geomorph!A:A,geomorph!B:B)</f>
        <v>1233.4000000000001</v>
      </c>
      <c r="D294">
        <f t="shared" si="52"/>
        <v>1.13E-4</v>
      </c>
      <c r="E294" s="9">
        <f ca="1">'[2]Q_GEV(random)'!$J294</f>
        <v>12133.389416430457</v>
      </c>
      <c r="F294" s="26">
        <f ca="1">RANDBETWEEN(ranges!F$2*1000,ranges!F$3*1000)/1000</f>
        <v>0.09</v>
      </c>
      <c r="G294" s="3">
        <f t="shared" ca="1" si="53"/>
        <v>9.837351561886214</v>
      </c>
      <c r="H294" s="4">
        <f t="shared" ca="1" si="54"/>
        <v>12.524914251642931</v>
      </c>
      <c r="I294" s="4">
        <f t="shared" ca="1" si="55"/>
        <v>318.32069009868803</v>
      </c>
      <c r="J294" s="26">
        <f ca="1">RANDBETWEEN(ranges!J$2*1000,ranges!J$3*1000)/1000</f>
        <v>0.64200000000000002</v>
      </c>
      <c r="K294" s="26">
        <f ca="1">RANDBETWEEN(ranges!K$2*1000,ranges!K$3*1000)/1000</f>
        <v>0.98099999999999998</v>
      </c>
      <c r="L294">
        <f t="shared" ca="1" si="56"/>
        <v>128.37356024899944</v>
      </c>
      <c r="M294">
        <f t="shared" ca="1" si="57"/>
        <v>17.891962260856097</v>
      </c>
      <c r="N294" s="4">
        <f t="shared" ca="1" si="58"/>
        <v>5.8337478361012671</v>
      </c>
      <c r="O294" s="4"/>
      <c r="P294" s="1">
        <f ca="1">LOOKUP(B294,geomorph!$A:$A,geomorph!$G:$G)</f>
        <v>105.123431</v>
      </c>
      <c r="Q294" s="1">
        <f t="shared" ca="1" si="59"/>
        <v>123.01539326085609</v>
      </c>
    </row>
    <row r="295" spans="2:17" x14ac:dyDescent="0.3">
      <c r="B295" s="6">
        <f ca="1">RANDBETWEEN(ranges!B$2,ranges!B$3)</f>
        <v>10534</v>
      </c>
      <c r="C295" s="9">
        <f ca="1">LOOKUP(B295,geomorph!A:A,geomorph!B:B)</f>
        <v>1759.3</v>
      </c>
      <c r="D295">
        <f t="shared" si="52"/>
        <v>1.13E-4</v>
      </c>
      <c r="E295" s="9">
        <f ca="1">'[2]Q_GEV(random)'!$J295</f>
        <v>12122.234897020662</v>
      </c>
      <c r="F295" s="26">
        <f ca="1">RANDBETWEEN(ranges!F$2*1000,ranges!F$3*1000)/1000</f>
        <v>0.11</v>
      </c>
      <c r="G295" s="3">
        <f t="shared" ca="1" si="53"/>
        <v>6.8903739538570239</v>
      </c>
      <c r="H295" s="4">
        <f t="shared" ca="1" si="54"/>
        <v>10.56171765519405</v>
      </c>
      <c r="I295" s="4">
        <f t="shared" ca="1" si="55"/>
        <v>176.01052672192986</v>
      </c>
      <c r="J295" s="26">
        <f ca="1">RANDBETWEEN(ranges!J$2*1000,ranges!J$3*1000)/1000</f>
        <v>0.68400000000000005</v>
      </c>
      <c r="K295" s="26">
        <f ca="1">RANDBETWEEN(ranges!K$2*1000,ranges!K$3*1000)/1000</f>
        <v>0.95699999999999996</v>
      </c>
      <c r="L295">
        <f t="shared" ca="1" si="56"/>
        <v>83.892999000944457</v>
      </c>
      <c r="M295">
        <f t="shared" ca="1" si="57"/>
        <v>16.678003705086855</v>
      </c>
      <c r="N295" s="4">
        <f t="shared" ca="1" si="58"/>
        <v>6.6481370107530484</v>
      </c>
      <c r="O295" s="4"/>
      <c r="P295" s="1">
        <f ca="1">LOOKUP(B295,geomorph!$A:$A,geomorph!$G:$G)</f>
        <v>105.335871</v>
      </c>
      <c r="Q295" s="1">
        <f t="shared" ca="1" si="59"/>
        <v>122.01387470508685</v>
      </c>
    </row>
    <row r="296" spans="2:17" x14ac:dyDescent="0.3">
      <c r="B296" s="6">
        <f ca="1">RANDBETWEEN(ranges!B$2,ranges!B$3)</f>
        <v>14116</v>
      </c>
      <c r="C296" s="9">
        <f ca="1">LOOKUP(B296,geomorph!A:A,geomorph!B:B)</f>
        <v>1354.4</v>
      </c>
      <c r="D296">
        <f t="shared" si="52"/>
        <v>1.13E-4</v>
      </c>
      <c r="E296" s="9">
        <f ca="1">'[2]Q_GEV(random)'!$J296</f>
        <v>12120.049827196035</v>
      </c>
      <c r="F296" s="26">
        <f ca="1">RANDBETWEEN(ranges!F$2*1000,ranges!F$3*1000)/1000</f>
        <v>0.09</v>
      </c>
      <c r="G296" s="3">
        <f t="shared" ca="1" si="53"/>
        <v>8.9486487206113665</v>
      </c>
      <c r="H296" s="4">
        <f t="shared" ca="1" si="54"/>
        <v>11.758744120859097</v>
      </c>
      <c r="I296" s="4">
        <f t="shared" ca="1" si="55"/>
        <v>272.1498161538089</v>
      </c>
      <c r="J296" s="26">
        <f ca="1">RANDBETWEEN(ranges!J$2*1000,ranges!J$3*1000)/1000</f>
        <v>0.60799999999999998</v>
      </c>
      <c r="K296" s="26">
        <f ca="1">RANDBETWEEN(ranges!K$2*1000,ranges!K$3*1000)/1000</f>
        <v>0.92300000000000004</v>
      </c>
      <c r="L296">
        <f t="shared" ca="1" si="56"/>
        <v>113.91174716767968</v>
      </c>
      <c r="M296">
        <f t="shared" ca="1" si="57"/>
        <v>17.433873951121306</v>
      </c>
      <c r="N296" s="4">
        <f t="shared" ca="1" si="58"/>
        <v>6.1686193807197922</v>
      </c>
      <c r="O296" s="4"/>
      <c r="P296" s="1">
        <f ca="1">LOOKUP(B296,geomorph!$A:$A,geomorph!$G:$G)</f>
        <v>104.931331</v>
      </c>
      <c r="Q296" s="1">
        <f t="shared" ca="1" si="59"/>
        <v>122.36520495112131</v>
      </c>
    </row>
    <row r="297" spans="2:17" x14ac:dyDescent="0.3">
      <c r="B297" s="6">
        <f ca="1">RANDBETWEEN(ranges!B$2,ranges!B$3)</f>
        <v>10028</v>
      </c>
      <c r="C297" s="9">
        <f ca="1">LOOKUP(B297,geomorph!A:A,geomorph!B:B)</f>
        <v>1689.6</v>
      </c>
      <c r="D297">
        <f t="shared" si="52"/>
        <v>1.13E-4</v>
      </c>
      <c r="E297" s="9">
        <f ca="1">'[2]Q_GEV(random)'!$J297</f>
        <v>12113.618921110068</v>
      </c>
      <c r="F297" s="26">
        <f ca="1">RANDBETWEEN(ranges!F$2*1000,ranges!F$3*1000)/1000</f>
        <v>0.107</v>
      </c>
      <c r="G297" s="3">
        <f t="shared" ca="1" si="53"/>
        <v>7.1695187743312436</v>
      </c>
      <c r="H297" s="4">
        <f t="shared" ca="1" si="54"/>
        <v>10.745576658559461</v>
      </c>
      <c r="I297" s="4">
        <f t="shared" ca="1" si="55"/>
        <v>188.18837274994783</v>
      </c>
      <c r="J297" s="26">
        <f ca="1">RANDBETWEEN(ranges!J$2*1000,ranges!J$3*1000)/1000</f>
        <v>0.69899999999999995</v>
      </c>
      <c r="K297" s="26">
        <f ca="1">RANDBETWEEN(ranges!K$2*1000,ranges!K$3*1000)/1000</f>
        <v>0.94399999999999995</v>
      </c>
      <c r="L297">
        <f t="shared" ca="1" si="56"/>
        <v>87.016362104303113</v>
      </c>
      <c r="M297">
        <f t="shared" ca="1" si="57"/>
        <v>16.613581531491647</v>
      </c>
      <c r="N297" s="4">
        <f t="shared" ca="1" si="58"/>
        <v>6.3782661662306364</v>
      </c>
      <c r="O297" s="4"/>
      <c r="P297" s="1">
        <f ca="1">LOOKUP(B297,geomorph!$A:$A,geomorph!$G:$G)</f>
        <v>105.393501</v>
      </c>
      <c r="Q297" s="1">
        <f t="shared" ca="1" si="59"/>
        <v>122.00708253149165</v>
      </c>
    </row>
    <row r="298" spans="2:17" x14ac:dyDescent="0.3">
      <c r="B298" s="6">
        <f ca="1">RANDBETWEEN(ranges!B$2,ranges!B$3)</f>
        <v>10471</v>
      </c>
      <c r="C298" s="9">
        <f ca="1">LOOKUP(B298,geomorph!A:A,geomorph!B:B)</f>
        <v>1762.8</v>
      </c>
      <c r="D298">
        <f t="shared" si="52"/>
        <v>1.13E-4</v>
      </c>
      <c r="E298" s="9">
        <f ca="1">'[2]Q_GEV(random)'!$J298</f>
        <v>12095.991458144774</v>
      </c>
      <c r="F298" s="26">
        <f ca="1">RANDBETWEEN(ranges!F$2*1000,ranges!F$3*1000)/1000</f>
        <v>0.106</v>
      </c>
      <c r="G298" s="3">
        <f t="shared" ca="1" si="53"/>
        <v>6.8618059099981696</v>
      </c>
      <c r="H298" s="4">
        <f t="shared" ca="1" si="54"/>
        <v>10.403258057050982</v>
      </c>
      <c r="I298" s="4">
        <f t="shared" ca="1" si="55"/>
        <v>175.17518904212679</v>
      </c>
      <c r="J298" s="26">
        <f ca="1">RANDBETWEEN(ranges!J$2*1000,ranges!J$3*1000)/1000</f>
        <v>0.76400000000000001</v>
      </c>
      <c r="K298" s="26">
        <f ca="1">RANDBETWEEN(ranges!K$2*1000,ranges!K$3*1000)/1000</f>
        <v>0.98499999999999999</v>
      </c>
      <c r="L298">
        <f t="shared" ca="1" si="56"/>
        <v>80.859408197307246</v>
      </c>
      <c r="M298">
        <f t="shared" ca="1" si="57"/>
        <v>16.106903019034092</v>
      </c>
      <c r="N298" s="4">
        <f t="shared" ca="1" si="58"/>
        <v>6.1996140891120763</v>
      </c>
      <c r="O298" s="4"/>
      <c r="P298" s="1">
        <f ca="1">LOOKUP(B298,geomorph!$A:$A,geomorph!$G:$G)</f>
        <v>105.342651</v>
      </c>
      <c r="Q298" s="1">
        <f t="shared" ca="1" si="59"/>
        <v>121.4495540190341</v>
      </c>
    </row>
    <row r="299" spans="2:17" x14ac:dyDescent="0.3">
      <c r="B299" s="6">
        <f ca="1">RANDBETWEEN(ranges!B$2,ranges!B$3)</f>
        <v>11147</v>
      </c>
      <c r="C299" s="9">
        <f ca="1">LOOKUP(B299,geomorph!A:A,geomorph!B:B)</f>
        <v>1679.3</v>
      </c>
      <c r="D299">
        <f t="shared" si="52"/>
        <v>1.13E-4</v>
      </c>
      <c r="E299" s="9">
        <f ca="1">'[2]Q_GEV(random)'!$J299</f>
        <v>12091.2943792307</v>
      </c>
      <c r="F299" s="26">
        <f ca="1">RANDBETWEEN(ranges!F$2*1000,ranges!F$3*1000)/1000</f>
        <v>9.8000000000000004E-2</v>
      </c>
      <c r="G299" s="3">
        <f t="shared" ca="1" si="53"/>
        <v>7.2001991182222946</v>
      </c>
      <c r="H299" s="4">
        <f t="shared" ca="1" si="54"/>
        <v>10.465182984262842</v>
      </c>
      <c r="I299" s="4">
        <f t="shared" ca="1" si="55"/>
        <v>189.8824092596777</v>
      </c>
      <c r="J299" s="26">
        <f ca="1">RANDBETWEEN(ranges!J$2*1000,ranges!J$3*1000)/1000</f>
        <v>0.79500000000000004</v>
      </c>
      <c r="K299" s="26">
        <f ca="1">RANDBETWEEN(ranges!K$2*1000,ranges!K$3*1000)/1000</f>
        <v>0.80200000000000005</v>
      </c>
      <c r="L299">
        <f t="shared" ca="1" si="56"/>
        <v>81.711678716614074</v>
      </c>
      <c r="M299">
        <f t="shared" ca="1" si="57"/>
        <v>15.50568169377553</v>
      </c>
      <c r="N299" s="4">
        <f t="shared" ca="1" si="58"/>
        <v>5.4788029451224869</v>
      </c>
      <c r="O299" s="4"/>
      <c r="P299" s="1">
        <f ca="1">LOOKUP(B299,geomorph!$A:$A,geomorph!$G:$G)</f>
        <v>105.266941</v>
      </c>
      <c r="Q299" s="1">
        <f t="shared" ca="1" si="59"/>
        <v>120.77262269377553</v>
      </c>
    </row>
    <row r="300" spans="2:17" x14ac:dyDescent="0.3">
      <c r="B300" s="6">
        <f ca="1">RANDBETWEEN(ranges!B$2,ranges!B$3)</f>
        <v>13833</v>
      </c>
      <c r="C300" s="9">
        <f ca="1">LOOKUP(B300,geomorph!A:A,geomorph!B:B)</f>
        <v>1285.7</v>
      </c>
      <c r="D300">
        <f t="shared" si="52"/>
        <v>1.13E-4</v>
      </c>
      <c r="E300" s="9">
        <f ca="1">'[2]Q_GEV(random)'!$J300</f>
        <v>12080.323676882868</v>
      </c>
      <c r="F300" s="26">
        <f ca="1">RANDBETWEEN(ranges!F$2*1000,ranges!F$3*1000)/1000</f>
        <v>9.2999999999999999E-2</v>
      </c>
      <c r="G300" s="3">
        <f t="shared" ca="1" si="53"/>
        <v>9.3959117032611559</v>
      </c>
      <c r="H300" s="4">
        <f t="shared" ca="1" si="54"/>
        <v>12.280858593185757</v>
      </c>
      <c r="I300" s="4">
        <f t="shared" ca="1" si="55"/>
        <v>296.16676682179173</v>
      </c>
      <c r="J300" s="26">
        <f ca="1">RANDBETWEEN(ranges!J$2*1000,ranges!J$3*1000)/1000</f>
        <v>0.68</v>
      </c>
      <c r="K300" s="26">
        <f ca="1">RANDBETWEEN(ranges!K$2*1000,ranges!K$3*1000)/1000</f>
        <v>0.85</v>
      </c>
      <c r="L300">
        <f t="shared" ca="1" si="56"/>
        <v>119.09688519868082</v>
      </c>
      <c r="M300">
        <f t="shared" ca="1" si="57"/>
        <v>17.302883778893666</v>
      </c>
      <c r="N300" s="4">
        <f t="shared" ca="1" si="58"/>
        <v>5.4587230279433792</v>
      </c>
      <c r="O300" s="4"/>
      <c r="P300" s="1">
        <f ca="1">LOOKUP(B300,geomorph!$A:$A,geomorph!$G:$G)</f>
        <v>104.962971</v>
      </c>
      <c r="Q300" s="1">
        <f t="shared" ca="1" si="59"/>
        <v>122.26585477889367</v>
      </c>
    </row>
    <row r="301" spans="2:17" x14ac:dyDescent="0.3">
      <c r="B301" s="6">
        <f ca="1">RANDBETWEEN(ranges!B$2,ranges!B$3)</f>
        <v>12329</v>
      </c>
      <c r="C301" s="9">
        <f ca="1">LOOKUP(B301,geomorph!A:A,geomorph!B:B)</f>
        <v>1257.5999999999999</v>
      </c>
      <c r="D301">
        <f t="shared" si="52"/>
        <v>1.13E-4</v>
      </c>
      <c r="E301" s="9">
        <f ca="1">'[2]Q_GEV(random)'!$J301</f>
        <v>12056.369462332139</v>
      </c>
      <c r="F301" s="26">
        <f ca="1">RANDBETWEEN(ranges!F$2*1000,ranges!F$3*1000)/1000</f>
        <v>0.107</v>
      </c>
      <c r="G301" s="3">
        <f t="shared" ca="1" si="53"/>
        <v>9.5868077785719947</v>
      </c>
      <c r="H301" s="4">
        <f t="shared" ca="1" si="54"/>
        <v>13.042246442407478</v>
      </c>
      <c r="I301" s="4">
        <f t="shared" ca="1" si="55"/>
        <v>306.87169674168661</v>
      </c>
      <c r="J301" s="26">
        <f ca="1">RANDBETWEEN(ranges!J$2*1000,ranges!J$3*1000)/1000</f>
        <v>0.76400000000000001</v>
      </c>
      <c r="K301" s="26">
        <f ca="1">RANDBETWEEN(ranges!K$2*1000,ranges!K$3*1000)/1000</f>
        <v>0.92600000000000005</v>
      </c>
      <c r="L301">
        <f t="shared" ca="1" si="56"/>
        <v>125.74388803403292</v>
      </c>
      <c r="M301">
        <f t="shared" ca="1" si="57"/>
        <v>17.869313035850777</v>
      </c>
      <c r="N301" s="4">
        <f t="shared" ca="1" si="58"/>
        <v>5.2468115146122809</v>
      </c>
      <c r="O301" s="4"/>
      <c r="P301" s="1">
        <f ca="1">LOOKUP(B301,geomorph!$A:$A,geomorph!$G:$G)</f>
        <v>105.133601</v>
      </c>
      <c r="Q301" s="1">
        <f t="shared" ca="1" si="59"/>
        <v>123.00291403585078</v>
      </c>
    </row>
    <row r="302" spans="2:17" x14ac:dyDescent="0.3">
      <c r="B302" s="6">
        <f ca="1">RANDBETWEEN(ranges!B$2,ranges!B$3)</f>
        <v>10349</v>
      </c>
      <c r="C302" s="9">
        <f ca="1">LOOKUP(B302,geomorph!A:A,geomorph!B:B)</f>
        <v>1660.5</v>
      </c>
      <c r="D302">
        <f t="shared" si="52"/>
        <v>1.13E-4</v>
      </c>
      <c r="E302" s="9">
        <f ca="1">'[2]Q_GEV(random)'!$J302</f>
        <v>12048.395703649967</v>
      </c>
      <c r="F302" s="26">
        <f ca="1">RANDBETWEEN(ranges!F$2*1000,ranges!F$3*1000)/1000</f>
        <v>9.9000000000000005E-2</v>
      </c>
      <c r="G302" s="3">
        <f t="shared" ca="1" si="53"/>
        <v>7.2558841937066951</v>
      </c>
      <c r="H302" s="4">
        <f t="shared" ca="1" si="54"/>
        <v>10.554729071395075</v>
      </c>
      <c r="I302" s="4">
        <f t="shared" ca="1" si="55"/>
        <v>193.02106109395814</v>
      </c>
      <c r="J302" s="26">
        <f ca="1">RANDBETWEEN(ranges!J$2*1000,ranges!J$3*1000)/1000</f>
        <v>0.66300000000000003</v>
      </c>
      <c r="K302" s="26">
        <f ca="1">RANDBETWEEN(ranges!K$2*1000,ranges!K$3*1000)/1000</f>
        <v>0.871</v>
      </c>
      <c r="L302">
        <f t="shared" ca="1" si="56"/>
        <v>87.329032787713857</v>
      </c>
      <c r="M302">
        <f t="shared" ca="1" si="57"/>
        <v>16.386114060671872</v>
      </c>
      <c r="N302" s="4">
        <f t="shared" ca="1" si="58"/>
        <v>6.3384619448660837</v>
      </c>
      <c r="O302" s="4"/>
      <c r="P302" s="1">
        <f ca="1">LOOKUP(B302,geomorph!$A:$A,geomorph!$G:$G)</f>
        <v>105.35734100000001</v>
      </c>
      <c r="Q302" s="1">
        <f t="shared" ca="1" si="59"/>
        <v>121.74345506067188</v>
      </c>
    </row>
    <row r="303" spans="2:17" x14ac:dyDescent="0.3">
      <c r="B303" s="6">
        <f ca="1">RANDBETWEEN(ranges!B$2,ranges!B$3)</f>
        <v>14816</v>
      </c>
      <c r="C303" s="9">
        <f ca="1">LOOKUP(B303,geomorph!A:A,geomorph!B:B)</f>
        <v>1494.5</v>
      </c>
      <c r="D303">
        <f t="shared" si="52"/>
        <v>1.13E-4</v>
      </c>
      <c r="E303" s="9">
        <f ca="1">'[2]Q_GEV(random)'!$J303</f>
        <v>12039.948920923005</v>
      </c>
      <c r="F303" s="26">
        <f ca="1">RANDBETWEEN(ranges!F$2*1000,ranges!F$3*1000)/1000</f>
        <v>0.09</v>
      </c>
      <c r="G303" s="3">
        <f t="shared" ca="1" si="53"/>
        <v>8.0561719109555074</v>
      </c>
      <c r="H303" s="4">
        <f t="shared" ca="1" si="54"/>
        <v>10.963312239295664</v>
      </c>
      <c r="I303" s="4">
        <f t="shared" ca="1" si="55"/>
        <v>229.9534418277467</v>
      </c>
      <c r="J303" s="26">
        <f ca="1">RANDBETWEEN(ranges!J$2*1000,ranges!J$3*1000)/1000</f>
        <v>0.79900000000000004</v>
      </c>
      <c r="K303" s="26">
        <f ca="1">RANDBETWEEN(ranges!K$2*1000,ranges!K$3*1000)/1000</f>
        <v>0.83799999999999997</v>
      </c>
      <c r="L303">
        <f t="shared" ca="1" si="56"/>
        <v>93.210809792563794</v>
      </c>
      <c r="M303">
        <f t="shared" ca="1" si="57"/>
        <v>15.741301741553483</v>
      </c>
      <c r="N303" s="4">
        <f t="shared" ca="1" si="58"/>
        <v>5.1934668502802381</v>
      </c>
      <c r="O303" s="4"/>
      <c r="P303" s="1">
        <f ca="1">LOOKUP(B303,geomorph!$A:$A,geomorph!$G:$G)</f>
        <v>104.852231</v>
      </c>
      <c r="Q303" s="1">
        <f t="shared" ca="1" si="59"/>
        <v>120.59353274155349</v>
      </c>
    </row>
    <row r="304" spans="2:17" x14ac:dyDescent="0.3">
      <c r="B304" s="6">
        <f ca="1">RANDBETWEEN(ranges!B$2,ranges!B$3)</f>
        <v>12962</v>
      </c>
      <c r="C304" s="9">
        <f ca="1">LOOKUP(B304,geomorph!A:A,geomorph!B:B)</f>
        <v>1141.3</v>
      </c>
      <c r="D304">
        <f t="shared" si="52"/>
        <v>1.13E-4</v>
      </c>
      <c r="E304" s="9">
        <f ca="1">'[2]Q_GEV(random)'!$J304</f>
        <v>12039.523143117325</v>
      </c>
      <c r="F304" s="26">
        <f ca="1">RANDBETWEEN(ranges!F$2*1000,ranges!F$3*1000)/1000</f>
        <v>0.11</v>
      </c>
      <c r="G304" s="3">
        <f t="shared" ca="1" si="53"/>
        <v>10.548955702372142</v>
      </c>
      <c r="H304" s="4">
        <f t="shared" ca="1" si="54"/>
        <v>14.029612333634322</v>
      </c>
      <c r="I304" s="4">
        <f t="shared" ca="1" si="55"/>
        <v>360.40420164546828</v>
      </c>
      <c r="J304" s="26">
        <f ca="1">RANDBETWEEN(ranges!J$2*1000,ranges!J$3*1000)/1000</f>
        <v>0.67200000000000004</v>
      </c>
      <c r="K304" s="26">
        <f ca="1">RANDBETWEEN(ranges!K$2*1000,ranges!K$3*1000)/1000</f>
        <v>0.95299999999999996</v>
      </c>
      <c r="L304">
        <f t="shared" ca="1" si="56"/>
        <v>148.39409650773101</v>
      </c>
      <c r="M304">
        <f t="shared" ca="1" si="57"/>
        <v>19.137926604902894</v>
      </c>
      <c r="N304" s="4">
        <f t="shared" ca="1" si="58"/>
        <v>5.5525155122484477</v>
      </c>
      <c r="O304" s="4"/>
      <c r="P304" s="1">
        <f ca="1">LOOKUP(B304,geomorph!$A:$A,geomorph!$G:$G)</f>
        <v>105.06128100000001</v>
      </c>
      <c r="Q304" s="1">
        <f t="shared" ca="1" si="59"/>
        <v>124.19920760490291</v>
      </c>
    </row>
    <row r="305" spans="2:17" x14ac:dyDescent="0.3">
      <c r="B305" s="6">
        <f ca="1">RANDBETWEEN(ranges!B$2,ranges!B$3)</f>
        <v>14700</v>
      </c>
      <c r="C305" s="9">
        <f ca="1">LOOKUP(B305,geomorph!A:A,geomorph!B:B)</f>
        <v>1459.7</v>
      </c>
      <c r="D305">
        <f t="shared" si="52"/>
        <v>1.13E-4</v>
      </c>
      <c r="E305" s="9">
        <f ca="1">'[2]Q_GEV(random)'!$J305</f>
        <v>12008.961955017685</v>
      </c>
      <c r="F305" s="26">
        <f ca="1">RANDBETWEEN(ranges!F$2*1000,ranges!F$3*1000)/1000</f>
        <v>9.8000000000000004E-2</v>
      </c>
      <c r="G305" s="3">
        <f t="shared" ca="1" si="53"/>
        <v>8.2270068884138414</v>
      </c>
      <c r="H305" s="4">
        <f t="shared" ca="1" si="54"/>
        <v>11.437867533060292</v>
      </c>
      <c r="I305" s="4">
        <f t="shared" ca="1" si="55"/>
        <v>238.75234700882177</v>
      </c>
      <c r="J305" s="26">
        <f ca="1">RANDBETWEEN(ranges!J$2*1000,ranges!J$3*1000)/1000</f>
        <v>0.72299999999999998</v>
      </c>
      <c r="K305" s="26">
        <f ca="1">RANDBETWEEN(ranges!K$2*1000,ranges!K$3*1000)/1000</f>
        <v>0.91700000000000004</v>
      </c>
      <c r="L305">
        <f t="shared" ca="1" si="56"/>
        <v>101.19596156521212</v>
      </c>
      <c r="M305">
        <f t="shared" ca="1" si="57"/>
        <v>16.691879195931634</v>
      </c>
      <c r="N305" s="4">
        <f t="shared" ca="1" si="58"/>
        <v>5.7108822422514587</v>
      </c>
      <c r="O305" s="4"/>
      <c r="P305" s="1">
        <f ca="1">LOOKUP(B305,geomorph!$A:$A,geomorph!$G:$G)</f>
        <v>104.864661</v>
      </c>
      <c r="Q305" s="1">
        <f t="shared" ca="1" si="59"/>
        <v>121.55654019593163</v>
      </c>
    </row>
    <row r="306" spans="2:17" x14ac:dyDescent="0.3">
      <c r="B306" s="6">
        <f ca="1">RANDBETWEEN(ranges!B$2,ranges!B$3)</f>
        <v>14491</v>
      </c>
      <c r="C306" s="9">
        <f ca="1">LOOKUP(B306,geomorph!A:A,geomorph!B:B)</f>
        <v>1398.5</v>
      </c>
      <c r="D306">
        <f t="shared" si="52"/>
        <v>1.13E-4</v>
      </c>
      <c r="E306" s="9">
        <f ca="1">'[2]Q_GEV(random)'!$J306</f>
        <v>11974.29458975029</v>
      </c>
      <c r="F306" s="26">
        <f ca="1">RANDBETWEEN(ranges!F$2*1000,ranges!F$3*1000)/1000</f>
        <v>0.11</v>
      </c>
      <c r="G306" s="3">
        <f t="shared" ca="1" si="53"/>
        <v>8.5622413941725348</v>
      </c>
      <c r="H306" s="4">
        <f t="shared" ca="1" si="54"/>
        <v>12.207620039601917</v>
      </c>
      <c r="I306" s="4">
        <f t="shared" ca="1" si="55"/>
        <v>255.92488963131285</v>
      </c>
      <c r="J306" s="26">
        <f ca="1">RANDBETWEEN(ranges!J$2*1000,ranges!J$3*1000)/1000</f>
        <v>0.73899999999999999</v>
      </c>
      <c r="K306" s="26">
        <f ca="1">RANDBETWEEN(ranges!K$2*1000,ranges!K$3*1000)/1000</f>
        <v>0.82499999999999996</v>
      </c>
      <c r="L306">
        <f t="shared" ca="1" si="56"/>
        <v>108.66481283860753</v>
      </c>
      <c r="M306">
        <f t="shared" ca="1" si="57"/>
        <v>17.172354705291568</v>
      </c>
      <c r="N306" s="4">
        <f t="shared" ca="1" si="58"/>
        <v>5.3964507235757075</v>
      </c>
      <c r="O306" s="4"/>
      <c r="P306" s="1">
        <f ca="1">LOOKUP(B306,geomorph!$A:$A,geomorph!$G:$G)</f>
        <v>104.888391</v>
      </c>
      <c r="Q306" s="1">
        <f t="shared" ca="1" si="59"/>
        <v>122.06074570529157</v>
      </c>
    </row>
    <row r="307" spans="2:17" x14ac:dyDescent="0.3">
      <c r="B307" s="6">
        <f ca="1">RANDBETWEEN(ranges!B$2,ranges!B$3)</f>
        <v>13364</v>
      </c>
      <c r="C307" s="9">
        <f ca="1">LOOKUP(B307,geomorph!A:A,geomorph!B:B)</f>
        <v>1181.2</v>
      </c>
      <c r="D307">
        <f t="shared" si="52"/>
        <v>1.13E-4</v>
      </c>
      <c r="E307" s="9">
        <f ca="1">'[2]Q_GEV(random)'!$J307</f>
        <v>11972.8110075348</v>
      </c>
      <c r="F307" s="26">
        <f ca="1">RANDBETWEEN(ranges!F$2*1000,ranges!F$3*1000)/1000</f>
        <v>0.09</v>
      </c>
      <c r="G307" s="3">
        <f t="shared" ca="1" si="53"/>
        <v>10.136142065302066</v>
      </c>
      <c r="H307" s="4">
        <f t="shared" ca="1" si="54"/>
        <v>12.77726078937131</v>
      </c>
      <c r="I307" s="4">
        <f t="shared" ca="1" si="55"/>
        <v>339.08483819031073</v>
      </c>
      <c r="J307" s="26">
        <f ca="1">RANDBETWEEN(ranges!J$2*1000,ranges!J$3*1000)/1000</f>
        <v>0.747</v>
      </c>
      <c r="K307" s="26">
        <f ca="1">RANDBETWEEN(ranges!K$2*1000,ranges!K$3*1000)/1000</f>
        <v>0.81399999999999995</v>
      </c>
      <c r="L307">
        <f t="shared" ca="1" si="56"/>
        <v>129.14983295581024</v>
      </c>
      <c r="M307">
        <f t="shared" ca="1" si="57"/>
        <v>17.238351443676546</v>
      </c>
      <c r="N307" s="4">
        <f t="shared" ca="1" si="58"/>
        <v>4.849011580766561</v>
      </c>
      <c r="O307" s="4"/>
      <c r="P307" s="1">
        <f ca="1">LOOKUP(B307,geomorph!$A:$A,geomorph!$G:$G)</f>
        <v>105.016081</v>
      </c>
      <c r="Q307" s="1">
        <f t="shared" ca="1" si="59"/>
        <v>122.25443244367655</v>
      </c>
    </row>
    <row r="308" spans="2:17" x14ac:dyDescent="0.3">
      <c r="B308" s="6">
        <f ca="1">RANDBETWEEN(ranges!B$2,ranges!B$3)</f>
        <v>10765</v>
      </c>
      <c r="C308" s="9">
        <f ca="1">LOOKUP(B308,geomorph!A:A,geomorph!B:B)</f>
        <v>1683.1</v>
      </c>
      <c r="D308">
        <f t="shared" si="52"/>
        <v>1.13E-4</v>
      </c>
      <c r="E308" s="9">
        <f ca="1">'[2]Q_GEV(random)'!$J308</f>
        <v>11965.348174089455</v>
      </c>
      <c r="F308" s="26">
        <f ca="1">RANDBETWEEN(ranges!F$2*1000,ranges!F$3*1000)/1000</f>
        <v>9.9000000000000005E-2</v>
      </c>
      <c r="G308" s="3">
        <f t="shared" ca="1" si="53"/>
        <v>7.109113049782815</v>
      </c>
      <c r="H308" s="4">
        <f t="shared" ca="1" si="54"/>
        <v>10.411911671257599</v>
      </c>
      <c r="I308" s="4">
        <f t="shared" ca="1" si="55"/>
        <v>187.85252800691376</v>
      </c>
      <c r="J308" s="26">
        <f ca="1">RANDBETWEEN(ranges!J$2*1000,ranges!J$3*1000)/1000</f>
        <v>0.628</v>
      </c>
      <c r="K308" s="26">
        <f ca="1">RANDBETWEEN(ranges!K$2*1000,ranges!K$3*1000)/1000</f>
        <v>0.92300000000000004</v>
      </c>
      <c r="L308">
        <f t="shared" ca="1" si="56"/>
        <v>87.321010449022751</v>
      </c>
      <c r="M308">
        <f t="shared" ca="1" si="57"/>
        <v>16.607609173602771</v>
      </c>
      <c r="N308" s="4">
        <f t="shared" ca="1" si="58"/>
        <v>6.7344538068969264</v>
      </c>
      <c r="O308" s="4"/>
      <c r="P308" s="1">
        <f ca="1">LOOKUP(B308,geomorph!$A:$A,geomorph!$G:$G)</f>
        <v>105.309881</v>
      </c>
      <c r="Q308" s="1">
        <f t="shared" ca="1" si="59"/>
        <v>121.91749017360277</v>
      </c>
    </row>
    <row r="309" spans="2:17" x14ac:dyDescent="0.3">
      <c r="B309" s="6">
        <f ca="1">RANDBETWEEN(ranges!B$2,ranges!B$3)</f>
        <v>10459</v>
      </c>
      <c r="C309" s="9">
        <f ca="1">LOOKUP(B309,geomorph!A:A,geomorph!B:B)</f>
        <v>1761.6</v>
      </c>
      <c r="D309">
        <f t="shared" si="52"/>
        <v>1.13E-4</v>
      </c>
      <c r="E309" s="9">
        <f ca="1">'[2]Q_GEV(random)'!$J309</f>
        <v>11930.488869313896</v>
      </c>
      <c r="F309" s="26">
        <f ca="1">RANDBETWEEN(ranges!F$2*1000,ranges!F$3*1000)/1000</f>
        <v>0.104</v>
      </c>
      <c r="G309" s="3">
        <f t="shared" ca="1" si="53"/>
        <v>6.7725300120991694</v>
      </c>
      <c r="H309" s="4">
        <f t="shared" ca="1" si="54"/>
        <v>10.247553678449377</v>
      </c>
      <c r="I309" s="4">
        <f t="shared" ca="1" si="55"/>
        <v>173.77074943427306</v>
      </c>
      <c r="J309" s="26">
        <f ca="1">RANDBETWEEN(ranges!J$2*1000,ranges!J$3*1000)/1000</f>
        <v>0.71699999999999997</v>
      </c>
      <c r="K309" s="26">
        <f ca="1">RANDBETWEEN(ranges!K$2*1000,ranges!K$3*1000)/1000</f>
        <v>0.88200000000000001</v>
      </c>
      <c r="L309">
        <f t="shared" ca="1" si="56"/>
        <v>80.236458945475817</v>
      </c>
      <c r="M309">
        <f t="shared" ca="1" si="57"/>
        <v>15.971933706853571</v>
      </c>
      <c r="N309" s="4">
        <f t="shared" ca="1" si="58"/>
        <v>6.222152204787168</v>
      </c>
      <c r="O309" s="4"/>
      <c r="P309" s="1">
        <f ca="1">LOOKUP(B309,geomorph!$A:$A,geomorph!$G:$G)</f>
        <v>105.344911</v>
      </c>
      <c r="Q309" s="1">
        <f t="shared" ca="1" si="59"/>
        <v>121.31684470685357</v>
      </c>
    </row>
    <row r="310" spans="2:17" x14ac:dyDescent="0.3">
      <c r="B310" s="6">
        <f ca="1">RANDBETWEEN(ranges!B$2,ranges!B$3)</f>
        <v>12906</v>
      </c>
      <c r="C310" s="9">
        <f ca="1">LOOKUP(B310,geomorph!A:A,geomorph!B:B)</f>
        <v>1137.3</v>
      </c>
      <c r="D310">
        <f t="shared" si="52"/>
        <v>1.13E-4</v>
      </c>
      <c r="E310" s="9">
        <f ca="1">'[2]Q_GEV(random)'!$J310</f>
        <v>11928.151253925098</v>
      </c>
      <c r="F310" s="26">
        <f ca="1">RANDBETWEEN(ranges!F$2*1000,ranges!F$3*1000)/1000</f>
        <v>9.6000000000000002E-2</v>
      </c>
      <c r="G310" s="3">
        <f t="shared" ca="1" si="53"/>
        <v>10.488130883605995</v>
      </c>
      <c r="H310" s="4">
        <f t="shared" ca="1" si="54"/>
        <v>13.355626747155307</v>
      </c>
      <c r="I310" s="4">
        <f t="shared" ca="1" si="55"/>
        <v>360.2801846773807</v>
      </c>
      <c r="J310" s="26">
        <f ca="1">RANDBETWEEN(ranges!J$2*1000,ranges!J$3*1000)/1000</f>
        <v>0.67300000000000004</v>
      </c>
      <c r="K310" s="26">
        <f ca="1">RANDBETWEEN(ranges!K$2*1000,ranges!K$3*1000)/1000</f>
        <v>0.95499999999999996</v>
      </c>
      <c r="L310">
        <f t="shared" ca="1" si="56"/>
        <v>142.8764042956708</v>
      </c>
      <c r="M310">
        <f t="shared" ca="1" si="57"/>
        <v>18.361746810417703</v>
      </c>
      <c r="N310" s="4">
        <f t="shared" ca="1" si="58"/>
        <v>5.4414348513721684</v>
      </c>
      <c r="O310" s="4"/>
      <c r="P310" s="1">
        <f ca="1">LOOKUP(B310,geomorph!$A:$A,geomorph!$G:$G)</f>
        <v>105.068061</v>
      </c>
      <c r="Q310" s="1">
        <f t="shared" ca="1" si="59"/>
        <v>123.4298078104177</v>
      </c>
    </row>
    <row r="311" spans="2:17" x14ac:dyDescent="0.3">
      <c r="B311" s="6">
        <f ca="1">RANDBETWEEN(ranges!B$2,ranges!B$3)</f>
        <v>14944</v>
      </c>
      <c r="C311" s="9">
        <f ca="1">LOOKUP(B311,geomorph!A:A,geomorph!B:B)</f>
        <v>1512.4</v>
      </c>
      <c r="D311">
        <f t="shared" si="52"/>
        <v>1.13E-4</v>
      </c>
      <c r="E311" s="9">
        <f ca="1">'[2]Q_GEV(random)'!$J311</f>
        <v>11918.307329443593</v>
      </c>
      <c r="F311" s="26">
        <f ca="1">RANDBETWEEN(ranges!F$2*1000,ranges!F$3*1000)/1000</f>
        <v>9.5000000000000001E-2</v>
      </c>
      <c r="G311" s="3">
        <f t="shared" ca="1" si="53"/>
        <v>7.8803936322689712</v>
      </c>
      <c r="H311" s="4">
        <f t="shared" ca="1" si="54"/>
        <v>10.999719385720683</v>
      </c>
      <c r="I311" s="4">
        <f t="shared" ca="1" si="55"/>
        <v>223.91436481339736</v>
      </c>
      <c r="J311" s="26">
        <f ca="1">RANDBETWEEN(ranges!J$2*1000,ranges!J$3*1000)/1000</f>
        <v>0.67500000000000004</v>
      </c>
      <c r="K311" s="26">
        <f ca="1">RANDBETWEEN(ranges!K$2*1000,ranges!K$3*1000)/1000</f>
        <v>0.86599999999999999</v>
      </c>
      <c r="L311">
        <f t="shared" ca="1" si="56"/>
        <v>96.32247029629967</v>
      </c>
      <c r="M311">
        <f t="shared" ca="1" si="57"/>
        <v>16.461625760601969</v>
      </c>
      <c r="N311" s="4">
        <f t="shared" ca="1" si="58"/>
        <v>5.9368547553057454</v>
      </c>
      <c r="O311" s="4"/>
      <c r="P311" s="1">
        <f ca="1">LOOKUP(B311,geomorph!$A:$A,geomorph!$G:$G)</f>
        <v>104.837541</v>
      </c>
      <c r="Q311" s="1">
        <f t="shared" ca="1" si="59"/>
        <v>121.29916676060196</v>
      </c>
    </row>
    <row r="312" spans="2:17" x14ac:dyDescent="0.3">
      <c r="B312" s="6">
        <f ca="1">RANDBETWEEN(ranges!B$2,ranges!B$3)</f>
        <v>10624</v>
      </c>
      <c r="C312" s="9">
        <f ca="1">LOOKUP(B312,geomorph!A:A,geomorph!B:B)</f>
        <v>1734.9</v>
      </c>
      <c r="D312">
        <f t="shared" si="52"/>
        <v>1.13E-4</v>
      </c>
      <c r="E312" s="9">
        <f ca="1">'[2]Q_GEV(random)'!$J312</f>
        <v>11913.203065264364</v>
      </c>
      <c r="F312" s="26">
        <f ca="1">RANDBETWEEN(ranges!F$2*1000,ranges!F$3*1000)/1000</f>
        <v>9.8000000000000004E-2</v>
      </c>
      <c r="G312" s="3">
        <f t="shared" ca="1" si="53"/>
        <v>6.86679524195306</v>
      </c>
      <c r="H312" s="4">
        <f t="shared" ca="1" si="54"/>
        <v>10.139578150765576</v>
      </c>
      <c r="I312" s="4">
        <f t="shared" ca="1" si="55"/>
        <v>178.07855990466726</v>
      </c>
      <c r="J312" s="26">
        <f ca="1">RANDBETWEEN(ranges!J$2*1000,ranges!J$3*1000)/1000</f>
        <v>0.65300000000000002</v>
      </c>
      <c r="K312" s="26">
        <f ca="1">RANDBETWEEN(ranges!K$2*1000,ranges!K$3*1000)/1000</f>
        <v>0.98599999999999999</v>
      </c>
      <c r="L312">
        <f t="shared" ca="1" si="56"/>
        <v>83.516744486607507</v>
      </c>
      <c r="M312">
        <f t="shared" ca="1" si="57"/>
        <v>16.372931601109137</v>
      </c>
      <c r="N312" s="4">
        <f t="shared" ca="1" si="58"/>
        <v>6.7753841851560441</v>
      </c>
      <c r="O312" s="4"/>
      <c r="P312" s="1">
        <f ca="1">LOOKUP(B312,geomorph!$A:$A,geomorph!$G:$G)</f>
        <v>105.32570100000001</v>
      </c>
      <c r="Q312" s="1">
        <f t="shared" ca="1" si="59"/>
        <v>121.69863260110915</v>
      </c>
    </row>
    <row r="313" spans="2:17" x14ac:dyDescent="0.3">
      <c r="B313" s="6">
        <f ca="1">RANDBETWEEN(ranges!B$2,ranges!B$3)</f>
        <v>13338</v>
      </c>
      <c r="C313" s="9">
        <f ca="1">LOOKUP(B313,geomorph!A:A,geomorph!B:B)</f>
        <v>1177.5999999999999</v>
      </c>
      <c r="D313">
        <f t="shared" si="52"/>
        <v>1.13E-4</v>
      </c>
      <c r="E313" s="9">
        <f ca="1">'[2]Q_GEV(random)'!$J313</f>
        <v>11902.027175506257</v>
      </c>
      <c r="F313" s="26">
        <f ca="1">RANDBETWEEN(ranges!F$2*1000,ranges!F$3*1000)/1000</f>
        <v>0.10199999999999999</v>
      </c>
      <c r="G313" s="3">
        <f t="shared" ca="1" si="53"/>
        <v>10.107020359635069</v>
      </c>
      <c r="H313" s="4">
        <f t="shared" ca="1" si="54"/>
        <v>13.29609004385</v>
      </c>
      <c r="I313" s="4">
        <f t="shared" ca="1" si="55"/>
        <v>339.4696716330273</v>
      </c>
      <c r="J313" s="26">
        <f ca="1">RANDBETWEEN(ranges!J$2*1000,ranges!J$3*1000)/1000</f>
        <v>0.60499999999999998</v>
      </c>
      <c r="K313" s="26">
        <f ca="1">RANDBETWEEN(ranges!K$2*1000,ranges!K$3*1000)/1000</f>
        <v>0.82</v>
      </c>
      <c r="L313">
        <f t="shared" ca="1" si="56"/>
        <v>138.96190914720484</v>
      </c>
      <c r="M313">
        <f t="shared" ca="1" si="57"/>
        <v>18.491494495927569</v>
      </c>
      <c r="N313" s="4">
        <f t="shared" ca="1" si="58"/>
        <v>5.6471787522582257</v>
      </c>
      <c r="O313" s="4"/>
      <c r="P313" s="1">
        <f ca="1">LOOKUP(B313,geomorph!$A:$A,geomorph!$G:$G)</f>
        <v>105.01947100000001</v>
      </c>
      <c r="Q313" s="1">
        <f t="shared" ca="1" si="59"/>
        <v>123.51096549592758</v>
      </c>
    </row>
    <row r="314" spans="2:17" x14ac:dyDescent="0.3">
      <c r="B314" s="6">
        <f ca="1">RANDBETWEEN(ranges!B$2,ranges!B$3)</f>
        <v>14324</v>
      </c>
      <c r="C314" s="9">
        <f ca="1">LOOKUP(B314,geomorph!A:A,geomorph!B:B)</f>
        <v>1352.7</v>
      </c>
      <c r="D314">
        <f t="shared" si="52"/>
        <v>1.13E-4</v>
      </c>
      <c r="E314" s="9">
        <f ca="1">'[2]Q_GEV(random)'!$J314</f>
        <v>11882.4503790995</v>
      </c>
      <c r="F314" s="26">
        <f ca="1">RANDBETWEEN(ranges!F$2*1000,ranges!F$3*1000)/1000</f>
        <v>0.10199999999999999</v>
      </c>
      <c r="G314" s="3">
        <f t="shared" ca="1" si="53"/>
        <v>8.7842466024244104</v>
      </c>
      <c r="H314" s="4">
        <f t="shared" ca="1" si="54"/>
        <v>12.109090735282834</v>
      </c>
      <c r="I314" s="4">
        <f t="shared" ca="1" si="55"/>
        <v>269.14410569124266</v>
      </c>
      <c r="J314" s="26">
        <f ca="1">RANDBETWEEN(ranges!J$2*1000,ranges!J$3*1000)/1000</f>
        <v>0.76700000000000002</v>
      </c>
      <c r="K314" s="26">
        <f ca="1">RANDBETWEEN(ranges!K$2*1000,ranges!K$3*1000)/1000</f>
        <v>0.98099999999999998</v>
      </c>
      <c r="L314">
        <f t="shared" ca="1" si="56"/>
        <v>112.04211689028065</v>
      </c>
      <c r="M314">
        <f t="shared" ca="1" si="57"/>
        <v>17.126208981475539</v>
      </c>
      <c r="N314" s="4">
        <f t="shared" ca="1" si="58"/>
        <v>5.453389398035549</v>
      </c>
      <c r="O314" s="4"/>
      <c r="P314" s="1">
        <f ca="1">LOOKUP(B314,geomorph!$A:$A,geomorph!$G:$G)</f>
        <v>104.907601</v>
      </c>
      <c r="Q314" s="1">
        <f t="shared" ca="1" si="59"/>
        <v>122.03380998147554</v>
      </c>
    </row>
    <row r="315" spans="2:17" x14ac:dyDescent="0.3">
      <c r="B315" s="6">
        <f ca="1">RANDBETWEEN(ranges!B$2,ranges!B$3)</f>
        <v>11355</v>
      </c>
      <c r="C315" s="9">
        <f ca="1">LOOKUP(B315,geomorph!A:A,geomorph!B:B)</f>
        <v>1572.9</v>
      </c>
      <c r="D315">
        <f t="shared" si="52"/>
        <v>1.13E-4</v>
      </c>
      <c r="E315" s="9">
        <f ca="1">'[2]Q_GEV(random)'!$J315</f>
        <v>11872.55012857711</v>
      </c>
      <c r="F315" s="26">
        <f ca="1">RANDBETWEEN(ranges!F$2*1000,ranges!F$3*1000)/1000</f>
        <v>0.104</v>
      </c>
      <c r="G315" s="3">
        <f t="shared" ca="1" si="53"/>
        <v>7.5481913208577209</v>
      </c>
      <c r="H315" s="4">
        <f t="shared" ca="1" si="54"/>
        <v>11.01576957127558</v>
      </c>
      <c r="I315" s="4">
        <f t="shared" ca="1" si="55"/>
        <v>209.20762255749361</v>
      </c>
      <c r="J315" s="26">
        <f ca="1">RANDBETWEEN(ranges!J$2*1000,ranges!J$3*1000)/1000</f>
        <v>0.77600000000000002</v>
      </c>
      <c r="K315" s="26">
        <f ca="1">RANDBETWEEN(ranges!K$2*1000,ranges!K$3*1000)/1000</f>
        <v>0.81100000000000005</v>
      </c>
      <c r="L315">
        <f t="shared" ca="1" si="56"/>
        <v>90.100084245969754</v>
      </c>
      <c r="M315">
        <f t="shared" ca="1" si="57"/>
        <v>16.014181743684897</v>
      </c>
      <c r="N315" s="4">
        <f t="shared" ca="1" si="58"/>
        <v>5.4330567091405619</v>
      </c>
      <c r="O315" s="4"/>
      <c r="P315" s="1">
        <f ca="1">LOOKUP(B315,geomorph!$A:$A,geomorph!$G:$G)</f>
        <v>105.243211</v>
      </c>
      <c r="Q315" s="1">
        <f t="shared" ca="1" si="59"/>
        <v>121.2573927436849</v>
      </c>
    </row>
    <row r="316" spans="2:17" x14ac:dyDescent="0.3">
      <c r="B316" s="6">
        <f ca="1">RANDBETWEEN(ranges!B$2,ranges!B$3)</f>
        <v>13652</v>
      </c>
      <c r="C316" s="9">
        <f ca="1">LOOKUP(B316,geomorph!A:A,geomorph!B:B)</f>
        <v>1240.5</v>
      </c>
      <c r="D316">
        <f t="shared" si="52"/>
        <v>1.13E-4</v>
      </c>
      <c r="E316" s="9">
        <f ca="1">'[2]Q_GEV(random)'!$J316</f>
        <v>11872.125532670396</v>
      </c>
      <c r="F316" s="26">
        <f ca="1">RANDBETWEEN(ranges!F$2*1000,ranges!F$3*1000)/1000</f>
        <v>0.104</v>
      </c>
      <c r="G316" s="3">
        <f t="shared" ca="1" si="53"/>
        <v>9.5704357377431641</v>
      </c>
      <c r="H316" s="4">
        <f t="shared" ca="1" si="54"/>
        <v>12.904486195482328</v>
      </c>
      <c r="I316" s="4">
        <f t="shared" ca="1" si="55"/>
        <v>310.74755670203444</v>
      </c>
      <c r="J316" s="26">
        <f ca="1">RANDBETWEEN(ranges!J$2*1000,ranges!J$3*1000)/1000</f>
        <v>0.76800000000000002</v>
      </c>
      <c r="K316" s="26">
        <f ca="1">RANDBETWEEN(ranges!K$2*1000,ranges!K$3*1000)/1000</f>
        <v>0.999</v>
      </c>
      <c r="L316">
        <f t="shared" ca="1" si="56"/>
        <v>126.88991252571714</v>
      </c>
      <c r="M316">
        <f t="shared" ca="1" si="57"/>
        <v>17.786983823161187</v>
      </c>
      <c r="N316" s="4">
        <f t="shared" ca="1" si="58"/>
        <v>5.3070626387813684</v>
      </c>
      <c r="O316" s="4"/>
      <c r="P316" s="1">
        <f ca="1">LOOKUP(B316,geomorph!$A:$A,geomorph!$G:$G)</f>
        <v>104.983311</v>
      </c>
      <c r="Q316" s="1">
        <f t="shared" ca="1" si="59"/>
        <v>122.77029482316118</v>
      </c>
    </row>
    <row r="317" spans="2:17" x14ac:dyDescent="0.3">
      <c r="B317" s="6">
        <f ca="1">RANDBETWEEN(ranges!B$2,ranges!B$3)</f>
        <v>13305</v>
      </c>
      <c r="C317" s="9">
        <f ca="1">LOOKUP(B317,geomorph!A:A,geomorph!B:B)</f>
        <v>1174.2</v>
      </c>
      <c r="D317">
        <f t="shared" si="52"/>
        <v>1.13E-4</v>
      </c>
      <c r="E317" s="9">
        <f ca="1">'[2]Q_GEV(random)'!$J317</f>
        <v>11860.923050160527</v>
      </c>
      <c r="F317" s="26">
        <f ca="1">RANDBETWEEN(ranges!F$2*1000,ranges!F$3*1000)/1000</f>
        <v>0.10199999999999999</v>
      </c>
      <c r="G317" s="3">
        <f t="shared" ca="1" si="53"/>
        <v>10.101280063158343</v>
      </c>
      <c r="H317" s="4">
        <f t="shared" ca="1" si="54"/>
        <v>13.291055211781838</v>
      </c>
      <c r="I317" s="4">
        <f t="shared" ca="1" si="55"/>
        <v>340.32371686348336</v>
      </c>
      <c r="J317" s="26">
        <f ca="1">RANDBETWEEN(ranges!J$2*1000,ranges!J$3*1000)/1000</f>
        <v>0.78700000000000003</v>
      </c>
      <c r="K317" s="26">
        <f ca="1">RANDBETWEEN(ranges!K$2*1000,ranges!K$3*1000)/1000</f>
        <v>0.83499999999999996</v>
      </c>
      <c r="L317">
        <f t="shared" ca="1" si="56"/>
        <v>133.30823305945239</v>
      </c>
      <c r="M317">
        <f t="shared" ca="1" si="57"/>
        <v>17.687949580200218</v>
      </c>
      <c r="N317" s="4">
        <f t="shared" ca="1" si="58"/>
        <v>4.7792330091504125</v>
      </c>
      <c r="O317" s="4"/>
      <c r="P317" s="1">
        <f ca="1">LOOKUP(B317,geomorph!$A:$A,geomorph!$G:$G)</f>
        <v>105.02286100000001</v>
      </c>
      <c r="Q317" s="1">
        <f t="shared" ca="1" si="59"/>
        <v>122.71081058020022</v>
      </c>
    </row>
    <row r="318" spans="2:17" x14ac:dyDescent="0.3">
      <c r="B318" s="6">
        <f ca="1">RANDBETWEEN(ranges!B$2,ranges!B$3)</f>
        <v>14509</v>
      </c>
      <c r="C318" s="9">
        <f ca="1">LOOKUP(B318,geomorph!A:A,geomorph!B:B)</f>
        <v>1401.3</v>
      </c>
      <c r="D318">
        <f t="shared" si="52"/>
        <v>1.13E-4</v>
      </c>
      <c r="E318" s="9">
        <f ca="1">'[2]Q_GEV(random)'!$J318</f>
        <v>11844.80945049888</v>
      </c>
      <c r="F318" s="26">
        <f ca="1">RANDBETWEEN(ranges!F$2*1000,ranges!F$3*1000)/1000</f>
        <v>0.104</v>
      </c>
      <c r="G318" s="3">
        <f t="shared" ca="1" si="53"/>
        <v>8.4527292160842649</v>
      </c>
      <c r="H318" s="4">
        <f t="shared" ca="1" si="54"/>
        <v>11.87911848452733</v>
      </c>
      <c r="I318" s="4">
        <f t="shared" ca="1" si="55"/>
        <v>253.23099762886918</v>
      </c>
      <c r="J318" s="26">
        <f ca="1">RANDBETWEEN(ranges!J$2*1000,ranges!J$3*1000)/1000</f>
        <v>0.65400000000000003</v>
      </c>
      <c r="K318" s="26">
        <f ca="1">RANDBETWEEN(ranges!K$2*1000,ranges!K$3*1000)/1000</f>
        <v>0.96099999999999997</v>
      </c>
      <c r="L318">
        <f t="shared" ca="1" si="56"/>
        <v>110.53164129844551</v>
      </c>
      <c r="M318">
        <f t="shared" ca="1" si="57"/>
        <v>17.502342751520818</v>
      </c>
      <c r="N318" s="4">
        <f t="shared" ca="1" si="58"/>
        <v>6.1122002902103123</v>
      </c>
      <c r="O318" s="4"/>
      <c r="P318" s="1">
        <f ca="1">LOOKUP(B318,geomorph!$A:$A,geomorph!$G:$G)</f>
        <v>104.88726100000001</v>
      </c>
      <c r="Q318" s="1">
        <f t="shared" ca="1" si="59"/>
        <v>122.38960375152082</v>
      </c>
    </row>
    <row r="319" spans="2:17" x14ac:dyDescent="0.3">
      <c r="B319" s="6">
        <f ca="1">RANDBETWEEN(ranges!B$2,ranges!B$3)</f>
        <v>13903</v>
      </c>
      <c r="C319" s="9">
        <f ca="1">LOOKUP(B319,geomorph!A:A,geomorph!B:B)</f>
        <v>1302.8</v>
      </c>
      <c r="D319">
        <f t="shared" si="52"/>
        <v>1.13E-4</v>
      </c>
      <c r="E319" s="9">
        <f ca="1">'[2]Q_GEV(random)'!$J319</f>
        <v>11840.206193506474</v>
      </c>
      <c r="F319" s="26">
        <f ca="1">RANDBETWEEN(ranges!F$2*1000,ranges!F$3*1000)/1000</f>
        <v>9.8000000000000004E-2</v>
      </c>
      <c r="G319" s="3">
        <f t="shared" ca="1" si="53"/>
        <v>9.0882761694093297</v>
      </c>
      <c r="H319" s="4">
        <f t="shared" ca="1" si="54"/>
        <v>12.222822330931793</v>
      </c>
      <c r="I319" s="4">
        <f t="shared" ca="1" si="55"/>
        <v>285.86431448906427</v>
      </c>
      <c r="J319" s="26">
        <f ca="1">RANDBETWEEN(ranges!J$2*1000,ranges!J$3*1000)/1000</f>
        <v>0.68799999999999994</v>
      </c>
      <c r="K319" s="26">
        <f ca="1">RANDBETWEEN(ranges!K$2*1000,ranges!K$3*1000)/1000</f>
        <v>0.88900000000000001</v>
      </c>
      <c r="L319">
        <f t="shared" ca="1" si="56"/>
        <v>117.64178840299989</v>
      </c>
      <c r="M319">
        <f t="shared" ca="1" si="57"/>
        <v>17.318800578251391</v>
      </c>
      <c r="N319" s="4">
        <f t="shared" ca="1" si="58"/>
        <v>5.5391067905647802</v>
      </c>
      <c r="O319" s="4"/>
      <c r="P319" s="1">
        <f ca="1">LOOKUP(B319,geomorph!$A:$A,geomorph!$G:$G)</f>
        <v>104.955061</v>
      </c>
      <c r="Q319" s="1">
        <f t="shared" ca="1" si="59"/>
        <v>122.2738615782514</v>
      </c>
    </row>
    <row r="320" spans="2:17" x14ac:dyDescent="0.3">
      <c r="B320" s="6">
        <f ca="1">RANDBETWEEN(ranges!B$2,ranges!B$3)</f>
        <v>14988</v>
      </c>
      <c r="C320" s="9">
        <f ca="1">LOOKUP(B320,geomorph!A:A,geomorph!B:B)</f>
        <v>1493.8</v>
      </c>
      <c r="D320">
        <f t="shared" si="52"/>
        <v>1.13E-4</v>
      </c>
      <c r="E320" s="9">
        <f ca="1">'[2]Q_GEV(random)'!$J320</f>
        <v>11829.524426218419</v>
      </c>
      <c r="F320" s="26">
        <f ca="1">RANDBETWEEN(ranges!F$2*1000,ranges!F$3*1000)/1000</f>
        <v>0.1</v>
      </c>
      <c r="G320" s="3">
        <f t="shared" ca="1" si="53"/>
        <v>7.9190818223446371</v>
      </c>
      <c r="H320" s="4">
        <f t="shared" ca="1" si="54"/>
        <v>11.225999454921656</v>
      </c>
      <c r="I320" s="4">
        <f t="shared" ca="1" si="55"/>
        <v>227.44380661686895</v>
      </c>
      <c r="J320" s="26">
        <f ca="1">RANDBETWEEN(ranges!J$2*1000,ranges!J$3*1000)/1000</f>
        <v>0.626</v>
      </c>
      <c r="K320" s="26">
        <f ca="1">RANDBETWEEN(ranges!K$2*1000,ranges!K$3*1000)/1000</f>
        <v>0.96299999999999997</v>
      </c>
      <c r="L320">
        <f t="shared" ca="1" si="56"/>
        <v>101.6753484528647</v>
      </c>
      <c r="M320">
        <f t="shared" ca="1" si="57"/>
        <v>17.162737813634489</v>
      </c>
      <c r="N320" s="4">
        <f t="shared" ca="1" si="58"/>
        <v>6.4529764768617754</v>
      </c>
      <c r="O320" s="4"/>
      <c r="P320" s="1">
        <f ca="1">LOOKUP(B320,geomorph!$A:$A,geomorph!$G:$G)</f>
        <v>104.833021</v>
      </c>
      <c r="Q320" s="1">
        <f t="shared" ca="1" si="59"/>
        <v>121.9957588136345</v>
      </c>
    </row>
    <row r="321" spans="2:17" x14ac:dyDescent="0.3">
      <c r="B321" s="6">
        <f ca="1">RANDBETWEEN(ranges!B$2,ranges!B$3)</f>
        <v>13928</v>
      </c>
      <c r="C321" s="9">
        <f ca="1">LOOKUP(B321,geomorph!A:A,geomorph!B:B)</f>
        <v>1307.7</v>
      </c>
      <c r="D321">
        <f t="shared" si="52"/>
        <v>1.13E-4</v>
      </c>
      <c r="E321" s="9">
        <f ca="1">'[2]Q_GEV(random)'!$J321</f>
        <v>11822.08827369643</v>
      </c>
      <c r="F321" s="26">
        <f ca="1">RANDBETWEEN(ranges!F$2*1000,ranges!F$3*1000)/1000</f>
        <v>0.10100000000000001</v>
      </c>
      <c r="G321" s="3">
        <f t="shared" ca="1" si="53"/>
        <v>9.0403672659604108</v>
      </c>
      <c r="H321" s="4">
        <f t="shared" ca="1" si="54"/>
        <v>12.30286628776774</v>
      </c>
      <c r="I321" s="4">
        <f t="shared" ca="1" si="55"/>
        <v>283.79142968831349</v>
      </c>
      <c r="J321" s="26">
        <f ca="1">RANDBETWEEN(ranges!J$2*1000,ranges!J$3*1000)/1000</f>
        <v>0.67800000000000005</v>
      </c>
      <c r="K321" s="26">
        <f ca="1">RANDBETWEEN(ranges!K$2*1000,ranges!K$3*1000)/1000</f>
        <v>0.96499999999999997</v>
      </c>
      <c r="L321">
        <f t="shared" ca="1" si="56"/>
        <v>119.23911210028152</v>
      </c>
      <c r="M321">
        <f t="shared" ca="1" si="57"/>
        <v>17.61997551896981</v>
      </c>
      <c r="N321" s="4">
        <f t="shared" ca="1" si="58"/>
        <v>5.7794665556544231</v>
      </c>
      <c r="O321" s="4"/>
      <c r="P321" s="1">
        <f ca="1">LOOKUP(B321,geomorph!$A:$A,geomorph!$G:$G)</f>
        <v>104.95280100000001</v>
      </c>
      <c r="Q321" s="1">
        <f t="shared" ca="1" si="59"/>
        <v>122.57277651896982</v>
      </c>
    </row>
    <row r="322" spans="2:17" x14ac:dyDescent="0.3">
      <c r="B322" s="6">
        <f ca="1">RANDBETWEEN(ranges!B$2,ranges!B$3)</f>
        <v>12966</v>
      </c>
      <c r="C322" s="9">
        <f ca="1">LOOKUP(B322,geomorph!A:A,geomorph!B:B)</f>
        <v>1141.3</v>
      </c>
      <c r="D322">
        <f t="shared" si="52"/>
        <v>1.13E-4</v>
      </c>
      <c r="E322" s="9">
        <f ca="1">'[2]Q_GEV(random)'!$J322</f>
        <v>11810.050345697042</v>
      </c>
      <c r="F322" s="26">
        <f ca="1">RANDBETWEEN(ranges!F$2*1000,ranges!F$3*1000)/1000</f>
        <v>0.105</v>
      </c>
      <c r="G322" s="3">
        <f t="shared" ca="1" si="53"/>
        <v>10.347893056774767</v>
      </c>
      <c r="H322" s="4">
        <f t="shared" ca="1" si="54"/>
        <v>13.637649279659643</v>
      </c>
      <c r="I322" s="4">
        <f t="shared" ca="1" si="55"/>
        <v>355.81000362518955</v>
      </c>
      <c r="J322" s="26">
        <f ca="1">RANDBETWEEN(ranges!J$2*1000,ranges!J$3*1000)/1000</f>
        <v>0.64</v>
      </c>
      <c r="K322" s="26">
        <f ca="1">RANDBETWEEN(ranges!K$2*1000,ranges!K$3*1000)/1000</f>
        <v>0.95399999999999996</v>
      </c>
      <c r="L322">
        <f t="shared" ca="1" si="56"/>
        <v>146.21214476524631</v>
      </c>
      <c r="M322">
        <f t="shared" ca="1" si="57"/>
        <v>18.856527052725045</v>
      </c>
      <c r="N322" s="4">
        <f t="shared" ca="1" si="58"/>
        <v>5.6726932315928291</v>
      </c>
      <c r="O322" s="4"/>
      <c r="P322" s="1">
        <f ca="1">LOOKUP(B322,geomorph!$A:$A,geomorph!$G:$G)</f>
        <v>105.06128100000001</v>
      </c>
      <c r="Q322" s="1">
        <f t="shared" ca="1" si="59"/>
        <v>123.91780805272505</v>
      </c>
    </row>
    <row r="323" spans="2:17" x14ac:dyDescent="0.3">
      <c r="B323" s="6">
        <f ca="1">RANDBETWEEN(ranges!B$2,ranges!B$3)</f>
        <v>11223</v>
      </c>
      <c r="C323" s="9">
        <f ca="1">LOOKUP(B323,geomorph!A:A,geomorph!B:B)</f>
        <v>1650.9</v>
      </c>
      <c r="D323">
        <f t="shared" si="52"/>
        <v>1.13E-4</v>
      </c>
      <c r="E323" s="9">
        <f ca="1">'[2]Q_GEV(random)'!$J323</f>
        <v>11779.639142294822</v>
      </c>
      <c r="F323" s="26">
        <f ca="1">RANDBETWEEN(ranges!F$2*1000,ranges!F$3*1000)/1000</f>
        <v>9.2999999999999999E-2</v>
      </c>
      <c r="G323" s="3">
        <f t="shared" ca="1" si="53"/>
        <v>7.1352832650644018</v>
      </c>
      <c r="H323" s="4">
        <f t="shared" ca="1" si="54"/>
        <v>10.222181601221797</v>
      </c>
      <c r="I323" s="4">
        <f t="shared" ca="1" si="55"/>
        <v>191.98622181624879</v>
      </c>
      <c r="J323" s="26">
        <f ca="1">RANDBETWEEN(ranges!J$2*1000,ranges!J$3*1000)/1000</f>
        <v>0.76700000000000002</v>
      </c>
      <c r="K323" s="26">
        <f ca="1">RANDBETWEEN(ranges!K$2*1000,ranges!K$3*1000)/1000</f>
        <v>0.90400000000000003</v>
      </c>
      <c r="L323">
        <f t="shared" ca="1" si="56"/>
        <v>83.009124174983143</v>
      </c>
      <c r="M323">
        <f t="shared" ca="1" si="57"/>
        <v>15.485493230354201</v>
      </c>
      <c r="N323" s="4">
        <f t="shared" ca="1" si="58"/>
        <v>5.7209909012308744</v>
      </c>
      <c r="O323" s="4"/>
      <c r="P323" s="1">
        <f ca="1">LOOKUP(B323,geomorph!$A:$A,geomorph!$G:$G)</f>
        <v>105.257901</v>
      </c>
      <c r="Q323" s="1">
        <f t="shared" ca="1" si="59"/>
        <v>120.7433942303542</v>
      </c>
    </row>
    <row r="324" spans="2:17" x14ac:dyDescent="0.3">
      <c r="B324" s="6">
        <f ca="1">RANDBETWEEN(ranges!B$2,ranges!B$3)</f>
        <v>12204</v>
      </c>
      <c r="C324" s="9">
        <f ca="1">LOOKUP(B324,geomorph!A:A,geomorph!B:B)</f>
        <v>1290.5</v>
      </c>
      <c r="D324">
        <f t="shared" si="52"/>
        <v>1.13E-4</v>
      </c>
      <c r="E324" s="9">
        <f ca="1">'[2]Q_GEV(random)'!$J324</f>
        <v>11775.599096351656</v>
      </c>
      <c r="F324" s="26">
        <f ca="1">RANDBETWEEN(ranges!F$2*1000,ranges!F$3*1000)/1000</f>
        <v>0.109</v>
      </c>
      <c r="G324" s="3">
        <f t="shared" ca="1" si="53"/>
        <v>9.1248346349102327</v>
      </c>
      <c r="H324" s="4">
        <f t="shared" ca="1" si="54"/>
        <v>12.697960284652568</v>
      </c>
      <c r="I324" s="4">
        <f t="shared" ca="1" si="55"/>
        <v>289.36234135583044</v>
      </c>
      <c r="J324" s="26">
        <f ca="1">RANDBETWEEN(ranges!J$2*1000,ranges!J$3*1000)/1000</f>
        <v>0.79600000000000004</v>
      </c>
      <c r="K324" s="26">
        <f ca="1">RANDBETWEEN(ranges!K$2*1000,ranges!K$3*1000)/1000</f>
        <v>0.97399999999999998</v>
      </c>
      <c r="L324">
        <f t="shared" ca="1" si="56"/>
        <v>120.13700693057797</v>
      </c>
      <c r="M324">
        <f t="shared" ca="1" si="57"/>
        <v>17.519159241161926</v>
      </c>
      <c r="N324" s="4">
        <f t="shared" ca="1" si="58"/>
        <v>5.2404336483797369</v>
      </c>
      <c r="O324" s="4"/>
      <c r="P324" s="1">
        <f ca="1">LOOKUP(B324,geomorph!$A:$A,geomorph!$G:$G)</f>
        <v>105.147161</v>
      </c>
      <c r="Q324" s="1">
        <f t="shared" ca="1" si="59"/>
        <v>122.66632024116193</v>
      </c>
    </row>
    <row r="325" spans="2:17" x14ac:dyDescent="0.3">
      <c r="B325" s="6">
        <f ca="1">RANDBETWEEN(ranges!B$2,ranges!B$3)</f>
        <v>11128</v>
      </c>
      <c r="C325" s="9">
        <f ca="1">LOOKUP(B325,geomorph!A:A,geomorph!B:B)</f>
        <v>1681.9</v>
      </c>
      <c r="D325">
        <f t="shared" si="52"/>
        <v>1.13E-4</v>
      </c>
      <c r="E325" s="9">
        <f ca="1">'[2]Q_GEV(random)'!$J325</f>
        <v>11773.536531804555</v>
      </c>
      <c r="F325" s="26">
        <f ca="1">RANDBETWEEN(ranges!F$2*1000,ranges!F$3*1000)/1000</f>
        <v>0.107</v>
      </c>
      <c r="G325" s="3">
        <f t="shared" ca="1" si="53"/>
        <v>7.0001406336907985</v>
      </c>
      <c r="H325" s="4">
        <f t="shared" ca="1" si="54"/>
        <v>10.57566209033612</v>
      </c>
      <c r="I325" s="4">
        <f t="shared" ca="1" si="55"/>
        <v>186.06057400452354</v>
      </c>
      <c r="J325" s="26">
        <f ca="1">RANDBETWEEN(ranges!J$2*1000,ranges!J$3*1000)/1000</f>
        <v>0.66600000000000004</v>
      </c>
      <c r="K325" s="26">
        <f ca="1">RANDBETWEEN(ranges!K$2*1000,ranges!K$3*1000)/1000</f>
        <v>1</v>
      </c>
      <c r="L325">
        <f t="shared" ca="1" si="56"/>
        <v>87.881164977292315</v>
      </c>
      <c r="M325">
        <f t="shared" ca="1" si="57"/>
        <v>16.702228445409798</v>
      </c>
      <c r="N325" s="4">
        <f t="shared" ca="1" si="58"/>
        <v>6.6593112555148668</v>
      </c>
      <c r="O325" s="4"/>
      <c r="P325" s="1">
        <f ca="1">LOOKUP(B325,geomorph!$A:$A,geomorph!$G:$G)</f>
        <v>105.26920100000001</v>
      </c>
      <c r="Q325" s="1">
        <f t="shared" ca="1" si="59"/>
        <v>121.97142944540981</v>
      </c>
    </row>
    <row r="326" spans="2:17" x14ac:dyDescent="0.3">
      <c r="B326" s="6">
        <f ca="1">RANDBETWEEN(ranges!B$2,ranges!B$3)</f>
        <v>14349</v>
      </c>
      <c r="C326" s="9">
        <f ca="1">LOOKUP(B326,geomorph!A:A,geomorph!B:B)</f>
        <v>1358.6</v>
      </c>
      <c r="D326">
        <f t="shared" si="52"/>
        <v>1.13E-4</v>
      </c>
      <c r="E326" s="9">
        <f ca="1">'[2]Q_GEV(random)'!$J326</f>
        <v>11767.390177679472</v>
      </c>
      <c r="F326" s="26">
        <f ca="1">RANDBETWEEN(ranges!F$2*1000,ranges!F$3*1000)/1000</f>
        <v>9.0999999999999998E-2</v>
      </c>
      <c r="G326" s="3">
        <f t="shared" ca="1" si="53"/>
        <v>8.6614089339610434</v>
      </c>
      <c r="H326" s="4">
        <f t="shared" ca="1" si="54"/>
        <v>11.548208679796714</v>
      </c>
      <c r="I326" s="4">
        <f t="shared" ca="1" si="55"/>
        <v>265.47121391491936</v>
      </c>
      <c r="J326" s="26">
        <f ca="1">RANDBETWEEN(ranges!J$2*1000,ranges!J$3*1000)/1000</f>
        <v>0.60899999999999999</v>
      </c>
      <c r="K326" s="26">
        <f ca="1">RANDBETWEEN(ranges!K$2*1000,ranges!K$3*1000)/1000</f>
        <v>0.82299999999999995</v>
      </c>
      <c r="L326">
        <f t="shared" ca="1" si="56"/>
        <v>110.66867913858115</v>
      </c>
      <c r="M326">
        <f t="shared" ca="1" si="57"/>
        <v>16.990054824977427</v>
      </c>
      <c r="N326" s="4">
        <f t="shared" ca="1" si="58"/>
        <v>5.9150501578051236</v>
      </c>
      <c r="O326" s="4"/>
      <c r="P326" s="1">
        <f ca="1">LOOKUP(B326,geomorph!$A:$A,geomorph!$G:$G)</f>
        <v>104.90534100000001</v>
      </c>
      <c r="Q326" s="1">
        <f t="shared" ca="1" si="59"/>
        <v>121.89539582497744</v>
      </c>
    </row>
    <row r="327" spans="2:17" x14ac:dyDescent="0.3">
      <c r="B327" s="6">
        <f ca="1">RANDBETWEEN(ranges!B$2,ranges!B$3)</f>
        <v>12106</v>
      </c>
      <c r="C327" s="9">
        <f ca="1">LOOKUP(B327,geomorph!A:A,geomorph!B:B)</f>
        <v>1319.1</v>
      </c>
      <c r="D327">
        <f t="shared" si="52"/>
        <v>1.13E-4</v>
      </c>
      <c r="E327" s="9">
        <f ca="1">'[2]Q_GEV(random)'!$J327</f>
        <v>11754.641186277207</v>
      </c>
      <c r="F327" s="26">
        <f ca="1">RANDBETWEEN(ranges!F$2*1000,ranges!F$3*1000)/1000</f>
        <v>9.8000000000000004E-2</v>
      </c>
      <c r="G327" s="3">
        <f t="shared" ca="1" si="53"/>
        <v>8.9111069564682044</v>
      </c>
      <c r="H327" s="4">
        <f t="shared" ca="1" si="54"/>
        <v>12.06345178497696</v>
      </c>
      <c r="I327" s="4">
        <f t="shared" ca="1" si="55"/>
        <v>278.65065451200826</v>
      </c>
      <c r="J327" s="26">
        <f ca="1">RANDBETWEEN(ranges!J$2*1000,ranges!J$3*1000)/1000</f>
        <v>0.64700000000000002</v>
      </c>
      <c r="K327" s="26">
        <f ca="1">RANDBETWEEN(ranges!K$2*1000,ranges!K$3*1000)/1000</f>
        <v>0.94199999999999995</v>
      </c>
      <c r="L327">
        <f t="shared" ca="1" si="56"/>
        <v>117.37774449933593</v>
      </c>
      <c r="M327">
        <f t="shared" ca="1" si="57"/>
        <v>17.496127052905361</v>
      </c>
      <c r="N327" s="4">
        <f t="shared" ca="1" si="58"/>
        <v>5.905081812965653</v>
      </c>
      <c r="O327" s="4"/>
      <c r="P327" s="1">
        <f ca="1">LOOKUP(B327,geomorph!$A:$A,geomorph!$G:$G)</f>
        <v>105.158461</v>
      </c>
      <c r="Q327" s="1">
        <f t="shared" ca="1" si="59"/>
        <v>122.65458805290537</v>
      </c>
    </row>
    <row r="328" spans="2:17" x14ac:dyDescent="0.3">
      <c r="B328" s="6">
        <f ca="1">RANDBETWEEN(ranges!B$2,ranges!B$3)</f>
        <v>14949</v>
      </c>
      <c r="C328" s="9">
        <f ca="1">LOOKUP(B328,geomorph!A:A,geomorph!B:B)</f>
        <v>1512.4</v>
      </c>
      <c r="D328">
        <f t="shared" si="52"/>
        <v>1.13E-4</v>
      </c>
      <c r="E328" s="9">
        <f ca="1">'[2]Q_GEV(random)'!$J328</f>
        <v>11751.468450028597</v>
      </c>
      <c r="F328" s="26">
        <f ca="1">RANDBETWEEN(ranges!F$2*1000,ranges!F$3*1000)/1000</f>
        <v>0.104</v>
      </c>
      <c r="G328" s="3">
        <f t="shared" ca="1" si="53"/>
        <v>7.7700796416481062</v>
      </c>
      <c r="H328" s="4">
        <f t="shared" ca="1" si="54"/>
        <v>11.230606825943967</v>
      </c>
      <c r="I328" s="4">
        <f t="shared" ca="1" si="55"/>
        <v>221.81980971195759</v>
      </c>
      <c r="J328" s="26">
        <f ca="1">RANDBETWEEN(ranges!J$2*1000,ranges!J$3*1000)/1000</f>
        <v>0.60899999999999999</v>
      </c>
      <c r="K328" s="26">
        <f ca="1">RANDBETWEEN(ranges!K$2*1000,ranges!K$3*1000)/1000</f>
        <v>0.89200000000000002</v>
      </c>
      <c r="L328">
        <f t="shared" ca="1" si="56"/>
        <v>100.55317608589397</v>
      </c>
      <c r="M328">
        <f t="shared" ca="1" si="57"/>
        <v>17.184658456890581</v>
      </c>
      <c r="N328" s="4">
        <f t="shared" ca="1" si="58"/>
        <v>6.4717952510289276</v>
      </c>
      <c r="O328" s="4"/>
      <c r="P328" s="1">
        <f ca="1">LOOKUP(B328,geomorph!$A:$A,geomorph!$G:$G)</f>
        <v>104.837541</v>
      </c>
      <c r="Q328" s="1">
        <f t="shared" ca="1" si="59"/>
        <v>122.02219945689058</v>
      </c>
    </row>
    <row r="329" spans="2:17" x14ac:dyDescent="0.3">
      <c r="B329" s="6">
        <f ca="1">RANDBETWEEN(ranges!B$2,ranges!B$3)</f>
        <v>12223</v>
      </c>
      <c r="C329" s="9">
        <f ca="1">LOOKUP(B329,geomorph!A:A,geomorph!B:B)</f>
        <v>1285</v>
      </c>
      <c r="D329">
        <f t="shared" si="52"/>
        <v>1.13E-4</v>
      </c>
      <c r="E329" s="9">
        <f ca="1">'[2]Q_GEV(random)'!$J329</f>
        <v>11719.376732249884</v>
      </c>
      <c r="F329" s="26">
        <f ca="1">RANDBETWEEN(ranges!F$2*1000,ranges!F$3*1000)/1000</f>
        <v>0.11</v>
      </c>
      <c r="G329" s="3">
        <f t="shared" ca="1" si="53"/>
        <v>9.1201375348248135</v>
      </c>
      <c r="H329" s="4">
        <f t="shared" ca="1" si="54"/>
        <v>12.732302555653305</v>
      </c>
      <c r="I329" s="4">
        <f t="shared" ca="1" si="55"/>
        <v>290.50112218667755</v>
      </c>
      <c r="J329" s="26">
        <f ca="1">RANDBETWEEN(ranges!J$2*1000,ranges!J$3*1000)/1000</f>
        <v>0.66800000000000004</v>
      </c>
      <c r="K329" s="26">
        <f ca="1">RANDBETWEEN(ranges!K$2*1000,ranges!K$3*1000)/1000</f>
        <v>0.85799999999999998</v>
      </c>
      <c r="L329">
        <f t="shared" ca="1" si="56"/>
        <v>123.21112254118275</v>
      </c>
      <c r="M329">
        <f t="shared" ca="1" si="57"/>
        <v>17.890871048592441</v>
      </c>
      <c r="N329" s="4">
        <f t="shared" ca="1" si="58"/>
        <v>5.6071396662381909</v>
      </c>
      <c r="O329" s="4"/>
      <c r="P329" s="1">
        <f ca="1">LOOKUP(B329,geomorph!$A:$A,geomorph!$G:$G)</f>
        <v>105.144901</v>
      </c>
      <c r="Q329" s="1">
        <f t="shared" ca="1" si="59"/>
        <v>123.03577204859245</v>
      </c>
    </row>
    <row r="330" spans="2:17" x14ac:dyDescent="0.3">
      <c r="B330" s="6">
        <f ca="1">RANDBETWEEN(ranges!B$2,ranges!B$3)</f>
        <v>11849</v>
      </c>
      <c r="C330" s="9">
        <f ca="1">LOOKUP(B330,geomorph!A:A,geomorph!B:B)</f>
        <v>1399.1</v>
      </c>
      <c r="D330">
        <f t="shared" si="52"/>
        <v>1.13E-4</v>
      </c>
      <c r="E330" s="9">
        <f ca="1">'[2]Q_GEV(random)'!$J330</f>
        <v>11712.238667990563</v>
      </c>
      <c r="F330" s="26">
        <f ca="1">RANDBETWEEN(ranges!F$2*1000,ranges!F$3*1000)/1000</f>
        <v>0.107</v>
      </c>
      <c r="G330" s="3">
        <f t="shared" ca="1" si="53"/>
        <v>8.3712662911804472</v>
      </c>
      <c r="H330" s="4">
        <f t="shared" ca="1" si="54"/>
        <v>11.915085431666048</v>
      </c>
      <c r="I330" s="4">
        <f t="shared" ca="1" si="55"/>
        <v>251.99699680788987</v>
      </c>
      <c r="J330" s="26">
        <f ca="1">RANDBETWEEN(ranges!J$2*1000,ranges!J$3*1000)/1000</f>
        <v>0.71399999999999997</v>
      </c>
      <c r="K330" s="26">
        <f ca="1">RANDBETWEEN(ranges!K$2*1000,ranges!K$3*1000)/1000</f>
        <v>0.88700000000000001</v>
      </c>
      <c r="L330">
        <f t="shared" ca="1" si="56"/>
        <v>108.02731083890086</v>
      </c>
      <c r="M330">
        <f t="shared" ca="1" si="57"/>
        <v>17.0789341972018</v>
      </c>
      <c r="N330" s="4">
        <f t="shared" ca="1" si="58"/>
        <v>5.6128790929736434</v>
      </c>
      <c r="O330" s="4"/>
      <c r="P330" s="1">
        <f ca="1">LOOKUP(B330,geomorph!$A:$A,geomorph!$G:$G)</f>
        <v>105.18784100000001</v>
      </c>
      <c r="Q330" s="1">
        <f t="shared" ca="1" si="59"/>
        <v>122.26677519720181</v>
      </c>
    </row>
    <row r="331" spans="2:17" x14ac:dyDescent="0.3">
      <c r="B331" s="6">
        <f ca="1">RANDBETWEEN(ranges!B$2,ranges!B$3)</f>
        <v>12760</v>
      </c>
      <c r="C331" s="9">
        <f ca="1">LOOKUP(B331,geomorph!A:A,geomorph!B:B)</f>
        <v>1143</v>
      </c>
      <c r="D331">
        <f t="shared" ref="D331:D394" si="60">D330</f>
        <v>1.13E-4</v>
      </c>
      <c r="E331" s="9">
        <f ca="1">'[2]Q_GEV(random)'!$J331</f>
        <v>11694.079960222924</v>
      </c>
      <c r="F331" s="26">
        <f ca="1">RANDBETWEEN(ranges!F$2*1000,ranges!F$3*1000)/1000</f>
        <v>0.108</v>
      </c>
      <c r="G331" s="3">
        <f t="shared" ref="G331:G394" ca="1" si="61">E331/C331</f>
        <v>10.231041085059426</v>
      </c>
      <c r="H331" s="4">
        <f t="shared" ref="H331:H394" ca="1" si="62">POWER(G331/SQRT(4*9.807*D331/F331),2/3)</f>
        <v>13.662481941001602</v>
      </c>
      <c r="I331" s="4">
        <f t="shared" ref="I331:I394" ca="1" si="63">POWER(G331*G331/9.807/D331,1/3)/C331/D331</f>
        <v>352.60110770449865</v>
      </c>
      <c r="J331" s="26">
        <f ca="1">RANDBETWEEN(ranges!J$2*1000,ranges!J$3*1000)/1000</f>
        <v>0.64200000000000002</v>
      </c>
      <c r="K331" s="26">
        <f ca="1">RANDBETWEEN(ranges!K$2*1000,ranges!K$3*1000)/1000</f>
        <v>0.93300000000000005</v>
      </c>
      <c r="L331">
        <f t="shared" ref="L331:L394" ca="1" si="64">0.63*POWER(F331,1/3)*I331+5.75*(1+SQRT(1+0.11*J331*POWER(F331,1/3)*K331*I331))/J331</f>
        <v>145.85143633480217</v>
      </c>
      <c r="M331">
        <f t="shared" ref="M331:M394" ca="1" si="65">L331*C331*D331</f>
        <v>18.838025665566715</v>
      </c>
      <c r="N331" s="4">
        <f t="shared" ref="N331:N394" ca="1" si="66">(M331-H331)/0.92</f>
        <v>5.6255910049620788</v>
      </c>
      <c r="O331" s="4"/>
      <c r="P331" s="1">
        <f ca="1">LOOKUP(B331,geomorph!$A:$A,geomorph!$G:$G)</f>
        <v>105.08388100000001</v>
      </c>
      <c r="Q331" s="1">
        <f t="shared" ref="Q331:Q394" ca="1" si="67">M331+P331</f>
        <v>123.92190666556672</v>
      </c>
    </row>
    <row r="332" spans="2:17" x14ac:dyDescent="0.3">
      <c r="B332" s="6">
        <f ca="1">RANDBETWEEN(ranges!B$2,ranges!B$3)</f>
        <v>13825</v>
      </c>
      <c r="C332" s="9">
        <f ca="1">LOOKUP(B332,geomorph!A:A,geomorph!B:B)</f>
        <v>1283.2</v>
      </c>
      <c r="D332">
        <f t="shared" si="60"/>
        <v>1.13E-4</v>
      </c>
      <c r="E332" s="9">
        <f ca="1">'[2]Q_GEV(random)'!$J332</f>
        <v>11683.863045631013</v>
      </c>
      <c r="F332" s="26">
        <f ca="1">RANDBETWEEN(ranges!F$2*1000,ranges!F$3*1000)/1000</f>
        <v>0.109</v>
      </c>
      <c r="G332" s="3">
        <f t="shared" ca="1" si="61"/>
        <v>9.1052548672311513</v>
      </c>
      <c r="H332" s="4">
        <f t="shared" ca="1" si="62"/>
        <v>12.679789207457688</v>
      </c>
      <c r="I332" s="4">
        <f t="shared" ca="1" si="63"/>
        <v>290.59205563188527</v>
      </c>
      <c r="J332" s="26">
        <f ca="1">RANDBETWEEN(ranges!J$2*1000,ranges!J$3*1000)/1000</f>
        <v>0.66800000000000004</v>
      </c>
      <c r="K332" s="26">
        <f ca="1">RANDBETWEEN(ranges!K$2*1000,ranges!K$3*1000)/1000</f>
        <v>0.85099999999999998</v>
      </c>
      <c r="L332">
        <f t="shared" ca="1" si="64"/>
        <v>122.84039637238365</v>
      </c>
      <c r="M332">
        <f t="shared" ca="1" si="65"/>
        <v>17.812054018629826</v>
      </c>
      <c r="N332" s="4">
        <f t="shared" ca="1" si="66"/>
        <v>5.5785487077958029</v>
      </c>
      <c r="O332" s="4"/>
      <c r="P332" s="1">
        <f ca="1">LOOKUP(B332,geomorph!$A:$A,geomorph!$G:$G)</f>
        <v>104.964101</v>
      </c>
      <c r="Q332" s="1">
        <f t="shared" ca="1" si="67"/>
        <v>122.77615501862982</v>
      </c>
    </row>
    <row r="333" spans="2:17" x14ac:dyDescent="0.3">
      <c r="B333" s="6">
        <f ca="1">RANDBETWEEN(ranges!B$2,ranges!B$3)</f>
        <v>10004</v>
      </c>
      <c r="C333" s="9">
        <f ca="1">LOOKUP(B333,geomorph!A:A,geomorph!B:B)</f>
        <v>1720.6</v>
      </c>
      <c r="D333">
        <f t="shared" si="60"/>
        <v>1.13E-4</v>
      </c>
      <c r="E333" s="9">
        <f ca="1">'[2]Q_GEV(random)'!$J333</f>
        <v>11679.914222566442</v>
      </c>
      <c r="F333" s="26">
        <f ca="1">RANDBETWEEN(ranges!F$2*1000,ranges!F$3*1000)/1000</f>
        <v>0.108</v>
      </c>
      <c r="G333" s="3">
        <f t="shared" ca="1" si="61"/>
        <v>6.7882797992365704</v>
      </c>
      <c r="H333" s="4">
        <f t="shared" ca="1" si="62"/>
        <v>10.393365612993559</v>
      </c>
      <c r="I333" s="4">
        <f t="shared" ca="1" si="63"/>
        <v>178.18723476432834</v>
      </c>
      <c r="J333" s="26">
        <f ca="1">RANDBETWEEN(ranges!J$2*1000,ranges!J$3*1000)/1000</f>
        <v>0.755</v>
      </c>
      <c r="K333" s="26">
        <f ca="1">RANDBETWEEN(ranges!K$2*1000,ranges!K$3*1000)/1000</f>
        <v>0.93500000000000005</v>
      </c>
      <c r="L333">
        <f t="shared" ca="1" si="64"/>
        <v>82.05612618784717</v>
      </c>
      <c r="M333">
        <f t="shared" ca="1" si="65"/>
        <v>15.95399209122551</v>
      </c>
      <c r="N333" s="4">
        <f t="shared" ca="1" si="66"/>
        <v>6.0441592154695121</v>
      </c>
      <c r="O333" s="4"/>
      <c r="P333" s="1">
        <f ca="1">LOOKUP(B333,geomorph!$A:$A,geomorph!$G:$G)</f>
        <v>105.39576100000001</v>
      </c>
      <c r="Q333" s="1">
        <f t="shared" ca="1" si="67"/>
        <v>121.34975309122552</v>
      </c>
    </row>
    <row r="334" spans="2:17" x14ac:dyDescent="0.3">
      <c r="B334" s="6">
        <f ca="1">RANDBETWEEN(ranges!B$2,ranges!B$3)</f>
        <v>10271</v>
      </c>
      <c r="C334" s="9">
        <f ca="1">LOOKUP(B334,geomorph!A:A,geomorph!B:B)</f>
        <v>1653.6</v>
      </c>
      <c r="D334">
        <f t="shared" si="60"/>
        <v>1.13E-4</v>
      </c>
      <c r="E334" s="9">
        <f ca="1">'[2]Q_GEV(random)'!$J334</f>
        <v>11679.046169353383</v>
      </c>
      <c r="F334" s="26">
        <f ca="1">RANDBETWEEN(ranges!F$2*1000,ranges!F$3*1000)/1000</f>
        <v>0.09</v>
      </c>
      <c r="G334" s="3">
        <f t="shared" ca="1" si="61"/>
        <v>7.0628000540356703</v>
      </c>
      <c r="H334" s="4">
        <f t="shared" ca="1" si="62"/>
        <v>10.042470721169366</v>
      </c>
      <c r="I334" s="4">
        <f t="shared" ca="1" si="63"/>
        <v>190.3724771699701</v>
      </c>
      <c r="J334" s="26">
        <f ca="1">RANDBETWEEN(ranges!J$2*1000,ranges!J$3*1000)/1000</f>
        <v>0.72</v>
      </c>
      <c r="K334" s="26">
        <f ca="1">RANDBETWEEN(ranges!K$2*1000,ranges!K$3*1000)/1000</f>
        <v>0.95899999999999996</v>
      </c>
      <c r="L334">
        <f t="shared" ca="1" si="64"/>
        <v>83.575091521872167</v>
      </c>
      <c r="M334">
        <f t="shared" ca="1" si="65"/>
        <v>15.616574161484163</v>
      </c>
      <c r="N334" s="4">
        <f t="shared" ca="1" si="66"/>
        <v>6.0588080872986918</v>
      </c>
      <c r="O334" s="4"/>
      <c r="P334" s="1">
        <f ca="1">LOOKUP(B334,geomorph!$A:$A,geomorph!$G:$G)</f>
        <v>105.365251</v>
      </c>
      <c r="Q334" s="1">
        <f t="shared" ca="1" si="67"/>
        <v>120.98182516148417</v>
      </c>
    </row>
    <row r="335" spans="2:17" x14ac:dyDescent="0.3">
      <c r="B335" s="6">
        <f ca="1">RANDBETWEEN(ranges!B$2,ranges!B$3)</f>
        <v>14397</v>
      </c>
      <c r="C335" s="9">
        <f ca="1">LOOKUP(B335,geomorph!A:A,geomorph!B:B)</f>
        <v>1373.5</v>
      </c>
      <c r="D335">
        <f t="shared" si="60"/>
        <v>1.13E-4</v>
      </c>
      <c r="E335" s="9">
        <f ca="1">'[2]Q_GEV(random)'!$J335</f>
        <v>11671.654544457144</v>
      </c>
      <c r="F335" s="26">
        <f ca="1">RANDBETWEEN(ranges!F$2*1000,ranges!F$3*1000)/1000</f>
        <v>0.107</v>
      </c>
      <c r="G335" s="3">
        <f t="shared" ca="1" si="61"/>
        <v>8.4977463010244954</v>
      </c>
      <c r="H335" s="4">
        <f t="shared" ca="1" si="62"/>
        <v>12.034800533823629</v>
      </c>
      <c r="I335" s="4">
        <f t="shared" ca="1" si="63"/>
        <v>259.27294094401293</v>
      </c>
      <c r="J335" s="26">
        <f ca="1">RANDBETWEEN(ranges!J$2*1000,ranges!J$3*1000)/1000</f>
        <v>0.72399999999999998</v>
      </c>
      <c r="K335" s="26">
        <f ca="1">RANDBETWEEN(ranges!K$2*1000,ranges!K$3*1000)/1000</f>
        <v>0.83399999999999996</v>
      </c>
      <c r="L335">
        <f t="shared" ca="1" si="64"/>
        <v>109.54510165184391</v>
      </c>
      <c r="M335">
        <f t="shared" ca="1" si="65"/>
        <v>17.002002274425259</v>
      </c>
      <c r="N335" s="4">
        <f t="shared" ca="1" si="66"/>
        <v>5.3991323267409008</v>
      </c>
      <c r="O335" s="4"/>
      <c r="P335" s="1">
        <f ca="1">LOOKUP(B335,geomorph!$A:$A,geomorph!$G:$G)</f>
        <v>104.899691</v>
      </c>
      <c r="Q335" s="1">
        <f t="shared" ca="1" si="67"/>
        <v>121.90169327442527</v>
      </c>
    </row>
    <row r="336" spans="2:17" x14ac:dyDescent="0.3">
      <c r="B336" s="6">
        <f ca="1">RANDBETWEEN(ranges!B$2,ranges!B$3)</f>
        <v>10895</v>
      </c>
      <c r="C336" s="9">
        <f ca="1">LOOKUP(B336,geomorph!A:A,geomorph!B:B)</f>
        <v>1674</v>
      </c>
      <c r="D336">
        <f t="shared" si="60"/>
        <v>1.13E-4</v>
      </c>
      <c r="E336" s="9">
        <f ca="1">'[2]Q_GEV(random)'!$J336</f>
        <v>11671.113514705679</v>
      </c>
      <c r="F336" s="26">
        <f ca="1">RANDBETWEEN(ranges!F$2*1000,ranges!F$3*1000)/1000</f>
        <v>0.10299999999999999</v>
      </c>
      <c r="G336" s="3">
        <f t="shared" ca="1" si="61"/>
        <v>6.9719913468970605</v>
      </c>
      <c r="H336" s="4">
        <f t="shared" ca="1" si="62"/>
        <v>10.41418842504318</v>
      </c>
      <c r="I336" s="4">
        <f t="shared" ca="1" si="63"/>
        <v>186.43715034887114</v>
      </c>
      <c r="J336" s="26">
        <f ca="1">RANDBETWEEN(ranges!J$2*1000,ranges!J$3*1000)/1000</f>
        <v>0.66</v>
      </c>
      <c r="K336" s="26">
        <f ca="1">RANDBETWEEN(ranges!K$2*1000,ranges!K$3*1000)/1000</f>
        <v>0.874</v>
      </c>
      <c r="L336">
        <f t="shared" ca="1" si="64"/>
        <v>86.058836549329328</v>
      </c>
      <c r="M336">
        <f t="shared" ca="1" si="65"/>
        <v>16.279061639344235</v>
      </c>
      <c r="N336" s="4">
        <f t="shared" ca="1" si="66"/>
        <v>6.3748621894576676</v>
      </c>
      <c r="O336" s="4"/>
      <c r="P336" s="1">
        <f ca="1">LOOKUP(B336,geomorph!$A:$A,geomorph!$G:$G)</f>
        <v>105.295191</v>
      </c>
      <c r="Q336" s="1">
        <f t="shared" ca="1" si="67"/>
        <v>121.57425263934424</v>
      </c>
    </row>
    <row r="337" spans="2:17" x14ac:dyDescent="0.3">
      <c r="B337" s="6">
        <f ca="1">RANDBETWEEN(ranges!B$2,ranges!B$3)</f>
        <v>11872</v>
      </c>
      <c r="C337" s="9">
        <f ca="1">LOOKUP(B337,geomorph!A:A,geomorph!B:B)</f>
        <v>1390.1</v>
      </c>
      <c r="D337">
        <f t="shared" si="60"/>
        <v>1.13E-4</v>
      </c>
      <c r="E337" s="9">
        <f ca="1">'[2]Q_GEV(random)'!$J337</f>
        <v>11661.433160956851</v>
      </c>
      <c r="F337" s="26">
        <f ca="1">RANDBETWEEN(ranges!F$2*1000,ranges!F$3*1000)/1000</f>
        <v>9.7000000000000003E-2</v>
      </c>
      <c r="G337" s="3">
        <f t="shared" ca="1" si="61"/>
        <v>8.3889167404912239</v>
      </c>
      <c r="H337" s="4">
        <f t="shared" ca="1" si="62"/>
        <v>11.54789866206635</v>
      </c>
      <c r="I337" s="4">
        <f t="shared" ca="1" si="63"/>
        <v>253.98489926298285</v>
      </c>
      <c r="J337" s="26">
        <f ca="1">RANDBETWEEN(ranges!J$2*1000,ranges!J$3*1000)/1000</f>
        <v>0.64700000000000002</v>
      </c>
      <c r="K337" s="26">
        <f ca="1">RANDBETWEEN(ranges!K$2*1000,ranges!K$3*1000)/1000</f>
        <v>0.85</v>
      </c>
      <c r="L337">
        <f t="shared" ca="1" si="64"/>
        <v>107.63740558524314</v>
      </c>
      <c r="M337">
        <f t="shared" ca="1" si="65"/>
        <v>16.907823597957254</v>
      </c>
      <c r="N337" s="4">
        <f t="shared" ca="1" si="66"/>
        <v>5.8260053650988084</v>
      </c>
      <c r="O337" s="4"/>
      <c r="P337" s="1">
        <f ca="1">LOOKUP(B337,geomorph!$A:$A,geomorph!$G:$G)</f>
        <v>105.184451</v>
      </c>
      <c r="Q337" s="1">
        <f t="shared" ca="1" si="67"/>
        <v>122.09227459795724</v>
      </c>
    </row>
    <row r="338" spans="2:17" x14ac:dyDescent="0.3">
      <c r="B338" s="6">
        <f ca="1">RANDBETWEEN(ranges!B$2,ranges!B$3)</f>
        <v>13334</v>
      </c>
      <c r="C338" s="9">
        <f ca="1">LOOKUP(B338,geomorph!A:A,geomorph!B:B)</f>
        <v>1177.5999999999999</v>
      </c>
      <c r="D338">
        <f t="shared" si="60"/>
        <v>1.13E-4</v>
      </c>
      <c r="E338" s="9">
        <f ca="1">'[2]Q_GEV(random)'!$J338</f>
        <v>11659.26283426699</v>
      </c>
      <c r="F338" s="26">
        <f ca="1">RANDBETWEEN(ranges!F$2*1000,ranges!F$3*1000)/1000</f>
        <v>0.10199999999999999</v>
      </c>
      <c r="G338" s="3">
        <f t="shared" ca="1" si="61"/>
        <v>9.900868575294659</v>
      </c>
      <c r="H338" s="4">
        <f t="shared" ca="1" si="62"/>
        <v>13.114670522149456</v>
      </c>
      <c r="I338" s="4">
        <f t="shared" ca="1" si="63"/>
        <v>334.83775162824446</v>
      </c>
      <c r="J338" s="26">
        <f ca="1">RANDBETWEEN(ranges!J$2*1000,ranges!J$3*1000)/1000</f>
        <v>0.66800000000000004</v>
      </c>
      <c r="K338" s="26">
        <f ca="1">RANDBETWEEN(ranges!K$2*1000,ranges!K$3*1000)/1000</f>
        <v>0.83599999999999997</v>
      </c>
      <c r="L338">
        <f t="shared" ca="1" si="64"/>
        <v>135.20823545701498</v>
      </c>
      <c r="M338">
        <f t="shared" ca="1" si="65"/>
        <v>17.991997642382433</v>
      </c>
      <c r="N338" s="4">
        <f t="shared" ca="1" si="66"/>
        <v>5.3014425219923655</v>
      </c>
      <c r="O338" s="4"/>
      <c r="P338" s="1">
        <f ca="1">LOOKUP(B338,geomorph!$A:$A,geomorph!$G:$G)</f>
        <v>105.01947100000001</v>
      </c>
      <c r="Q338" s="1">
        <f t="shared" ca="1" si="67"/>
        <v>123.01146864238244</v>
      </c>
    </row>
    <row r="339" spans="2:17" x14ac:dyDescent="0.3">
      <c r="B339" s="6">
        <f ca="1">RANDBETWEEN(ranges!B$2,ranges!B$3)</f>
        <v>12675</v>
      </c>
      <c r="C339" s="9">
        <f ca="1">LOOKUP(B339,geomorph!A:A,geomorph!B:B)</f>
        <v>1165.7</v>
      </c>
      <c r="D339">
        <f t="shared" si="60"/>
        <v>1.13E-4</v>
      </c>
      <c r="E339" s="9">
        <f ca="1">'[2]Q_GEV(random)'!$J339</f>
        <v>11650.520129390174</v>
      </c>
      <c r="F339" s="26">
        <f ca="1">RANDBETWEEN(ranges!F$2*1000,ranges!F$3*1000)/1000</f>
        <v>0.108</v>
      </c>
      <c r="G339" s="3">
        <f t="shared" ca="1" si="61"/>
        <v>9.9944412193447487</v>
      </c>
      <c r="H339" s="4">
        <f t="shared" ca="1" si="62"/>
        <v>13.45102543329441</v>
      </c>
      <c r="I339" s="4">
        <f t="shared" ca="1" si="63"/>
        <v>340.38381316945578</v>
      </c>
      <c r="J339" s="26">
        <f ca="1">RANDBETWEEN(ranges!J$2*1000,ranges!J$3*1000)/1000</f>
        <v>0.76300000000000001</v>
      </c>
      <c r="K339" s="26">
        <f ca="1">RANDBETWEEN(ranges!K$2*1000,ranges!K$3*1000)/1000</f>
        <v>0.80700000000000005</v>
      </c>
      <c r="L339">
        <f t="shared" ca="1" si="64"/>
        <v>135.740479188064</v>
      </c>
      <c r="M339">
        <f t="shared" ca="1" si="65"/>
        <v>17.880292454616459</v>
      </c>
      <c r="N339" s="4">
        <f t="shared" ca="1" si="66"/>
        <v>4.8144206753500534</v>
      </c>
      <c r="O339" s="4"/>
      <c r="P339" s="1">
        <f ca="1">LOOKUP(B339,geomorph!$A:$A,geomorph!$G:$G)</f>
        <v>105.09405100000001</v>
      </c>
      <c r="Q339" s="1">
        <f t="shared" ca="1" si="67"/>
        <v>122.97434345461647</v>
      </c>
    </row>
    <row r="340" spans="2:17" x14ac:dyDescent="0.3">
      <c r="B340" s="6">
        <f ca="1">RANDBETWEEN(ranges!B$2,ranges!B$3)</f>
        <v>10076</v>
      </c>
      <c r="C340" s="9">
        <f ca="1">LOOKUP(B340,geomorph!A:A,geomorph!B:B)</f>
        <v>1616.6</v>
      </c>
      <c r="D340">
        <f t="shared" si="60"/>
        <v>1.13E-4</v>
      </c>
      <c r="E340" s="9">
        <f ca="1">'[2]Q_GEV(random)'!$J340</f>
        <v>11648.980955317436</v>
      </c>
      <c r="F340" s="26">
        <f ca="1">RANDBETWEEN(ranges!F$2*1000,ranges!F$3*1000)/1000</f>
        <v>0.106</v>
      </c>
      <c r="G340" s="3">
        <f t="shared" ca="1" si="61"/>
        <v>7.2058523786449564</v>
      </c>
      <c r="H340" s="4">
        <f t="shared" ca="1" si="62"/>
        <v>10.748156768015374</v>
      </c>
      <c r="I340" s="4">
        <f t="shared" ca="1" si="63"/>
        <v>197.35025095141128</v>
      </c>
      <c r="J340" s="26">
        <f ca="1">RANDBETWEEN(ranges!J$2*1000,ranges!J$3*1000)/1000</f>
        <v>0.79700000000000004</v>
      </c>
      <c r="K340" s="26">
        <f ca="1">RANDBETWEEN(ranges!K$2*1000,ranges!K$3*1000)/1000</f>
        <v>0.86699999999999999</v>
      </c>
      <c r="L340">
        <f t="shared" ca="1" si="64"/>
        <v>86.587549049936513</v>
      </c>
      <c r="M340">
        <f t="shared" ca="1" si="65"/>
        <v>15.817449792736392</v>
      </c>
      <c r="N340" s="4">
        <f t="shared" ca="1" si="66"/>
        <v>5.5101011138271936</v>
      </c>
      <c r="O340" s="4"/>
      <c r="P340" s="1">
        <f ca="1">LOOKUP(B340,geomorph!$A:$A,geomorph!$G:$G)</f>
        <v>105.387851</v>
      </c>
      <c r="Q340" s="1">
        <f t="shared" ca="1" si="67"/>
        <v>121.2053007927364</v>
      </c>
    </row>
    <row r="341" spans="2:17" x14ac:dyDescent="0.3">
      <c r="B341" s="6">
        <f ca="1">RANDBETWEEN(ranges!B$2,ranges!B$3)</f>
        <v>14544</v>
      </c>
      <c r="C341" s="9">
        <f ca="1">LOOKUP(B341,geomorph!A:A,geomorph!B:B)</f>
        <v>1411</v>
      </c>
      <c r="D341">
        <f t="shared" si="60"/>
        <v>1.13E-4</v>
      </c>
      <c r="E341" s="9">
        <f ca="1">'[2]Q_GEV(random)'!$J341</f>
        <v>11639.396561926658</v>
      </c>
      <c r="F341" s="26">
        <f ca="1">RANDBETWEEN(ranges!F$2*1000,ranges!F$3*1000)/1000</f>
        <v>0.1</v>
      </c>
      <c r="G341" s="3">
        <f t="shared" ca="1" si="61"/>
        <v>8.2490407951287441</v>
      </c>
      <c r="H341" s="4">
        <f t="shared" ca="1" si="62"/>
        <v>11.535703835304991</v>
      </c>
      <c r="I341" s="4">
        <f t="shared" ca="1" si="63"/>
        <v>247.43357922715524</v>
      </c>
      <c r="J341" s="26">
        <f ca="1">RANDBETWEEN(ranges!J$2*1000,ranges!J$3*1000)/1000</f>
        <v>0.73499999999999999</v>
      </c>
      <c r="K341" s="26">
        <f ca="1">RANDBETWEEN(ranges!K$2*1000,ranges!K$3*1000)/1000</f>
        <v>0.88700000000000001</v>
      </c>
      <c r="L341">
        <f t="shared" ca="1" si="64"/>
        <v>103.95309448916518</v>
      </c>
      <c r="M341">
        <f t="shared" ca="1" si="65"/>
        <v>16.574593244635963</v>
      </c>
      <c r="N341" s="4">
        <f t="shared" ca="1" si="66"/>
        <v>5.4770537057945345</v>
      </c>
      <c r="O341" s="4"/>
      <c r="P341" s="1">
        <f ca="1">LOOKUP(B341,geomorph!$A:$A,geomorph!$G:$G)</f>
        <v>104.88274100000001</v>
      </c>
      <c r="Q341" s="1">
        <f t="shared" ca="1" si="67"/>
        <v>121.45733424463597</v>
      </c>
    </row>
    <row r="342" spans="2:17" x14ac:dyDescent="0.3">
      <c r="B342" s="6">
        <f ca="1">RANDBETWEEN(ranges!B$2,ranges!B$3)</f>
        <v>11325</v>
      </c>
      <c r="C342" s="9">
        <f ca="1">LOOKUP(B342,geomorph!A:A,geomorph!B:B)</f>
        <v>1592.4</v>
      </c>
      <c r="D342">
        <f t="shared" si="60"/>
        <v>1.13E-4</v>
      </c>
      <c r="E342" s="9">
        <f ca="1">'[2]Q_GEV(random)'!$J342</f>
        <v>11624.896749857329</v>
      </c>
      <c r="F342" s="26">
        <f ca="1">RANDBETWEEN(ranges!F$2*1000,ranges!F$3*1000)/1000</f>
        <v>9.1999999999999998E-2</v>
      </c>
      <c r="G342" s="3">
        <f t="shared" ca="1" si="61"/>
        <v>7.3002365924750867</v>
      </c>
      <c r="H342" s="4">
        <f t="shared" ca="1" si="62"/>
        <v>10.341789552718295</v>
      </c>
      <c r="I342" s="4">
        <f t="shared" ca="1" si="63"/>
        <v>202.09510985252609</v>
      </c>
      <c r="J342" s="26">
        <f ca="1">RANDBETWEEN(ranges!J$2*1000,ranges!J$3*1000)/1000</f>
        <v>0.73399999999999999</v>
      </c>
      <c r="K342" s="26">
        <f ca="1">RANDBETWEEN(ranges!K$2*1000,ranges!K$3*1000)/1000</f>
        <v>0.82899999999999996</v>
      </c>
      <c r="L342">
        <f t="shared" ca="1" si="64"/>
        <v>86.193930696920745</v>
      </c>
      <c r="M342">
        <f t="shared" ca="1" si="65"/>
        <v>15.509839322320756</v>
      </c>
      <c r="N342" s="4">
        <f t="shared" ca="1" si="66"/>
        <v>5.6174454017418061</v>
      </c>
      <c r="O342" s="4"/>
      <c r="P342" s="1">
        <f ca="1">LOOKUP(B342,geomorph!$A:$A,geomorph!$G:$G)</f>
        <v>105.246601</v>
      </c>
      <c r="Q342" s="1">
        <f t="shared" ca="1" si="67"/>
        <v>120.75644032232076</v>
      </c>
    </row>
    <row r="343" spans="2:17" x14ac:dyDescent="0.3">
      <c r="B343" s="6">
        <f ca="1">RANDBETWEEN(ranges!B$2,ranges!B$3)</f>
        <v>12714</v>
      </c>
      <c r="C343" s="9">
        <f ca="1">LOOKUP(B343,geomorph!A:A,geomorph!B:B)</f>
        <v>1155.5999999999999</v>
      </c>
      <c r="D343">
        <f t="shared" si="60"/>
        <v>1.13E-4</v>
      </c>
      <c r="E343" s="9">
        <f ca="1">'[2]Q_GEV(random)'!$J343</f>
        <v>11604.458917285128</v>
      </c>
      <c r="F343" s="26">
        <f ca="1">RANDBETWEEN(ranges!F$2*1000,ranges!F$3*1000)/1000</f>
        <v>0.09</v>
      </c>
      <c r="G343" s="3">
        <f t="shared" ca="1" si="61"/>
        <v>10.04193398865103</v>
      </c>
      <c r="H343" s="4">
        <f t="shared" ca="1" si="62"/>
        <v>12.697967404084752</v>
      </c>
      <c r="I343" s="4">
        <f t="shared" ca="1" si="63"/>
        <v>344.44566648267437</v>
      </c>
      <c r="J343" s="26">
        <f ca="1">RANDBETWEEN(ranges!J$2*1000,ranges!J$3*1000)/1000</f>
        <v>0.745</v>
      </c>
      <c r="K343" s="26">
        <f ca="1">RANDBETWEEN(ranges!K$2*1000,ranges!K$3*1000)/1000</f>
        <v>0.84099999999999997</v>
      </c>
      <c r="L343">
        <f t="shared" ca="1" si="64"/>
        <v>131.29549248820297</v>
      </c>
      <c r="M343">
        <f t="shared" ca="1" si="65"/>
        <v>17.14493303648851</v>
      </c>
      <c r="N343" s="4">
        <f t="shared" ca="1" si="66"/>
        <v>4.8336582960910413</v>
      </c>
      <c r="O343" s="4"/>
      <c r="P343" s="1">
        <f ca="1">LOOKUP(B343,geomorph!$A:$A,geomorph!$G:$G)</f>
        <v>105.08953100000001</v>
      </c>
      <c r="Q343" s="1">
        <f t="shared" ca="1" si="67"/>
        <v>122.23446403648852</v>
      </c>
    </row>
    <row r="344" spans="2:17" x14ac:dyDescent="0.3">
      <c r="B344" s="6">
        <f ca="1">RANDBETWEEN(ranges!B$2,ranges!B$3)</f>
        <v>12437</v>
      </c>
      <c r="C344" s="9">
        <f ca="1">LOOKUP(B344,geomorph!A:A,geomorph!B:B)</f>
        <v>1228.0999999999999</v>
      </c>
      <c r="D344">
        <f t="shared" si="60"/>
        <v>1.13E-4</v>
      </c>
      <c r="E344" s="9">
        <f ca="1">'[2]Q_GEV(random)'!$J344</f>
        <v>11584.381140170713</v>
      </c>
      <c r="F344" s="26">
        <f ca="1">RANDBETWEEN(ranges!F$2*1000,ranges!F$3*1000)/1000</f>
        <v>0.106</v>
      </c>
      <c r="G344" s="3">
        <f t="shared" ca="1" si="61"/>
        <v>9.4327669897978286</v>
      </c>
      <c r="H344" s="4">
        <f t="shared" ca="1" si="62"/>
        <v>12.861841580737893</v>
      </c>
      <c r="I344" s="4">
        <f t="shared" ca="1" si="63"/>
        <v>310.8677643547075</v>
      </c>
      <c r="J344" s="26">
        <f ca="1">RANDBETWEEN(ranges!J$2*1000,ranges!J$3*1000)/1000</f>
        <v>0.61599999999999999</v>
      </c>
      <c r="K344" s="26">
        <f ca="1">RANDBETWEEN(ranges!K$2*1000,ranges!K$3*1000)/1000</f>
        <v>0.92600000000000005</v>
      </c>
      <c r="L344">
        <f t="shared" ca="1" si="64"/>
        <v>131.87869316675037</v>
      </c>
      <c r="M344">
        <f t="shared" ca="1" si="65"/>
        <v>18.301505207823727</v>
      </c>
      <c r="N344" s="4">
        <f t="shared" ca="1" si="66"/>
        <v>5.9126778555280799</v>
      </c>
      <c r="O344" s="4"/>
      <c r="P344" s="1">
        <f ca="1">LOOKUP(B344,geomorph!$A:$A,geomorph!$G:$G)</f>
        <v>105.121171</v>
      </c>
      <c r="Q344" s="1">
        <f t="shared" ca="1" si="67"/>
        <v>123.42267620782373</v>
      </c>
    </row>
    <row r="345" spans="2:17" x14ac:dyDescent="0.3">
      <c r="B345" s="6">
        <f ca="1">RANDBETWEEN(ranges!B$2,ranges!B$3)</f>
        <v>11434</v>
      </c>
      <c r="C345" s="9">
        <f ca="1">LOOKUP(B345,geomorph!A:A,geomorph!B:B)</f>
        <v>1516.2</v>
      </c>
      <c r="D345">
        <f t="shared" si="60"/>
        <v>1.13E-4</v>
      </c>
      <c r="E345" s="9">
        <f ca="1">'[2]Q_GEV(random)'!$J345</f>
        <v>11563.825833877272</v>
      </c>
      <c r="F345" s="26">
        <f ca="1">RANDBETWEEN(ranges!F$2*1000,ranges!F$3*1000)/1000</f>
        <v>0.09</v>
      </c>
      <c r="G345" s="3">
        <f t="shared" ca="1" si="61"/>
        <v>7.6268472720467431</v>
      </c>
      <c r="H345" s="4">
        <f t="shared" ca="1" si="62"/>
        <v>10.570268023718748</v>
      </c>
      <c r="I345" s="4">
        <f t="shared" ca="1" si="63"/>
        <v>218.53628586996274</v>
      </c>
      <c r="J345" s="26">
        <f ca="1">RANDBETWEEN(ranges!J$2*1000,ranges!J$3*1000)/1000</f>
        <v>0.79600000000000004</v>
      </c>
      <c r="K345" s="26">
        <f ca="1">RANDBETWEEN(ranges!K$2*1000,ranges!K$3*1000)/1000</f>
        <v>0.89200000000000002</v>
      </c>
      <c r="L345">
        <f t="shared" ca="1" si="64"/>
        <v>90.166789217638666</v>
      </c>
      <c r="M345">
        <f t="shared" ca="1" si="65"/>
        <v>15.448330096731564</v>
      </c>
      <c r="N345" s="4">
        <f t="shared" ca="1" si="66"/>
        <v>5.3022413837095819</v>
      </c>
      <c r="O345" s="4"/>
      <c r="P345" s="1">
        <f ca="1">LOOKUP(B345,geomorph!$A:$A,geomorph!$G:$G)</f>
        <v>105.234171</v>
      </c>
      <c r="Q345" s="1">
        <f t="shared" ca="1" si="67"/>
        <v>120.68250109673157</v>
      </c>
    </row>
    <row r="346" spans="2:17" x14ac:dyDescent="0.3">
      <c r="B346" s="6">
        <f ca="1">RANDBETWEEN(ranges!B$2,ranges!B$3)</f>
        <v>12330</v>
      </c>
      <c r="C346" s="9">
        <f ca="1">LOOKUP(B346,geomorph!A:A,geomorph!B:B)</f>
        <v>1254.9000000000001</v>
      </c>
      <c r="D346">
        <f t="shared" si="60"/>
        <v>1.13E-4</v>
      </c>
      <c r="E346" s="9">
        <f ca="1">'[2]Q_GEV(random)'!$J346</f>
        <v>11544.430570020104</v>
      </c>
      <c r="F346" s="26">
        <f ca="1">RANDBETWEEN(ranges!F$2*1000,ranges!F$3*1000)/1000</f>
        <v>0.10299999999999999</v>
      </c>
      <c r="G346" s="3">
        <f t="shared" ca="1" si="61"/>
        <v>9.1994824846761514</v>
      </c>
      <c r="H346" s="4">
        <f t="shared" ca="1" si="62"/>
        <v>12.52842476836585</v>
      </c>
      <c r="I346" s="4">
        <f t="shared" ca="1" si="63"/>
        <v>299.19189802922909</v>
      </c>
      <c r="J346" s="26">
        <f ca="1">RANDBETWEEN(ranges!J$2*1000,ranges!J$3*1000)/1000</f>
        <v>0.73499999999999999</v>
      </c>
      <c r="K346" s="26">
        <f ca="1">RANDBETWEEN(ranges!K$2*1000,ranges!K$3*1000)/1000</f>
        <v>0.81499999999999995</v>
      </c>
      <c r="L346">
        <f t="shared" ca="1" si="64"/>
        <v>121.21475030318402</v>
      </c>
      <c r="M346">
        <f t="shared" ca="1" si="65"/>
        <v>17.188700087567614</v>
      </c>
      <c r="N346" s="4">
        <f t="shared" ca="1" si="66"/>
        <v>5.0655166513062655</v>
      </c>
      <c r="O346" s="4"/>
      <c r="P346" s="1">
        <f ca="1">LOOKUP(B346,geomorph!$A:$A,geomorph!$G:$G)</f>
        <v>105.13247100000001</v>
      </c>
      <c r="Q346" s="1">
        <f t="shared" ca="1" si="67"/>
        <v>122.32117108756762</v>
      </c>
    </row>
    <row r="347" spans="2:17" x14ac:dyDescent="0.3">
      <c r="B347" s="6">
        <f ca="1">RANDBETWEEN(ranges!B$2,ranges!B$3)</f>
        <v>10914</v>
      </c>
      <c r="C347" s="9">
        <f ca="1">LOOKUP(B347,geomorph!A:A,geomorph!B:B)</f>
        <v>1678.2</v>
      </c>
      <c r="D347">
        <f t="shared" si="60"/>
        <v>1.13E-4</v>
      </c>
      <c r="E347" s="9">
        <f ca="1">'[2]Q_GEV(random)'!$J347</f>
        <v>11541.800409324418</v>
      </c>
      <c r="F347" s="26">
        <f ca="1">RANDBETWEEN(ranges!F$2*1000,ranges!F$3*1000)/1000</f>
        <v>0.108</v>
      </c>
      <c r="G347" s="3">
        <f t="shared" ca="1" si="61"/>
        <v>6.8774880284378606</v>
      </c>
      <c r="H347" s="4">
        <f t="shared" ca="1" si="62"/>
        <v>10.484223660144833</v>
      </c>
      <c r="I347" s="4">
        <f t="shared" ca="1" si="63"/>
        <v>184.2862200676598</v>
      </c>
      <c r="J347" s="26">
        <f ca="1">RANDBETWEEN(ranges!J$2*1000,ranges!J$3*1000)/1000</f>
        <v>0.61099999999999999</v>
      </c>
      <c r="K347" s="26">
        <f ca="1">RANDBETWEEN(ranges!K$2*1000,ranges!K$3*1000)/1000</f>
        <v>0.89600000000000002</v>
      </c>
      <c r="L347">
        <f t="shared" ca="1" si="64"/>
        <v>88.292868236603724</v>
      </c>
      <c r="M347">
        <f t="shared" ca="1" si="65"/>
        <v>16.743559336637528</v>
      </c>
      <c r="N347" s="4">
        <f t="shared" ca="1" si="66"/>
        <v>6.8036257353181462</v>
      </c>
      <c r="O347" s="4"/>
      <c r="P347" s="1">
        <f ca="1">LOOKUP(B347,geomorph!$A:$A,geomorph!$G:$G)</f>
        <v>105.29293100000001</v>
      </c>
      <c r="Q347" s="1">
        <f t="shared" ca="1" si="67"/>
        <v>122.03649033663754</v>
      </c>
    </row>
    <row r="348" spans="2:17" x14ac:dyDescent="0.3">
      <c r="B348" s="6">
        <f ca="1">RANDBETWEEN(ranges!B$2,ranges!B$3)</f>
        <v>14300</v>
      </c>
      <c r="C348" s="9">
        <f ca="1">LOOKUP(B348,geomorph!A:A,geomorph!B:B)</f>
        <v>1346.2</v>
      </c>
      <c r="D348">
        <f t="shared" si="60"/>
        <v>1.13E-4</v>
      </c>
      <c r="E348" s="9">
        <f ca="1">'[2]Q_GEV(random)'!$J348</f>
        <v>11535.236862969108</v>
      </c>
      <c r="F348" s="26">
        <f ca="1">RANDBETWEEN(ranges!F$2*1000,ranges!F$3*1000)/1000</f>
        <v>9.7000000000000003E-2</v>
      </c>
      <c r="G348" s="3">
        <f t="shared" ca="1" si="61"/>
        <v>8.5687393128577529</v>
      </c>
      <c r="H348" s="4">
        <f t="shared" ca="1" si="62"/>
        <v>11.712339745825734</v>
      </c>
      <c r="I348" s="4">
        <f t="shared" ca="1" si="63"/>
        <v>266.00209127645758</v>
      </c>
      <c r="J348" s="26">
        <f ca="1">RANDBETWEEN(ranges!J$2*1000,ranges!J$3*1000)/1000</f>
        <v>0.70299999999999996</v>
      </c>
      <c r="K348" s="26">
        <f ca="1">RANDBETWEEN(ranges!K$2*1000,ranges!K$3*1000)/1000</f>
        <v>0.81</v>
      </c>
      <c r="L348">
        <f t="shared" ca="1" si="64"/>
        <v>109.24136718519276</v>
      </c>
      <c r="M348">
        <f t="shared" ca="1" si="65"/>
        <v>16.617862321031833</v>
      </c>
      <c r="N348" s="4">
        <f t="shared" ca="1" si="66"/>
        <v>5.3320897556588029</v>
      </c>
      <c r="O348" s="4"/>
      <c r="P348" s="1">
        <f ca="1">LOOKUP(B348,geomorph!$A:$A,geomorph!$G:$G)</f>
        <v>104.90986100000001</v>
      </c>
      <c r="Q348" s="1">
        <f t="shared" ca="1" si="67"/>
        <v>121.52772332103184</v>
      </c>
    </row>
    <row r="349" spans="2:17" x14ac:dyDescent="0.3">
      <c r="B349" s="6">
        <f ca="1">RANDBETWEEN(ranges!B$2,ranges!B$3)</f>
        <v>11560</v>
      </c>
      <c r="C349" s="9">
        <f ca="1">LOOKUP(B349,geomorph!A:A,geomorph!B:B)</f>
        <v>1474.6</v>
      </c>
      <c r="D349">
        <f t="shared" si="60"/>
        <v>1.13E-4</v>
      </c>
      <c r="E349" s="9">
        <f ca="1">'[2]Q_GEV(random)'!$J349</f>
        <v>11512.946119067332</v>
      </c>
      <c r="F349" s="26">
        <f ca="1">RANDBETWEEN(ranges!F$2*1000,ranges!F$3*1000)/1000</f>
        <v>0.10100000000000001</v>
      </c>
      <c r="G349" s="3">
        <f t="shared" ca="1" si="61"/>
        <v>7.8075044887205562</v>
      </c>
      <c r="H349" s="4">
        <f t="shared" ca="1" si="62"/>
        <v>11.157247907374677</v>
      </c>
      <c r="I349" s="4">
        <f t="shared" ca="1" si="63"/>
        <v>228.23589578059256</v>
      </c>
      <c r="J349" s="26">
        <f ca="1">RANDBETWEEN(ranges!J$2*1000,ranges!J$3*1000)/1000</f>
        <v>0.65100000000000002</v>
      </c>
      <c r="K349" s="26">
        <f ca="1">RANDBETWEEN(ranges!K$2*1000,ranges!K$3*1000)/1000</f>
        <v>0.97599999999999998</v>
      </c>
      <c r="L349">
        <f t="shared" ca="1" si="64"/>
        <v>101.4380060163262</v>
      </c>
      <c r="M349">
        <f t="shared" ca="1" si="65"/>
        <v>16.902594654899229</v>
      </c>
      <c r="N349" s="4">
        <f t="shared" ca="1" si="66"/>
        <v>6.2449421168745127</v>
      </c>
      <c r="O349" s="4"/>
      <c r="P349" s="1">
        <f ca="1">LOOKUP(B349,geomorph!$A:$A,geomorph!$G:$G)</f>
        <v>105.219481</v>
      </c>
      <c r="Q349" s="1">
        <f t="shared" ca="1" si="67"/>
        <v>122.12207565489923</v>
      </c>
    </row>
    <row r="350" spans="2:17" x14ac:dyDescent="0.3">
      <c r="B350" s="6">
        <f ca="1">RANDBETWEEN(ranges!B$2,ranges!B$3)</f>
        <v>13796</v>
      </c>
      <c r="C350" s="9">
        <f ca="1">LOOKUP(B350,geomorph!A:A,geomorph!B:B)</f>
        <v>1275.7</v>
      </c>
      <c r="D350">
        <f t="shared" si="60"/>
        <v>1.13E-4</v>
      </c>
      <c r="E350" s="9">
        <f ca="1">'[2]Q_GEV(random)'!$J350</f>
        <v>11488.979394655953</v>
      </c>
      <c r="F350" s="26">
        <f ca="1">RANDBETWEEN(ranges!F$2*1000,ranges!F$3*1000)/1000</f>
        <v>0.09</v>
      </c>
      <c r="G350" s="3">
        <f t="shared" ca="1" si="61"/>
        <v>9.0060197496715162</v>
      </c>
      <c r="H350" s="4">
        <f t="shared" ca="1" si="62"/>
        <v>11.808948531996711</v>
      </c>
      <c r="I350" s="4">
        <f t="shared" ca="1" si="63"/>
        <v>290.17281623306184</v>
      </c>
      <c r="J350" s="26">
        <f ca="1">RANDBETWEEN(ranges!J$2*1000,ranges!J$3*1000)/1000</f>
        <v>0.68</v>
      </c>
      <c r="K350" s="26">
        <f ca="1">RANDBETWEEN(ranges!K$2*1000,ranges!K$3*1000)/1000</f>
        <v>0.81799999999999995</v>
      </c>
      <c r="L350">
        <f t="shared" ca="1" si="64"/>
        <v>115.68630218873969</v>
      </c>
      <c r="M350">
        <f t="shared" ca="1" si="65"/>
        <v>16.676654774345803</v>
      </c>
      <c r="N350" s="4">
        <f t="shared" ca="1" si="66"/>
        <v>5.2909850460316212</v>
      </c>
      <c r="O350" s="4"/>
      <c r="P350" s="1">
        <f ca="1">LOOKUP(B350,geomorph!$A:$A,geomorph!$G:$G)</f>
        <v>104.96749100000001</v>
      </c>
      <c r="Q350" s="1">
        <f t="shared" ca="1" si="67"/>
        <v>121.64414577434582</v>
      </c>
    </row>
    <row r="351" spans="2:17" x14ac:dyDescent="0.3">
      <c r="B351" s="6">
        <f ca="1">RANDBETWEEN(ranges!B$2,ranges!B$3)</f>
        <v>11114</v>
      </c>
      <c r="C351" s="9">
        <f ca="1">LOOKUP(B351,geomorph!A:A,geomorph!B:B)</f>
        <v>1683</v>
      </c>
      <c r="D351">
        <f t="shared" si="60"/>
        <v>1.13E-4</v>
      </c>
      <c r="E351" s="9">
        <f ca="1">'[2]Q_GEV(random)'!$J351</f>
        <v>11485.781174757009</v>
      </c>
      <c r="F351" s="26">
        <f ca="1">RANDBETWEEN(ranges!F$2*1000,ranges!F$3*1000)/1000</f>
        <v>0.11</v>
      </c>
      <c r="G351" s="3">
        <f t="shared" ca="1" si="61"/>
        <v>6.8245877449536589</v>
      </c>
      <c r="H351" s="4">
        <f t="shared" ca="1" si="62"/>
        <v>10.494384520819851</v>
      </c>
      <c r="I351" s="4">
        <f t="shared" ca="1" si="63"/>
        <v>182.81711405683976</v>
      </c>
      <c r="J351" s="26">
        <f ca="1">RANDBETWEEN(ranges!J$2*1000,ranges!J$3*1000)/1000</f>
        <v>0.78900000000000003</v>
      </c>
      <c r="K351" s="26">
        <f ca="1">RANDBETWEEN(ranges!K$2*1000,ranges!K$3*1000)/1000</f>
        <v>0.85099999999999998</v>
      </c>
      <c r="L351">
        <f t="shared" ca="1" si="64"/>
        <v>82.390552175444171</v>
      </c>
      <c r="M351">
        <f t="shared" ca="1" si="65"/>
        <v>15.668952822173797</v>
      </c>
      <c r="N351" s="4">
        <f t="shared" ca="1" si="66"/>
        <v>5.6245307623412444</v>
      </c>
      <c r="O351" s="4"/>
      <c r="P351" s="1">
        <f ca="1">LOOKUP(B351,geomorph!$A:$A,geomorph!$G:$G)</f>
        <v>105.270331</v>
      </c>
      <c r="Q351" s="1">
        <f t="shared" ca="1" si="67"/>
        <v>120.93928382217379</v>
      </c>
    </row>
    <row r="352" spans="2:17" x14ac:dyDescent="0.3">
      <c r="B352" s="6">
        <f ca="1">RANDBETWEEN(ranges!B$2,ranges!B$3)</f>
        <v>10447</v>
      </c>
      <c r="C352" s="9">
        <f ca="1">LOOKUP(B352,geomorph!A:A,geomorph!B:B)</f>
        <v>1759.3</v>
      </c>
      <c r="D352">
        <f t="shared" si="60"/>
        <v>1.13E-4</v>
      </c>
      <c r="E352" s="9">
        <f ca="1">'[2]Q_GEV(random)'!$J352</f>
        <v>11476.447701699715</v>
      </c>
      <c r="F352" s="26">
        <f ca="1">RANDBETWEEN(ranges!F$2*1000,ranges!F$3*1000)/1000</f>
        <v>0.09</v>
      </c>
      <c r="G352" s="3">
        <f t="shared" ca="1" si="61"/>
        <v>6.5233034170975479</v>
      </c>
      <c r="H352" s="4">
        <f t="shared" ca="1" si="62"/>
        <v>9.5243282045509083</v>
      </c>
      <c r="I352" s="4">
        <f t="shared" ca="1" si="63"/>
        <v>169.70260165277017</v>
      </c>
      <c r="J352" s="26">
        <f ca="1">RANDBETWEEN(ranges!J$2*1000,ranges!J$3*1000)/1000</f>
        <v>0.74099999999999999</v>
      </c>
      <c r="K352" s="26">
        <f ca="1">RANDBETWEEN(ranges!K$2*1000,ranges!K$3*1000)/1000</f>
        <v>0.80600000000000005</v>
      </c>
      <c r="L352">
        <f t="shared" ca="1" si="64"/>
        <v>74.673316609152764</v>
      </c>
      <c r="M352">
        <f t="shared" ca="1" si="65"/>
        <v>14.845122547884515</v>
      </c>
      <c r="N352" s="4">
        <f t="shared" ca="1" si="66"/>
        <v>5.7834721123191368</v>
      </c>
      <c r="O352" s="4"/>
      <c r="P352" s="1">
        <f ca="1">LOOKUP(B352,geomorph!$A:$A,geomorph!$G:$G)</f>
        <v>105.346041</v>
      </c>
      <c r="Q352" s="1">
        <f t="shared" ca="1" si="67"/>
        <v>120.19116354788451</v>
      </c>
    </row>
    <row r="353" spans="2:17" x14ac:dyDescent="0.3">
      <c r="B353" s="6">
        <f ca="1">RANDBETWEEN(ranges!B$2,ranges!B$3)</f>
        <v>12036</v>
      </c>
      <c r="C353" s="9">
        <f ca="1">LOOKUP(B353,geomorph!A:A,geomorph!B:B)</f>
        <v>1341</v>
      </c>
      <c r="D353">
        <f t="shared" si="60"/>
        <v>1.13E-4</v>
      </c>
      <c r="E353" s="9">
        <f ca="1">'[2]Q_GEV(random)'!$J353</f>
        <v>11462.185423440245</v>
      </c>
      <c r="F353" s="26">
        <f ca="1">RANDBETWEEN(ranges!F$2*1000,ranges!F$3*1000)/1000</f>
        <v>9.0999999999999998E-2</v>
      </c>
      <c r="G353" s="3">
        <f t="shared" ca="1" si="61"/>
        <v>8.5474909943625992</v>
      </c>
      <c r="H353" s="4">
        <f t="shared" ca="1" si="62"/>
        <v>11.446727970280049</v>
      </c>
      <c r="I353" s="4">
        <f t="shared" ca="1" si="63"/>
        <v>266.59193506162313</v>
      </c>
      <c r="J353" s="26">
        <f ca="1">RANDBETWEEN(ranges!J$2*1000,ranges!J$3*1000)/1000</f>
        <v>0.77</v>
      </c>
      <c r="K353" s="26">
        <f ca="1">RANDBETWEEN(ranges!K$2*1000,ranges!K$3*1000)/1000</f>
        <v>0.82899999999999996</v>
      </c>
      <c r="L353">
        <f t="shared" ca="1" si="64"/>
        <v>105.93082172234459</v>
      </c>
      <c r="M353">
        <f t="shared" ca="1" si="65"/>
        <v>16.05201520805204</v>
      </c>
      <c r="N353" s="4">
        <f t="shared" ca="1" si="66"/>
        <v>5.0057469975782514</v>
      </c>
      <c r="O353" s="4"/>
      <c r="P353" s="1">
        <f ca="1">LOOKUP(B353,geomorph!$A:$A,geomorph!$G:$G)</f>
        <v>105.166371</v>
      </c>
      <c r="Q353" s="1">
        <f t="shared" ca="1" si="67"/>
        <v>121.21838620805204</v>
      </c>
    </row>
    <row r="354" spans="2:17" x14ac:dyDescent="0.3">
      <c r="B354" s="6">
        <f ca="1">RANDBETWEEN(ranges!B$2,ranges!B$3)</f>
        <v>12337</v>
      </c>
      <c r="C354" s="9">
        <f ca="1">LOOKUP(B354,geomorph!A:A,geomorph!B:B)</f>
        <v>1254.9000000000001</v>
      </c>
      <c r="D354">
        <f t="shared" si="60"/>
        <v>1.13E-4</v>
      </c>
      <c r="E354" s="9">
        <f ca="1">'[2]Q_GEV(random)'!$J354</f>
        <v>11447.884484331576</v>
      </c>
      <c r="F354" s="26">
        <f ca="1">RANDBETWEEN(ranges!F$2*1000,ranges!F$3*1000)/1000</f>
        <v>9.8000000000000004E-2</v>
      </c>
      <c r="G354" s="3">
        <f t="shared" ca="1" si="61"/>
        <v>9.1225472024317273</v>
      </c>
      <c r="H354" s="4">
        <f t="shared" ca="1" si="62"/>
        <v>12.253530459013932</v>
      </c>
      <c r="I354" s="4">
        <f t="shared" ca="1" si="63"/>
        <v>297.52146951462765</v>
      </c>
      <c r="J354" s="26">
        <f ca="1">RANDBETWEEN(ranges!J$2*1000,ranges!J$3*1000)/1000</f>
        <v>0.7</v>
      </c>
      <c r="K354" s="26">
        <f ca="1">RANDBETWEEN(ranges!K$2*1000,ranges!K$3*1000)/1000</f>
        <v>0.89700000000000002</v>
      </c>
      <c r="L354">
        <f t="shared" ca="1" si="64"/>
        <v>121.21625681760602</v>
      </c>
      <c r="M354">
        <f t="shared" ca="1" si="65"/>
        <v>17.188913716886763</v>
      </c>
      <c r="N354" s="4">
        <f t="shared" ca="1" si="66"/>
        <v>5.3645470194269897</v>
      </c>
      <c r="O354" s="4"/>
      <c r="P354" s="1">
        <f ca="1">LOOKUP(B354,geomorph!$A:$A,geomorph!$G:$G)</f>
        <v>105.13247100000001</v>
      </c>
      <c r="Q354" s="1">
        <f t="shared" ca="1" si="67"/>
        <v>122.32138471688677</v>
      </c>
    </row>
    <row r="355" spans="2:17" x14ac:dyDescent="0.3">
      <c r="B355" s="6">
        <f ca="1">RANDBETWEEN(ranges!B$2,ranges!B$3)</f>
        <v>12461</v>
      </c>
      <c r="C355" s="9">
        <f ca="1">LOOKUP(B355,geomorph!A:A,geomorph!B:B)</f>
        <v>1220.2</v>
      </c>
      <c r="D355">
        <f t="shared" si="60"/>
        <v>1.13E-4</v>
      </c>
      <c r="E355" s="9">
        <f ca="1">'[2]Q_GEV(random)'!$J355</f>
        <v>11432.315708954036</v>
      </c>
      <c r="F355" s="26">
        <f ca="1">RANDBETWEEN(ranges!F$2*1000,ranges!F$3*1000)/1000</f>
        <v>0.1</v>
      </c>
      <c r="G355" s="3">
        <f t="shared" ca="1" si="61"/>
        <v>9.369214644282934</v>
      </c>
      <c r="H355" s="4">
        <f t="shared" ca="1" si="62"/>
        <v>12.55771403319385</v>
      </c>
      <c r="I355" s="4">
        <f t="shared" ca="1" si="63"/>
        <v>311.47351358338034</v>
      </c>
      <c r="J355" s="26">
        <f ca="1">RANDBETWEEN(ranges!J$2*1000,ranges!J$3*1000)/1000</f>
        <v>0.62</v>
      </c>
      <c r="K355" s="26">
        <f ca="1">RANDBETWEEN(ranges!K$2*1000,ranges!K$3*1000)/1000</f>
        <v>0.88200000000000001</v>
      </c>
      <c r="L355">
        <f t="shared" ca="1" si="64"/>
        <v>129.23429664522683</v>
      </c>
      <c r="M355">
        <f t="shared" ca="1" si="65"/>
        <v>17.819160830615154</v>
      </c>
      <c r="N355" s="4">
        <f t="shared" ca="1" si="66"/>
        <v>5.7189639102405474</v>
      </c>
      <c r="O355" s="4"/>
      <c r="P355" s="1">
        <f ca="1">LOOKUP(B355,geomorph!$A:$A,geomorph!$G:$G)</f>
        <v>105.11778100000001</v>
      </c>
      <c r="Q355" s="1">
        <f t="shared" ca="1" si="67"/>
        <v>122.93694183061515</v>
      </c>
    </row>
    <row r="356" spans="2:17" x14ac:dyDescent="0.3">
      <c r="B356" s="6">
        <f ca="1">RANDBETWEEN(ranges!B$2,ranges!B$3)</f>
        <v>11501</v>
      </c>
      <c r="C356" s="9">
        <f ca="1">LOOKUP(B356,geomorph!A:A,geomorph!B:B)</f>
        <v>1489.9</v>
      </c>
      <c r="D356">
        <f t="shared" si="60"/>
        <v>1.13E-4</v>
      </c>
      <c r="E356" s="9">
        <f ca="1">'[2]Q_GEV(random)'!$J356</f>
        <v>11431.111992681123</v>
      </c>
      <c r="F356" s="26">
        <f ca="1">RANDBETWEEN(ranges!F$2*1000,ranges!F$3*1000)/1000</f>
        <v>0.106</v>
      </c>
      <c r="G356" s="3">
        <f t="shared" ca="1" si="61"/>
        <v>7.6724021697302653</v>
      </c>
      <c r="H356" s="4">
        <f t="shared" ca="1" si="62"/>
        <v>11.207222427410931</v>
      </c>
      <c r="I356" s="4">
        <f t="shared" ca="1" si="63"/>
        <v>223.27861853056015</v>
      </c>
      <c r="J356" s="26">
        <f ca="1">RANDBETWEEN(ranges!J$2*1000,ranges!J$3*1000)/1000</f>
        <v>0.66200000000000003</v>
      </c>
      <c r="K356" s="26">
        <f ca="1">RANDBETWEEN(ranges!K$2*1000,ranges!K$3*1000)/1000</f>
        <v>0.85299999999999998</v>
      </c>
      <c r="L356">
        <f t="shared" ca="1" si="64"/>
        <v>99.145348060390361</v>
      </c>
      <c r="M356">
        <f t="shared" ca="1" si="65"/>
        <v>16.691981910494842</v>
      </c>
      <c r="N356" s="4">
        <f t="shared" ca="1" si="66"/>
        <v>5.9616950903085986</v>
      </c>
      <c r="O356" s="4"/>
      <c r="P356" s="1">
        <f ca="1">LOOKUP(B356,geomorph!$A:$A,geomorph!$G:$G)</f>
        <v>105.22626100000001</v>
      </c>
      <c r="Q356" s="1">
        <f t="shared" ca="1" si="67"/>
        <v>121.91824291049485</v>
      </c>
    </row>
    <row r="357" spans="2:17" x14ac:dyDescent="0.3">
      <c r="B357" s="6">
        <f ca="1">RANDBETWEEN(ranges!B$2,ranges!B$3)</f>
        <v>14391</v>
      </c>
      <c r="C357" s="9">
        <f ca="1">LOOKUP(B357,geomorph!A:A,geomorph!B:B)</f>
        <v>1373.5</v>
      </c>
      <c r="D357">
        <f t="shared" si="60"/>
        <v>1.13E-4</v>
      </c>
      <c r="E357" s="9">
        <f ca="1">'[2]Q_GEV(random)'!$J357</f>
        <v>11423.46118261485</v>
      </c>
      <c r="F357" s="26">
        <f ca="1">RANDBETWEEN(ranges!F$2*1000,ranges!F$3*1000)/1000</f>
        <v>9.4E-2</v>
      </c>
      <c r="G357" s="3">
        <f t="shared" ca="1" si="61"/>
        <v>8.3170449090752463</v>
      </c>
      <c r="H357" s="4">
        <f t="shared" ca="1" si="62"/>
        <v>11.362235300721483</v>
      </c>
      <c r="I357" s="4">
        <f t="shared" ca="1" si="63"/>
        <v>255.58422839638374</v>
      </c>
      <c r="J357" s="26">
        <f ca="1">RANDBETWEEN(ranges!J$2*1000,ranges!J$3*1000)/1000</f>
        <v>0.73199999999999998</v>
      </c>
      <c r="K357" s="26">
        <f ca="1">RANDBETWEEN(ranges!K$2*1000,ranges!K$3*1000)/1000</f>
        <v>0.82899999999999996</v>
      </c>
      <c r="L357">
        <f t="shared" ca="1" si="64"/>
        <v>104.31291080170564</v>
      </c>
      <c r="M357">
        <f t="shared" ca="1" si="65"/>
        <v>16.189937477434125</v>
      </c>
      <c r="N357" s="4">
        <f t="shared" ca="1" si="66"/>
        <v>5.247502365992001</v>
      </c>
      <c r="O357" s="4"/>
      <c r="P357" s="1">
        <f ca="1">LOOKUP(B357,geomorph!$A:$A,geomorph!$G:$G)</f>
        <v>104.899691</v>
      </c>
      <c r="Q357" s="1">
        <f t="shared" ca="1" si="67"/>
        <v>121.08962847743413</v>
      </c>
    </row>
    <row r="358" spans="2:17" x14ac:dyDescent="0.3">
      <c r="B358" s="6">
        <f ca="1">RANDBETWEEN(ranges!B$2,ranges!B$3)</f>
        <v>14423</v>
      </c>
      <c r="C358" s="9">
        <f ca="1">LOOKUP(B358,geomorph!A:A,geomorph!B:B)</f>
        <v>1381.7</v>
      </c>
      <c r="D358">
        <f t="shared" si="60"/>
        <v>1.13E-4</v>
      </c>
      <c r="E358" s="9">
        <f ca="1">'[2]Q_GEV(random)'!$J358</f>
        <v>11410.162808069334</v>
      </c>
      <c r="F358" s="26">
        <f ca="1">RANDBETWEEN(ranges!F$2*1000,ranges!F$3*1000)/1000</f>
        <v>0.10100000000000001</v>
      </c>
      <c r="G358" s="3">
        <f t="shared" ca="1" si="61"/>
        <v>8.2580609452625993</v>
      </c>
      <c r="H358" s="4">
        <f t="shared" ca="1" si="62"/>
        <v>11.582464479709891</v>
      </c>
      <c r="I358" s="4">
        <f t="shared" ca="1" si="63"/>
        <v>252.86476358404201</v>
      </c>
      <c r="J358" s="26">
        <f ca="1">RANDBETWEEN(ranges!J$2*1000,ranges!J$3*1000)/1000</f>
        <v>0.65300000000000002</v>
      </c>
      <c r="K358" s="26">
        <f ca="1">RANDBETWEEN(ranges!K$2*1000,ranges!K$3*1000)/1000</f>
        <v>0.91700000000000004</v>
      </c>
      <c r="L358">
        <f t="shared" ca="1" si="64"/>
        <v>109.05077067499718</v>
      </c>
      <c r="M358">
        <f t="shared" ca="1" si="65"/>
        <v>17.02632583210573</v>
      </c>
      <c r="N358" s="4">
        <f t="shared" ca="1" si="66"/>
        <v>5.9172406004302589</v>
      </c>
      <c r="O358" s="4"/>
      <c r="P358" s="1">
        <f ca="1">LOOKUP(B358,geomorph!$A:$A,geomorph!$G:$G)</f>
        <v>104.89630100000001</v>
      </c>
      <c r="Q358" s="1">
        <f t="shared" ca="1" si="67"/>
        <v>121.92262683210573</v>
      </c>
    </row>
    <row r="359" spans="2:17" x14ac:dyDescent="0.3">
      <c r="B359" s="6">
        <f ca="1">RANDBETWEEN(ranges!B$2,ranges!B$3)</f>
        <v>11774</v>
      </c>
      <c r="C359" s="9">
        <f ca="1">LOOKUP(B359,geomorph!A:A,geomorph!B:B)</f>
        <v>1419.5</v>
      </c>
      <c r="D359">
        <f t="shared" si="60"/>
        <v>1.13E-4</v>
      </c>
      <c r="E359" s="9">
        <f ca="1">'[2]Q_GEV(random)'!$J359</f>
        <v>11405.411525614407</v>
      </c>
      <c r="F359" s="26">
        <f ca="1">RANDBETWEEN(ranges!F$2*1000,ranges!F$3*1000)/1000</f>
        <v>9.2999999999999999E-2</v>
      </c>
      <c r="G359" s="3">
        <f t="shared" ca="1" si="61"/>
        <v>8.0348091057516076</v>
      </c>
      <c r="H359" s="4">
        <f t="shared" ca="1" si="62"/>
        <v>11.064195004493946</v>
      </c>
      <c r="I359" s="4">
        <f t="shared" ca="1" si="63"/>
        <v>241.6749637439176</v>
      </c>
      <c r="J359" s="26">
        <f ca="1">RANDBETWEEN(ranges!J$2*1000,ranges!J$3*1000)/1000</f>
        <v>0.72</v>
      </c>
      <c r="K359" s="26">
        <f ca="1">RANDBETWEEN(ranges!K$2*1000,ranges!K$3*1000)/1000</f>
        <v>0.80600000000000005</v>
      </c>
      <c r="L359">
        <f t="shared" ca="1" si="64"/>
        <v>99.541158781510376</v>
      </c>
      <c r="M359">
        <f t="shared" ca="1" si="65"/>
        <v>15.966750262609999</v>
      </c>
      <c r="N359" s="4">
        <f t="shared" ca="1" si="66"/>
        <v>5.3288644109957088</v>
      </c>
      <c r="O359" s="4"/>
      <c r="P359" s="1">
        <f ca="1">LOOKUP(B359,geomorph!$A:$A,geomorph!$G:$G)</f>
        <v>105.195751</v>
      </c>
      <c r="Q359" s="1">
        <f t="shared" ca="1" si="67"/>
        <v>121.16250126260999</v>
      </c>
    </row>
    <row r="360" spans="2:17" x14ac:dyDescent="0.3">
      <c r="B360" s="6">
        <f ca="1">RANDBETWEEN(ranges!B$2,ranges!B$3)</f>
        <v>10864</v>
      </c>
      <c r="C360" s="9">
        <f ca="1">LOOKUP(B360,geomorph!A:A,geomorph!B:B)</f>
        <v>1667.9</v>
      </c>
      <c r="D360">
        <f t="shared" si="60"/>
        <v>1.13E-4</v>
      </c>
      <c r="E360" s="9">
        <f ca="1">'[2]Q_GEV(random)'!$J360</f>
        <v>11399.680778794347</v>
      </c>
      <c r="F360" s="26">
        <f ca="1">RANDBETWEEN(ranges!F$2*1000,ranges!F$3*1000)/1000</f>
        <v>0.106</v>
      </c>
      <c r="G360" s="3">
        <f t="shared" ca="1" si="61"/>
        <v>6.8347507517203345</v>
      </c>
      <c r="H360" s="4">
        <f t="shared" ca="1" si="62"/>
        <v>10.375894310269802</v>
      </c>
      <c r="I360" s="4">
        <f t="shared" ca="1" si="63"/>
        <v>184.65530787420303</v>
      </c>
      <c r="J360" s="26">
        <f ca="1">RANDBETWEEN(ranges!J$2*1000,ranges!J$3*1000)/1000</f>
        <v>0.75700000000000001</v>
      </c>
      <c r="K360" s="26">
        <f ca="1">RANDBETWEEN(ranges!K$2*1000,ranges!K$3*1000)/1000</f>
        <v>0.88200000000000001</v>
      </c>
      <c r="L360">
        <f t="shared" ca="1" si="64"/>
        <v>83.340015428119187</v>
      </c>
      <c r="M360">
        <f t="shared" ca="1" si="65"/>
        <v>15.707317725779278</v>
      </c>
      <c r="N360" s="4">
        <f t="shared" ca="1" si="66"/>
        <v>5.7950254516407353</v>
      </c>
      <c r="O360" s="4"/>
      <c r="P360" s="1">
        <f ca="1">LOOKUP(B360,geomorph!$A:$A,geomorph!$G:$G)</f>
        <v>105.298581</v>
      </c>
      <c r="Q360" s="1">
        <f t="shared" ca="1" si="67"/>
        <v>121.00589872577928</v>
      </c>
    </row>
    <row r="361" spans="2:17" x14ac:dyDescent="0.3">
      <c r="B361" s="6">
        <f ca="1">RANDBETWEEN(ranges!B$2,ranges!B$3)</f>
        <v>13954</v>
      </c>
      <c r="C361" s="9">
        <f ca="1">LOOKUP(B361,geomorph!A:A,geomorph!B:B)</f>
        <v>1315.1</v>
      </c>
      <c r="D361">
        <f t="shared" si="60"/>
        <v>1.13E-4</v>
      </c>
      <c r="E361" s="9">
        <f ca="1">'[2]Q_GEV(random)'!$J361</f>
        <v>11393.631001329017</v>
      </c>
      <c r="F361" s="26">
        <f ca="1">RANDBETWEEN(ranges!F$2*1000,ranges!F$3*1000)/1000</f>
        <v>9.7000000000000003E-2</v>
      </c>
      <c r="G361" s="3">
        <f t="shared" ca="1" si="61"/>
        <v>8.6636993394639319</v>
      </c>
      <c r="H361" s="4">
        <f t="shared" ca="1" si="62"/>
        <v>11.798712613396598</v>
      </c>
      <c r="I361" s="4">
        <f t="shared" ca="1" si="63"/>
        <v>274.30063988416043</v>
      </c>
      <c r="J361" s="26">
        <f ca="1">RANDBETWEEN(ranges!J$2*1000,ranges!J$3*1000)/1000</f>
        <v>0.67</v>
      </c>
      <c r="K361" s="26">
        <f ca="1">RANDBETWEEN(ranges!K$2*1000,ranges!K$3*1000)/1000</f>
        <v>0.90200000000000002</v>
      </c>
      <c r="L361">
        <f t="shared" ca="1" si="64"/>
        <v>114.26470024754204</v>
      </c>
      <c r="M361">
        <f t="shared" ca="1" si="65"/>
        <v>16.980454324396302</v>
      </c>
      <c r="N361" s="4">
        <f t="shared" ca="1" si="66"/>
        <v>5.6323279467388083</v>
      </c>
      <c r="O361" s="4"/>
      <c r="P361" s="1">
        <f ca="1">LOOKUP(B361,geomorph!$A:$A,geomorph!$G:$G)</f>
        <v>104.949411</v>
      </c>
      <c r="Q361" s="1">
        <f t="shared" ca="1" si="67"/>
        <v>121.9298653243963</v>
      </c>
    </row>
    <row r="362" spans="2:17" x14ac:dyDescent="0.3">
      <c r="B362" s="6">
        <f ca="1">RANDBETWEEN(ranges!B$2,ranges!B$3)</f>
        <v>11782</v>
      </c>
      <c r="C362" s="9">
        <f ca="1">LOOKUP(B362,geomorph!A:A,geomorph!B:B)</f>
        <v>1416.6</v>
      </c>
      <c r="D362">
        <f t="shared" si="60"/>
        <v>1.13E-4</v>
      </c>
      <c r="E362" s="9">
        <f ca="1">'[2]Q_GEV(random)'!$J362</f>
        <v>11391.947126894784</v>
      </c>
      <c r="F362" s="26">
        <f ca="1">RANDBETWEEN(ranges!F$2*1000,ranges!F$3*1000)/1000</f>
        <v>9.1999999999999998E-2</v>
      </c>
      <c r="G362" s="3">
        <f t="shared" ca="1" si="61"/>
        <v>8.0417528779435159</v>
      </c>
      <c r="H362" s="4">
        <f t="shared" ca="1" si="62"/>
        <v>11.030746087586405</v>
      </c>
      <c r="I362" s="4">
        <f t="shared" ca="1" si="63"/>
        <v>242.30921365828252</v>
      </c>
      <c r="J362" s="26">
        <f ca="1">RANDBETWEEN(ranges!J$2*1000,ranges!J$3*1000)/1000</f>
        <v>0.78200000000000003</v>
      </c>
      <c r="K362" s="26">
        <f ca="1">RANDBETWEEN(ranges!K$2*1000,ranges!K$3*1000)/1000</f>
        <v>0.95799999999999996</v>
      </c>
      <c r="L362">
        <f t="shared" ca="1" si="64"/>
        <v>99.535408604720701</v>
      </c>
      <c r="M362">
        <f t="shared" ca="1" si="65"/>
        <v>15.933210160727549</v>
      </c>
      <c r="N362" s="4">
        <f t="shared" ca="1" si="66"/>
        <v>5.3287652968925485</v>
      </c>
      <c r="O362" s="4"/>
      <c r="P362" s="1">
        <f ca="1">LOOKUP(B362,geomorph!$A:$A,geomorph!$G:$G)</f>
        <v>105.194621</v>
      </c>
      <c r="Q362" s="1">
        <f t="shared" ca="1" si="67"/>
        <v>121.12783116072755</v>
      </c>
    </row>
    <row r="363" spans="2:17" x14ac:dyDescent="0.3">
      <c r="B363" s="6">
        <f ca="1">RANDBETWEEN(ranges!B$2,ranges!B$3)</f>
        <v>11313</v>
      </c>
      <c r="C363" s="9">
        <f ca="1">LOOKUP(B363,geomorph!A:A,geomorph!B:B)</f>
        <v>1598.7</v>
      </c>
      <c r="D363">
        <f t="shared" si="60"/>
        <v>1.13E-4</v>
      </c>
      <c r="E363" s="9">
        <f ca="1">'[2]Q_GEV(random)'!$J363</f>
        <v>11389.85852997037</v>
      </c>
      <c r="F363" s="26">
        <f ca="1">RANDBETWEEN(ranges!F$2*1000,ranges!F$3*1000)/1000</f>
        <v>0.10100000000000001</v>
      </c>
      <c r="G363" s="3">
        <f t="shared" ca="1" si="61"/>
        <v>7.1244501970165572</v>
      </c>
      <c r="H363" s="4">
        <f t="shared" ca="1" si="62"/>
        <v>10.496628444661042</v>
      </c>
      <c r="I363" s="4">
        <f t="shared" ca="1" si="63"/>
        <v>198.05414920243976</v>
      </c>
      <c r="J363" s="26">
        <f ca="1">RANDBETWEEN(ranges!J$2*1000,ranges!J$3*1000)/1000</f>
        <v>0.755</v>
      </c>
      <c r="K363" s="26">
        <f ca="1">RANDBETWEEN(ranges!K$2*1000,ranges!K$3*1000)/1000</f>
        <v>0.85699999999999998</v>
      </c>
      <c r="L363">
        <f t="shared" ca="1" si="64"/>
        <v>86.670002082483961</v>
      </c>
      <c r="M363">
        <f t="shared" ca="1" si="65"/>
        <v>15.657204553207183</v>
      </c>
      <c r="N363" s="4">
        <f t="shared" ca="1" si="66"/>
        <v>5.6093218571153711</v>
      </c>
      <c r="O363" s="4"/>
      <c r="P363" s="1">
        <f ca="1">LOOKUP(B363,geomorph!$A:$A,geomorph!$G:$G)</f>
        <v>105.247731</v>
      </c>
      <c r="Q363" s="1">
        <f t="shared" ca="1" si="67"/>
        <v>120.90493555320718</v>
      </c>
    </row>
    <row r="364" spans="2:17" x14ac:dyDescent="0.3">
      <c r="B364" s="6">
        <f ca="1">RANDBETWEEN(ranges!B$2,ranges!B$3)</f>
        <v>10499</v>
      </c>
      <c r="C364" s="9">
        <f ca="1">LOOKUP(B364,geomorph!A:A,geomorph!B:B)</f>
        <v>1762.1</v>
      </c>
      <c r="D364">
        <f t="shared" si="60"/>
        <v>1.13E-4</v>
      </c>
      <c r="E364" s="9">
        <f ca="1">'[2]Q_GEV(random)'!$J364</f>
        <v>11385.109645981185</v>
      </c>
      <c r="F364" s="26">
        <f ca="1">RANDBETWEEN(ranges!F$2*1000,ranges!F$3*1000)/1000</f>
        <v>0.1</v>
      </c>
      <c r="G364" s="3">
        <f t="shared" ca="1" si="61"/>
        <v>6.4611030281943052</v>
      </c>
      <c r="H364" s="4">
        <f t="shared" ca="1" si="62"/>
        <v>9.8019595848049921</v>
      </c>
      <c r="I364" s="4">
        <f t="shared" ca="1" si="63"/>
        <v>168.35418238710182</v>
      </c>
      <c r="J364" s="26">
        <f ca="1">RANDBETWEEN(ranges!J$2*1000,ranges!J$3*1000)/1000</f>
        <v>0.68200000000000005</v>
      </c>
      <c r="K364" s="26">
        <f ca="1">RANDBETWEEN(ranges!K$2*1000,ranges!K$3*1000)/1000</f>
        <v>0.92700000000000005</v>
      </c>
      <c r="L364">
        <f t="shared" ca="1" si="64"/>
        <v>79.047534088303479</v>
      </c>
      <c r="M364">
        <f t="shared" ca="1" si="65"/>
        <v>15.739731559320948</v>
      </c>
      <c r="N364" s="4">
        <f t="shared" ca="1" si="66"/>
        <v>6.4540999722999519</v>
      </c>
      <c r="O364" s="4"/>
      <c r="P364" s="1">
        <f ca="1">LOOKUP(B364,geomorph!$A:$A,geomorph!$G:$G)</f>
        <v>105.340391</v>
      </c>
      <c r="Q364" s="1">
        <f t="shared" ca="1" si="67"/>
        <v>121.08012255932094</v>
      </c>
    </row>
    <row r="365" spans="2:17" x14ac:dyDescent="0.3">
      <c r="B365" s="6">
        <f ca="1">RANDBETWEEN(ranges!B$2,ranges!B$3)</f>
        <v>10006</v>
      </c>
      <c r="C365" s="9">
        <f ca="1">LOOKUP(B365,geomorph!A:A,geomorph!B:B)</f>
        <v>1720.6</v>
      </c>
      <c r="D365">
        <f t="shared" si="60"/>
        <v>1.13E-4</v>
      </c>
      <c r="E365" s="9">
        <f ca="1">'[2]Q_GEV(random)'!$J365</f>
        <v>11379.008931482731</v>
      </c>
      <c r="F365" s="26">
        <f ca="1">RANDBETWEEN(ranges!F$2*1000,ranges!F$3*1000)/1000</f>
        <v>9.0999999999999998E-2</v>
      </c>
      <c r="G365" s="3">
        <f t="shared" ca="1" si="61"/>
        <v>6.6133958685823151</v>
      </c>
      <c r="H365" s="4">
        <f t="shared" ca="1" si="62"/>
        <v>9.647288671013694</v>
      </c>
      <c r="I365" s="4">
        <f t="shared" ca="1" si="63"/>
        <v>175.11356040434302</v>
      </c>
      <c r="J365" s="26">
        <f ca="1">RANDBETWEEN(ranges!J$2*1000,ranges!J$3*1000)/1000</f>
        <v>0.63</v>
      </c>
      <c r="K365" s="26">
        <f ca="1">RANDBETWEEN(ranges!K$2*1000,ranges!K$3*1000)/1000</f>
        <v>0.82299999999999995</v>
      </c>
      <c r="L365">
        <f t="shared" ca="1" si="64"/>
        <v>80.138612369110191</v>
      </c>
      <c r="M365">
        <f t="shared" ca="1" si="65"/>
        <v>15.581174097978881</v>
      </c>
      <c r="N365" s="4">
        <f t="shared" ca="1" si="66"/>
        <v>6.4498754640925942</v>
      </c>
      <c r="O365" s="4"/>
      <c r="P365" s="1">
        <f ca="1">LOOKUP(B365,geomorph!$A:$A,geomorph!$G:$G)</f>
        <v>105.39576100000001</v>
      </c>
      <c r="Q365" s="1">
        <f t="shared" ca="1" si="67"/>
        <v>120.9769350979789</v>
      </c>
    </row>
    <row r="366" spans="2:17" x14ac:dyDescent="0.3">
      <c r="B366" s="6">
        <f ca="1">RANDBETWEEN(ranges!B$2,ranges!B$3)</f>
        <v>14816</v>
      </c>
      <c r="C366" s="9">
        <f ca="1">LOOKUP(B366,geomorph!A:A,geomorph!B:B)</f>
        <v>1494.5</v>
      </c>
      <c r="D366">
        <f t="shared" si="60"/>
        <v>1.13E-4</v>
      </c>
      <c r="E366" s="9">
        <f ca="1">'[2]Q_GEV(random)'!$J366</f>
        <v>11371.934127956483</v>
      </c>
      <c r="F366" s="26">
        <f ca="1">RANDBETWEEN(ranges!F$2*1000,ranges!F$3*1000)/1000</f>
        <v>9.8000000000000004E-2</v>
      </c>
      <c r="G366" s="3">
        <f t="shared" ca="1" si="61"/>
        <v>7.6091897811686069</v>
      </c>
      <c r="H366" s="4">
        <f t="shared" ca="1" si="62"/>
        <v>10.857823204489446</v>
      </c>
      <c r="I366" s="4">
        <f t="shared" ca="1" si="63"/>
        <v>221.36708260742441</v>
      </c>
      <c r="J366" s="26">
        <f ca="1">RANDBETWEEN(ranges!J$2*1000,ranges!J$3*1000)/1000</f>
        <v>0.64700000000000002</v>
      </c>
      <c r="K366" s="26">
        <f ca="1">RANDBETWEEN(ranges!K$2*1000,ranges!K$3*1000)/1000</f>
        <v>0.95399999999999996</v>
      </c>
      <c r="L366">
        <f t="shared" ca="1" si="64"/>
        <v>98.21057373526088</v>
      </c>
      <c r="M366">
        <f t="shared" ca="1" si="65"/>
        <v>16.585654376550252</v>
      </c>
      <c r="N366" s="4">
        <f t="shared" ca="1" si="66"/>
        <v>6.2259034478921809</v>
      </c>
      <c r="O366" s="4"/>
      <c r="P366" s="1">
        <f ca="1">LOOKUP(B366,geomorph!$A:$A,geomorph!$G:$G)</f>
        <v>104.852231</v>
      </c>
      <c r="Q366" s="1">
        <f t="shared" ca="1" si="67"/>
        <v>121.43788537655026</v>
      </c>
    </row>
    <row r="367" spans="2:17" x14ac:dyDescent="0.3">
      <c r="B367" s="6">
        <f ca="1">RANDBETWEEN(ranges!B$2,ranges!B$3)</f>
        <v>12897</v>
      </c>
      <c r="C367" s="9">
        <f ca="1">LOOKUP(B367,geomorph!A:A,geomorph!B:B)</f>
        <v>1136.7</v>
      </c>
      <c r="D367">
        <f t="shared" si="60"/>
        <v>1.13E-4</v>
      </c>
      <c r="E367" s="9">
        <f ca="1">'[2]Q_GEV(random)'!$J367</f>
        <v>11371.846057345087</v>
      </c>
      <c r="F367" s="26">
        <f ca="1">RANDBETWEEN(ranges!F$2*1000,ranges!F$3*1000)/1000</f>
        <v>9.9000000000000005E-2</v>
      </c>
      <c r="G367" s="3">
        <f t="shared" ca="1" si="61"/>
        <v>10.004263268536189</v>
      </c>
      <c r="H367" s="4">
        <f t="shared" ca="1" si="62"/>
        <v>13.075057360210691</v>
      </c>
      <c r="I367" s="4">
        <f t="shared" ca="1" si="63"/>
        <v>349.29649806075537</v>
      </c>
      <c r="J367" s="26">
        <f ca="1">RANDBETWEEN(ranges!J$2*1000,ranges!J$3*1000)/1000</f>
        <v>0.72</v>
      </c>
      <c r="K367" s="26">
        <f ca="1">RANDBETWEEN(ranges!K$2*1000,ranges!K$3*1000)/1000</f>
        <v>0.81499999999999995</v>
      </c>
      <c r="L367">
        <f t="shared" ca="1" si="64"/>
        <v>136.78561102494297</v>
      </c>
      <c r="M367">
        <f t="shared" ca="1" si="65"/>
        <v>17.56971505788195</v>
      </c>
      <c r="N367" s="4">
        <f t="shared" ca="1" si="66"/>
        <v>4.8854974974687604</v>
      </c>
      <c r="O367" s="4"/>
      <c r="P367" s="1">
        <f ca="1">LOOKUP(B367,geomorph!$A:$A,geomorph!$G:$G)</f>
        <v>105.069191</v>
      </c>
      <c r="Q367" s="1">
        <f t="shared" ca="1" si="67"/>
        <v>122.63890605788195</v>
      </c>
    </row>
    <row r="368" spans="2:17" x14ac:dyDescent="0.3">
      <c r="B368" s="6">
        <f ca="1">RANDBETWEEN(ranges!B$2,ranges!B$3)</f>
        <v>14765</v>
      </c>
      <c r="C368" s="9">
        <f ca="1">LOOKUP(B368,geomorph!A:A,geomorph!B:B)</f>
        <v>1479.8</v>
      </c>
      <c r="D368">
        <f t="shared" si="60"/>
        <v>1.13E-4</v>
      </c>
      <c r="E368" s="9">
        <f ca="1">'[2]Q_GEV(random)'!$J368</f>
        <v>11345.545269101862</v>
      </c>
      <c r="F368" s="26">
        <f ca="1">RANDBETWEEN(ranges!F$2*1000,ranges!F$3*1000)/1000</f>
        <v>0.10199999999999999</v>
      </c>
      <c r="G368" s="3">
        <f t="shared" ca="1" si="61"/>
        <v>7.6669450392633207</v>
      </c>
      <c r="H368" s="4">
        <f t="shared" ca="1" si="62"/>
        <v>11.059192575310938</v>
      </c>
      <c r="I368" s="4">
        <f t="shared" ca="1" si="63"/>
        <v>224.69594103274233</v>
      </c>
      <c r="J368" s="26">
        <f ca="1">RANDBETWEEN(ranges!J$2*1000,ranges!J$3*1000)/1000</f>
        <v>0.752</v>
      </c>
      <c r="K368" s="26">
        <f ca="1">RANDBETWEEN(ranges!K$2*1000,ranges!K$3*1000)/1000</f>
        <v>0.86</v>
      </c>
      <c r="L368">
        <f t="shared" ca="1" si="64"/>
        <v>96.038320032039508</v>
      </c>
      <c r="M368">
        <f t="shared" ca="1" si="65"/>
        <v>16.059278176125563</v>
      </c>
      <c r="N368" s="4">
        <f t="shared" ca="1" si="66"/>
        <v>5.4348756530593745</v>
      </c>
      <c r="O368" s="4"/>
      <c r="P368" s="1">
        <f ca="1">LOOKUP(B368,geomorph!$A:$A,geomorph!$G:$G)</f>
        <v>104.85788100000001</v>
      </c>
      <c r="Q368" s="1">
        <f t="shared" ca="1" si="67"/>
        <v>120.91715917612557</v>
      </c>
    </row>
    <row r="369" spans="2:17" x14ac:dyDescent="0.3">
      <c r="B369" s="6">
        <f ca="1">RANDBETWEEN(ranges!B$2,ranges!B$3)</f>
        <v>12833</v>
      </c>
      <c r="C369" s="9">
        <f ca="1">LOOKUP(B369,geomorph!A:A,geomorph!B:B)</f>
        <v>1132.9000000000001</v>
      </c>
      <c r="D369">
        <f t="shared" si="60"/>
        <v>1.13E-4</v>
      </c>
      <c r="E369" s="9">
        <f ca="1">'[2]Q_GEV(random)'!$J369</f>
        <v>11343.534249824446</v>
      </c>
      <c r="F369" s="26">
        <f ca="1">RANDBETWEEN(ranges!F$2*1000,ranges!F$3*1000)/1000</f>
        <v>0.10100000000000001</v>
      </c>
      <c r="G369" s="3">
        <f t="shared" ca="1" si="61"/>
        <v>10.012829243379333</v>
      </c>
      <c r="H369" s="4">
        <f t="shared" ca="1" si="62"/>
        <v>13.170030916571193</v>
      </c>
      <c r="I369" s="4">
        <f t="shared" ca="1" si="63"/>
        <v>350.66814288831102</v>
      </c>
      <c r="J369" s="26">
        <f ca="1">RANDBETWEEN(ranges!J$2*1000,ranges!J$3*1000)/1000</f>
        <v>0.623</v>
      </c>
      <c r="K369" s="26">
        <f ca="1">RANDBETWEEN(ranges!K$2*1000,ranges!K$3*1000)/1000</f>
        <v>0.85399999999999998</v>
      </c>
      <c r="L369">
        <f t="shared" ca="1" si="64"/>
        <v>142.10143751219817</v>
      </c>
      <c r="M369">
        <f t="shared" ca="1" si="65"/>
        <v>18.191499197005331</v>
      </c>
      <c r="N369" s="4">
        <f t="shared" ca="1" si="66"/>
        <v>5.4581176961240638</v>
      </c>
      <c r="O369" s="4"/>
      <c r="P369" s="1">
        <f ca="1">LOOKUP(B369,geomorph!$A:$A,geomorph!$G:$G)</f>
        <v>105.07597100000001</v>
      </c>
      <c r="Q369" s="1">
        <f t="shared" ca="1" si="67"/>
        <v>123.26747019700534</v>
      </c>
    </row>
    <row r="370" spans="2:17" x14ac:dyDescent="0.3">
      <c r="B370" s="6">
        <f ca="1">RANDBETWEEN(ranges!B$2,ranges!B$3)</f>
        <v>13695</v>
      </c>
      <c r="C370" s="9">
        <f ca="1">LOOKUP(B370,geomorph!A:A,geomorph!B:B)</f>
        <v>1250.5999999999999</v>
      </c>
      <c r="D370">
        <f t="shared" si="60"/>
        <v>1.13E-4</v>
      </c>
      <c r="E370" s="9">
        <f ca="1">'[2]Q_GEV(random)'!$J370</f>
        <v>11340.671590310903</v>
      </c>
      <c r="F370" s="26">
        <f ca="1">RANDBETWEEN(ranges!F$2*1000,ranges!F$3*1000)/1000</f>
        <v>9.9000000000000005E-2</v>
      </c>
      <c r="G370" s="3">
        <f t="shared" ca="1" si="61"/>
        <v>9.0681845436677637</v>
      </c>
      <c r="H370" s="4">
        <f t="shared" ca="1" si="62"/>
        <v>12.246174060818602</v>
      </c>
      <c r="I370" s="4">
        <f t="shared" ca="1" si="63"/>
        <v>297.35722309517286</v>
      </c>
      <c r="J370" s="26">
        <f ca="1">RANDBETWEEN(ranges!J$2*1000,ranges!J$3*1000)/1000</f>
        <v>0.60599999999999998</v>
      </c>
      <c r="K370" s="26">
        <f ca="1">RANDBETWEEN(ranges!K$2*1000,ranges!K$3*1000)/1000</f>
        <v>0.84799999999999998</v>
      </c>
      <c r="L370">
        <f t="shared" ca="1" si="64"/>
        <v>124.25960065618395</v>
      </c>
      <c r="M370">
        <f t="shared" ca="1" si="65"/>
        <v>17.560093393610472</v>
      </c>
      <c r="N370" s="4">
        <f t="shared" ca="1" si="66"/>
        <v>5.7759992747737723</v>
      </c>
      <c r="O370" s="4"/>
      <c r="P370" s="1">
        <f ca="1">LOOKUP(B370,geomorph!$A:$A,geomorph!$G:$G)</f>
        <v>104.978791</v>
      </c>
      <c r="Q370" s="1">
        <f t="shared" ca="1" si="67"/>
        <v>122.53888439361047</v>
      </c>
    </row>
    <row r="371" spans="2:17" x14ac:dyDescent="0.3">
      <c r="B371" s="6">
        <f ca="1">RANDBETWEEN(ranges!B$2,ranges!B$3)</f>
        <v>14676</v>
      </c>
      <c r="C371" s="9">
        <f ca="1">LOOKUP(B371,geomorph!A:A,geomorph!B:B)</f>
        <v>1450</v>
      </c>
      <c r="D371">
        <f t="shared" si="60"/>
        <v>1.13E-4</v>
      </c>
      <c r="E371" s="9">
        <f ca="1">'[2]Q_GEV(random)'!$J371</f>
        <v>11339.273231366395</v>
      </c>
      <c r="F371" s="26">
        <f ca="1">RANDBETWEEN(ranges!F$2*1000,ranges!F$3*1000)/1000</f>
        <v>9.2999999999999999E-2</v>
      </c>
      <c r="G371" s="3">
        <f t="shared" ca="1" si="61"/>
        <v>7.8201884354250994</v>
      </c>
      <c r="H371" s="4">
        <f t="shared" ca="1" si="62"/>
        <v>10.866280829031936</v>
      </c>
      <c r="I371" s="4">
        <f t="shared" ca="1" si="63"/>
        <v>232.35935378588488</v>
      </c>
      <c r="J371" s="26">
        <f ca="1">RANDBETWEEN(ranges!J$2*1000,ranges!J$3*1000)/1000</f>
        <v>0.68899999999999995</v>
      </c>
      <c r="K371" s="26">
        <f ca="1">RANDBETWEEN(ranges!K$2*1000,ranges!K$3*1000)/1000</f>
        <v>0.88</v>
      </c>
      <c r="L371">
        <f t="shared" ca="1" si="64"/>
        <v>98.303845749482505</v>
      </c>
      <c r="M371">
        <f t="shared" ca="1" si="65"/>
        <v>16.107085126052706</v>
      </c>
      <c r="N371" s="4">
        <f t="shared" ca="1" si="66"/>
        <v>5.696526409805184</v>
      </c>
      <c r="O371" s="4"/>
      <c r="P371" s="1">
        <f ca="1">LOOKUP(B371,geomorph!$A:$A,geomorph!$G:$G)</f>
        <v>104.86805100000001</v>
      </c>
      <c r="Q371" s="1">
        <f t="shared" ca="1" si="67"/>
        <v>120.97513612605272</v>
      </c>
    </row>
    <row r="372" spans="2:17" x14ac:dyDescent="0.3">
      <c r="B372" s="6">
        <f ca="1">RANDBETWEEN(ranges!B$2,ranges!B$3)</f>
        <v>12142</v>
      </c>
      <c r="C372" s="9">
        <f ca="1">LOOKUP(B372,geomorph!A:A,geomorph!B:B)</f>
        <v>1305.8</v>
      </c>
      <c r="D372">
        <f t="shared" si="60"/>
        <v>1.13E-4</v>
      </c>
      <c r="E372" s="9">
        <f ca="1">'[2]Q_GEV(random)'!$J372</f>
        <v>11338.331033213915</v>
      </c>
      <c r="F372" s="26">
        <f ca="1">RANDBETWEEN(ranges!F$2*1000,ranges!F$3*1000)/1000</f>
        <v>9.2999999999999999E-2</v>
      </c>
      <c r="G372" s="3">
        <f t="shared" ca="1" si="61"/>
        <v>8.6830533260942833</v>
      </c>
      <c r="H372" s="4">
        <f t="shared" ca="1" si="62"/>
        <v>11.651569363996957</v>
      </c>
      <c r="I372" s="4">
        <f t="shared" ca="1" si="63"/>
        <v>276.66549479813511</v>
      </c>
      <c r="J372" s="26">
        <f ca="1">RANDBETWEEN(ranges!J$2*1000,ranges!J$3*1000)/1000</f>
        <v>0.77800000000000002</v>
      </c>
      <c r="K372" s="26">
        <f ca="1">RANDBETWEEN(ranges!K$2*1000,ranges!K$3*1000)/1000</f>
        <v>0.95899999999999996</v>
      </c>
      <c r="L372">
        <f t="shared" ca="1" si="64"/>
        <v>111.19024343243822</v>
      </c>
      <c r="M372">
        <f t="shared" ca="1" si="65"/>
        <v>16.406720845770792</v>
      </c>
      <c r="N372" s="4">
        <f t="shared" ca="1" si="66"/>
        <v>5.1686429149715591</v>
      </c>
      <c r="O372" s="4"/>
      <c r="P372" s="1">
        <f ca="1">LOOKUP(B372,geomorph!$A:$A,geomorph!$G:$G)</f>
        <v>105.153941</v>
      </c>
      <c r="Q372" s="1">
        <f t="shared" ca="1" si="67"/>
        <v>121.5606618457708</v>
      </c>
    </row>
    <row r="373" spans="2:17" x14ac:dyDescent="0.3">
      <c r="B373" s="6">
        <f ca="1">RANDBETWEEN(ranges!B$2,ranges!B$3)</f>
        <v>11840</v>
      </c>
      <c r="C373" s="9">
        <f ca="1">LOOKUP(B373,geomorph!A:A,geomorph!B:B)</f>
        <v>1399.1</v>
      </c>
      <c r="D373">
        <f t="shared" si="60"/>
        <v>1.13E-4</v>
      </c>
      <c r="E373" s="9">
        <f ca="1">'[2]Q_GEV(random)'!$J373</f>
        <v>11302.618471862064</v>
      </c>
      <c r="F373" s="26">
        <f ca="1">RANDBETWEEN(ranges!F$2*1000,ranges!F$3*1000)/1000</f>
        <v>0.109</v>
      </c>
      <c r="G373" s="3">
        <f t="shared" ca="1" si="61"/>
        <v>8.078492224903199</v>
      </c>
      <c r="H373" s="4">
        <f t="shared" ca="1" si="62"/>
        <v>11.707679818139789</v>
      </c>
      <c r="I373" s="4">
        <f t="shared" ca="1" si="63"/>
        <v>246.08669551859884</v>
      </c>
      <c r="J373" s="26">
        <f ca="1">RANDBETWEEN(ranges!J$2*1000,ranges!J$3*1000)/1000</f>
        <v>0.69299999999999995</v>
      </c>
      <c r="K373" s="26">
        <f ca="1">RANDBETWEEN(ranges!K$2*1000,ranges!K$3*1000)/1000</f>
        <v>0.80900000000000005</v>
      </c>
      <c r="L373">
        <f t="shared" ca="1" si="64"/>
        <v>106.18632369332553</v>
      </c>
      <c r="M373">
        <f t="shared" ca="1" si="65"/>
        <v>16.787877259164485</v>
      </c>
      <c r="N373" s="4">
        <f t="shared" ca="1" si="66"/>
        <v>5.5219537402442347</v>
      </c>
      <c r="O373" s="4"/>
      <c r="P373" s="1">
        <f ca="1">LOOKUP(B373,geomorph!$A:$A,geomorph!$G:$G)</f>
        <v>105.18784100000001</v>
      </c>
      <c r="Q373" s="1">
        <f t="shared" ca="1" si="67"/>
        <v>121.97571825916449</v>
      </c>
    </row>
    <row r="374" spans="2:17" x14ac:dyDescent="0.3">
      <c r="B374" s="6">
        <f ca="1">RANDBETWEEN(ranges!B$2,ranges!B$3)</f>
        <v>12360</v>
      </c>
      <c r="C374" s="9">
        <f ca="1">LOOKUP(B374,geomorph!A:A,geomorph!B:B)</f>
        <v>1246.8</v>
      </c>
      <c r="D374">
        <f t="shared" si="60"/>
        <v>1.13E-4</v>
      </c>
      <c r="E374" s="9">
        <f ca="1">'[2]Q_GEV(random)'!$J374</f>
        <v>11297.488980651964</v>
      </c>
      <c r="F374" s="26">
        <f ca="1">RANDBETWEEN(ranges!F$2*1000,ranges!F$3*1000)/1000</f>
        <v>0.104</v>
      </c>
      <c r="G374" s="3">
        <f t="shared" ca="1" si="61"/>
        <v>9.0611878253544784</v>
      </c>
      <c r="H374" s="4">
        <f t="shared" ca="1" si="62"/>
        <v>12.442557744342544</v>
      </c>
      <c r="I374" s="4">
        <f t="shared" ca="1" si="63"/>
        <v>298.11006908290096</v>
      </c>
      <c r="J374" s="26">
        <f ca="1">RANDBETWEEN(ranges!J$2*1000,ranges!J$3*1000)/1000</f>
        <v>0.67900000000000005</v>
      </c>
      <c r="K374" s="26">
        <f ca="1">RANDBETWEEN(ranges!K$2*1000,ranges!K$3*1000)/1000</f>
        <v>0.89800000000000002</v>
      </c>
      <c r="L374">
        <f t="shared" ca="1" si="64"/>
        <v>124.10217540753368</v>
      </c>
      <c r="M374">
        <f t="shared" ca="1" si="65"/>
        <v>17.484556929686768</v>
      </c>
      <c r="N374" s="4">
        <f t="shared" ca="1" si="66"/>
        <v>5.4804338971132864</v>
      </c>
      <c r="O374" s="4"/>
      <c r="P374" s="1">
        <f ca="1">LOOKUP(B374,geomorph!$A:$A,geomorph!$G:$G)</f>
        <v>105.129081</v>
      </c>
      <c r="Q374" s="1">
        <f t="shared" ca="1" si="67"/>
        <v>122.61363792968677</v>
      </c>
    </row>
    <row r="375" spans="2:17" x14ac:dyDescent="0.3">
      <c r="B375" s="6">
        <f ca="1">RANDBETWEEN(ranges!B$2,ranges!B$3)</f>
        <v>11077</v>
      </c>
      <c r="C375" s="9">
        <f ca="1">LOOKUP(B375,geomorph!A:A,geomorph!B:B)</f>
        <v>1686.3</v>
      </c>
      <c r="D375">
        <f t="shared" si="60"/>
        <v>1.13E-4</v>
      </c>
      <c r="E375" s="9">
        <f ca="1">'[2]Q_GEV(random)'!$J375</f>
        <v>11290.372321309374</v>
      </c>
      <c r="F375" s="26">
        <f ca="1">RANDBETWEEN(ranges!F$2*1000,ranges!F$3*1000)/1000</f>
        <v>0.09</v>
      </c>
      <c r="G375" s="3">
        <f t="shared" ca="1" si="61"/>
        <v>6.6953521445231425</v>
      </c>
      <c r="H375" s="4">
        <f t="shared" ca="1" si="62"/>
        <v>9.6910666924165909</v>
      </c>
      <c r="I375" s="4">
        <f t="shared" ca="1" si="63"/>
        <v>180.14855909276631</v>
      </c>
      <c r="J375" s="26">
        <f ca="1">RANDBETWEEN(ranges!J$2*1000,ranges!J$3*1000)/1000</f>
        <v>0.65500000000000003</v>
      </c>
      <c r="K375" s="26">
        <f ca="1">RANDBETWEEN(ranges!K$2*1000,ranges!K$3*1000)/1000</f>
        <v>0.84</v>
      </c>
      <c r="L375">
        <f t="shared" ca="1" si="64"/>
        <v>80.937689966525852</v>
      </c>
      <c r="M375">
        <f t="shared" ca="1" si="65"/>
        <v>15.422830604732436</v>
      </c>
      <c r="N375" s="4">
        <f t="shared" ca="1" si="66"/>
        <v>6.2301781655607007</v>
      </c>
      <c r="O375" s="4"/>
      <c r="P375" s="1">
        <f ca="1">LOOKUP(B375,geomorph!$A:$A,geomorph!$G:$G)</f>
        <v>105.274851</v>
      </c>
      <c r="Q375" s="1">
        <f t="shared" ca="1" si="67"/>
        <v>120.69768160473244</v>
      </c>
    </row>
    <row r="376" spans="2:17" x14ac:dyDescent="0.3">
      <c r="B376" s="6">
        <f ca="1">RANDBETWEEN(ranges!B$2,ranges!B$3)</f>
        <v>10023</v>
      </c>
      <c r="C376" s="9">
        <f ca="1">LOOKUP(B376,geomorph!A:A,geomorph!B:B)</f>
        <v>1689.6</v>
      </c>
      <c r="D376">
        <f t="shared" si="60"/>
        <v>1.13E-4</v>
      </c>
      <c r="E376" s="9">
        <f ca="1">'[2]Q_GEV(random)'!$J376</f>
        <v>11273.886300888749</v>
      </c>
      <c r="F376" s="26">
        <f ca="1">RANDBETWEEN(ranges!F$2*1000,ranges!F$3*1000)/1000</f>
        <v>0.107</v>
      </c>
      <c r="G376" s="3">
        <f t="shared" ca="1" si="61"/>
        <v>6.6725179337646487</v>
      </c>
      <c r="H376" s="4">
        <f t="shared" ca="1" si="62"/>
        <v>10.243056202983704</v>
      </c>
      <c r="I376" s="4">
        <f t="shared" ca="1" si="63"/>
        <v>179.3876810966957</v>
      </c>
      <c r="J376" s="26">
        <f ca="1">RANDBETWEEN(ranges!J$2*1000,ranges!J$3*1000)/1000</f>
        <v>0.63</v>
      </c>
      <c r="K376" s="26">
        <f ca="1">RANDBETWEEN(ranges!K$2*1000,ranges!K$3*1000)/1000</f>
        <v>0.98599999999999999</v>
      </c>
      <c r="L376">
        <f t="shared" ca="1" si="64"/>
        <v>86.613892066485448</v>
      </c>
      <c r="M376">
        <f t="shared" ca="1" si="65"/>
        <v>16.536740020015319</v>
      </c>
      <c r="N376" s="4">
        <f t="shared" ca="1" si="66"/>
        <v>6.8409606706865382</v>
      </c>
      <c r="O376" s="4"/>
      <c r="P376" s="1">
        <f ca="1">LOOKUP(B376,geomorph!$A:$A,geomorph!$G:$G)</f>
        <v>105.393501</v>
      </c>
      <c r="Q376" s="1">
        <f t="shared" ca="1" si="67"/>
        <v>121.93024102001532</v>
      </c>
    </row>
    <row r="377" spans="2:17" x14ac:dyDescent="0.3">
      <c r="B377" s="6">
        <f ca="1">RANDBETWEEN(ranges!B$2,ranges!B$3)</f>
        <v>14319</v>
      </c>
      <c r="C377" s="9">
        <f ca="1">LOOKUP(B377,geomorph!A:A,geomorph!B:B)</f>
        <v>1349.6</v>
      </c>
      <c r="D377">
        <f t="shared" si="60"/>
        <v>1.13E-4</v>
      </c>
      <c r="E377" s="9">
        <f ca="1">'[2]Q_GEV(random)'!$J377</f>
        <v>11258.571431433626</v>
      </c>
      <c r="F377" s="26">
        <f ca="1">RANDBETWEEN(ranges!F$2*1000,ranges!F$3*1000)/1000</f>
        <v>0.09</v>
      </c>
      <c r="G377" s="3">
        <f t="shared" ca="1" si="61"/>
        <v>8.3421542912223074</v>
      </c>
      <c r="H377" s="4">
        <f t="shared" ca="1" si="62"/>
        <v>11.221255346677781</v>
      </c>
      <c r="I377" s="4">
        <f t="shared" ca="1" si="63"/>
        <v>260.63361396129466</v>
      </c>
      <c r="J377" s="26">
        <f ca="1">RANDBETWEEN(ranges!J$2*1000,ranges!J$3*1000)/1000</f>
        <v>0.68100000000000005</v>
      </c>
      <c r="K377" s="26">
        <f ca="1">RANDBETWEEN(ranges!K$2*1000,ranges!K$3*1000)/1000</f>
        <v>0.89100000000000001</v>
      </c>
      <c r="L377">
        <f t="shared" ca="1" si="64"/>
        <v>107.06918697663141</v>
      </c>
      <c r="M377">
        <f t="shared" ca="1" si="65"/>
        <v>16.328564946033776</v>
      </c>
      <c r="N377" s="4">
        <f t="shared" ca="1" si="66"/>
        <v>5.5514234775608635</v>
      </c>
      <c r="O377" s="4"/>
      <c r="P377" s="1">
        <f ca="1">LOOKUP(B377,geomorph!$A:$A,geomorph!$G:$G)</f>
        <v>104.908731</v>
      </c>
      <c r="Q377" s="1">
        <f t="shared" ca="1" si="67"/>
        <v>121.23729594603378</v>
      </c>
    </row>
    <row r="378" spans="2:17" x14ac:dyDescent="0.3">
      <c r="B378" s="6">
        <f ca="1">RANDBETWEEN(ranges!B$2,ranges!B$3)</f>
        <v>14734</v>
      </c>
      <c r="C378" s="9">
        <f ca="1">LOOKUP(B378,geomorph!A:A,geomorph!B:B)</f>
        <v>1469.6</v>
      </c>
      <c r="D378">
        <f t="shared" si="60"/>
        <v>1.13E-4</v>
      </c>
      <c r="E378" s="9">
        <f ca="1">'[2]Q_GEV(random)'!$J378</f>
        <v>11255.918616560066</v>
      </c>
      <c r="F378" s="26">
        <f ca="1">RANDBETWEEN(ranges!F$2*1000,ranges!F$3*1000)/1000</f>
        <v>0.10299999999999999</v>
      </c>
      <c r="G378" s="3">
        <f t="shared" ca="1" si="61"/>
        <v>7.6591716225912263</v>
      </c>
      <c r="H378" s="4">
        <f t="shared" ca="1" si="62"/>
        <v>11.087715459352326</v>
      </c>
      <c r="I378" s="4">
        <f t="shared" ca="1" si="63"/>
        <v>226.10252256071198</v>
      </c>
      <c r="J378" s="26">
        <f ca="1">RANDBETWEEN(ranges!J$2*1000,ranges!J$3*1000)/1000</f>
        <v>0.66600000000000004</v>
      </c>
      <c r="K378" s="26">
        <f ca="1">RANDBETWEEN(ranges!K$2*1000,ranges!K$3*1000)/1000</f>
        <v>0.97599999999999998</v>
      </c>
      <c r="L378">
        <f t="shared" ca="1" si="64"/>
        <v>100.69194083352433</v>
      </c>
      <c r="M378">
        <f t="shared" ca="1" si="65"/>
        <v>16.72138701613105</v>
      </c>
      <c r="N378" s="4">
        <f t="shared" ca="1" si="66"/>
        <v>6.123556039976874</v>
      </c>
      <c r="O378" s="4"/>
      <c r="P378" s="1">
        <f ca="1">LOOKUP(B378,geomorph!$A:$A,geomorph!$G:$G)</f>
        <v>104.861271</v>
      </c>
      <c r="Q378" s="1">
        <f t="shared" ca="1" si="67"/>
        <v>121.58265801613105</v>
      </c>
    </row>
    <row r="379" spans="2:17" x14ac:dyDescent="0.3">
      <c r="B379" s="6">
        <f ca="1">RANDBETWEEN(ranges!B$2,ranges!B$3)</f>
        <v>10449</v>
      </c>
      <c r="C379" s="9">
        <f ca="1">LOOKUP(B379,geomorph!A:A,geomorph!B:B)</f>
        <v>1759.3</v>
      </c>
      <c r="D379">
        <f t="shared" si="60"/>
        <v>1.13E-4</v>
      </c>
      <c r="E379" s="9">
        <f ca="1">'[2]Q_GEV(random)'!$J379</f>
        <v>11248.407048775336</v>
      </c>
      <c r="F379" s="26">
        <f ca="1">RANDBETWEEN(ranges!F$2*1000,ranges!F$3*1000)/1000</f>
        <v>9.0999999999999998E-2</v>
      </c>
      <c r="G379" s="3">
        <f t="shared" ca="1" si="61"/>
        <v>6.3936833108482558</v>
      </c>
      <c r="H379" s="4">
        <f t="shared" ca="1" si="62"/>
        <v>9.4324173442533947</v>
      </c>
      <c r="I379" s="4">
        <f t="shared" ca="1" si="63"/>
        <v>167.44706063847141</v>
      </c>
      <c r="J379" s="26">
        <f ca="1">RANDBETWEEN(ranges!J$2*1000,ranges!J$3*1000)/1000</f>
        <v>0.64400000000000002</v>
      </c>
      <c r="K379" s="26">
        <f ca="1">RANDBETWEEN(ranges!K$2*1000,ranges!K$3*1000)/1000</f>
        <v>0.9</v>
      </c>
      <c r="L379">
        <f t="shared" ca="1" si="64"/>
        <v>77.884451444889493</v>
      </c>
      <c r="M379">
        <f t="shared" ca="1" si="65"/>
        <v>15.48349904325033</v>
      </c>
      <c r="N379" s="4">
        <f t="shared" ca="1" si="66"/>
        <v>6.577262716301016</v>
      </c>
      <c r="O379" s="4"/>
      <c r="P379" s="1">
        <f ca="1">LOOKUP(B379,geomorph!$A:$A,geomorph!$G:$G)</f>
        <v>105.346041</v>
      </c>
      <c r="Q379" s="1">
        <f t="shared" ca="1" si="67"/>
        <v>120.82954004325033</v>
      </c>
    </row>
    <row r="380" spans="2:17" x14ac:dyDescent="0.3">
      <c r="B380" s="6">
        <f ca="1">RANDBETWEEN(ranges!B$2,ranges!B$3)</f>
        <v>10024</v>
      </c>
      <c r="C380" s="9">
        <f ca="1">LOOKUP(B380,geomorph!A:A,geomorph!B:B)</f>
        <v>1689.6</v>
      </c>
      <c r="D380">
        <f t="shared" si="60"/>
        <v>1.13E-4</v>
      </c>
      <c r="E380" s="9">
        <f ca="1">'[2]Q_GEV(random)'!$J380</f>
        <v>11241.237089420023</v>
      </c>
      <c r="F380" s="26">
        <f ca="1">RANDBETWEEN(ranges!F$2*1000,ranges!F$3*1000)/1000</f>
        <v>0.1</v>
      </c>
      <c r="G380" s="3">
        <f t="shared" ca="1" si="61"/>
        <v>6.6531943000828742</v>
      </c>
      <c r="H380" s="4">
        <f t="shared" ca="1" si="62"/>
        <v>9.9952869782349563</v>
      </c>
      <c r="I380" s="4">
        <f t="shared" ca="1" si="63"/>
        <v>179.04117550902328</v>
      </c>
      <c r="J380" s="26">
        <f ca="1">RANDBETWEEN(ranges!J$2*1000,ranges!J$3*1000)/1000</f>
        <v>0.76</v>
      </c>
      <c r="K380" s="26">
        <f ca="1">RANDBETWEEN(ranges!K$2*1000,ranges!K$3*1000)/1000</f>
        <v>0.94899999999999995</v>
      </c>
      <c r="L380">
        <f t="shared" ca="1" si="64"/>
        <v>80.769049471372369</v>
      </c>
      <c r="M380">
        <f t="shared" ca="1" si="65"/>
        <v>15.420814616511874</v>
      </c>
      <c r="N380" s="4">
        <f t="shared" ca="1" si="66"/>
        <v>5.8973126503009974</v>
      </c>
      <c r="O380" s="4"/>
      <c r="P380" s="1">
        <f ca="1">LOOKUP(B380,geomorph!$A:$A,geomorph!$G:$G)</f>
        <v>105.393501</v>
      </c>
      <c r="Q380" s="1">
        <f t="shared" ca="1" si="67"/>
        <v>120.81431561651188</v>
      </c>
    </row>
    <row r="381" spans="2:17" x14ac:dyDescent="0.3">
      <c r="B381" s="6">
        <f ca="1">RANDBETWEEN(ranges!B$2,ranges!B$3)</f>
        <v>11002</v>
      </c>
      <c r="C381" s="9">
        <f ca="1">LOOKUP(B381,geomorph!A:A,geomorph!B:B)</f>
        <v>1687</v>
      </c>
      <c r="D381">
        <f t="shared" si="60"/>
        <v>1.13E-4</v>
      </c>
      <c r="E381" s="9">
        <f ca="1">'[2]Q_GEV(random)'!$J381</f>
        <v>11239.143836466354</v>
      </c>
      <c r="F381" s="26">
        <f ca="1">RANDBETWEEN(ranges!F$2*1000,ranges!F$3*1000)/1000</f>
        <v>0.10299999999999999</v>
      </c>
      <c r="G381" s="3">
        <f t="shared" ca="1" si="61"/>
        <v>6.6622073719421184</v>
      </c>
      <c r="H381" s="4">
        <f t="shared" ca="1" si="62"/>
        <v>10.10337104409494</v>
      </c>
      <c r="I381" s="4">
        <f t="shared" ca="1" si="63"/>
        <v>179.47902383316713</v>
      </c>
      <c r="J381" s="26">
        <f ca="1">RANDBETWEEN(ranges!J$2*1000,ranges!J$3*1000)/1000</f>
        <v>0.72399999999999998</v>
      </c>
      <c r="K381" s="26">
        <f ca="1">RANDBETWEEN(ranges!K$2*1000,ranges!K$3*1000)/1000</f>
        <v>0.84099999999999997</v>
      </c>
      <c r="L381">
        <f t="shared" ca="1" si="64"/>
        <v>81.40215518356699</v>
      </c>
      <c r="M381">
        <f t="shared" ca="1" si="65"/>
        <v>15.517774244798556</v>
      </c>
      <c r="N381" s="4">
        <f t="shared" ca="1" si="66"/>
        <v>5.8852208703300164</v>
      </c>
      <c r="O381" s="4"/>
      <c r="P381" s="1">
        <f ca="1">LOOKUP(B381,geomorph!$A:$A,geomorph!$G:$G)</f>
        <v>105.28276100000001</v>
      </c>
      <c r="Q381" s="1">
        <f t="shared" ca="1" si="67"/>
        <v>120.80053524479857</v>
      </c>
    </row>
    <row r="382" spans="2:17" x14ac:dyDescent="0.3">
      <c r="B382" s="6">
        <f ca="1">RANDBETWEEN(ranges!B$2,ranges!B$3)</f>
        <v>11093</v>
      </c>
      <c r="C382" s="9">
        <f ca="1">LOOKUP(B382,geomorph!A:A,geomorph!B:B)</f>
        <v>1684.9</v>
      </c>
      <c r="D382">
        <f t="shared" si="60"/>
        <v>1.13E-4</v>
      </c>
      <c r="E382" s="9">
        <f ca="1">'[2]Q_GEV(random)'!$J382</f>
        <v>11237.046077419845</v>
      </c>
      <c r="F382" s="26">
        <f ca="1">RANDBETWEEN(ranges!F$2*1000,ranges!F$3*1000)/1000</f>
        <v>9.8000000000000004E-2</v>
      </c>
      <c r="G382" s="3">
        <f t="shared" ca="1" si="61"/>
        <v>6.6692658777493294</v>
      </c>
      <c r="H382" s="4">
        <f t="shared" ca="1" si="62"/>
        <v>9.9441845620657219</v>
      </c>
      <c r="I382" s="4">
        <f t="shared" ca="1" si="63"/>
        <v>179.82962593370212</v>
      </c>
      <c r="J382" s="26">
        <f ca="1">RANDBETWEEN(ranges!J$2*1000,ranges!J$3*1000)/1000</f>
        <v>0.73699999999999999</v>
      </c>
      <c r="K382" s="26">
        <f ca="1">RANDBETWEEN(ranges!K$2*1000,ranges!K$3*1000)/1000</f>
        <v>0.92800000000000005</v>
      </c>
      <c r="L382">
        <f t="shared" ca="1" si="64"/>
        <v>81.023918604987102</v>
      </c>
      <c r="M382">
        <f t="shared" ca="1" si="65"/>
        <v>15.426443651702334</v>
      </c>
      <c r="N382" s="4">
        <f t="shared" ca="1" si="66"/>
        <v>5.9589772713441427</v>
      </c>
      <c r="O382" s="4"/>
      <c r="P382" s="1">
        <f ca="1">LOOKUP(B382,geomorph!$A:$A,geomorph!$G:$G)</f>
        <v>105.27259100000001</v>
      </c>
      <c r="Q382" s="1">
        <f t="shared" ca="1" si="67"/>
        <v>120.69903465170233</v>
      </c>
    </row>
    <row r="383" spans="2:17" x14ac:dyDescent="0.3">
      <c r="B383" s="6">
        <f ca="1">RANDBETWEEN(ranges!B$2,ranges!B$3)</f>
        <v>11533</v>
      </c>
      <c r="C383" s="9">
        <f ca="1">LOOKUP(B383,geomorph!A:A,geomorph!B:B)</f>
        <v>1481.4</v>
      </c>
      <c r="D383">
        <f t="shared" si="60"/>
        <v>1.13E-4</v>
      </c>
      <c r="E383" s="9">
        <f ca="1">'[2]Q_GEV(random)'!$J383</f>
        <v>11204.035146559547</v>
      </c>
      <c r="F383" s="26">
        <f ca="1">RANDBETWEEN(ranges!F$2*1000,ranges!F$3*1000)/1000</f>
        <v>9.7000000000000003E-2</v>
      </c>
      <c r="G383" s="3">
        <f t="shared" ca="1" si="61"/>
        <v>7.5631396966110076</v>
      </c>
      <c r="H383" s="4">
        <f t="shared" ca="1" si="62"/>
        <v>10.777063857224379</v>
      </c>
      <c r="I383" s="4">
        <f t="shared" ca="1" si="63"/>
        <v>222.4226913138767</v>
      </c>
      <c r="J383" s="26">
        <f ca="1">RANDBETWEEN(ranges!J$2*1000,ranges!J$3*1000)/1000</f>
        <v>0.64500000000000002</v>
      </c>
      <c r="K383" s="26">
        <f ca="1">RANDBETWEEN(ranges!K$2*1000,ranges!K$3*1000)/1000</f>
        <v>0.80900000000000005</v>
      </c>
      <c r="L383">
        <f t="shared" ca="1" si="64"/>
        <v>96.657770922103396</v>
      </c>
      <c r="M383">
        <f t="shared" ca="1" si="65"/>
        <v>16.18033686837245</v>
      </c>
      <c r="N383" s="4">
        <f t="shared" ca="1" si="66"/>
        <v>5.8731228382044254</v>
      </c>
      <c r="O383" s="4"/>
      <c r="P383" s="1">
        <f ca="1">LOOKUP(B383,geomorph!$A:$A,geomorph!$G:$G)</f>
        <v>105.222871</v>
      </c>
      <c r="Q383" s="1">
        <f t="shared" ca="1" si="67"/>
        <v>121.40320786837245</v>
      </c>
    </row>
    <row r="384" spans="2:17" x14ac:dyDescent="0.3">
      <c r="B384" s="6">
        <f ca="1">RANDBETWEEN(ranges!B$2,ranges!B$3)</f>
        <v>10780</v>
      </c>
      <c r="C384" s="9">
        <f ca="1">LOOKUP(B384,geomorph!A:A,geomorph!B:B)</f>
        <v>1676.5</v>
      </c>
      <c r="D384">
        <f t="shared" si="60"/>
        <v>1.13E-4</v>
      </c>
      <c r="E384" s="9">
        <f ca="1">'[2]Q_GEV(random)'!$J384</f>
        <v>11191.602368808657</v>
      </c>
      <c r="F384" s="26">
        <f ca="1">RANDBETWEEN(ranges!F$2*1000,ranges!F$3*1000)/1000</f>
        <v>0.10199999999999999</v>
      </c>
      <c r="G384" s="3">
        <f t="shared" ca="1" si="61"/>
        <v>6.6755755256836604</v>
      </c>
      <c r="H384" s="4">
        <f t="shared" ca="1" si="62"/>
        <v>10.084034659904905</v>
      </c>
      <c r="I384" s="4">
        <f t="shared" ca="1" si="63"/>
        <v>180.84462346824412</v>
      </c>
      <c r="J384" s="26">
        <f ca="1">RANDBETWEEN(ranges!J$2*1000,ranges!J$3*1000)/1000</f>
        <v>0.77400000000000002</v>
      </c>
      <c r="K384" s="26">
        <f ca="1">RANDBETWEEN(ranges!K$2*1000,ranges!K$3*1000)/1000</f>
        <v>0.90800000000000003</v>
      </c>
      <c r="L384">
        <f t="shared" ca="1" si="64"/>
        <v>81.050367624978719</v>
      </c>
      <c r="M384">
        <f t="shared" ca="1" si="65"/>
        <v>15.354546369530279</v>
      </c>
      <c r="N384" s="4">
        <f t="shared" ca="1" si="66"/>
        <v>5.7288170756797543</v>
      </c>
      <c r="O384" s="4"/>
      <c r="P384" s="1">
        <f ca="1">LOOKUP(B384,geomorph!$A:$A,geomorph!$G:$G)</f>
        <v>105.307621</v>
      </c>
      <c r="Q384" s="1">
        <f t="shared" ca="1" si="67"/>
        <v>120.66216736953028</v>
      </c>
    </row>
    <row r="385" spans="2:17" x14ac:dyDescent="0.3">
      <c r="B385" s="6">
        <f ca="1">RANDBETWEEN(ranges!B$2,ranges!B$3)</f>
        <v>13487</v>
      </c>
      <c r="C385" s="9">
        <f ca="1">LOOKUP(B385,geomorph!A:A,geomorph!B:B)</f>
        <v>1197.4000000000001</v>
      </c>
      <c r="D385">
        <f t="shared" si="60"/>
        <v>1.13E-4</v>
      </c>
      <c r="E385" s="9">
        <f ca="1">'[2]Q_GEV(random)'!$J385</f>
        <v>11191.408696759765</v>
      </c>
      <c r="F385" s="26">
        <f ca="1">RANDBETWEEN(ranges!F$2*1000,ranges!F$3*1000)/1000</f>
        <v>0.108</v>
      </c>
      <c r="G385" s="3">
        <f t="shared" ca="1" si="61"/>
        <v>9.3464245003839679</v>
      </c>
      <c r="H385" s="4">
        <f t="shared" ca="1" si="62"/>
        <v>12.863131709868036</v>
      </c>
      <c r="I385" s="4">
        <f t="shared" ca="1" si="63"/>
        <v>316.88943817474819</v>
      </c>
      <c r="J385" s="26">
        <f ca="1">RANDBETWEEN(ranges!J$2*1000,ranges!J$3*1000)/1000</f>
        <v>0.70399999999999996</v>
      </c>
      <c r="K385" s="26">
        <f ca="1">RANDBETWEEN(ranges!K$2*1000,ranges!K$3*1000)/1000</f>
        <v>0.92700000000000005</v>
      </c>
      <c r="L385">
        <f t="shared" ca="1" si="64"/>
        <v>131.33663674631447</v>
      </c>
      <c r="M385">
        <f t="shared" ca="1" si="65"/>
        <v>17.770661238924177</v>
      </c>
      <c r="N385" s="4">
        <f t="shared" ca="1" si="66"/>
        <v>5.334271227234936</v>
      </c>
      <c r="O385" s="4"/>
      <c r="P385" s="1">
        <f ca="1">LOOKUP(B385,geomorph!$A:$A,geomorph!$G:$G)</f>
        <v>105.002521</v>
      </c>
      <c r="Q385" s="1">
        <f t="shared" ca="1" si="67"/>
        <v>122.77318223892418</v>
      </c>
    </row>
    <row r="386" spans="2:17" x14ac:dyDescent="0.3">
      <c r="B386" s="6">
        <f ca="1">RANDBETWEEN(ranges!B$2,ranges!B$3)</f>
        <v>14655</v>
      </c>
      <c r="C386" s="9">
        <f ca="1">LOOKUP(B386,geomorph!A:A,geomorph!B:B)</f>
        <v>1443.7</v>
      </c>
      <c r="D386">
        <f t="shared" si="60"/>
        <v>1.13E-4</v>
      </c>
      <c r="E386" s="9">
        <f ca="1">'[2]Q_GEV(random)'!$J386</f>
        <v>11191.061000733291</v>
      </c>
      <c r="F386" s="26">
        <f ca="1">RANDBETWEEN(ranges!F$2*1000,ranges!F$3*1000)/1000</f>
        <v>9.9000000000000005E-2</v>
      </c>
      <c r="G386" s="3">
        <f t="shared" ca="1" si="61"/>
        <v>7.7516526984368568</v>
      </c>
      <c r="H386" s="4">
        <f t="shared" ca="1" si="62"/>
        <v>11.030191839698</v>
      </c>
      <c r="I386" s="4">
        <f t="shared" ca="1" si="63"/>
        <v>232.00780652723495</v>
      </c>
      <c r="J386" s="26">
        <f ca="1">RANDBETWEEN(ranges!J$2*1000,ranges!J$3*1000)/1000</f>
        <v>0.78</v>
      </c>
      <c r="K386" s="26">
        <f ca="1">RANDBETWEEN(ranges!K$2*1000,ranges!K$3*1000)/1000</f>
        <v>0.998</v>
      </c>
      <c r="L386">
        <f t="shared" ca="1" si="64"/>
        <v>98.521123924631596</v>
      </c>
      <c r="M386">
        <f t="shared" ca="1" si="65"/>
        <v>16.072548966928942</v>
      </c>
      <c r="N386" s="4">
        <f t="shared" ca="1" si="66"/>
        <v>5.4808229643814581</v>
      </c>
      <c r="O386" s="4"/>
      <c r="P386" s="1">
        <f ca="1">LOOKUP(B386,geomorph!$A:$A,geomorph!$G:$G)</f>
        <v>104.870311</v>
      </c>
      <c r="Q386" s="1">
        <f t="shared" ca="1" si="67"/>
        <v>120.94285996692895</v>
      </c>
    </row>
    <row r="387" spans="2:17" x14ac:dyDescent="0.3">
      <c r="B387" s="6">
        <f ca="1">RANDBETWEEN(ranges!B$2,ranges!B$3)</f>
        <v>13654</v>
      </c>
      <c r="C387" s="9">
        <f ca="1">LOOKUP(B387,geomorph!A:A,geomorph!B:B)</f>
        <v>1240.5</v>
      </c>
      <c r="D387">
        <f t="shared" si="60"/>
        <v>1.13E-4</v>
      </c>
      <c r="E387" s="9">
        <f ca="1">'[2]Q_GEV(random)'!$J387</f>
        <v>11189.493515869488</v>
      </c>
      <c r="F387" s="26">
        <f ca="1">RANDBETWEEN(ranges!F$2*1000,ranges!F$3*1000)/1000</f>
        <v>0.09</v>
      </c>
      <c r="G387" s="3">
        <f t="shared" ca="1" si="61"/>
        <v>9.0201479370169189</v>
      </c>
      <c r="H387" s="4">
        <f t="shared" ca="1" si="62"/>
        <v>11.821295491830011</v>
      </c>
      <c r="I387" s="4">
        <f t="shared" ca="1" si="63"/>
        <v>298.71866190678486</v>
      </c>
      <c r="J387" s="26">
        <f ca="1">RANDBETWEEN(ranges!J$2*1000,ranges!J$3*1000)/1000</f>
        <v>0.73799999999999999</v>
      </c>
      <c r="K387" s="26">
        <f ca="1">RANDBETWEEN(ranges!K$2*1000,ranges!K$3*1000)/1000</f>
        <v>0.879</v>
      </c>
      <c r="L387">
        <f t="shared" ca="1" si="64"/>
        <v>117.43787702114103</v>
      </c>
      <c r="M387">
        <f t="shared" ca="1" si="65"/>
        <v>16.462030568253976</v>
      </c>
      <c r="N387" s="4">
        <f t="shared" ca="1" si="66"/>
        <v>5.0442772569825705</v>
      </c>
      <c r="O387" s="4"/>
      <c r="P387" s="1">
        <f ca="1">LOOKUP(B387,geomorph!$A:$A,geomorph!$G:$G)</f>
        <v>104.983311</v>
      </c>
      <c r="Q387" s="1">
        <f t="shared" ca="1" si="67"/>
        <v>121.44534156825398</v>
      </c>
    </row>
    <row r="388" spans="2:17" x14ac:dyDescent="0.3">
      <c r="B388" s="6">
        <f ca="1">RANDBETWEEN(ranges!B$2,ranges!B$3)</f>
        <v>13597</v>
      </c>
      <c r="C388" s="9">
        <f ca="1">LOOKUP(B388,geomorph!A:A,geomorph!B:B)</f>
        <v>1225.4000000000001</v>
      </c>
      <c r="D388">
        <f t="shared" si="60"/>
        <v>1.13E-4</v>
      </c>
      <c r="E388" s="9">
        <f ca="1">'[2]Q_GEV(random)'!$J388</f>
        <v>11186.603867011134</v>
      </c>
      <c r="F388" s="26">
        <f ca="1">RANDBETWEEN(ranges!F$2*1000,ranges!F$3*1000)/1000</f>
        <v>9.7000000000000003E-2</v>
      </c>
      <c r="G388" s="3">
        <f t="shared" ca="1" si="61"/>
        <v>9.1289406455125945</v>
      </c>
      <c r="H388" s="4">
        <f t="shared" ca="1" si="62"/>
        <v>12.217414177974403</v>
      </c>
      <c r="I388" s="4">
        <f t="shared" ca="1" si="63"/>
        <v>304.82627325718852</v>
      </c>
      <c r="J388" s="26">
        <f ca="1">RANDBETWEEN(ranges!J$2*1000,ranges!J$3*1000)/1000</f>
        <v>0.77400000000000002</v>
      </c>
      <c r="K388" s="26">
        <f ca="1">RANDBETWEEN(ranges!K$2*1000,ranges!K$3*1000)/1000</f>
        <v>0.82699999999999996</v>
      </c>
      <c r="L388">
        <f t="shared" ca="1" si="64"/>
        <v>120.14938243061042</v>
      </c>
      <c r="M388">
        <f t="shared" ca="1" si="65"/>
        <v>16.637109015043112</v>
      </c>
      <c r="N388" s="4">
        <f t="shared" ca="1" si="66"/>
        <v>4.8040161272485964</v>
      </c>
      <c r="O388" s="4"/>
      <c r="P388" s="1">
        <f ca="1">LOOKUP(B388,geomorph!$A:$A,geomorph!$G:$G)</f>
        <v>104.99009100000001</v>
      </c>
      <c r="Q388" s="1">
        <f t="shared" ca="1" si="67"/>
        <v>121.62720001504312</v>
      </c>
    </row>
    <row r="389" spans="2:17" x14ac:dyDescent="0.3">
      <c r="B389" s="6">
        <f ca="1">RANDBETWEEN(ranges!B$2,ranges!B$3)</f>
        <v>13715</v>
      </c>
      <c r="C389" s="9">
        <f ca="1">LOOKUP(B389,geomorph!A:A,geomorph!B:B)</f>
        <v>1255.7</v>
      </c>
      <c r="D389">
        <f t="shared" si="60"/>
        <v>1.13E-4</v>
      </c>
      <c r="E389" s="9">
        <f ca="1">'[2]Q_GEV(random)'!$J389</f>
        <v>11183.372512004611</v>
      </c>
      <c r="F389" s="26">
        <f ca="1">RANDBETWEEN(ranges!F$2*1000,ranges!F$3*1000)/1000</f>
        <v>0.107</v>
      </c>
      <c r="G389" s="3">
        <f t="shared" ca="1" si="61"/>
        <v>8.9060862562750742</v>
      </c>
      <c r="H389" s="4">
        <f t="shared" ca="1" si="62"/>
        <v>12.417313727649626</v>
      </c>
      <c r="I389" s="4">
        <f t="shared" ca="1" si="63"/>
        <v>292.60970120983552</v>
      </c>
      <c r="J389" s="26">
        <f ca="1">RANDBETWEEN(ranges!J$2*1000,ranges!J$3*1000)/1000</f>
        <v>0.60399999999999998</v>
      </c>
      <c r="K389" s="26">
        <f ca="1">RANDBETWEEN(ranges!K$2*1000,ranges!K$3*1000)/1000</f>
        <v>0.88700000000000001</v>
      </c>
      <c r="L389">
        <f t="shared" ca="1" si="64"/>
        <v>125.89062747044713</v>
      </c>
      <c r="M389">
        <f t="shared" ca="1" si="65"/>
        <v>17.863137283354373</v>
      </c>
      <c r="N389" s="4">
        <f t="shared" ca="1" si="66"/>
        <v>5.919373430113855</v>
      </c>
      <c r="O389" s="4"/>
      <c r="P389" s="1">
        <f ca="1">LOOKUP(B389,geomorph!$A:$A,geomorph!$G:$G)</f>
        <v>104.97653100000001</v>
      </c>
      <c r="Q389" s="1">
        <f t="shared" ca="1" si="67"/>
        <v>122.83966828335438</v>
      </c>
    </row>
    <row r="390" spans="2:17" x14ac:dyDescent="0.3">
      <c r="B390" s="6">
        <f ca="1">RANDBETWEEN(ranges!B$2,ranges!B$3)</f>
        <v>14866</v>
      </c>
      <c r="C390" s="9">
        <f ca="1">LOOKUP(B390,geomorph!A:A,geomorph!B:B)</f>
        <v>1501.6</v>
      </c>
      <c r="D390">
        <f t="shared" si="60"/>
        <v>1.13E-4</v>
      </c>
      <c r="E390" s="9">
        <f ca="1">'[2]Q_GEV(random)'!$J390</f>
        <v>11181.664823722982</v>
      </c>
      <c r="F390" s="26">
        <f ca="1">RANDBETWEEN(ranges!F$2*1000,ranges!F$3*1000)/1000</f>
        <v>0.107</v>
      </c>
      <c r="G390" s="3">
        <f t="shared" ca="1" si="61"/>
        <v>7.4465002821809954</v>
      </c>
      <c r="H390" s="4">
        <f t="shared" ca="1" si="62"/>
        <v>11.020581976070702</v>
      </c>
      <c r="I390" s="4">
        <f t="shared" ca="1" si="63"/>
        <v>217.16869961437473</v>
      </c>
      <c r="J390" s="26">
        <f ca="1">RANDBETWEEN(ranges!J$2*1000,ranges!J$3*1000)/1000</f>
        <v>0.749</v>
      </c>
      <c r="K390" s="26">
        <f ca="1">RANDBETWEEN(ranges!K$2*1000,ranges!K$3*1000)/1000</f>
        <v>0.92600000000000005</v>
      </c>
      <c r="L390">
        <f t="shared" ca="1" si="64"/>
        <v>95.488257536416597</v>
      </c>
      <c r="M390">
        <f t="shared" ca="1" si="65"/>
        <v>16.202523929385194</v>
      </c>
      <c r="N390" s="4">
        <f t="shared" ca="1" si="66"/>
        <v>5.632545601428796</v>
      </c>
      <c r="O390" s="4"/>
      <c r="P390" s="1">
        <f ca="1">LOOKUP(B390,geomorph!$A:$A,geomorph!$G:$G)</f>
        <v>104.846581</v>
      </c>
      <c r="Q390" s="1">
        <f t="shared" ca="1" si="67"/>
        <v>121.04910492938519</v>
      </c>
    </row>
    <row r="391" spans="2:17" x14ac:dyDescent="0.3">
      <c r="B391" s="6">
        <f ca="1">RANDBETWEEN(ranges!B$2,ranges!B$3)</f>
        <v>12427</v>
      </c>
      <c r="C391" s="9">
        <f ca="1">LOOKUP(B391,geomorph!A:A,geomorph!B:B)</f>
        <v>1230.8</v>
      </c>
      <c r="D391">
        <f t="shared" si="60"/>
        <v>1.13E-4</v>
      </c>
      <c r="E391" s="9">
        <f ca="1">'[2]Q_GEV(random)'!$J391</f>
        <v>11177.736366288167</v>
      </c>
      <c r="F391" s="26">
        <f ca="1">RANDBETWEEN(ranges!F$2*1000,ranges!F$3*1000)/1000</f>
        <v>0.11</v>
      </c>
      <c r="G391" s="3">
        <f t="shared" ca="1" si="61"/>
        <v>9.0816837555152485</v>
      </c>
      <c r="H391" s="4">
        <f t="shared" ca="1" si="62"/>
        <v>12.696488047695548</v>
      </c>
      <c r="I391" s="4">
        <f t="shared" ca="1" si="63"/>
        <v>302.44061499087491</v>
      </c>
      <c r="J391" s="26">
        <f ca="1">RANDBETWEEN(ranges!J$2*1000,ranges!J$3*1000)/1000</f>
        <v>0.64700000000000002</v>
      </c>
      <c r="K391" s="26">
        <f ca="1">RANDBETWEEN(ranges!K$2*1000,ranges!K$3*1000)/1000</f>
        <v>0.877</v>
      </c>
      <c r="L391">
        <f t="shared" ca="1" si="64"/>
        <v>128.34837201107064</v>
      </c>
      <c r="M391">
        <f t="shared" ca="1" si="65"/>
        <v>17.850742918648507</v>
      </c>
      <c r="N391" s="4">
        <f t="shared" ca="1" si="66"/>
        <v>5.6024509466879993</v>
      </c>
      <c r="O391" s="4"/>
      <c r="P391" s="1">
        <f ca="1">LOOKUP(B391,geomorph!$A:$A,geomorph!$G:$G)</f>
        <v>105.12230100000001</v>
      </c>
      <c r="Q391" s="1">
        <f t="shared" ca="1" si="67"/>
        <v>122.97304391864851</v>
      </c>
    </row>
    <row r="392" spans="2:17" x14ac:dyDescent="0.3">
      <c r="B392" s="6">
        <f ca="1">RANDBETWEEN(ranges!B$2,ranges!B$3)</f>
        <v>11347</v>
      </c>
      <c r="C392" s="9">
        <f ca="1">LOOKUP(B392,geomorph!A:A,geomorph!B:B)</f>
        <v>1579.6</v>
      </c>
      <c r="D392">
        <f t="shared" si="60"/>
        <v>1.13E-4</v>
      </c>
      <c r="E392" s="9">
        <f ca="1">'[2]Q_GEV(random)'!$J392</f>
        <v>11164.601950798766</v>
      </c>
      <c r="F392" s="26">
        <f ca="1">RANDBETWEEN(ranges!F$2*1000,ranges!F$3*1000)/1000</f>
        <v>0.109</v>
      </c>
      <c r="G392" s="3">
        <f t="shared" ca="1" si="61"/>
        <v>7.0679931316781248</v>
      </c>
      <c r="H392" s="4">
        <f t="shared" ca="1" si="62"/>
        <v>10.709800356771721</v>
      </c>
      <c r="I392" s="4">
        <f t="shared" ca="1" si="63"/>
        <v>199.3885910035545</v>
      </c>
      <c r="J392" s="26">
        <f ca="1">RANDBETWEEN(ranges!J$2*1000,ranges!J$3*1000)/1000</f>
        <v>0.67600000000000005</v>
      </c>
      <c r="K392" s="26">
        <f ca="1">RANDBETWEEN(ranges!K$2*1000,ranges!K$3*1000)/1000</f>
        <v>0.93700000000000006</v>
      </c>
      <c r="L392">
        <f t="shared" ca="1" si="64"/>
        <v>92.015328035048952</v>
      </c>
      <c r="M392">
        <f t="shared" ca="1" si="65"/>
        <v>16.424257574550452</v>
      </c>
      <c r="N392" s="4">
        <f t="shared" ca="1" si="66"/>
        <v>6.2113665410638381</v>
      </c>
      <c r="O392" s="4"/>
      <c r="P392" s="1">
        <f ca="1">LOOKUP(B392,geomorph!$A:$A,geomorph!$G:$G)</f>
        <v>105.24434100000001</v>
      </c>
      <c r="Q392" s="1">
        <f t="shared" ca="1" si="67"/>
        <v>121.66859857455046</v>
      </c>
    </row>
    <row r="393" spans="2:17" x14ac:dyDescent="0.3">
      <c r="B393" s="6">
        <f ca="1">RANDBETWEEN(ranges!B$2,ranges!B$3)</f>
        <v>10369</v>
      </c>
      <c r="C393" s="9">
        <f ca="1">LOOKUP(B393,geomorph!A:A,geomorph!B:B)</f>
        <v>1692.2</v>
      </c>
      <c r="D393">
        <f t="shared" si="60"/>
        <v>1.13E-4</v>
      </c>
      <c r="E393" s="9">
        <f ca="1">'[2]Q_GEV(random)'!$J393</f>
        <v>11161.306992377793</v>
      </c>
      <c r="F393" s="26">
        <f ca="1">RANDBETWEEN(ranges!F$2*1000,ranges!F$3*1000)/1000</f>
        <v>0.108</v>
      </c>
      <c r="G393" s="3">
        <f t="shared" ca="1" si="61"/>
        <v>6.5957374969730482</v>
      </c>
      <c r="H393" s="4">
        <f t="shared" ca="1" si="62"/>
        <v>10.195893498313717</v>
      </c>
      <c r="I393" s="4">
        <f t="shared" ca="1" si="63"/>
        <v>177.73538589366157</v>
      </c>
      <c r="J393" s="26">
        <f ca="1">RANDBETWEEN(ranges!J$2*1000,ranges!J$3*1000)/1000</f>
        <v>0.78800000000000003</v>
      </c>
      <c r="K393" s="26">
        <f ca="1">RANDBETWEEN(ranges!K$2*1000,ranges!K$3*1000)/1000</f>
        <v>0.90400000000000003</v>
      </c>
      <c r="L393">
        <f t="shared" ca="1" si="64"/>
        <v>80.780028598647078</v>
      </c>
      <c r="M393">
        <f t="shared" ca="1" si="65"/>
        <v>15.446643976593258</v>
      </c>
      <c r="N393" s="4">
        <f t="shared" ca="1" si="66"/>
        <v>5.7073374763908049</v>
      </c>
      <c r="O393" s="4"/>
      <c r="P393" s="1">
        <f ca="1">LOOKUP(B393,geomorph!$A:$A,geomorph!$G:$G)</f>
        <v>105.355081</v>
      </c>
      <c r="Q393" s="1">
        <f t="shared" ca="1" si="67"/>
        <v>120.80172497659325</v>
      </c>
    </row>
    <row r="394" spans="2:17" x14ac:dyDescent="0.3">
      <c r="B394" s="6">
        <f ca="1">RANDBETWEEN(ranges!B$2,ranges!B$3)</f>
        <v>10048</v>
      </c>
      <c r="C394" s="9">
        <f ca="1">LOOKUP(B394,geomorph!A:A,geomorph!B:B)</f>
        <v>1645.1</v>
      </c>
      <c r="D394">
        <f t="shared" si="60"/>
        <v>1.13E-4</v>
      </c>
      <c r="E394" s="9">
        <f ca="1">'[2]Q_GEV(random)'!$J394</f>
        <v>11149.28416646486</v>
      </c>
      <c r="F394" s="26">
        <f ca="1">RANDBETWEEN(ranges!F$2*1000,ranges!F$3*1000)/1000</f>
        <v>9.5000000000000001E-2</v>
      </c>
      <c r="G394" s="3">
        <f t="shared" ca="1" si="61"/>
        <v>6.7772683523584352</v>
      </c>
      <c r="H394" s="4">
        <f t="shared" ca="1" si="62"/>
        <v>9.9476261024490675</v>
      </c>
      <c r="I394" s="4">
        <f t="shared" ca="1" si="63"/>
        <v>186.16334312289166</v>
      </c>
      <c r="J394" s="26">
        <f ca="1">RANDBETWEEN(ranges!J$2*1000,ranges!J$3*1000)/1000</f>
        <v>0.75900000000000001</v>
      </c>
      <c r="K394" s="26">
        <f ca="1">RANDBETWEEN(ranges!K$2*1000,ranges!K$3*1000)/1000</f>
        <v>0.85299999999999998</v>
      </c>
      <c r="L394">
        <f t="shared" ca="1" si="64"/>
        <v>81.205107497898013</v>
      </c>
      <c r="M394">
        <f t="shared" ca="1" si="65"/>
        <v>15.095729024961495</v>
      </c>
      <c r="N394" s="4">
        <f t="shared" ca="1" si="66"/>
        <v>5.59576404620916</v>
      </c>
      <c r="O394" s="4"/>
      <c r="P394" s="1">
        <f ca="1">LOOKUP(B394,geomorph!$A:$A,geomorph!$G:$G)</f>
        <v>105.39124100000001</v>
      </c>
      <c r="Q394" s="1">
        <f t="shared" ca="1" si="67"/>
        <v>120.48697002496151</v>
      </c>
    </row>
    <row r="395" spans="2:17" x14ac:dyDescent="0.3">
      <c r="B395" s="6">
        <f ca="1">RANDBETWEEN(ranges!B$2,ranges!B$3)</f>
        <v>10615</v>
      </c>
      <c r="C395" s="9">
        <f ca="1">LOOKUP(B395,geomorph!A:A,geomorph!B:B)</f>
        <v>1737.7</v>
      </c>
      <c r="D395">
        <f t="shared" ref="D395:D458" si="68">D394</f>
        <v>1.13E-4</v>
      </c>
      <c r="E395" s="9">
        <f ca="1">'[2]Q_GEV(random)'!$J395</f>
        <v>11130.219899865644</v>
      </c>
      <c r="F395" s="26">
        <f ca="1">RANDBETWEEN(ranges!F$2*1000,ranges!F$3*1000)/1000</f>
        <v>9.8000000000000004E-2</v>
      </c>
      <c r="G395" s="3">
        <f t="shared" ref="G395:G458" ca="1" si="69">E395/C395</f>
        <v>6.4051446739170421</v>
      </c>
      <c r="H395" s="4">
        <f t="shared" ref="H395:H458" ca="1" si="70">POWER(G395/SQRT(4*9.807*D395/F395),2/3)</f>
        <v>9.6798757839326353</v>
      </c>
      <c r="I395" s="4">
        <f t="shared" ref="I395:I458" ca="1" si="71">POWER(G395*G395/9.807/D395,1/3)/C395/D395</f>
        <v>169.73100324223844</v>
      </c>
      <c r="J395" s="26">
        <f ca="1">RANDBETWEEN(ranges!J$2*1000,ranges!J$3*1000)/1000</f>
        <v>0.64700000000000002</v>
      </c>
      <c r="K395" s="26">
        <f ca="1">RANDBETWEEN(ranges!K$2*1000,ranges!K$3*1000)/1000</f>
        <v>0.93799999999999994</v>
      </c>
      <c r="L395">
        <f t="shared" ref="L395:L458" ca="1" si="72">0.63*POWER(F395,1/3)*I395+5.75*(1+SQRT(1+0.11*J395*POWER(F395,1/3)*K395*I395))/J395</f>
        <v>80.358476134878217</v>
      </c>
      <c r="M395">
        <f t="shared" ref="M395:M458" ca="1" si="73">L395*C395*D395</f>
        <v>15.779198409692299</v>
      </c>
      <c r="N395" s="4">
        <f t="shared" ref="N395:N458" ca="1" si="74">(M395-H395)/0.92</f>
        <v>6.6296985062605032</v>
      </c>
      <c r="O395" s="4"/>
      <c r="P395" s="1">
        <f ca="1">LOOKUP(B395,geomorph!$A:$A,geomorph!$G:$G)</f>
        <v>105.326831</v>
      </c>
      <c r="Q395" s="1">
        <f t="shared" ref="Q395:Q458" ca="1" si="75">M395+P395</f>
        <v>121.1060294096923</v>
      </c>
    </row>
    <row r="396" spans="2:17" x14ac:dyDescent="0.3">
      <c r="B396" s="6">
        <f ca="1">RANDBETWEEN(ranges!B$2,ranges!B$3)</f>
        <v>14963</v>
      </c>
      <c r="C396" s="9">
        <f ca="1">LOOKUP(B396,geomorph!A:A,geomorph!B:B)</f>
        <v>1497.1</v>
      </c>
      <c r="D396">
        <f t="shared" si="68"/>
        <v>1.13E-4</v>
      </c>
      <c r="E396" s="9">
        <f ca="1">'[2]Q_GEV(random)'!$J396</f>
        <v>11125.513475620257</v>
      </c>
      <c r="F396" s="26">
        <f ca="1">RANDBETWEEN(ranges!F$2*1000,ranges!F$3*1000)/1000</f>
        <v>0.108</v>
      </c>
      <c r="G396" s="3">
        <f t="shared" ca="1" si="69"/>
        <v>7.4313763112819835</v>
      </c>
      <c r="H396" s="4">
        <f t="shared" ca="1" si="70"/>
        <v>11.039834197255411</v>
      </c>
      <c r="I396" s="4">
        <f t="shared" ca="1" si="71"/>
        <v>217.52643502621129</v>
      </c>
      <c r="J396" s="26">
        <f ca="1">RANDBETWEEN(ranges!J$2*1000,ranges!J$3*1000)/1000</f>
        <v>0.65700000000000003</v>
      </c>
      <c r="K396" s="26">
        <f ca="1">RANDBETWEEN(ranges!K$2*1000,ranges!K$3*1000)/1000</f>
        <v>0.84699999999999998</v>
      </c>
      <c r="L396">
        <f t="shared" ca="1" si="72"/>
        <v>97.726658727601247</v>
      </c>
      <c r="M396">
        <f t="shared" ca="1" si="73"/>
        <v>16.532643628263376</v>
      </c>
      <c r="N396" s="4">
        <f t="shared" ca="1" si="74"/>
        <v>5.9704450337043093</v>
      </c>
      <c r="O396" s="4"/>
      <c r="P396" s="1">
        <f ca="1">LOOKUP(B396,geomorph!$A:$A,geomorph!$G:$G)</f>
        <v>104.83528100000001</v>
      </c>
      <c r="Q396" s="1">
        <f t="shared" ca="1" si="75"/>
        <v>121.36792462826338</v>
      </c>
    </row>
    <row r="397" spans="2:17" x14ac:dyDescent="0.3">
      <c r="B397" s="6">
        <f ca="1">RANDBETWEEN(ranges!B$2,ranges!B$3)</f>
        <v>13169</v>
      </c>
      <c r="C397" s="9">
        <f ca="1">LOOKUP(B397,geomorph!A:A,geomorph!B:B)</f>
        <v>1158.5999999999999</v>
      </c>
      <c r="D397">
        <f t="shared" si="68"/>
        <v>1.13E-4</v>
      </c>
      <c r="E397" s="9">
        <f ca="1">'[2]Q_GEV(random)'!$J397</f>
        <v>11121.947640353166</v>
      </c>
      <c r="F397" s="26">
        <f ca="1">RANDBETWEEN(ranges!F$2*1000,ranges!F$3*1000)/1000</f>
        <v>9.4E-2</v>
      </c>
      <c r="G397" s="3">
        <f t="shared" ca="1" si="69"/>
        <v>9.5994714658667082</v>
      </c>
      <c r="H397" s="4">
        <f t="shared" ca="1" si="70"/>
        <v>12.502090236092069</v>
      </c>
      <c r="I397" s="4">
        <f t="shared" ca="1" si="71"/>
        <v>333.38652383300075</v>
      </c>
      <c r="J397" s="26">
        <f ca="1">RANDBETWEEN(ranges!J$2*1000,ranges!J$3*1000)/1000</f>
        <v>0.71599999999999997</v>
      </c>
      <c r="K397" s="26">
        <f ca="1">RANDBETWEEN(ranges!K$2*1000,ranges!K$3*1000)/1000</f>
        <v>0.82399999999999995</v>
      </c>
      <c r="L397">
        <f t="shared" ca="1" si="72"/>
        <v>129.96710815748611</v>
      </c>
      <c r="M397">
        <f t="shared" ca="1" si="73"/>
        <v>17.015527740772761</v>
      </c>
      <c r="N397" s="4">
        <f t="shared" ca="1" si="74"/>
        <v>4.9059103311746641</v>
      </c>
      <c r="O397" s="4"/>
      <c r="P397" s="1">
        <f ca="1">LOOKUP(B397,geomorph!$A:$A,geomorph!$G:$G)</f>
        <v>105.038681</v>
      </c>
      <c r="Q397" s="1">
        <f t="shared" ca="1" si="75"/>
        <v>122.05420874077276</v>
      </c>
    </row>
    <row r="398" spans="2:17" x14ac:dyDescent="0.3">
      <c r="B398" s="6">
        <f ca="1">RANDBETWEEN(ranges!B$2,ranges!B$3)</f>
        <v>14725</v>
      </c>
      <c r="C398" s="9">
        <f ca="1">LOOKUP(B398,geomorph!A:A,geomorph!B:B)</f>
        <v>1466.2</v>
      </c>
      <c r="D398">
        <f t="shared" si="68"/>
        <v>1.13E-4</v>
      </c>
      <c r="E398" s="9">
        <f ca="1">'[2]Q_GEV(random)'!$J398</f>
        <v>11120.508242455249</v>
      </c>
      <c r="F398" s="26">
        <f ca="1">RANDBETWEEN(ranges!F$2*1000,ranges!F$3*1000)/1000</f>
        <v>0.10199999999999999</v>
      </c>
      <c r="G398" s="3">
        <f t="shared" ca="1" si="69"/>
        <v>7.5845779855785356</v>
      </c>
      <c r="H398" s="4">
        <f t="shared" ca="1" si="70"/>
        <v>10.979843112419641</v>
      </c>
      <c r="I398" s="4">
        <f t="shared" ca="1" si="71"/>
        <v>225.15300580567236</v>
      </c>
      <c r="J398" s="26">
        <f ca="1">RANDBETWEEN(ranges!J$2*1000,ranges!J$3*1000)/1000</f>
        <v>0.70299999999999996</v>
      </c>
      <c r="K398" s="26">
        <f ca="1">RANDBETWEEN(ranges!K$2*1000,ranges!K$3*1000)/1000</f>
        <v>0.82399999999999995</v>
      </c>
      <c r="L398">
        <f t="shared" ca="1" si="72"/>
        <v>97.155788008007022</v>
      </c>
      <c r="M398">
        <f t="shared" ca="1" si="73"/>
        <v>16.096829250639409</v>
      </c>
      <c r="N398" s="4">
        <f t="shared" ca="1" si="74"/>
        <v>5.5619414545867052</v>
      </c>
      <c r="O398" s="4"/>
      <c r="P398" s="1">
        <f ca="1">LOOKUP(B398,geomorph!$A:$A,geomorph!$G:$G)</f>
        <v>104.86240100000001</v>
      </c>
      <c r="Q398" s="1">
        <f t="shared" ca="1" si="75"/>
        <v>120.95923025063942</v>
      </c>
    </row>
    <row r="399" spans="2:17" x14ac:dyDescent="0.3">
      <c r="B399" s="6">
        <f ca="1">RANDBETWEEN(ranges!B$2,ranges!B$3)</f>
        <v>12637</v>
      </c>
      <c r="C399" s="9">
        <f ca="1">LOOKUP(B399,geomorph!A:A,geomorph!B:B)</f>
        <v>1175.9000000000001</v>
      </c>
      <c r="D399">
        <f t="shared" si="68"/>
        <v>1.13E-4</v>
      </c>
      <c r="E399" s="9">
        <f ca="1">'[2]Q_GEV(random)'!$J399</f>
        <v>11119.966916631443</v>
      </c>
      <c r="F399" s="26">
        <f ca="1">RANDBETWEEN(ranges!F$2*1000,ranges!F$3*1000)/1000</f>
        <v>0.10100000000000001</v>
      </c>
      <c r="G399" s="3">
        <f t="shared" ca="1" si="69"/>
        <v>9.4565583099170354</v>
      </c>
      <c r="H399" s="4">
        <f t="shared" ca="1" si="70"/>
        <v>12.677617889530376</v>
      </c>
      <c r="I399" s="4">
        <f t="shared" ca="1" si="71"/>
        <v>325.21334851812475</v>
      </c>
      <c r="J399" s="26">
        <f ca="1">RANDBETWEEN(ranges!J$2*1000,ranges!J$3*1000)/1000</f>
        <v>0.63800000000000001</v>
      </c>
      <c r="K399" s="26">
        <f ca="1">RANDBETWEEN(ranges!K$2*1000,ranges!K$3*1000)/1000</f>
        <v>0.89200000000000002</v>
      </c>
      <c r="L399">
        <f t="shared" ca="1" si="72"/>
        <v>133.60492027773103</v>
      </c>
      <c r="M399">
        <f t="shared" ca="1" si="73"/>
        <v>17.752980910267983</v>
      </c>
      <c r="N399" s="4">
        <f t="shared" ca="1" si="74"/>
        <v>5.5166989355843548</v>
      </c>
      <c r="O399" s="4"/>
      <c r="P399" s="1">
        <f ca="1">LOOKUP(B399,geomorph!$A:$A,geomorph!$G:$G)</f>
        <v>105.09857100000001</v>
      </c>
      <c r="Q399" s="1">
        <f t="shared" ca="1" si="75"/>
        <v>122.85155191026799</v>
      </c>
    </row>
    <row r="400" spans="2:17" x14ac:dyDescent="0.3">
      <c r="B400" s="6">
        <f ca="1">RANDBETWEEN(ranges!B$2,ranges!B$3)</f>
        <v>11186</v>
      </c>
      <c r="C400" s="9">
        <f ca="1">LOOKUP(B400,geomorph!A:A,geomorph!B:B)</f>
        <v>1669.7</v>
      </c>
      <c r="D400">
        <f t="shared" si="68"/>
        <v>1.13E-4</v>
      </c>
      <c r="E400" s="9">
        <f ca="1">'[2]Q_GEV(random)'!$J400</f>
        <v>11105.040886763803</v>
      </c>
      <c r="F400" s="26">
        <f ca="1">RANDBETWEEN(ranges!F$2*1000,ranges!F$3*1000)/1000</f>
        <v>0.105</v>
      </c>
      <c r="G400" s="3">
        <f t="shared" ca="1" si="69"/>
        <v>6.6509198579168736</v>
      </c>
      <c r="H400" s="4">
        <f t="shared" ca="1" si="70"/>
        <v>10.156857813918512</v>
      </c>
      <c r="I400" s="4">
        <f t="shared" ca="1" si="71"/>
        <v>181.13375049363628</v>
      </c>
      <c r="J400" s="26">
        <f ca="1">RANDBETWEEN(ranges!J$2*1000,ranges!J$3*1000)/1000</f>
        <v>0.73799999999999999</v>
      </c>
      <c r="K400" s="26">
        <f ca="1">RANDBETWEEN(ranges!K$2*1000,ranges!K$3*1000)/1000</f>
        <v>0.97599999999999998</v>
      </c>
      <c r="L400">
        <f t="shared" ca="1" si="72"/>
        <v>83.34591029675056</v>
      </c>
      <c r="M400">
        <f t="shared" ca="1" si="73"/>
        <v>15.725381305740738</v>
      </c>
      <c r="N400" s="4">
        <f t="shared" ca="1" si="74"/>
        <v>6.0527429258937238</v>
      </c>
      <c r="O400" s="4"/>
      <c r="P400" s="1">
        <f ca="1">LOOKUP(B400,geomorph!$A:$A,geomorph!$G:$G)</f>
        <v>105.262421</v>
      </c>
      <c r="Q400" s="1">
        <f t="shared" ca="1" si="75"/>
        <v>120.98780230574074</v>
      </c>
    </row>
    <row r="401" spans="2:17" x14ac:dyDescent="0.3">
      <c r="B401" s="6">
        <f ca="1">RANDBETWEEN(ranges!B$2,ranges!B$3)</f>
        <v>11265</v>
      </c>
      <c r="C401" s="9">
        <f ca="1">LOOKUP(B401,geomorph!A:A,geomorph!B:B)</f>
        <v>1629</v>
      </c>
      <c r="D401">
        <f t="shared" si="68"/>
        <v>1.13E-4</v>
      </c>
      <c r="E401" s="9">
        <f ca="1">'[2]Q_GEV(random)'!$J401</f>
        <v>11104.001338797978</v>
      </c>
      <c r="F401" s="26">
        <f ca="1">RANDBETWEEN(ranges!F$2*1000,ranges!F$3*1000)/1000</f>
        <v>9.2999999999999999E-2</v>
      </c>
      <c r="G401" s="3">
        <f t="shared" ca="1" si="69"/>
        <v>6.8164526327796056</v>
      </c>
      <c r="H401" s="4">
        <f t="shared" ca="1" si="70"/>
        <v>9.9153578698909204</v>
      </c>
      <c r="I401" s="4">
        <f t="shared" ca="1" si="71"/>
        <v>188.72722175557993</v>
      </c>
      <c r="J401" s="26">
        <f ca="1">RANDBETWEEN(ranges!J$2*1000,ranges!J$3*1000)/1000</f>
        <v>0.63900000000000001</v>
      </c>
      <c r="K401" s="26">
        <f ca="1">RANDBETWEEN(ranges!K$2*1000,ranges!K$3*1000)/1000</f>
        <v>0.999</v>
      </c>
      <c r="L401">
        <f t="shared" ca="1" si="72"/>
        <v>86.68183217930131</v>
      </c>
      <c r="M401">
        <f t="shared" ca="1" si="73"/>
        <v>15.956131622069249</v>
      </c>
      <c r="N401" s="4">
        <f t="shared" ca="1" si="74"/>
        <v>6.5660584262807911</v>
      </c>
      <c r="O401" s="4"/>
      <c r="P401" s="1">
        <f ca="1">LOOKUP(B401,geomorph!$A:$A,geomorph!$G:$G)</f>
        <v>105.253381</v>
      </c>
      <c r="Q401" s="1">
        <f t="shared" ca="1" si="75"/>
        <v>121.20951262206925</v>
      </c>
    </row>
    <row r="402" spans="2:17" x14ac:dyDescent="0.3">
      <c r="B402" s="6">
        <f ca="1">RANDBETWEEN(ranges!B$2,ranges!B$3)</f>
        <v>12699</v>
      </c>
      <c r="C402" s="9">
        <f ca="1">LOOKUP(B402,geomorph!A:A,geomorph!B:B)</f>
        <v>1160.5999999999999</v>
      </c>
      <c r="D402">
        <f t="shared" si="68"/>
        <v>1.13E-4</v>
      </c>
      <c r="E402" s="9">
        <f ca="1">'[2]Q_GEV(random)'!$J402</f>
        <v>11093.134477373113</v>
      </c>
      <c r="F402" s="26">
        <f ca="1">RANDBETWEEN(ranges!F$2*1000,ranges!F$3*1000)/1000</f>
        <v>0.10100000000000001</v>
      </c>
      <c r="G402" s="3">
        <f t="shared" ca="1" si="69"/>
        <v>9.5581031168129531</v>
      </c>
      <c r="H402" s="4">
        <f t="shared" ca="1" si="70"/>
        <v>12.768211332250903</v>
      </c>
      <c r="I402" s="4">
        <f t="shared" ca="1" si="71"/>
        <v>331.85517289785327</v>
      </c>
      <c r="J402" s="26">
        <f ca="1">RANDBETWEEN(ranges!J$2*1000,ranges!J$3*1000)/1000</f>
        <v>0.77800000000000002</v>
      </c>
      <c r="K402" s="26">
        <f ca="1">RANDBETWEEN(ranges!K$2*1000,ranges!K$3*1000)/1000</f>
        <v>0.997</v>
      </c>
      <c r="L402">
        <f t="shared" ca="1" si="72"/>
        <v>132.59129628559134</v>
      </c>
      <c r="M402">
        <f t="shared" ca="1" si="73"/>
        <v>17.389056807003474</v>
      </c>
      <c r="N402" s="4">
        <f t="shared" ca="1" si="74"/>
        <v>5.0226581247310547</v>
      </c>
      <c r="O402" s="4"/>
      <c r="P402" s="1">
        <f ca="1">LOOKUP(B402,geomorph!$A:$A,geomorph!$G:$G)</f>
        <v>105.091791</v>
      </c>
      <c r="Q402" s="1">
        <f t="shared" ca="1" si="75"/>
        <v>122.48084780700347</v>
      </c>
    </row>
    <row r="403" spans="2:17" x14ac:dyDescent="0.3">
      <c r="B403" s="6">
        <f ca="1">RANDBETWEEN(ranges!B$2,ranges!B$3)</f>
        <v>10044</v>
      </c>
      <c r="C403" s="9">
        <f ca="1">LOOKUP(B403,geomorph!A:A,geomorph!B:B)</f>
        <v>1645.1</v>
      </c>
      <c r="D403">
        <f t="shared" si="68"/>
        <v>1.13E-4</v>
      </c>
      <c r="E403" s="9">
        <f ca="1">'[2]Q_GEV(random)'!$J403</f>
        <v>11092.100519101221</v>
      </c>
      <c r="F403" s="26">
        <f ca="1">RANDBETWEEN(ranges!F$2*1000,ranges!F$3*1000)/1000</f>
        <v>9.5000000000000001E-2</v>
      </c>
      <c r="G403" s="3">
        <f t="shared" ca="1" si="69"/>
        <v>6.7425083697654982</v>
      </c>
      <c r="H403" s="4">
        <f t="shared" ca="1" si="70"/>
        <v>9.9135833243151001</v>
      </c>
      <c r="I403" s="4">
        <f t="shared" ca="1" si="71"/>
        <v>185.52625470387179</v>
      </c>
      <c r="J403" s="26">
        <f ca="1">RANDBETWEEN(ranges!J$2*1000,ranges!J$3*1000)/1000</f>
        <v>0.67800000000000005</v>
      </c>
      <c r="K403" s="26">
        <f ca="1">RANDBETWEEN(ranges!K$2*1000,ranges!K$3*1000)/1000</f>
        <v>0.99</v>
      </c>
      <c r="L403">
        <f t="shared" ca="1" si="72"/>
        <v>84.648604615405247</v>
      </c>
      <c r="M403">
        <f t="shared" ca="1" si="73"/>
        <v>15.735862398166756</v>
      </c>
      <c r="N403" s="4">
        <f t="shared" ca="1" si="74"/>
        <v>6.3285642107083211</v>
      </c>
      <c r="O403" s="4"/>
      <c r="P403" s="1">
        <f ca="1">LOOKUP(B403,geomorph!$A:$A,geomorph!$G:$G)</f>
        <v>105.39124100000001</v>
      </c>
      <c r="Q403" s="1">
        <f t="shared" ca="1" si="75"/>
        <v>121.12710339816677</v>
      </c>
    </row>
    <row r="404" spans="2:17" x14ac:dyDescent="0.3">
      <c r="B404" s="6">
        <f ca="1">RANDBETWEEN(ranges!B$2,ranges!B$3)</f>
        <v>14304</v>
      </c>
      <c r="C404" s="9">
        <f ca="1">LOOKUP(B404,geomorph!A:A,geomorph!B:B)</f>
        <v>1346.2</v>
      </c>
      <c r="D404">
        <f t="shared" si="68"/>
        <v>1.13E-4</v>
      </c>
      <c r="E404" s="9">
        <f ca="1">'[2]Q_GEV(random)'!$J404</f>
        <v>11091.916770999242</v>
      </c>
      <c r="F404" s="26">
        <f ca="1">RANDBETWEEN(ranges!F$2*1000,ranges!F$3*1000)/1000</f>
        <v>9.6000000000000002E-2</v>
      </c>
      <c r="G404" s="3">
        <f t="shared" ca="1" si="69"/>
        <v>8.2394271066700639</v>
      </c>
      <c r="H404" s="4">
        <f t="shared" ca="1" si="70"/>
        <v>11.370953536329305</v>
      </c>
      <c r="I404" s="4">
        <f t="shared" ca="1" si="71"/>
        <v>259.14237895890318</v>
      </c>
      <c r="J404" s="26">
        <f ca="1">RANDBETWEEN(ranges!J$2*1000,ranges!J$3*1000)/1000</f>
        <v>0.63400000000000001</v>
      </c>
      <c r="K404" s="26">
        <f ca="1">RANDBETWEEN(ranges!K$2*1000,ranges!K$3*1000)/1000</f>
        <v>0.86</v>
      </c>
      <c r="L404">
        <f t="shared" ca="1" si="72"/>
        <v>109.66217161263114</v>
      </c>
      <c r="M404">
        <f t="shared" ca="1" si="73"/>
        <v>16.681875343016415</v>
      </c>
      <c r="N404" s="4">
        <f t="shared" ca="1" si="74"/>
        <v>5.7727410942251201</v>
      </c>
      <c r="O404" s="4"/>
      <c r="P404" s="1">
        <f ca="1">LOOKUP(B404,geomorph!$A:$A,geomorph!$G:$G)</f>
        <v>104.90986100000001</v>
      </c>
      <c r="Q404" s="1">
        <f t="shared" ca="1" si="75"/>
        <v>121.59173634301642</v>
      </c>
    </row>
    <row r="405" spans="2:17" x14ac:dyDescent="0.3">
      <c r="B405" s="6">
        <f ca="1">RANDBETWEEN(ranges!B$2,ranges!B$3)</f>
        <v>13283</v>
      </c>
      <c r="C405" s="9">
        <f ca="1">LOOKUP(B405,geomorph!A:A,geomorph!B:B)</f>
        <v>1172</v>
      </c>
      <c r="D405">
        <f t="shared" si="68"/>
        <v>1.13E-4</v>
      </c>
      <c r="E405" s="9">
        <f ca="1">'[2]Q_GEV(random)'!$J405</f>
        <v>11090.450318334257</v>
      </c>
      <c r="F405" s="26">
        <f ca="1">RANDBETWEEN(ranges!F$2*1000,ranges!F$3*1000)/1000</f>
        <v>0.11</v>
      </c>
      <c r="G405" s="3">
        <f t="shared" ca="1" si="69"/>
        <v>9.4628415685445884</v>
      </c>
      <c r="H405" s="4">
        <f t="shared" ca="1" si="70"/>
        <v>13.049295656543819</v>
      </c>
      <c r="I405" s="4">
        <f t="shared" ca="1" si="71"/>
        <v>326.44006167016749</v>
      </c>
      <c r="J405" s="26">
        <f ca="1">RANDBETWEEN(ranges!J$2*1000,ranges!J$3*1000)/1000</f>
        <v>0.71499999999999997</v>
      </c>
      <c r="K405" s="26">
        <f ca="1">RANDBETWEEN(ranges!K$2*1000,ranges!K$3*1000)/1000</f>
        <v>0.95</v>
      </c>
      <c r="L405">
        <f t="shared" ca="1" si="72"/>
        <v>135.22508171796818</v>
      </c>
      <c r="M405">
        <f t="shared" ca="1" si="73"/>
        <v>17.908668922400832</v>
      </c>
      <c r="N405" s="4">
        <f t="shared" ca="1" si="74"/>
        <v>5.2819274628880573</v>
      </c>
      <c r="O405" s="4"/>
      <c r="P405" s="1">
        <f ca="1">LOOKUP(B405,geomorph!$A:$A,geomorph!$G:$G)</f>
        <v>105.025121</v>
      </c>
      <c r="Q405" s="1">
        <f t="shared" ca="1" si="75"/>
        <v>122.93378992240083</v>
      </c>
    </row>
    <row r="406" spans="2:17" x14ac:dyDescent="0.3">
      <c r="B406" s="6">
        <f ca="1">RANDBETWEEN(ranges!B$2,ranges!B$3)</f>
        <v>10599</v>
      </c>
      <c r="C406" s="9">
        <f ca="1">LOOKUP(B406,geomorph!A:A,geomorph!B:B)</f>
        <v>1743.3</v>
      </c>
      <c r="D406">
        <f t="shared" si="68"/>
        <v>1.13E-4</v>
      </c>
      <c r="E406" s="9">
        <f ca="1">'[2]Q_GEV(random)'!$J406</f>
        <v>11090.208829370591</v>
      </c>
      <c r="F406" s="26">
        <f ca="1">RANDBETWEEN(ranges!F$2*1000,ranges!F$3*1000)/1000</f>
        <v>9.8000000000000004E-2</v>
      </c>
      <c r="G406" s="3">
        <f t="shared" ca="1" si="69"/>
        <v>6.3616180974993357</v>
      </c>
      <c r="H406" s="4">
        <f t="shared" ca="1" si="70"/>
        <v>9.6359724822912813</v>
      </c>
      <c r="I406" s="4">
        <f t="shared" ca="1" si="71"/>
        <v>168.4184305699757</v>
      </c>
      <c r="J406" s="26">
        <f ca="1">RANDBETWEEN(ranges!J$2*1000,ranges!J$3*1000)/1000</f>
        <v>0.60199999999999998</v>
      </c>
      <c r="K406" s="26">
        <f ca="1">RANDBETWEEN(ranges!K$2*1000,ranges!K$3*1000)/1000</f>
        <v>0.89100000000000001</v>
      </c>
      <c r="L406">
        <f t="shared" ca="1" si="72"/>
        <v>81.035289980740515</v>
      </c>
      <c r="M406">
        <f t="shared" ca="1" si="73"/>
        <v>15.963376775647017</v>
      </c>
      <c r="N406" s="4">
        <f t="shared" ca="1" si="74"/>
        <v>6.8776133623431903</v>
      </c>
      <c r="O406" s="4"/>
      <c r="P406" s="1">
        <f ca="1">LOOKUP(B406,geomorph!$A:$A,geomorph!$G:$G)</f>
        <v>105.32909100000001</v>
      </c>
      <c r="Q406" s="1">
        <f t="shared" ca="1" si="75"/>
        <v>121.29246777564703</v>
      </c>
    </row>
    <row r="407" spans="2:17" x14ac:dyDescent="0.3">
      <c r="B407" s="6">
        <f ca="1">RANDBETWEEN(ranges!B$2,ranges!B$3)</f>
        <v>10398</v>
      </c>
      <c r="C407" s="9">
        <f ca="1">LOOKUP(B407,geomorph!A:A,geomorph!B:B)</f>
        <v>1726.3</v>
      </c>
      <c r="D407">
        <f t="shared" si="68"/>
        <v>1.13E-4</v>
      </c>
      <c r="E407" s="9">
        <f ca="1">'[2]Q_GEV(random)'!$J407</f>
        <v>11083.036713957805</v>
      </c>
      <c r="F407" s="26">
        <f ca="1">RANDBETWEEN(ranges!F$2*1000,ranges!F$3*1000)/1000</f>
        <v>0.106</v>
      </c>
      <c r="G407" s="3">
        <f t="shared" ca="1" si="69"/>
        <v>6.4201104755591754</v>
      </c>
      <c r="H407" s="4">
        <f t="shared" ca="1" si="70"/>
        <v>9.9518866142954057</v>
      </c>
      <c r="I407" s="4">
        <f t="shared" ca="1" si="71"/>
        <v>171.11788901836417</v>
      </c>
      <c r="J407" s="26">
        <f ca="1">RANDBETWEEN(ranges!J$2*1000,ranges!J$3*1000)/1000</f>
        <v>0.66900000000000004</v>
      </c>
      <c r="K407" s="26">
        <f ca="1">RANDBETWEEN(ranges!K$2*1000,ranges!K$3*1000)/1000</f>
        <v>0.97499999999999998</v>
      </c>
      <c r="L407">
        <f t="shared" ca="1" si="72"/>
        <v>82.044881145213949</v>
      </c>
      <c r="M407">
        <f t="shared" ca="1" si="73"/>
        <v>16.004650850271059</v>
      </c>
      <c r="N407" s="4">
        <f t="shared" ca="1" si="74"/>
        <v>6.5790915608431009</v>
      </c>
      <c r="O407" s="4"/>
      <c r="P407" s="1">
        <f ca="1">LOOKUP(B407,geomorph!$A:$A,geomorph!$G:$G)</f>
        <v>105.351691</v>
      </c>
      <c r="Q407" s="1">
        <f t="shared" ca="1" si="75"/>
        <v>121.35634185027106</v>
      </c>
    </row>
    <row r="408" spans="2:17" x14ac:dyDescent="0.3">
      <c r="B408" s="6">
        <f ca="1">RANDBETWEEN(ranges!B$2,ranges!B$3)</f>
        <v>11834</v>
      </c>
      <c r="C408" s="9">
        <f ca="1">LOOKUP(B408,geomorph!A:A,geomorph!B:B)</f>
        <v>1402.1</v>
      </c>
      <c r="D408">
        <f t="shared" si="68"/>
        <v>1.13E-4</v>
      </c>
      <c r="E408" s="9">
        <f ca="1">'[2]Q_GEV(random)'!$J408</f>
        <v>11073.368878681973</v>
      </c>
      <c r="F408" s="26">
        <f ca="1">RANDBETWEEN(ranges!F$2*1000,ranges!F$3*1000)/1000</f>
        <v>9.6000000000000002E-2</v>
      </c>
      <c r="G408" s="3">
        <f t="shared" ca="1" si="69"/>
        <v>7.8977026450909165</v>
      </c>
      <c r="H408" s="4">
        <f t="shared" ca="1" si="70"/>
        <v>11.054337666164349</v>
      </c>
      <c r="I408" s="4">
        <f t="shared" ca="1" si="71"/>
        <v>241.88274009068351</v>
      </c>
      <c r="J408" s="26">
        <f ca="1">RANDBETWEEN(ranges!J$2*1000,ranges!J$3*1000)/1000</f>
        <v>0.78900000000000003</v>
      </c>
      <c r="K408" s="26">
        <f ca="1">RANDBETWEEN(ranges!K$2*1000,ranges!K$3*1000)/1000</f>
        <v>0.94</v>
      </c>
      <c r="L408">
        <f t="shared" ca="1" si="72"/>
        <v>100.14992821686802</v>
      </c>
      <c r="M408">
        <f t="shared" ca="1" si="73"/>
        <v>15.867484221874383</v>
      </c>
      <c r="N408" s="4">
        <f t="shared" ca="1" si="74"/>
        <v>5.2316810388152541</v>
      </c>
      <c r="O408" s="4"/>
      <c r="P408" s="1">
        <f ca="1">LOOKUP(B408,geomorph!$A:$A,geomorph!$G:$G)</f>
        <v>105.18897100000001</v>
      </c>
      <c r="Q408" s="1">
        <f t="shared" ca="1" si="75"/>
        <v>121.05645522187439</v>
      </c>
    </row>
    <row r="409" spans="2:17" x14ac:dyDescent="0.3">
      <c r="B409" s="6">
        <f ca="1">RANDBETWEEN(ranges!B$2,ranges!B$3)</f>
        <v>13240</v>
      </c>
      <c r="C409" s="9">
        <f ca="1">LOOKUP(B409,geomorph!A:A,geomorph!B:B)</f>
        <v>1167.5999999999999</v>
      </c>
      <c r="D409">
        <f t="shared" si="68"/>
        <v>1.13E-4</v>
      </c>
      <c r="E409" s="9">
        <f ca="1">'[2]Q_GEV(random)'!$J409</f>
        <v>11066.959407120572</v>
      </c>
      <c r="F409" s="26">
        <f ca="1">RANDBETWEEN(ranges!F$2*1000,ranges!F$3*1000)/1000</f>
        <v>0.10199999999999999</v>
      </c>
      <c r="G409" s="3">
        <f t="shared" ca="1" si="69"/>
        <v>9.4783825001032653</v>
      </c>
      <c r="H409" s="4">
        <f t="shared" ca="1" si="70"/>
        <v>12.73888276927897</v>
      </c>
      <c r="I409" s="4">
        <f t="shared" ca="1" si="71"/>
        <v>328.02888246093676</v>
      </c>
      <c r="J409" s="26">
        <f ca="1">RANDBETWEEN(ranges!J$2*1000,ranges!J$3*1000)/1000</f>
        <v>0.78800000000000003</v>
      </c>
      <c r="K409" s="26">
        <f ca="1">RANDBETWEEN(ranges!K$2*1000,ranges!K$3*1000)/1000</f>
        <v>0.879</v>
      </c>
      <c r="L409">
        <f t="shared" ca="1" si="72"/>
        <v>129.83570392136832</v>
      </c>
      <c r="M409">
        <f t="shared" ca="1" si="73"/>
        <v>17.130366972540628</v>
      </c>
      <c r="N409" s="4">
        <f t="shared" ca="1" si="74"/>
        <v>4.7733523948496286</v>
      </c>
      <c r="O409" s="4"/>
      <c r="P409" s="1">
        <f ca="1">LOOKUP(B409,geomorph!$A:$A,geomorph!$G:$G)</f>
        <v>105.029641</v>
      </c>
      <c r="Q409" s="1">
        <f t="shared" ca="1" si="75"/>
        <v>122.16000797254063</v>
      </c>
    </row>
    <row r="410" spans="2:17" x14ac:dyDescent="0.3">
      <c r="B410" s="6">
        <f ca="1">RANDBETWEEN(ranges!B$2,ranges!B$3)</f>
        <v>11650</v>
      </c>
      <c r="C410" s="9">
        <f ca="1">LOOKUP(B410,geomorph!A:A,geomorph!B:B)</f>
        <v>1452.5</v>
      </c>
      <c r="D410">
        <f t="shared" si="68"/>
        <v>1.13E-4</v>
      </c>
      <c r="E410" s="9">
        <f ca="1">'[2]Q_GEV(random)'!$J410</f>
        <v>11049.706929465472</v>
      </c>
      <c r="F410" s="26">
        <f ca="1">RANDBETWEEN(ranges!F$2*1000,ranges!F$3*1000)/1000</f>
        <v>9.5000000000000001E-2</v>
      </c>
      <c r="G410" s="3">
        <f t="shared" ca="1" si="69"/>
        <v>7.6073713800106519</v>
      </c>
      <c r="H410" s="4">
        <f t="shared" ca="1" si="70"/>
        <v>10.744166848356297</v>
      </c>
      <c r="I410" s="4">
        <f t="shared" ca="1" si="71"/>
        <v>227.73176989593938</v>
      </c>
      <c r="J410" s="26">
        <f ca="1">RANDBETWEEN(ranges!J$2*1000,ranges!J$3*1000)/1000</f>
        <v>0.71699999999999997</v>
      </c>
      <c r="K410" s="26">
        <f ca="1">RANDBETWEEN(ranges!K$2*1000,ranges!K$3*1000)/1000</f>
        <v>0.98699999999999999</v>
      </c>
      <c r="L410">
        <f t="shared" ca="1" si="72"/>
        <v>97.661168889650412</v>
      </c>
      <c r="M410">
        <f t="shared" ca="1" si="73"/>
        <v>16.029371802780545</v>
      </c>
      <c r="N410" s="4">
        <f t="shared" ca="1" si="74"/>
        <v>5.7447879939393998</v>
      </c>
      <c r="O410" s="4"/>
      <c r="P410" s="1">
        <f ca="1">LOOKUP(B410,geomorph!$A:$A,geomorph!$G:$G)</f>
        <v>105.209311</v>
      </c>
      <c r="Q410" s="1">
        <f t="shared" ca="1" si="75"/>
        <v>121.23868280278054</v>
      </c>
    </row>
    <row r="411" spans="2:17" x14ac:dyDescent="0.3">
      <c r="B411" s="6">
        <f ca="1">RANDBETWEEN(ranges!B$2,ranges!B$3)</f>
        <v>11120</v>
      </c>
      <c r="C411" s="9">
        <f ca="1">LOOKUP(B411,geomorph!A:A,geomorph!B:B)</f>
        <v>1681.9</v>
      </c>
      <c r="D411">
        <f t="shared" si="68"/>
        <v>1.13E-4</v>
      </c>
      <c r="E411" s="9">
        <f ca="1">'[2]Q_GEV(random)'!$J411</f>
        <v>11046.605485434016</v>
      </c>
      <c r="F411" s="26">
        <f ca="1">RANDBETWEEN(ranges!F$2*1000,ranges!F$3*1000)/1000</f>
        <v>0.108</v>
      </c>
      <c r="G411" s="3">
        <f t="shared" ca="1" si="69"/>
        <v>6.5679323892229124</v>
      </c>
      <c r="H411" s="4">
        <f t="shared" ca="1" si="70"/>
        <v>10.167218668238435</v>
      </c>
      <c r="I411" s="4">
        <f t="shared" ca="1" si="71"/>
        <v>178.32091968327074</v>
      </c>
      <c r="J411" s="26">
        <f ca="1">RANDBETWEEN(ranges!J$2*1000,ranges!J$3*1000)/1000</f>
        <v>0.73899999999999999</v>
      </c>
      <c r="K411" s="26">
        <f ca="1">RANDBETWEEN(ranges!K$2*1000,ranges!K$3*1000)/1000</f>
        <v>0.82699999999999996</v>
      </c>
      <c r="L411">
        <f t="shared" ca="1" si="72"/>
        <v>81.433855467812805</v>
      </c>
      <c r="M411">
        <f t="shared" ca="1" si="73"/>
        <v>15.476886970778523</v>
      </c>
      <c r="N411" s="4">
        <f t="shared" ca="1" si="74"/>
        <v>5.7713785897174859</v>
      </c>
      <c r="O411" s="4"/>
      <c r="P411" s="1">
        <f ca="1">LOOKUP(B411,geomorph!$A:$A,geomorph!$G:$G)</f>
        <v>105.26920100000001</v>
      </c>
      <c r="Q411" s="1">
        <f t="shared" ca="1" si="75"/>
        <v>120.74608797077853</v>
      </c>
    </row>
    <row r="412" spans="2:17" x14ac:dyDescent="0.3">
      <c r="B412" s="6">
        <f ca="1">RANDBETWEEN(ranges!B$2,ranges!B$3)</f>
        <v>14791</v>
      </c>
      <c r="C412" s="9">
        <f ca="1">LOOKUP(B412,geomorph!A:A,geomorph!B:B)</f>
        <v>1490.3</v>
      </c>
      <c r="D412">
        <f t="shared" si="68"/>
        <v>1.13E-4</v>
      </c>
      <c r="E412" s="9">
        <f ca="1">'[2]Q_GEV(random)'!$J412</f>
        <v>11041.805476179657</v>
      </c>
      <c r="F412" s="26">
        <f ca="1">RANDBETWEEN(ranges!F$2*1000,ranges!F$3*1000)/1000</f>
        <v>0.11</v>
      </c>
      <c r="G412" s="3">
        <f t="shared" ca="1" si="69"/>
        <v>7.4091159338251744</v>
      </c>
      <c r="H412" s="4">
        <f t="shared" ca="1" si="70"/>
        <v>11.085372349023176</v>
      </c>
      <c r="I412" s="4">
        <f t="shared" ca="1" si="71"/>
        <v>218.0823788235891</v>
      </c>
      <c r="J412" s="26">
        <f ca="1">RANDBETWEEN(ranges!J$2*1000,ranges!J$3*1000)/1000</f>
        <v>0.61299999999999999</v>
      </c>
      <c r="K412" s="26">
        <f ca="1">RANDBETWEEN(ranges!K$2*1000,ranges!K$3*1000)/1000</f>
        <v>0.81399999999999995</v>
      </c>
      <c r="L412">
        <f t="shared" ca="1" si="72"/>
        <v>99.554131927652293</v>
      </c>
      <c r="M412">
        <f t="shared" ca="1" si="73"/>
        <v>16.765304077731162</v>
      </c>
      <c r="N412" s="4">
        <f t="shared" ca="1" si="74"/>
        <v>6.173838835552159</v>
      </c>
      <c r="O412" s="4"/>
      <c r="P412" s="1">
        <f ca="1">LOOKUP(B412,geomorph!$A:$A,geomorph!$G:$G)</f>
        <v>104.854491</v>
      </c>
      <c r="Q412" s="1">
        <f t="shared" ca="1" si="75"/>
        <v>121.61979507773115</v>
      </c>
    </row>
    <row r="413" spans="2:17" x14ac:dyDescent="0.3">
      <c r="B413" s="6">
        <f ca="1">RANDBETWEEN(ranges!B$2,ranges!B$3)</f>
        <v>11658</v>
      </c>
      <c r="C413" s="9">
        <f ca="1">LOOKUP(B413,geomorph!A:A,geomorph!B:B)</f>
        <v>1452.5</v>
      </c>
      <c r="D413">
        <f t="shared" si="68"/>
        <v>1.13E-4</v>
      </c>
      <c r="E413" s="9">
        <f ca="1">'[2]Q_GEV(random)'!$J413</f>
        <v>11041.52212368706</v>
      </c>
      <c r="F413" s="26">
        <f ca="1">RANDBETWEEN(ranges!F$2*1000,ranges!F$3*1000)/1000</f>
        <v>0.108</v>
      </c>
      <c r="G413" s="3">
        <f t="shared" ca="1" si="69"/>
        <v>7.6017364018499558</v>
      </c>
      <c r="H413" s="4">
        <f t="shared" ca="1" si="70"/>
        <v>11.207917333859985</v>
      </c>
      <c r="I413" s="4">
        <f t="shared" ca="1" si="71"/>
        <v>227.61929810488445</v>
      </c>
      <c r="J413" s="26">
        <f ca="1">RANDBETWEEN(ranges!J$2*1000,ranges!J$3*1000)/1000</f>
        <v>0.71399999999999997</v>
      </c>
      <c r="K413" s="26">
        <f ca="1">RANDBETWEEN(ranges!K$2*1000,ranges!K$3*1000)/1000</f>
        <v>0.82399999999999995</v>
      </c>
      <c r="L413">
        <f t="shared" ca="1" si="72"/>
        <v>99.142754287364014</v>
      </c>
      <c r="M413">
        <f t="shared" ca="1" si="73"/>
        <v>16.272548118070773</v>
      </c>
      <c r="N413" s="4">
        <f t="shared" ca="1" si="74"/>
        <v>5.5050334610986829</v>
      </c>
      <c r="O413" s="4"/>
      <c r="P413" s="1">
        <f ca="1">LOOKUP(B413,geomorph!$A:$A,geomorph!$G:$G)</f>
        <v>105.209311</v>
      </c>
      <c r="Q413" s="1">
        <f t="shared" ca="1" si="75"/>
        <v>121.48185911807077</v>
      </c>
    </row>
    <row r="414" spans="2:17" x14ac:dyDescent="0.3">
      <c r="B414" s="6">
        <f ca="1">RANDBETWEEN(ranges!B$2,ranges!B$3)</f>
        <v>13242</v>
      </c>
      <c r="C414" s="9">
        <f ca="1">LOOKUP(B414,geomorph!A:A,geomorph!B:B)</f>
        <v>1167.5999999999999</v>
      </c>
      <c r="D414">
        <f t="shared" si="68"/>
        <v>1.13E-4</v>
      </c>
      <c r="E414" s="9">
        <f ca="1">'[2]Q_GEV(random)'!$J414</f>
        <v>11038.058807892119</v>
      </c>
      <c r="F414" s="26">
        <f ca="1">RANDBETWEEN(ranges!F$2*1000,ranges!F$3*1000)/1000</f>
        <v>9.7000000000000003E-2</v>
      </c>
      <c r="G414" s="3">
        <f t="shared" ca="1" si="69"/>
        <v>9.4536303596198348</v>
      </c>
      <c r="H414" s="4">
        <f t="shared" ca="1" si="70"/>
        <v>12.505415313781763</v>
      </c>
      <c r="I414" s="4">
        <f t="shared" ca="1" si="71"/>
        <v>327.45755045207795</v>
      </c>
      <c r="J414" s="26">
        <f ca="1">RANDBETWEEN(ranges!J$2*1000,ranges!J$3*1000)/1000</f>
        <v>0.78</v>
      </c>
      <c r="K414" s="26">
        <f ca="1">RANDBETWEEN(ranges!K$2*1000,ranges!K$3*1000)/1000</f>
        <v>0.93100000000000005</v>
      </c>
      <c r="L414">
        <f t="shared" ca="1" si="72"/>
        <v>128.75793370060683</v>
      </c>
      <c r="M414">
        <f t="shared" ca="1" si="73"/>
        <v>16.988167262937623</v>
      </c>
      <c r="N414" s="4">
        <f t="shared" ca="1" si="74"/>
        <v>4.8725564664737604</v>
      </c>
      <c r="O414" s="4"/>
      <c r="P414" s="1">
        <f ca="1">LOOKUP(B414,geomorph!$A:$A,geomorph!$G:$G)</f>
        <v>105.029641</v>
      </c>
      <c r="Q414" s="1">
        <f t="shared" ca="1" si="75"/>
        <v>122.01780826293762</v>
      </c>
    </row>
    <row r="415" spans="2:17" x14ac:dyDescent="0.3">
      <c r="B415" s="6">
        <f ca="1">RANDBETWEEN(ranges!B$2,ranges!B$3)</f>
        <v>14229</v>
      </c>
      <c r="C415" s="9">
        <f ca="1">LOOKUP(B415,geomorph!A:A,geomorph!B:B)</f>
        <v>1319.5</v>
      </c>
      <c r="D415">
        <f t="shared" si="68"/>
        <v>1.13E-4</v>
      </c>
      <c r="E415" s="9">
        <f ca="1">'[2]Q_GEV(random)'!$J415</f>
        <v>11032.257890454093</v>
      </c>
      <c r="F415" s="26">
        <f ca="1">RANDBETWEEN(ranges!F$2*1000,ranges!F$3*1000)/1000</f>
        <v>9.7000000000000003E-2</v>
      </c>
      <c r="G415" s="3">
        <f t="shared" ca="1" si="69"/>
        <v>8.3609381511588428</v>
      </c>
      <c r="H415" s="4">
        <f t="shared" ca="1" si="70"/>
        <v>11.522208116045244</v>
      </c>
      <c r="I415" s="4">
        <f t="shared" ca="1" si="71"/>
        <v>266.97911939123708</v>
      </c>
      <c r="J415" s="26">
        <f ca="1">RANDBETWEEN(ranges!J$2*1000,ranges!J$3*1000)/1000</f>
        <v>0.76800000000000002</v>
      </c>
      <c r="K415" s="26">
        <f ca="1">RANDBETWEEN(ranges!K$2*1000,ranges!K$3*1000)/1000</f>
        <v>0.93600000000000005</v>
      </c>
      <c r="L415">
        <f t="shared" ca="1" si="72"/>
        <v>109.25875708357286</v>
      </c>
      <c r="M415">
        <f t="shared" ca="1" si="73"/>
        <v>16.290863086810507</v>
      </c>
      <c r="N415" s="4">
        <f t="shared" ca="1" si="74"/>
        <v>5.1833206203970255</v>
      </c>
      <c r="O415" s="4"/>
      <c r="P415" s="1">
        <f ca="1">LOOKUP(B415,geomorph!$A:$A,geomorph!$G:$G)</f>
        <v>104.91890100000001</v>
      </c>
      <c r="Q415" s="1">
        <f t="shared" ca="1" si="75"/>
        <v>121.20976408681051</v>
      </c>
    </row>
    <row r="416" spans="2:17" x14ac:dyDescent="0.3">
      <c r="B416" s="6">
        <f ca="1">RANDBETWEEN(ranges!B$2,ranges!B$3)</f>
        <v>12071</v>
      </c>
      <c r="C416" s="9">
        <f ca="1">LOOKUP(B416,geomorph!A:A,geomorph!B:B)</f>
        <v>1328.5</v>
      </c>
      <c r="D416">
        <f t="shared" si="68"/>
        <v>1.13E-4</v>
      </c>
      <c r="E416" s="9">
        <f ca="1">'[2]Q_GEV(random)'!$J416</f>
        <v>11025.771702147507</v>
      </c>
      <c r="F416" s="26">
        <f ca="1">RANDBETWEEN(ranges!F$2*1000,ranges!F$3*1000)/1000</f>
        <v>9.0999999999999998E-2</v>
      </c>
      <c r="G416" s="3">
        <f t="shared" ca="1" si="69"/>
        <v>8.299414152914947</v>
      </c>
      <c r="H416" s="4">
        <f t="shared" ca="1" si="70"/>
        <v>11.224160943985114</v>
      </c>
      <c r="I416" s="4">
        <f t="shared" ca="1" si="71"/>
        <v>263.86801471807485</v>
      </c>
      <c r="J416" s="26">
        <f ca="1">RANDBETWEEN(ranges!J$2*1000,ranges!J$3*1000)/1000</f>
        <v>0.76400000000000001</v>
      </c>
      <c r="K416" s="26">
        <f ca="1">RANDBETWEEN(ranges!K$2*1000,ranges!K$3*1000)/1000</f>
        <v>0.92100000000000004</v>
      </c>
      <c r="L416">
        <f t="shared" ca="1" si="72"/>
        <v>106.31921628640762</v>
      </c>
      <c r="M416">
        <f t="shared" ca="1" si="73"/>
        <v>15.960693908523655</v>
      </c>
      <c r="N416" s="4">
        <f t="shared" ca="1" si="74"/>
        <v>5.1484053962375453</v>
      </c>
      <c r="O416" s="4"/>
      <c r="P416" s="1">
        <f ca="1">LOOKUP(B416,geomorph!$A:$A,geomorph!$G:$G)</f>
        <v>105.161851</v>
      </c>
      <c r="Q416" s="1">
        <f t="shared" ca="1" si="75"/>
        <v>121.12254490852365</v>
      </c>
    </row>
    <row r="417" spans="2:17" x14ac:dyDescent="0.3">
      <c r="B417" s="6">
        <f ca="1">RANDBETWEEN(ranges!B$2,ranges!B$3)</f>
        <v>14552</v>
      </c>
      <c r="C417" s="9">
        <f ca="1">LOOKUP(B417,geomorph!A:A,geomorph!B:B)</f>
        <v>1413.3</v>
      </c>
      <c r="D417">
        <f t="shared" si="68"/>
        <v>1.13E-4</v>
      </c>
      <c r="E417" s="9">
        <f ca="1">'[2]Q_GEV(random)'!$J417</f>
        <v>11015.221994825723</v>
      </c>
      <c r="F417" s="26">
        <f ca="1">RANDBETWEEN(ranges!F$2*1000,ranges!F$3*1000)/1000</f>
        <v>0.107</v>
      </c>
      <c r="G417" s="3">
        <f t="shared" ca="1" si="69"/>
        <v>7.7939729673995064</v>
      </c>
      <c r="H417" s="4">
        <f t="shared" ca="1" si="70"/>
        <v>11.360801871520152</v>
      </c>
      <c r="I417" s="4">
        <f t="shared" ca="1" si="71"/>
        <v>237.86009503515368</v>
      </c>
      <c r="J417" s="26">
        <f ca="1">RANDBETWEEN(ranges!J$2*1000,ranges!J$3*1000)/1000</f>
        <v>0.74199999999999999</v>
      </c>
      <c r="K417" s="26">
        <f ca="1">RANDBETWEEN(ranges!K$2*1000,ranges!K$3*1000)/1000</f>
        <v>0.90900000000000003</v>
      </c>
      <c r="L417">
        <f t="shared" ca="1" si="72"/>
        <v>102.62212527682495</v>
      </c>
      <c r="M417">
        <f t="shared" ca="1" si="73"/>
        <v>16.389051010872244</v>
      </c>
      <c r="N417" s="4">
        <f t="shared" ca="1" si="74"/>
        <v>5.465488194947925</v>
      </c>
      <c r="O417" s="4"/>
      <c r="P417" s="1">
        <f ca="1">LOOKUP(B417,geomorph!$A:$A,geomorph!$G:$G)</f>
        <v>104.88161100000001</v>
      </c>
      <c r="Q417" s="1">
        <f t="shared" ca="1" si="75"/>
        <v>121.27066201087226</v>
      </c>
    </row>
    <row r="418" spans="2:17" x14ac:dyDescent="0.3">
      <c r="B418" s="6">
        <f ca="1">RANDBETWEEN(ranges!B$2,ranges!B$3)</f>
        <v>11099</v>
      </c>
      <c r="C418" s="9">
        <f ca="1">LOOKUP(B418,geomorph!A:A,geomorph!B:B)</f>
        <v>1684.9</v>
      </c>
      <c r="D418">
        <f t="shared" si="68"/>
        <v>1.13E-4</v>
      </c>
      <c r="E418" s="9">
        <f ca="1">'[2]Q_GEV(random)'!$J418</f>
        <v>11011.652518850209</v>
      </c>
      <c r="F418" s="26">
        <f ca="1">RANDBETWEEN(ranges!F$2*1000,ranges!F$3*1000)/1000</f>
        <v>0.1</v>
      </c>
      <c r="G418" s="3">
        <f t="shared" ca="1" si="69"/>
        <v>6.5354932155322025</v>
      </c>
      <c r="H418" s="4">
        <f t="shared" ca="1" si="70"/>
        <v>9.8770528001018238</v>
      </c>
      <c r="I418" s="4">
        <f t="shared" ca="1" si="71"/>
        <v>177.41682326915057</v>
      </c>
      <c r="J418" s="26">
        <f ca="1">RANDBETWEEN(ranges!J$2*1000,ranges!J$3*1000)/1000</f>
        <v>0.66300000000000003</v>
      </c>
      <c r="K418" s="26">
        <f ca="1">RANDBETWEEN(ranges!K$2*1000,ranges!K$3*1000)/1000</f>
        <v>0.95399999999999996</v>
      </c>
      <c r="L418">
        <f t="shared" ca="1" si="72"/>
        <v>83.051023035843457</v>
      </c>
      <c r="M418">
        <f t="shared" ca="1" si="73"/>
        <v>15.812391564579469</v>
      </c>
      <c r="N418" s="4">
        <f t="shared" ca="1" si="74"/>
        <v>6.4514551787800487</v>
      </c>
      <c r="O418" s="4"/>
      <c r="P418" s="1">
        <f ca="1">LOOKUP(B418,geomorph!$A:$A,geomorph!$G:$G)</f>
        <v>105.27259100000001</v>
      </c>
      <c r="Q418" s="1">
        <f t="shared" ca="1" si="75"/>
        <v>121.08498256457948</v>
      </c>
    </row>
    <row r="419" spans="2:17" x14ac:dyDescent="0.3">
      <c r="B419" s="6">
        <f ca="1">RANDBETWEEN(ranges!B$2,ranges!B$3)</f>
        <v>13453</v>
      </c>
      <c r="C419" s="9">
        <f ca="1">LOOKUP(B419,geomorph!A:A,geomorph!B:B)</f>
        <v>1191.5999999999999</v>
      </c>
      <c r="D419">
        <f t="shared" si="68"/>
        <v>1.13E-4</v>
      </c>
      <c r="E419" s="9">
        <f ca="1">'[2]Q_GEV(random)'!$J419</f>
        <v>11009.133904816672</v>
      </c>
      <c r="F419" s="26">
        <f ca="1">RANDBETWEEN(ranges!F$2*1000,ranges!F$3*1000)/1000</f>
        <v>0.10100000000000001</v>
      </c>
      <c r="G419" s="3">
        <f t="shared" ca="1" si="69"/>
        <v>9.2389509103866008</v>
      </c>
      <c r="H419" s="4">
        <f t="shared" ca="1" si="70"/>
        <v>12.482378887652432</v>
      </c>
      <c r="I419" s="4">
        <f t="shared" ca="1" si="71"/>
        <v>315.98608788600296</v>
      </c>
      <c r="J419" s="26">
        <f ca="1">RANDBETWEEN(ranges!J$2*1000,ranges!J$3*1000)/1000</f>
        <v>0.77200000000000002</v>
      </c>
      <c r="K419" s="26">
        <f ca="1">RANDBETWEEN(ranges!K$2*1000,ranges!K$3*1000)/1000</f>
        <v>0.91800000000000004</v>
      </c>
      <c r="L419">
        <f t="shared" ca="1" si="72"/>
        <v>126.45933914453876</v>
      </c>
      <c r="M419">
        <f t="shared" ca="1" si="73"/>
        <v>17.027851183283456</v>
      </c>
      <c r="N419" s="4">
        <f t="shared" ca="1" si="74"/>
        <v>4.9407307561206775</v>
      </c>
      <c r="O419" s="4"/>
      <c r="P419" s="1">
        <f ca="1">LOOKUP(B419,geomorph!$A:$A,geomorph!$G:$G)</f>
        <v>105.005911</v>
      </c>
      <c r="Q419" s="1">
        <f t="shared" ca="1" si="75"/>
        <v>122.03376218328346</v>
      </c>
    </row>
    <row r="420" spans="2:17" x14ac:dyDescent="0.3">
      <c r="B420" s="6">
        <f ca="1">RANDBETWEEN(ranges!B$2,ranges!B$3)</f>
        <v>11294</v>
      </c>
      <c r="C420" s="9">
        <f ca="1">LOOKUP(B420,geomorph!A:A,geomorph!B:B)</f>
        <v>1611.1</v>
      </c>
      <c r="D420">
        <f t="shared" si="68"/>
        <v>1.13E-4</v>
      </c>
      <c r="E420" s="9">
        <f ca="1">'[2]Q_GEV(random)'!$J420</f>
        <v>11009.040369648139</v>
      </c>
      <c r="F420" s="26">
        <f ca="1">RANDBETWEEN(ranges!F$2*1000,ranges!F$3*1000)/1000</f>
        <v>0.10299999999999999</v>
      </c>
      <c r="G420" s="3">
        <f t="shared" ca="1" si="69"/>
        <v>6.833244596640891</v>
      </c>
      <c r="H420" s="4">
        <f t="shared" ca="1" si="70"/>
        <v>10.275560389434311</v>
      </c>
      <c r="I420" s="4">
        <f t="shared" ca="1" si="71"/>
        <v>191.13732206208812</v>
      </c>
      <c r="J420" s="26">
        <f ca="1">RANDBETWEEN(ranges!J$2*1000,ranges!J$3*1000)/1000</f>
        <v>0.754</v>
      </c>
      <c r="K420" s="26">
        <f ca="1">RANDBETWEEN(ranges!K$2*1000,ranges!K$3*1000)/1000</f>
        <v>0.95599999999999996</v>
      </c>
      <c r="L420">
        <f t="shared" ca="1" si="72"/>
        <v>85.781358309051484</v>
      </c>
      <c r="M420">
        <f t="shared" ca="1" si="73"/>
        <v>15.616865140003549</v>
      </c>
      <c r="N420" s="4">
        <f t="shared" ca="1" si="74"/>
        <v>5.8057660332274326</v>
      </c>
      <c r="O420" s="4"/>
      <c r="P420" s="1">
        <f ca="1">LOOKUP(B420,geomorph!$A:$A,geomorph!$G:$G)</f>
        <v>105.24999100000001</v>
      </c>
      <c r="Q420" s="1">
        <f t="shared" ca="1" si="75"/>
        <v>120.86685614000356</v>
      </c>
    </row>
    <row r="421" spans="2:17" x14ac:dyDescent="0.3">
      <c r="B421" s="6">
        <f ca="1">RANDBETWEEN(ranges!B$2,ranges!B$3)</f>
        <v>12208</v>
      </c>
      <c r="C421" s="9">
        <f ca="1">LOOKUP(B421,geomorph!A:A,geomorph!B:B)</f>
        <v>1290.5</v>
      </c>
      <c r="D421">
        <f t="shared" si="68"/>
        <v>1.13E-4</v>
      </c>
      <c r="E421" s="9">
        <f ca="1">'[2]Q_GEV(random)'!$J421</f>
        <v>11001.746708357106</v>
      </c>
      <c r="F421" s="26">
        <f ca="1">RANDBETWEEN(ranges!F$2*1000,ranges!F$3*1000)/1000</f>
        <v>9.5000000000000001E-2</v>
      </c>
      <c r="G421" s="3">
        <f t="shared" ca="1" si="69"/>
        <v>8.5251814865223601</v>
      </c>
      <c r="H421" s="4">
        <f t="shared" ca="1" si="70"/>
        <v>11.591832236590299</v>
      </c>
      <c r="I421" s="4">
        <f t="shared" ca="1" si="71"/>
        <v>276.54199834142901</v>
      </c>
      <c r="J421" s="26">
        <f ca="1">RANDBETWEEN(ranges!J$2*1000,ranges!J$3*1000)/1000</f>
        <v>0.72599999999999998</v>
      </c>
      <c r="K421" s="26">
        <f ca="1">RANDBETWEEN(ranges!K$2*1000,ranges!K$3*1000)/1000</f>
        <v>0.90900000000000003</v>
      </c>
      <c r="L421">
        <f t="shared" ca="1" si="72"/>
        <v>112.66082309855841</v>
      </c>
      <c r="M421">
        <f t="shared" ca="1" si="73"/>
        <v>16.428933519581925</v>
      </c>
      <c r="N421" s="4">
        <f t="shared" ca="1" si="74"/>
        <v>5.2577187858604617</v>
      </c>
      <c r="O421" s="4"/>
      <c r="P421" s="1">
        <f ca="1">LOOKUP(B421,geomorph!$A:$A,geomorph!$G:$G)</f>
        <v>105.147161</v>
      </c>
      <c r="Q421" s="1">
        <f t="shared" ca="1" si="75"/>
        <v>121.57609451958191</v>
      </c>
    </row>
    <row r="422" spans="2:17" x14ac:dyDescent="0.3">
      <c r="B422" s="6">
        <f ca="1">RANDBETWEEN(ranges!B$2,ranges!B$3)</f>
        <v>11269</v>
      </c>
      <c r="C422" s="9">
        <f ca="1">LOOKUP(B422,geomorph!A:A,geomorph!B:B)</f>
        <v>1629</v>
      </c>
      <c r="D422">
        <f t="shared" si="68"/>
        <v>1.13E-4</v>
      </c>
      <c r="E422" s="9">
        <f ca="1">'[2]Q_GEV(random)'!$J422</f>
        <v>10991.827580429364</v>
      </c>
      <c r="F422" s="26">
        <f ca="1">RANDBETWEEN(ranges!F$2*1000,ranges!F$3*1000)/1000</f>
        <v>0.109</v>
      </c>
      <c r="G422" s="3">
        <f t="shared" ca="1" si="69"/>
        <v>6.7475921304047661</v>
      </c>
      <c r="H422" s="4">
        <f t="shared" ca="1" si="70"/>
        <v>10.383645304986816</v>
      </c>
      <c r="I422" s="4">
        <f t="shared" ca="1" si="71"/>
        <v>187.45404427057008</v>
      </c>
      <c r="J422" s="26">
        <f ca="1">RANDBETWEEN(ranges!J$2*1000,ranges!J$3*1000)/1000</f>
        <v>0.73799999999999999</v>
      </c>
      <c r="K422" s="26">
        <f ca="1">RANDBETWEEN(ranges!K$2*1000,ranges!K$3*1000)/1000</f>
        <v>0.96899999999999997</v>
      </c>
      <c r="L422">
        <f t="shared" ca="1" si="72"/>
        <v>86.301621370466847</v>
      </c>
      <c r="M422">
        <f t="shared" ca="1" si="73"/>
        <v>15.886143557011424</v>
      </c>
      <c r="N422" s="4">
        <f t="shared" ca="1" si="74"/>
        <v>5.9809763608963129</v>
      </c>
      <c r="O422" s="4"/>
      <c r="P422" s="1">
        <f ca="1">LOOKUP(B422,geomorph!$A:$A,geomorph!$G:$G)</f>
        <v>105.253381</v>
      </c>
      <c r="Q422" s="1">
        <f t="shared" ca="1" si="75"/>
        <v>121.13952455701143</v>
      </c>
    </row>
    <row r="423" spans="2:17" x14ac:dyDescent="0.3">
      <c r="B423" s="6">
        <f ca="1">RANDBETWEEN(ranges!B$2,ranges!B$3)</f>
        <v>13564</v>
      </c>
      <c r="C423" s="9">
        <f ca="1">LOOKUP(B423,geomorph!A:A,geomorph!B:B)</f>
        <v>1217.8</v>
      </c>
      <c r="D423">
        <f t="shared" si="68"/>
        <v>1.13E-4</v>
      </c>
      <c r="E423" s="9">
        <f ca="1">'[2]Q_GEV(random)'!$J423</f>
        <v>10990.608136503919</v>
      </c>
      <c r="F423" s="26">
        <f ca="1">RANDBETWEEN(ranges!F$2*1000,ranges!F$3*1000)/1000</f>
        <v>0.107</v>
      </c>
      <c r="G423" s="3">
        <f t="shared" ca="1" si="69"/>
        <v>9.0249697294333391</v>
      </c>
      <c r="H423" s="4">
        <f t="shared" ca="1" si="70"/>
        <v>12.527571548574462</v>
      </c>
      <c r="I423" s="4">
        <f t="shared" ca="1" si="71"/>
        <v>304.39525843662182</v>
      </c>
      <c r="J423" s="26">
        <f ca="1">RANDBETWEEN(ranges!J$2*1000,ranges!J$3*1000)/1000</f>
        <v>0.753</v>
      </c>
      <c r="K423" s="26">
        <f ca="1">RANDBETWEEN(ranges!K$2*1000,ranges!K$3*1000)/1000</f>
        <v>0.82699999999999996</v>
      </c>
      <c r="L423">
        <f t="shared" ca="1" si="72"/>
        <v>123.88732240366602</v>
      </c>
      <c r="M423">
        <f t="shared" ca="1" si="73"/>
        <v>17.048307878219845</v>
      </c>
      <c r="N423" s="4">
        <f t="shared" ca="1" si="74"/>
        <v>4.9138438365710675</v>
      </c>
      <c r="O423" s="4"/>
      <c r="P423" s="1">
        <f ca="1">LOOKUP(B423,geomorph!$A:$A,geomorph!$G:$G)</f>
        <v>104.993481</v>
      </c>
      <c r="Q423" s="1">
        <f t="shared" ca="1" si="75"/>
        <v>122.04178887821985</v>
      </c>
    </row>
    <row r="424" spans="2:17" x14ac:dyDescent="0.3">
      <c r="B424" s="6">
        <f ca="1">RANDBETWEEN(ranges!B$2,ranges!B$3)</f>
        <v>12381</v>
      </c>
      <c r="C424" s="9">
        <f ca="1">LOOKUP(B424,geomorph!A:A,geomorph!B:B)</f>
        <v>1241.5</v>
      </c>
      <c r="D424">
        <f t="shared" si="68"/>
        <v>1.13E-4</v>
      </c>
      <c r="E424" s="9">
        <f ca="1">'[2]Q_GEV(random)'!$J424</f>
        <v>10980.217474272507</v>
      </c>
      <c r="F424" s="26">
        <f ca="1">RANDBETWEEN(ranges!F$2*1000,ranges!F$3*1000)/1000</f>
        <v>0.108</v>
      </c>
      <c r="G424" s="3">
        <f t="shared" ca="1" si="69"/>
        <v>8.8443153236186127</v>
      </c>
      <c r="H424" s="4">
        <f t="shared" ca="1" si="70"/>
        <v>12.398215870330617</v>
      </c>
      <c r="I424" s="4">
        <f t="shared" ca="1" si="71"/>
        <v>294.58645325869281</v>
      </c>
      <c r="J424" s="26">
        <f ca="1">RANDBETWEEN(ranges!J$2*1000,ranges!J$3*1000)/1000</f>
        <v>0.67900000000000005</v>
      </c>
      <c r="K424" s="26">
        <f ca="1">RANDBETWEEN(ranges!K$2*1000,ranges!K$3*1000)/1000</f>
        <v>0.98399999999999999</v>
      </c>
      <c r="L424">
        <f t="shared" ca="1" si="72"/>
        <v>125.32969905202312</v>
      </c>
      <c r="M424">
        <f t="shared" ca="1" si="73"/>
        <v>17.582440815158794</v>
      </c>
      <c r="N424" s="4">
        <f t="shared" ca="1" si="74"/>
        <v>5.6350271139436705</v>
      </c>
      <c r="O424" s="4"/>
      <c r="P424" s="1">
        <f ca="1">LOOKUP(B424,geomorph!$A:$A,geomorph!$G:$G)</f>
        <v>105.12682100000001</v>
      </c>
      <c r="Q424" s="1">
        <f t="shared" ca="1" si="75"/>
        <v>122.7092618151588</v>
      </c>
    </row>
    <row r="425" spans="2:17" x14ac:dyDescent="0.3">
      <c r="B425" s="6">
        <f ca="1">RANDBETWEEN(ranges!B$2,ranges!B$3)</f>
        <v>11400</v>
      </c>
      <c r="C425" s="9">
        <f ca="1">LOOKUP(B425,geomorph!A:A,geomorph!B:B)</f>
        <v>1537.9</v>
      </c>
      <c r="D425">
        <f t="shared" si="68"/>
        <v>1.13E-4</v>
      </c>
      <c r="E425" s="9">
        <f ca="1">'[2]Q_GEV(random)'!$J425</f>
        <v>10967.488917697268</v>
      </c>
      <c r="F425" s="26">
        <f ca="1">RANDBETWEEN(ranges!F$2*1000,ranges!F$3*1000)/1000</f>
        <v>0.10199999999999999</v>
      </c>
      <c r="G425" s="3">
        <f t="shared" ca="1" si="69"/>
        <v>7.1314707833391431</v>
      </c>
      <c r="H425" s="4">
        <f t="shared" ca="1" si="70"/>
        <v>10.538074359606529</v>
      </c>
      <c r="I425" s="4">
        <f t="shared" ca="1" si="71"/>
        <v>206.0193399916877</v>
      </c>
      <c r="J425" s="26">
        <f ca="1">RANDBETWEEN(ranges!J$2*1000,ranges!J$3*1000)/1000</f>
        <v>0.71399999999999997</v>
      </c>
      <c r="K425" s="26">
        <f ca="1">RANDBETWEEN(ranges!K$2*1000,ranges!K$3*1000)/1000</f>
        <v>0.96</v>
      </c>
      <c r="L425">
        <f t="shared" ca="1" si="72"/>
        <v>91.838410849932274</v>
      </c>
      <c r="M425">
        <f t="shared" ca="1" si="73"/>
        <v>15.959927001210525</v>
      </c>
      <c r="N425" s="4">
        <f t="shared" ca="1" si="74"/>
        <v>5.8933180886999956</v>
      </c>
      <c r="O425" s="4"/>
      <c r="P425" s="1">
        <f ca="1">LOOKUP(B425,geomorph!$A:$A,geomorph!$G:$G)</f>
        <v>105.237561</v>
      </c>
      <c r="Q425" s="1">
        <f t="shared" ca="1" si="75"/>
        <v>121.19748800121053</v>
      </c>
    </row>
    <row r="426" spans="2:17" x14ac:dyDescent="0.3">
      <c r="B426" s="6">
        <f ca="1">RANDBETWEEN(ranges!B$2,ranges!B$3)</f>
        <v>14277</v>
      </c>
      <c r="C426" s="9">
        <f ca="1">LOOKUP(B426,geomorph!A:A,geomorph!B:B)</f>
        <v>1336.7</v>
      </c>
      <c r="D426">
        <f t="shared" si="68"/>
        <v>1.13E-4</v>
      </c>
      <c r="E426" s="9">
        <f ca="1">'[2]Q_GEV(random)'!$J426</f>
        <v>10961.825581410118</v>
      </c>
      <c r="F426" s="26">
        <f ca="1">RANDBETWEEN(ranges!F$2*1000,ranges!F$3*1000)/1000</f>
        <v>0.09</v>
      </c>
      <c r="G426" s="3">
        <f t="shared" ca="1" si="69"/>
        <v>8.2006625132117286</v>
      </c>
      <c r="H426" s="4">
        <f t="shared" ca="1" si="70"/>
        <v>11.094011015504822</v>
      </c>
      <c r="I426" s="4">
        <f t="shared" ca="1" si="71"/>
        <v>260.16489497277058</v>
      </c>
      <c r="J426" s="26">
        <f ca="1">RANDBETWEEN(ranges!J$2*1000,ranges!J$3*1000)/1000</f>
        <v>0.64900000000000002</v>
      </c>
      <c r="K426" s="26">
        <f ca="1">RANDBETWEEN(ranges!K$2*1000,ranges!K$3*1000)/1000</f>
        <v>0.83</v>
      </c>
      <c r="L426">
        <f t="shared" ca="1" si="72"/>
        <v>107.22714715038175</v>
      </c>
      <c r="M426">
        <f t="shared" ca="1" si="73"/>
        <v>16.196349618338431</v>
      </c>
      <c r="N426" s="4">
        <f t="shared" ca="1" si="74"/>
        <v>5.5460202204713136</v>
      </c>
      <c r="O426" s="4"/>
      <c r="P426" s="1">
        <f ca="1">LOOKUP(B426,geomorph!$A:$A,geomorph!$G:$G)</f>
        <v>104.913251</v>
      </c>
      <c r="Q426" s="1">
        <f t="shared" ca="1" si="75"/>
        <v>121.10960061833843</v>
      </c>
    </row>
    <row r="427" spans="2:17" x14ac:dyDescent="0.3">
      <c r="B427" s="6">
        <f ca="1">RANDBETWEEN(ranges!B$2,ranges!B$3)</f>
        <v>12957</v>
      </c>
      <c r="C427" s="9">
        <f ca="1">LOOKUP(B427,geomorph!A:A,geomorph!B:B)</f>
        <v>1140.5999999999999</v>
      </c>
      <c r="D427">
        <f t="shared" si="68"/>
        <v>1.13E-4</v>
      </c>
      <c r="E427" s="9">
        <f ca="1">'[2]Q_GEV(random)'!$J427</f>
        <v>10960.419806140886</v>
      </c>
      <c r="F427" s="26">
        <f ca="1">RANDBETWEEN(ranges!F$2*1000,ranges!F$3*1000)/1000</f>
        <v>0.105</v>
      </c>
      <c r="G427" s="3">
        <f t="shared" ca="1" si="69"/>
        <v>9.6093457883051787</v>
      </c>
      <c r="H427" s="4">
        <f t="shared" ca="1" si="70"/>
        <v>12.980779637352121</v>
      </c>
      <c r="I427" s="4">
        <f t="shared" ca="1" si="71"/>
        <v>338.87994196603034</v>
      </c>
      <c r="J427" s="26">
        <f ca="1">RANDBETWEEN(ranges!J$2*1000,ranges!J$3*1000)/1000</f>
        <v>0.65300000000000002</v>
      </c>
      <c r="K427" s="26">
        <f ca="1">RANDBETWEEN(ranges!K$2*1000,ranges!K$3*1000)/1000</f>
        <v>0.98</v>
      </c>
      <c r="L427">
        <f t="shared" ca="1" si="72"/>
        <v>140.34996877600767</v>
      </c>
      <c r="M427">
        <f t="shared" ca="1" si="73"/>
        <v>18.089398705608321</v>
      </c>
      <c r="N427" s="4">
        <f t="shared" ca="1" si="74"/>
        <v>5.5528468133219562</v>
      </c>
      <c r="O427" s="4"/>
      <c r="P427" s="1">
        <f ca="1">LOOKUP(B427,geomorph!$A:$A,geomorph!$G:$G)</f>
        <v>105.062411</v>
      </c>
      <c r="Q427" s="1">
        <f t="shared" ca="1" si="75"/>
        <v>123.15180970560831</v>
      </c>
    </row>
    <row r="428" spans="2:17" x14ac:dyDescent="0.3">
      <c r="B428" s="6">
        <f ca="1">RANDBETWEEN(ranges!B$2,ranges!B$3)</f>
        <v>13919</v>
      </c>
      <c r="C428" s="9">
        <f ca="1">LOOKUP(B428,geomorph!A:A,geomorph!B:B)</f>
        <v>1305.2</v>
      </c>
      <c r="D428">
        <f t="shared" si="68"/>
        <v>1.13E-4</v>
      </c>
      <c r="E428" s="9">
        <f ca="1">'[2]Q_GEV(random)'!$J428</f>
        <v>10944.3904346989</v>
      </c>
      <c r="F428" s="26">
        <f ca="1">RANDBETWEEN(ranges!F$2*1000,ranges!F$3*1000)/1000</f>
        <v>0.10100000000000001</v>
      </c>
      <c r="G428" s="3">
        <f t="shared" ca="1" si="69"/>
        <v>8.3852209888897491</v>
      </c>
      <c r="H428" s="4">
        <f t="shared" ca="1" si="70"/>
        <v>11.701061528912899</v>
      </c>
      <c r="I428" s="4">
        <f t="shared" ca="1" si="71"/>
        <v>270.42652883177857</v>
      </c>
      <c r="J428" s="26">
        <f ca="1">RANDBETWEEN(ranges!J$2*1000,ranges!J$3*1000)/1000</f>
        <v>0.755</v>
      </c>
      <c r="K428" s="26">
        <f ca="1">RANDBETWEEN(ranges!K$2*1000,ranges!K$3*1000)/1000</f>
        <v>0.96799999999999997</v>
      </c>
      <c r="L428">
        <f t="shared" ca="1" si="72"/>
        <v>112.35831203816878</v>
      </c>
      <c r="M428">
        <f t="shared" ca="1" si="73"/>
        <v>16.571457782560621</v>
      </c>
      <c r="N428" s="4">
        <f t="shared" ca="1" si="74"/>
        <v>5.2939089713562204</v>
      </c>
      <c r="O428" s="4"/>
      <c r="P428" s="1">
        <f ca="1">LOOKUP(B428,geomorph!$A:$A,geomorph!$G:$G)</f>
        <v>104.953931</v>
      </c>
      <c r="Q428" s="1">
        <f t="shared" ca="1" si="75"/>
        <v>121.52538878256061</v>
      </c>
    </row>
    <row r="429" spans="2:17" x14ac:dyDescent="0.3">
      <c r="B429" s="6">
        <f ca="1">RANDBETWEEN(ranges!B$2,ranges!B$3)</f>
        <v>10879</v>
      </c>
      <c r="C429" s="9">
        <f ca="1">LOOKUP(B429,geomorph!A:A,geomorph!B:B)</f>
        <v>1670.1</v>
      </c>
      <c r="D429">
        <f t="shared" si="68"/>
        <v>1.13E-4</v>
      </c>
      <c r="E429" s="9">
        <f ca="1">'[2]Q_GEV(random)'!$J429</f>
        <v>10944.194684937464</v>
      </c>
      <c r="F429" s="26">
        <f ca="1">RANDBETWEEN(ranges!F$2*1000,ranges!F$3*1000)/1000</f>
        <v>9.0999999999999998E-2</v>
      </c>
      <c r="G429" s="3">
        <f t="shared" ca="1" si="69"/>
        <v>6.5530175947173603</v>
      </c>
      <c r="H429" s="4">
        <f t="shared" ca="1" si="70"/>
        <v>9.5884811047384471</v>
      </c>
      <c r="I429" s="4">
        <f t="shared" ca="1" si="71"/>
        <v>179.30886584349741</v>
      </c>
      <c r="J429" s="26">
        <f ca="1">RANDBETWEEN(ranges!J$2*1000,ranges!J$3*1000)/1000</f>
        <v>0.753</v>
      </c>
      <c r="K429" s="26">
        <f ca="1">RANDBETWEEN(ranges!K$2*1000,ranges!K$3*1000)/1000</f>
        <v>0.86099999999999999</v>
      </c>
      <c r="L429">
        <f t="shared" ca="1" si="72"/>
        <v>78.288854243936868</v>
      </c>
      <c r="M429">
        <f t="shared" ca="1" si="73"/>
        <v>14.774774348426281</v>
      </c>
      <c r="N429" s="4">
        <f t="shared" ca="1" si="74"/>
        <v>5.6372752648780793</v>
      </c>
      <c r="O429" s="4"/>
      <c r="P429" s="1">
        <f ca="1">LOOKUP(B429,geomorph!$A:$A,geomorph!$G:$G)</f>
        <v>105.29745100000001</v>
      </c>
      <c r="Q429" s="1">
        <f t="shared" ca="1" si="75"/>
        <v>120.07222534842629</v>
      </c>
    </row>
    <row r="430" spans="2:17" x14ac:dyDescent="0.3">
      <c r="B430" s="6">
        <f ca="1">RANDBETWEEN(ranges!B$2,ranges!B$3)</f>
        <v>12905</v>
      </c>
      <c r="C430" s="9">
        <f ca="1">LOOKUP(B430,geomorph!A:A,geomorph!B:B)</f>
        <v>1137.3</v>
      </c>
      <c r="D430">
        <f t="shared" si="68"/>
        <v>1.13E-4</v>
      </c>
      <c r="E430" s="9">
        <f ca="1">'[2]Q_GEV(random)'!$J430</f>
        <v>10942.940066497316</v>
      </c>
      <c r="F430" s="26">
        <f ca="1">RANDBETWEEN(ranges!F$2*1000,ranges!F$3*1000)/1000</f>
        <v>9.6000000000000002E-2</v>
      </c>
      <c r="G430" s="3">
        <f t="shared" ca="1" si="69"/>
        <v>9.6218588468278519</v>
      </c>
      <c r="H430" s="4">
        <f t="shared" ca="1" si="70"/>
        <v>12.609703126022053</v>
      </c>
      <c r="I430" s="4">
        <f t="shared" ca="1" si="71"/>
        <v>340.1582162318079</v>
      </c>
      <c r="J430" s="26">
        <f ca="1">RANDBETWEEN(ranges!J$2*1000,ranges!J$3*1000)/1000</f>
        <v>0.77900000000000003</v>
      </c>
      <c r="K430" s="26">
        <f ca="1">RANDBETWEEN(ranges!K$2*1000,ranges!K$3*1000)/1000</f>
        <v>0.92900000000000005</v>
      </c>
      <c r="L430">
        <f t="shared" ca="1" si="72"/>
        <v>132.52476779527242</v>
      </c>
      <c r="M430">
        <f t="shared" ca="1" si="73"/>
        <v>17.031407280732655</v>
      </c>
      <c r="N430" s="4">
        <f t="shared" ca="1" si="74"/>
        <v>4.8062001681636977</v>
      </c>
      <c r="O430" s="4"/>
      <c r="P430" s="1">
        <f ca="1">LOOKUP(B430,geomorph!$A:$A,geomorph!$G:$G)</f>
        <v>105.068061</v>
      </c>
      <c r="Q430" s="1">
        <f t="shared" ca="1" si="75"/>
        <v>122.09946828073265</v>
      </c>
    </row>
    <row r="431" spans="2:17" x14ac:dyDescent="0.3">
      <c r="B431" s="6">
        <f ca="1">RANDBETWEEN(ranges!B$2,ranges!B$3)</f>
        <v>13837</v>
      </c>
      <c r="C431" s="9">
        <f ca="1">LOOKUP(B431,geomorph!A:A,geomorph!B:B)</f>
        <v>1285.7</v>
      </c>
      <c r="D431">
        <f t="shared" si="68"/>
        <v>1.13E-4</v>
      </c>
      <c r="E431" s="9">
        <f ca="1">'[2]Q_GEV(random)'!$J431</f>
        <v>10941.849278619349</v>
      </c>
      <c r="F431" s="26">
        <f ca="1">RANDBETWEEN(ranges!F$2*1000,ranges!F$3*1000)/1000</f>
        <v>9.2999999999999999E-2</v>
      </c>
      <c r="G431" s="3">
        <f t="shared" ca="1" si="69"/>
        <v>8.5104217769459041</v>
      </c>
      <c r="H431" s="4">
        <f t="shared" ca="1" si="70"/>
        <v>11.49661979401651</v>
      </c>
      <c r="I431" s="4">
        <f t="shared" ca="1" si="71"/>
        <v>277.25396298126589</v>
      </c>
      <c r="J431" s="26">
        <f ca="1">RANDBETWEEN(ranges!J$2*1000,ranges!J$3*1000)/1000</f>
        <v>0.73799999999999999</v>
      </c>
      <c r="K431" s="26">
        <f ca="1">RANDBETWEEN(ranges!K$2*1000,ranges!K$3*1000)/1000</f>
        <v>0.85599999999999998</v>
      </c>
      <c r="L431">
        <f t="shared" ca="1" si="72"/>
        <v>111.23040142311183</v>
      </c>
      <c r="M431">
        <f t="shared" ca="1" si="73"/>
        <v>16.160008763395524</v>
      </c>
      <c r="N431" s="4">
        <f t="shared" ca="1" si="74"/>
        <v>5.0689010536728407</v>
      </c>
      <c r="O431" s="4"/>
      <c r="P431" s="1">
        <f ca="1">LOOKUP(B431,geomorph!$A:$A,geomorph!$G:$G)</f>
        <v>104.962971</v>
      </c>
      <c r="Q431" s="1">
        <f t="shared" ca="1" si="75"/>
        <v>121.12297976339552</v>
      </c>
    </row>
    <row r="432" spans="2:17" x14ac:dyDescent="0.3">
      <c r="B432" s="6">
        <f ca="1">RANDBETWEEN(ranges!B$2,ranges!B$3)</f>
        <v>11190</v>
      </c>
      <c r="C432" s="9">
        <f ca="1">LOOKUP(B432,geomorph!A:A,geomorph!B:B)</f>
        <v>1665.3</v>
      </c>
      <c r="D432">
        <f t="shared" si="68"/>
        <v>1.13E-4</v>
      </c>
      <c r="E432" s="9">
        <f ca="1">'[2]Q_GEV(random)'!$J432</f>
        <v>10940.127943424561</v>
      </c>
      <c r="F432" s="26">
        <f ca="1">RANDBETWEEN(ranges!F$2*1000,ranges!F$3*1000)/1000</f>
        <v>0.11</v>
      </c>
      <c r="G432" s="3">
        <f t="shared" ca="1" si="69"/>
        <v>6.5694637263103113</v>
      </c>
      <c r="H432" s="4">
        <f t="shared" ca="1" si="70"/>
        <v>10.231185786249492</v>
      </c>
      <c r="I432" s="4">
        <f t="shared" ca="1" si="71"/>
        <v>180.12644626877707</v>
      </c>
      <c r="J432" s="26">
        <f ca="1">RANDBETWEEN(ranges!J$2*1000,ranges!J$3*1000)/1000</f>
        <v>0.63800000000000001</v>
      </c>
      <c r="K432" s="26">
        <f ca="1">RANDBETWEEN(ranges!K$2*1000,ranges!K$3*1000)/1000</f>
        <v>0.88700000000000001</v>
      </c>
      <c r="L432">
        <f t="shared" ca="1" si="72"/>
        <v>86.136543159013115</v>
      </c>
      <c r="M432">
        <f t="shared" ca="1" si="73"/>
        <v>16.209079941465614</v>
      </c>
      <c r="N432" s="4">
        <f t="shared" ca="1" si="74"/>
        <v>6.4977110382783927</v>
      </c>
      <c r="O432" s="4"/>
      <c r="P432" s="1">
        <f ca="1">LOOKUP(B432,geomorph!$A:$A,geomorph!$G:$G)</f>
        <v>105.261291</v>
      </c>
      <c r="Q432" s="1">
        <f t="shared" ca="1" si="75"/>
        <v>121.47037094146562</v>
      </c>
    </row>
    <row r="433" spans="2:17" x14ac:dyDescent="0.3">
      <c r="B433" s="6">
        <f ca="1">RANDBETWEEN(ranges!B$2,ranges!B$3)</f>
        <v>10090</v>
      </c>
      <c r="C433" s="9">
        <f ca="1">LOOKUP(B433,geomorph!A:A,geomorph!B:B)</f>
        <v>1602.4</v>
      </c>
      <c r="D433">
        <f t="shared" si="68"/>
        <v>1.13E-4</v>
      </c>
      <c r="E433" s="9">
        <f ca="1">'[2]Q_GEV(random)'!$J433</f>
        <v>10938.849492420857</v>
      </c>
      <c r="F433" s="26">
        <f ca="1">RANDBETWEEN(ranges!F$2*1000,ranges!F$3*1000)/1000</f>
        <v>0.10100000000000001</v>
      </c>
      <c r="G433" s="3">
        <f t="shared" ca="1" si="69"/>
        <v>6.8265411210814131</v>
      </c>
      <c r="H433" s="4">
        <f t="shared" ca="1" si="70"/>
        <v>10.201939137816936</v>
      </c>
      <c r="I433" s="4">
        <f t="shared" ca="1" si="71"/>
        <v>192.04937039084069</v>
      </c>
      <c r="J433" s="26">
        <f ca="1">RANDBETWEEN(ranges!J$2*1000,ranges!J$3*1000)/1000</f>
        <v>0.75</v>
      </c>
      <c r="K433" s="26">
        <f ca="1">RANDBETWEEN(ranges!K$2*1000,ranges!K$3*1000)/1000</f>
        <v>0.81399999999999995</v>
      </c>
      <c r="L433">
        <f t="shared" ca="1" si="72"/>
        <v>84.305384364839028</v>
      </c>
      <c r="M433">
        <f t="shared" ca="1" si="73"/>
        <v>15.265277113402639</v>
      </c>
      <c r="N433" s="4">
        <f t="shared" ca="1" si="74"/>
        <v>5.503628234332286</v>
      </c>
      <c r="O433" s="4"/>
      <c r="P433" s="1">
        <f ca="1">LOOKUP(B433,geomorph!$A:$A,geomorph!$G:$G)</f>
        <v>105.38559100000001</v>
      </c>
      <c r="Q433" s="1">
        <f t="shared" ca="1" si="75"/>
        <v>120.65086811340265</v>
      </c>
    </row>
    <row r="434" spans="2:17" x14ac:dyDescent="0.3">
      <c r="B434" s="6">
        <f ca="1">RANDBETWEEN(ranges!B$2,ranges!B$3)</f>
        <v>13409</v>
      </c>
      <c r="C434" s="9">
        <f ca="1">LOOKUP(B434,geomorph!A:A,geomorph!B:B)</f>
        <v>1186.2</v>
      </c>
      <c r="D434">
        <f t="shared" si="68"/>
        <v>1.13E-4</v>
      </c>
      <c r="E434" s="9">
        <f ca="1">'[2]Q_GEV(random)'!$J434</f>
        <v>10930.277625493607</v>
      </c>
      <c r="F434" s="26">
        <f ca="1">RANDBETWEEN(ranges!F$2*1000,ranges!F$3*1000)/1000</f>
        <v>9.6000000000000002E-2</v>
      </c>
      <c r="G434" s="3">
        <f t="shared" ca="1" si="69"/>
        <v>9.2145318036533528</v>
      </c>
      <c r="H434" s="4">
        <f t="shared" ca="1" si="70"/>
        <v>12.251268458277311</v>
      </c>
      <c r="I434" s="4">
        <f t="shared" ca="1" si="71"/>
        <v>316.8650062235954</v>
      </c>
      <c r="J434" s="26">
        <f ca="1">RANDBETWEEN(ranges!J$2*1000,ranges!J$3*1000)/1000</f>
        <v>0.60299999999999998</v>
      </c>
      <c r="K434" s="26">
        <f ca="1">RANDBETWEEN(ranges!K$2*1000,ranges!K$3*1000)/1000</f>
        <v>0.97499999999999998</v>
      </c>
      <c r="L434">
        <f t="shared" ca="1" si="72"/>
        <v>131.66762199499104</v>
      </c>
      <c r="M434">
        <f t="shared" ca="1" si="73"/>
        <v>17.648807052781798</v>
      </c>
      <c r="N434" s="4">
        <f t="shared" ca="1" si="74"/>
        <v>5.8668897766353121</v>
      </c>
      <c r="O434" s="4"/>
      <c r="P434" s="1">
        <f ca="1">LOOKUP(B434,geomorph!$A:$A,geomorph!$G:$G)</f>
        <v>105.011561</v>
      </c>
      <c r="Q434" s="1">
        <f t="shared" ca="1" si="75"/>
        <v>122.66036805278179</v>
      </c>
    </row>
    <row r="435" spans="2:17" x14ac:dyDescent="0.3">
      <c r="B435" s="6">
        <f ca="1">RANDBETWEEN(ranges!B$2,ranges!B$3)</f>
        <v>10219</v>
      </c>
      <c r="C435" s="9">
        <f ca="1">LOOKUP(B435,geomorph!A:A,geomorph!B:B)</f>
        <v>1592.5</v>
      </c>
      <c r="D435">
        <f t="shared" si="68"/>
        <v>1.13E-4</v>
      </c>
      <c r="E435" s="9">
        <f ca="1">'[2]Q_GEV(random)'!$J435</f>
        <v>10924.668793340879</v>
      </c>
      <c r="F435" s="26">
        <f ca="1">RANDBETWEEN(ranges!F$2*1000,ranges!F$3*1000)/1000</f>
        <v>0.10199999999999999</v>
      </c>
      <c r="G435" s="3">
        <f t="shared" ca="1" si="69"/>
        <v>6.8600745955044768</v>
      </c>
      <c r="H435" s="4">
        <f t="shared" ca="1" si="70"/>
        <v>10.268990356363878</v>
      </c>
      <c r="I435" s="4">
        <f t="shared" ca="1" si="71"/>
        <v>193.8755910021043</v>
      </c>
      <c r="J435" s="26">
        <f ca="1">RANDBETWEEN(ranges!J$2*1000,ranges!J$3*1000)/1000</f>
        <v>0.71899999999999997</v>
      </c>
      <c r="K435" s="26">
        <f ca="1">RANDBETWEEN(ranges!K$2*1000,ranges!K$3*1000)/1000</f>
        <v>0.81899999999999995</v>
      </c>
      <c r="L435">
        <f t="shared" ca="1" si="72"/>
        <v>86.023425760082333</v>
      </c>
      <c r="M435">
        <f t="shared" ca="1" si="73"/>
        <v>15.480130524091217</v>
      </c>
      <c r="N435" s="4">
        <f t="shared" ca="1" si="74"/>
        <v>5.6642827910079783</v>
      </c>
      <c r="O435" s="4"/>
      <c r="P435" s="1">
        <f ca="1">LOOKUP(B435,geomorph!$A:$A,geomorph!$G:$G)</f>
        <v>105.37203100000001</v>
      </c>
      <c r="Q435" s="1">
        <f t="shared" ca="1" si="75"/>
        <v>120.85216152409123</v>
      </c>
    </row>
    <row r="436" spans="2:17" x14ac:dyDescent="0.3">
      <c r="B436" s="6">
        <f ca="1">RANDBETWEEN(ranges!B$2,ranges!B$3)</f>
        <v>10018</v>
      </c>
      <c r="C436" s="9">
        <f ca="1">LOOKUP(B436,geomorph!A:A,geomorph!B:B)</f>
        <v>1705.9</v>
      </c>
      <c r="D436">
        <f t="shared" si="68"/>
        <v>1.13E-4</v>
      </c>
      <c r="E436" s="9">
        <f ca="1">'[2]Q_GEV(random)'!$J436</f>
        <v>10918.377899346398</v>
      </c>
      <c r="F436" s="26">
        <f ca="1">RANDBETWEEN(ranges!F$2*1000,ranges!F$3*1000)/1000</f>
        <v>0.107</v>
      </c>
      <c r="G436" s="3">
        <f t="shared" ca="1" si="69"/>
        <v>6.400362213111201</v>
      </c>
      <c r="H436" s="4">
        <f t="shared" ca="1" si="70"/>
        <v>9.962601465185859</v>
      </c>
      <c r="I436" s="4">
        <f t="shared" ca="1" si="71"/>
        <v>172.80891737558252</v>
      </c>
      <c r="J436" s="26">
        <f ca="1">RANDBETWEEN(ranges!J$2*1000,ranges!J$3*1000)/1000</f>
        <v>0.73299999999999998</v>
      </c>
      <c r="K436" s="26">
        <f ca="1">RANDBETWEEN(ranges!K$2*1000,ranges!K$3*1000)/1000</f>
        <v>0.83599999999999997</v>
      </c>
      <c r="L436">
        <f t="shared" ca="1" si="72"/>
        <v>79.575650421935052</v>
      </c>
      <c r="M436">
        <f t="shared" ca="1" si="73"/>
        <v>15.339535532190027</v>
      </c>
      <c r="N436" s="4">
        <f t="shared" ca="1" si="74"/>
        <v>5.8444935510914862</v>
      </c>
      <c r="O436" s="4"/>
      <c r="P436" s="1">
        <f ca="1">LOOKUP(B436,geomorph!$A:$A,geomorph!$G:$G)</f>
        <v>105.394631</v>
      </c>
      <c r="Q436" s="1">
        <f t="shared" ca="1" si="75"/>
        <v>120.73416653219003</v>
      </c>
    </row>
    <row r="437" spans="2:17" x14ac:dyDescent="0.3">
      <c r="B437" s="6">
        <f ca="1">RANDBETWEEN(ranges!B$2,ranges!B$3)</f>
        <v>14145</v>
      </c>
      <c r="C437" s="9">
        <f ca="1">LOOKUP(B437,geomorph!A:A,geomorph!B:B)</f>
        <v>1361.8</v>
      </c>
      <c r="D437">
        <f t="shared" si="68"/>
        <v>1.13E-4</v>
      </c>
      <c r="E437" s="9">
        <f ca="1">'[2]Q_GEV(random)'!$J437</f>
        <v>10909.724076571592</v>
      </c>
      <c r="F437" s="26">
        <f ca="1">RANDBETWEEN(ranges!F$2*1000,ranges!F$3*1000)/1000</f>
        <v>9.7000000000000003E-2</v>
      </c>
      <c r="G437" s="3">
        <f t="shared" ca="1" si="69"/>
        <v>8.0112528099365488</v>
      </c>
      <c r="H437" s="4">
        <f t="shared" ca="1" si="70"/>
        <v>11.198658452923341</v>
      </c>
      <c r="I437" s="4">
        <f t="shared" ca="1" si="71"/>
        <v>251.42221318968973</v>
      </c>
      <c r="J437" s="26">
        <f ca="1">RANDBETWEEN(ranges!J$2*1000,ranges!J$3*1000)/1000</f>
        <v>0.70299999999999996</v>
      </c>
      <c r="K437" s="26">
        <f ca="1">RANDBETWEEN(ranges!K$2*1000,ranges!K$3*1000)/1000</f>
        <v>0.84799999999999998</v>
      </c>
      <c r="L437">
        <f t="shared" ca="1" si="72"/>
        <v>104.90931943201858</v>
      </c>
      <c r="M437">
        <f t="shared" ca="1" si="73"/>
        <v>16.143802765885088</v>
      </c>
      <c r="N437" s="4">
        <f t="shared" ca="1" si="74"/>
        <v>5.3751568619149417</v>
      </c>
      <c r="O437" s="4"/>
      <c r="P437" s="1">
        <f ca="1">LOOKUP(B437,geomorph!$A:$A,geomorph!$G:$G)</f>
        <v>104.927941</v>
      </c>
      <c r="Q437" s="1">
        <f t="shared" ca="1" si="75"/>
        <v>121.07174376588509</v>
      </c>
    </row>
    <row r="438" spans="2:17" x14ac:dyDescent="0.3">
      <c r="B438" s="6">
        <f ca="1">RANDBETWEEN(ranges!B$2,ranges!B$3)</f>
        <v>12819</v>
      </c>
      <c r="C438" s="9">
        <f ca="1">LOOKUP(B438,geomorph!A:A,geomorph!B:B)</f>
        <v>1131.7</v>
      </c>
      <c r="D438">
        <f t="shared" si="68"/>
        <v>1.13E-4</v>
      </c>
      <c r="E438" s="9">
        <f ca="1">'[2]Q_GEV(random)'!$J438</f>
        <v>10901.316468888921</v>
      </c>
      <c r="F438" s="26">
        <f ca="1">RANDBETWEEN(ranges!F$2*1000,ranges!F$3*1000)/1000</f>
        <v>9.9000000000000005E-2</v>
      </c>
      <c r="G438" s="3">
        <f t="shared" ca="1" si="69"/>
        <v>9.6326910567190254</v>
      </c>
      <c r="H438" s="4">
        <f t="shared" ca="1" si="70"/>
        <v>12.749268943993364</v>
      </c>
      <c r="I438" s="4">
        <f t="shared" ca="1" si="71"/>
        <v>342.09793720713884</v>
      </c>
      <c r="J438" s="26">
        <f ca="1">RANDBETWEEN(ranges!J$2*1000,ranges!J$3*1000)/1000</f>
        <v>0.74199999999999999</v>
      </c>
      <c r="K438" s="26">
        <f ca="1">RANDBETWEEN(ranges!K$2*1000,ranges!K$3*1000)/1000</f>
        <v>0.85399999999999998</v>
      </c>
      <c r="L438">
        <f t="shared" ca="1" si="72"/>
        <v>134.33022083389264</v>
      </c>
      <c r="M438">
        <f t="shared" ca="1" si="73"/>
        <v>17.178430733701941</v>
      </c>
      <c r="N438" s="4">
        <f t="shared" ca="1" si="74"/>
        <v>4.8143062931614962</v>
      </c>
      <c r="O438" s="4"/>
      <c r="P438" s="1">
        <f ca="1">LOOKUP(B438,geomorph!$A:$A,geomorph!$G:$G)</f>
        <v>105.078231</v>
      </c>
      <c r="Q438" s="1">
        <f t="shared" ca="1" si="75"/>
        <v>122.25666173370195</v>
      </c>
    </row>
    <row r="439" spans="2:17" x14ac:dyDescent="0.3">
      <c r="B439" s="6">
        <f ca="1">RANDBETWEEN(ranges!B$2,ranges!B$3)</f>
        <v>14281</v>
      </c>
      <c r="C439" s="9">
        <f ca="1">LOOKUP(B439,geomorph!A:A,geomorph!B:B)</f>
        <v>1339.9</v>
      </c>
      <c r="D439">
        <f t="shared" si="68"/>
        <v>1.13E-4</v>
      </c>
      <c r="E439" s="9">
        <f ca="1">'[2]Q_GEV(random)'!$J439</f>
        <v>10897.848595774421</v>
      </c>
      <c r="F439" s="26">
        <f ca="1">RANDBETWEEN(ranges!F$2*1000,ranges!F$3*1000)/1000</f>
        <v>0.107</v>
      </c>
      <c r="G439" s="3">
        <f t="shared" ca="1" si="69"/>
        <v>8.1333297975777459</v>
      </c>
      <c r="H439" s="4">
        <f t="shared" ca="1" si="70"/>
        <v>11.688227184475171</v>
      </c>
      <c r="I439" s="4">
        <f t="shared" ca="1" si="71"/>
        <v>258.12092831517111</v>
      </c>
      <c r="J439" s="26">
        <f ca="1">RANDBETWEEN(ranges!J$2*1000,ranges!J$3*1000)/1000</f>
        <v>0.65200000000000002</v>
      </c>
      <c r="K439" s="26">
        <f ca="1">RANDBETWEEN(ranges!K$2*1000,ranges!K$3*1000)/1000</f>
        <v>0.872</v>
      </c>
      <c r="L439">
        <f t="shared" ca="1" si="72"/>
        <v>111.97850779875097</v>
      </c>
      <c r="M439">
        <f t="shared" ca="1" si="73"/>
        <v>16.954520293748747</v>
      </c>
      <c r="N439" s="4">
        <f t="shared" ca="1" si="74"/>
        <v>5.7242316405147564</v>
      </c>
      <c r="O439" s="4"/>
      <c r="P439" s="1">
        <f ca="1">LOOKUP(B439,geomorph!$A:$A,geomorph!$G:$G)</f>
        <v>104.912121</v>
      </c>
      <c r="Q439" s="1">
        <f t="shared" ca="1" si="75"/>
        <v>121.86664129374874</v>
      </c>
    </row>
    <row r="440" spans="2:17" x14ac:dyDescent="0.3">
      <c r="B440" s="6">
        <f ca="1">RANDBETWEEN(ranges!B$2,ranges!B$3)</f>
        <v>12217</v>
      </c>
      <c r="C440" s="9">
        <f ca="1">LOOKUP(B440,geomorph!A:A,geomorph!B:B)</f>
        <v>1287.7</v>
      </c>
      <c r="D440">
        <f t="shared" si="68"/>
        <v>1.13E-4</v>
      </c>
      <c r="E440" s="9">
        <f ca="1">'[2]Q_GEV(random)'!$J440</f>
        <v>10873.936601165584</v>
      </c>
      <c r="F440" s="26">
        <f ca="1">RANDBETWEEN(ranges!F$2*1000,ranges!F$3*1000)/1000</f>
        <v>0.107</v>
      </c>
      <c r="G440" s="3">
        <f t="shared" ca="1" si="69"/>
        <v>8.4444642394700509</v>
      </c>
      <c r="H440" s="4">
        <f t="shared" ca="1" si="70"/>
        <v>11.984441223319072</v>
      </c>
      <c r="I440" s="4">
        <f t="shared" ca="1" si="71"/>
        <v>275.39119790362696</v>
      </c>
      <c r="J440" s="26">
        <f ca="1">RANDBETWEEN(ranges!J$2*1000,ranges!J$3*1000)/1000</f>
        <v>0.63</v>
      </c>
      <c r="K440" s="26">
        <f ca="1">RANDBETWEEN(ranges!K$2*1000,ranges!K$3*1000)/1000</f>
        <v>0.93899999999999995</v>
      </c>
      <c r="L440">
        <f t="shared" ca="1" si="72"/>
        <v>119.63631545413648</v>
      </c>
      <c r="M440">
        <f t="shared" ca="1" si="73"/>
        <v>17.408292225362946</v>
      </c>
      <c r="N440" s="4">
        <f t="shared" ca="1" si="74"/>
        <v>5.8954902196129053</v>
      </c>
      <c r="O440" s="4"/>
      <c r="P440" s="1">
        <f ca="1">LOOKUP(B440,geomorph!$A:$A,geomorph!$G:$G)</f>
        <v>105.14603100000001</v>
      </c>
      <c r="Q440" s="1">
        <f t="shared" ca="1" si="75"/>
        <v>122.55432322536295</v>
      </c>
    </row>
    <row r="441" spans="2:17" x14ac:dyDescent="0.3">
      <c r="B441" s="6">
        <f ca="1">RANDBETWEEN(ranges!B$2,ranges!B$3)</f>
        <v>12668</v>
      </c>
      <c r="C441" s="9">
        <f ca="1">LOOKUP(B441,geomorph!A:A,geomorph!B:B)</f>
        <v>1168.3</v>
      </c>
      <c r="D441">
        <f t="shared" si="68"/>
        <v>1.13E-4</v>
      </c>
      <c r="E441" s="9">
        <f ca="1">'[2]Q_GEV(random)'!$J441</f>
        <v>10870.505291270805</v>
      </c>
      <c r="F441" s="26">
        <f ca="1">RANDBETWEEN(ranges!F$2*1000,ranges!F$3*1000)/1000</f>
        <v>9.4E-2</v>
      </c>
      <c r="G441" s="3">
        <f t="shared" ca="1" si="69"/>
        <v>9.3045495945140857</v>
      </c>
      <c r="H441" s="4">
        <f t="shared" ca="1" si="70"/>
        <v>12.244695357560701</v>
      </c>
      <c r="I441" s="4">
        <f t="shared" ca="1" si="71"/>
        <v>323.81170517100497</v>
      </c>
      <c r="J441" s="26">
        <f ca="1">RANDBETWEEN(ranges!J$2*1000,ranges!J$3*1000)/1000</f>
        <v>0.73099999999999998</v>
      </c>
      <c r="K441" s="26">
        <f ca="1">RANDBETWEEN(ranges!K$2*1000,ranges!K$3*1000)/1000</f>
        <v>0.92800000000000005</v>
      </c>
      <c r="L441">
        <f t="shared" ca="1" si="72"/>
        <v>127.85510350776765</v>
      </c>
      <c r="M441">
        <f t="shared" ca="1" si="73"/>
        <v>16.879162269378117</v>
      </c>
      <c r="N441" s="4">
        <f t="shared" ca="1" si="74"/>
        <v>5.0374640345841479</v>
      </c>
      <c r="O441" s="4"/>
      <c r="P441" s="1">
        <f ca="1">LOOKUP(B441,geomorph!$A:$A,geomorph!$G:$G)</f>
        <v>105.095181</v>
      </c>
      <c r="Q441" s="1">
        <f t="shared" ca="1" si="75"/>
        <v>121.97434326937811</v>
      </c>
    </row>
    <row r="442" spans="2:17" x14ac:dyDescent="0.3">
      <c r="B442" s="6">
        <f ca="1">RANDBETWEEN(ranges!B$2,ranges!B$3)</f>
        <v>14323</v>
      </c>
      <c r="C442" s="9">
        <f ca="1">LOOKUP(B442,geomorph!A:A,geomorph!B:B)</f>
        <v>1352.7</v>
      </c>
      <c r="D442">
        <f t="shared" si="68"/>
        <v>1.13E-4</v>
      </c>
      <c r="E442" s="9">
        <f ca="1">'[2]Q_GEV(random)'!$J442</f>
        <v>10861.344492046495</v>
      </c>
      <c r="F442" s="26">
        <f ca="1">RANDBETWEEN(ranges!F$2*1000,ranges!F$3*1000)/1000</f>
        <v>0.10299999999999999</v>
      </c>
      <c r="G442" s="3">
        <f t="shared" ca="1" si="69"/>
        <v>8.0293816012763326</v>
      </c>
      <c r="H442" s="4">
        <f t="shared" ca="1" si="70"/>
        <v>11.442184260852905</v>
      </c>
      <c r="I442" s="4">
        <f t="shared" ca="1" si="71"/>
        <v>253.49530835893009</v>
      </c>
      <c r="J442" s="26">
        <f ca="1">RANDBETWEEN(ranges!J$2*1000,ranges!J$3*1000)/1000</f>
        <v>0.70499999999999996</v>
      </c>
      <c r="K442" s="26">
        <f ca="1">RANDBETWEEN(ranges!K$2*1000,ranges!K$3*1000)/1000</f>
        <v>0.86899999999999999</v>
      </c>
      <c r="L442">
        <f t="shared" ca="1" si="72"/>
        <v>107.49591711547006</v>
      </c>
      <c r="M442">
        <f t="shared" ca="1" si="73"/>
        <v>16.43129916027689</v>
      </c>
      <c r="N442" s="4">
        <f t="shared" ca="1" si="74"/>
        <v>5.4229509776347662</v>
      </c>
      <c r="O442" s="4"/>
      <c r="P442" s="1">
        <f ca="1">LOOKUP(B442,geomorph!$A:$A,geomorph!$G:$G)</f>
        <v>104.907601</v>
      </c>
      <c r="Q442" s="1">
        <f t="shared" ca="1" si="75"/>
        <v>121.33890016027689</v>
      </c>
    </row>
    <row r="443" spans="2:17" x14ac:dyDescent="0.3">
      <c r="B443" s="6">
        <f ca="1">RANDBETWEEN(ranges!B$2,ranges!B$3)</f>
        <v>12177</v>
      </c>
      <c r="C443" s="9">
        <f ca="1">LOOKUP(B443,geomorph!A:A,geomorph!B:B)</f>
        <v>1298.3</v>
      </c>
      <c r="D443">
        <f t="shared" si="68"/>
        <v>1.13E-4</v>
      </c>
      <c r="E443" s="9">
        <f ca="1">'[2]Q_GEV(random)'!$J443</f>
        <v>10859.039941697087</v>
      </c>
      <c r="F443" s="26">
        <f ca="1">RANDBETWEEN(ranges!F$2*1000,ranges!F$3*1000)/1000</f>
        <v>9.8000000000000004E-2</v>
      </c>
      <c r="G443" s="3">
        <f t="shared" ca="1" si="69"/>
        <v>8.3640452450874889</v>
      </c>
      <c r="H443" s="4">
        <f t="shared" ca="1" si="70"/>
        <v>11.56453223015456</v>
      </c>
      <c r="I443" s="4">
        <f t="shared" ca="1" si="71"/>
        <v>271.40585275047653</v>
      </c>
      <c r="J443" s="26">
        <f ca="1">RANDBETWEEN(ranges!J$2*1000,ranges!J$3*1000)/1000</f>
        <v>0.70499999999999996</v>
      </c>
      <c r="K443" s="26">
        <f ca="1">RANDBETWEEN(ranges!K$2*1000,ranges!K$3*1000)/1000</f>
        <v>0.90300000000000002</v>
      </c>
      <c r="L443">
        <f t="shared" ca="1" si="72"/>
        <v>112.47147302797396</v>
      </c>
      <c r="M443">
        <f t="shared" ca="1" si="73"/>
        <v>16.500453617840702</v>
      </c>
      <c r="N443" s="4">
        <f t="shared" ca="1" si="74"/>
        <v>5.3651319431371096</v>
      </c>
      <c r="O443" s="4"/>
      <c r="P443" s="1">
        <f ca="1">LOOKUP(B443,geomorph!$A:$A,geomorph!$G:$G)</f>
        <v>105.15055100000001</v>
      </c>
      <c r="Q443" s="1">
        <f t="shared" ca="1" si="75"/>
        <v>121.65100461784071</v>
      </c>
    </row>
    <row r="444" spans="2:17" x14ac:dyDescent="0.3">
      <c r="B444" s="6">
        <f ca="1">RANDBETWEEN(ranges!B$2,ranges!B$3)</f>
        <v>11351</v>
      </c>
      <c r="C444" s="9">
        <f ca="1">LOOKUP(B444,geomorph!A:A,geomorph!B:B)</f>
        <v>1572.9</v>
      </c>
      <c r="D444">
        <f t="shared" si="68"/>
        <v>1.13E-4</v>
      </c>
      <c r="E444" s="9">
        <f ca="1">'[2]Q_GEV(random)'!$J444</f>
        <v>10858.962975586373</v>
      </c>
      <c r="F444" s="26">
        <f ca="1">RANDBETWEEN(ranges!F$2*1000,ranges!F$3*1000)/1000</f>
        <v>9.0999999999999998E-2</v>
      </c>
      <c r="G444" s="3">
        <f t="shared" ca="1" si="69"/>
        <v>6.9037847133233985</v>
      </c>
      <c r="H444" s="4">
        <f t="shared" ca="1" si="70"/>
        <v>9.9276643941277456</v>
      </c>
      <c r="I444" s="4">
        <f t="shared" ca="1" si="71"/>
        <v>197.12440605123481</v>
      </c>
      <c r="J444" s="26">
        <f ca="1">RANDBETWEEN(ranges!J$2*1000,ranges!J$3*1000)/1000</f>
        <v>0.79600000000000004</v>
      </c>
      <c r="K444" s="26">
        <f ca="1">RANDBETWEEN(ranges!K$2*1000,ranges!K$3*1000)/1000</f>
        <v>0.90600000000000003</v>
      </c>
      <c r="L444">
        <f t="shared" ca="1" si="72"/>
        <v>83.557377113197646</v>
      </c>
      <c r="M444">
        <f t="shared" ca="1" si="73"/>
        <v>14.851296026132388</v>
      </c>
      <c r="N444" s="4">
        <f t="shared" ca="1" si="74"/>
        <v>5.3517735130485242</v>
      </c>
      <c r="O444" s="4"/>
      <c r="P444" s="1">
        <f ca="1">LOOKUP(B444,geomorph!$A:$A,geomorph!$G:$G)</f>
        <v>105.243211</v>
      </c>
      <c r="Q444" s="1">
        <f t="shared" ca="1" si="75"/>
        <v>120.09450702613239</v>
      </c>
    </row>
    <row r="445" spans="2:17" x14ac:dyDescent="0.3">
      <c r="B445" s="6">
        <f ca="1">RANDBETWEEN(ranges!B$2,ranges!B$3)</f>
        <v>12811</v>
      </c>
      <c r="C445" s="9">
        <f ca="1">LOOKUP(B445,geomorph!A:A,geomorph!B:B)</f>
        <v>1131.7</v>
      </c>
      <c r="D445">
        <f t="shared" si="68"/>
        <v>1.13E-4</v>
      </c>
      <c r="E445" s="9">
        <f ca="1">'[2]Q_GEV(random)'!$J445</f>
        <v>10853.955343349915</v>
      </c>
      <c r="F445" s="26">
        <f ca="1">RANDBETWEEN(ranges!F$2*1000,ranges!F$3*1000)/1000</f>
        <v>0.108</v>
      </c>
      <c r="G445" s="3">
        <f t="shared" ca="1" si="69"/>
        <v>9.5908415157284743</v>
      </c>
      <c r="H445" s="4">
        <f t="shared" ca="1" si="70"/>
        <v>13.086420107475048</v>
      </c>
      <c r="I445" s="4">
        <f t="shared" ca="1" si="71"/>
        <v>341.10638125468802</v>
      </c>
      <c r="J445" s="26">
        <f ca="1">RANDBETWEEN(ranges!J$2*1000,ranges!J$3*1000)/1000</f>
        <v>0.76300000000000001</v>
      </c>
      <c r="K445" s="26">
        <f ca="1">RANDBETWEEN(ranges!K$2*1000,ranges!K$3*1000)/1000</f>
        <v>0.86599999999999999</v>
      </c>
      <c r="L445">
        <f t="shared" ca="1" si="72"/>
        <v>136.84331198431983</v>
      </c>
      <c r="M445">
        <f t="shared" ca="1" si="73"/>
        <v>17.499810107509987</v>
      </c>
      <c r="N445" s="4">
        <f t="shared" ca="1" si="74"/>
        <v>4.797163043516238</v>
      </c>
      <c r="O445" s="4"/>
      <c r="P445" s="1">
        <f ca="1">LOOKUP(B445,geomorph!$A:$A,geomorph!$G:$G)</f>
        <v>105.078231</v>
      </c>
      <c r="Q445" s="1">
        <f t="shared" ca="1" si="75"/>
        <v>122.57804110750999</v>
      </c>
    </row>
    <row r="446" spans="2:17" x14ac:dyDescent="0.3">
      <c r="B446" s="6">
        <f ca="1">RANDBETWEEN(ranges!B$2,ranges!B$3)</f>
        <v>12528</v>
      </c>
      <c r="C446" s="9">
        <f ca="1">LOOKUP(B446,geomorph!A:A,geomorph!B:B)</f>
        <v>1204.5</v>
      </c>
      <c r="D446">
        <f t="shared" si="68"/>
        <v>1.13E-4</v>
      </c>
      <c r="E446" s="9">
        <f ca="1">'[2]Q_GEV(random)'!$J446</f>
        <v>10846.067283273987</v>
      </c>
      <c r="F446" s="26">
        <f ca="1">RANDBETWEEN(ranges!F$2*1000,ranges!F$3*1000)/1000</f>
        <v>0.11</v>
      </c>
      <c r="G446" s="3">
        <f t="shared" ca="1" si="69"/>
        <v>9.0046220699659507</v>
      </c>
      <c r="H446" s="4">
        <f t="shared" ca="1" si="70"/>
        <v>12.624562933105631</v>
      </c>
      <c r="I446" s="4">
        <f t="shared" ca="1" si="71"/>
        <v>307.29361690218946</v>
      </c>
      <c r="J446" s="26">
        <f ca="1">RANDBETWEEN(ranges!J$2*1000,ranges!J$3*1000)/1000</f>
        <v>0.78700000000000003</v>
      </c>
      <c r="K446" s="26">
        <f ca="1">RANDBETWEEN(ranges!K$2*1000,ranges!K$3*1000)/1000</f>
        <v>0.94399999999999995</v>
      </c>
      <c r="L446">
        <f t="shared" ca="1" si="72"/>
        <v>126.44162663548023</v>
      </c>
      <c r="M446">
        <f t="shared" ca="1" si="73"/>
        <v>17.209780138915264</v>
      </c>
      <c r="N446" s="4">
        <f t="shared" ca="1" si="74"/>
        <v>4.9839317454452523</v>
      </c>
      <c r="O446" s="4"/>
      <c r="P446" s="1">
        <f ca="1">LOOKUP(B446,geomorph!$A:$A,geomorph!$G:$G)</f>
        <v>105.111001</v>
      </c>
      <c r="Q446" s="1">
        <f t="shared" ca="1" si="75"/>
        <v>122.32078113891527</v>
      </c>
    </row>
    <row r="447" spans="2:17" x14ac:dyDescent="0.3">
      <c r="B447" s="6">
        <f ca="1">RANDBETWEEN(ranges!B$2,ranges!B$3)</f>
        <v>12770</v>
      </c>
      <c r="C447" s="9">
        <f ca="1">LOOKUP(B447,geomorph!A:A,geomorph!B:B)</f>
        <v>1140.5</v>
      </c>
      <c r="D447">
        <f t="shared" si="68"/>
        <v>1.13E-4</v>
      </c>
      <c r="E447" s="9">
        <f ca="1">'[2]Q_GEV(random)'!$J447</f>
        <v>10844.812336395442</v>
      </c>
      <c r="F447" s="26">
        <f ca="1">RANDBETWEEN(ranges!F$2*1000,ranges!F$3*1000)/1000</f>
        <v>0.11</v>
      </c>
      <c r="G447" s="3">
        <f t="shared" ca="1" si="69"/>
        <v>9.5088227412498387</v>
      </c>
      <c r="H447" s="4">
        <f t="shared" ca="1" si="70"/>
        <v>13.091533641027958</v>
      </c>
      <c r="I447" s="4">
        <f t="shared" ca="1" si="71"/>
        <v>336.54196670455082</v>
      </c>
      <c r="J447" s="26">
        <f ca="1">RANDBETWEEN(ranges!J$2*1000,ranges!J$3*1000)/1000</f>
        <v>0.74099999999999999</v>
      </c>
      <c r="K447" s="26">
        <f ca="1">RANDBETWEEN(ranges!K$2*1000,ranges!K$3*1000)/1000</f>
        <v>0.84399999999999997</v>
      </c>
      <c r="L447">
        <f t="shared" ca="1" si="72"/>
        <v>136.3330213486303</v>
      </c>
      <c r="M447">
        <f t="shared" ca="1" si="73"/>
        <v>17.570122625836753</v>
      </c>
      <c r="N447" s="4">
        <f t="shared" ca="1" si="74"/>
        <v>4.8680315052269503</v>
      </c>
      <c r="O447" s="4"/>
      <c r="P447" s="1">
        <f ca="1">LOOKUP(B447,geomorph!$A:$A,geomorph!$G:$G)</f>
        <v>105.082751</v>
      </c>
      <c r="Q447" s="1">
        <f t="shared" ca="1" si="75"/>
        <v>122.65287362583675</v>
      </c>
    </row>
    <row r="448" spans="2:17" x14ac:dyDescent="0.3">
      <c r="B448" s="6">
        <f ca="1">RANDBETWEEN(ranges!B$2,ranges!B$3)</f>
        <v>10637</v>
      </c>
      <c r="C448" s="9">
        <f ca="1">LOOKUP(B448,geomorph!A:A,geomorph!B:B)</f>
        <v>1732</v>
      </c>
      <c r="D448">
        <f t="shared" si="68"/>
        <v>1.13E-4</v>
      </c>
      <c r="E448" s="9">
        <f ca="1">'[2]Q_GEV(random)'!$J448</f>
        <v>10841.180634705428</v>
      </c>
      <c r="F448" s="26">
        <f ca="1">RANDBETWEEN(ranges!F$2*1000,ranges!F$3*1000)/1000</f>
        <v>9.6000000000000002E-2</v>
      </c>
      <c r="G448" s="3">
        <f t="shared" ca="1" si="69"/>
        <v>6.2593421678437808</v>
      </c>
      <c r="H448" s="4">
        <f t="shared" ca="1" si="70"/>
        <v>9.4671226360905152</v>
      </c>
      <c r="I448" s="4">
        <f t="shared" ca="1" si="71"/>
        <v>167.6954417470586</v>
      </c>
      <c r="J448" s="26">
        <f ca="1">RANDBETWEEN(ranges!J$2*1000,ranges!J$3*1000)/1000</f>
        <v>0.78200000000000003</v>
      </c>
      <c r="K448" s="26">
        <f ca="1">RANDBETWEEN(ranges!K$2*1000,ranges!K$3*1000)/1000</f>
        <v>0.85199999999999998</v>
      </c>
      <c r="L448">
        <f t="shared" ca="1" si="72"/>
        <v>74.657103819386663</v>
      </c>
      <c r="M448">
        <f t="shared" ca="1" si="73"/>
        <v>14.61158973111508</v>
      </c>
      <c r="N448" s="4">
        <f t="shared" ca="1" si="74"/>
        <v>5.5918120598093095</v>
      </c>
      <c r="O448" s="4"/>
      <c r="P448" s="1">
        <f ca="1">LOOKUP(B448,geomorph!$A:$A,geomorph!$G:$G)</f>
        <v>105.32457100000001</v>
      </c>
      <c r="Q448" s="1">
        <f t="shared" ca="1" si="75"/>
        <v>119.93616073111508</v>
      </c>
    </row>
    <row r="449" spans="2:17" x14ac:dyDescent="0.3">
      <c r="B449" s="6">
        <f ca="1">RANDBETWEEN(ranges!B$2,ranges!B$3)</f>
        <v>10103</v>
      </c>
      <c r="C449" s="9">
        <f ca="1">LOOKUP(B449,geomorph!A:A,geomorph!B:B)</f>
        <v>1600.5</v>
      </c>
      <c r="D449">
        <f t="shared" si="68"/>
        <v>1.13E-4</v>
      </c>
      <c r="E449" s="9">
        <f ca="1">'[2]Q_GEV(random)'!$J449</f>
        <v>10839.512372705038</v>
      </c>
      <c r="F449" s="26">
        <f ca="1">RANDBETWEEN(ranges!F$2*1000,ranges!F$3*1000)/1000</f>
        <v>9.8000000000000004E-2</v>
      </c>
      <c r="G449" s="3">
        <f t="shared" ca="1" si="69"/>
        <v>6.7725788020650031</v>
      </c>
      <c r="H449" s="4">
        <f t="shared" ca="1" si="70"/>
        <v>10.046617467683733</v>
      </c>
      <c r="I449" s="4">
        <f t="shared" ca="1" si="71"/>
        <v>191.26274438468141</v>
      </c>
      <c r="J449" s="26">
        <f ca="1">RANDBETWEEN(ranges!J$2*1000,ranges!J$3*1000)/1000</f>
        <v>0.77900000000000003</v>
      </c>
      <c r="K449" s="26">
        <f ca="1">RANDBETWEEN(ranges!K$2*1000,ranges!K$3*1000)/1000</f>
        <v>0.91</v>
      </c>
      <c r="L449">
        <f t="shared" ca="1" si="72"/>
        <v>83.650041199796433</v>
      </c>
      <c r="M449">
        <f t="shared" ca="1" si="73"/>
        <v>15.128653676250984</v>
      </c>
      <c r="N449" s="4">
        <f t="shared" ca="1" si="74"/>
        <v>5.5239524006165768</v>
      </c>
      <c r="O449" s="4"/>
      <c r="P449" s="1">
        <f ca="1">LOOKUP(B449,geomorph!$A:$A,geomorph!$G:$G)</f>
        <v>105.384461</v>
      </c>
      <c r="Q449" s="1">
        <f t="shared" ca="1" si="75"/>
        <v>120.51311467625098</v>
      </c>
    </row>
    <row r="450" spans="2:17" x14ac:dyDescent="0.3">
      <c r="B450" s="6">
        <f ca="1">RANDBETWEEN(ranges!B$2,ranges!B$3)</f>
        <v>10820</v>
      </c>
      <c r="C450" s="9">
        <f ca="1">LOOKUP(B450,geomorph!A:A,geomorph!B:B)</f>
        <v>1664.2</v>
      </c>
      <c r="D450">
        <f t="shared" si="68"/>
        <v>1.13E-4</v>
      </c>
      <c r="E450" s="9">
        <f ca="1">'[2]Q_GEV(random)'!$J450</f>
        <v>10838.317619488673</v>
      </c>
      <c r="F450" s="26">
        <f ca="1">RANDBETWEEN(ranges!F$2*1000,ranges!F$3*1000)/1000</f>
        <v>0.11</v>
      </c>
      <c r="G450" s="3">
        <f t="shared" ca="1" si="69"/>
        <v>6.5126292630024469</v>
      </c>
      <c r="H450" s="4">
        <f t="shared" ca="1" si="70"/>
        <v>10.172091604388584</v>
      </c>
      <c r="I450" s="4">
        <f t="shared" ca="1" si="71"/>
        <v>179.20442810059313</v>
      </c>
      <c r="J450" s="26">
        <f ca="1">RANDBETWEEN(ranges!J$2*1000,ranges!J$3*1000)/1000</f>
        <v>0.79900000000000004</v>
      </c>
      <c r="K450" s="26">
        <f ca="1">RANDBETWEEN(ranges!K$2*1000,ranges!K$3*1000)/1000</f>
        <v>0.874</v>
      </c>
      <c r="L450">
        <f t="shared" ca="1" si="72"/>
        <v>81.124860805050361</v>
      </c>
      <c r="M450">
        <f t="shared" ca="1" si="73"/>
        <v>15.255903248749423</v>
      </c>
      <c r="N450" s="4">
        <f t="shared" ca="1" si="74"/>
        <v>5.5258822221313464</v>
      </c>
      <c r="O450" s="4"/>
      <c r="P450" s="1">
        <f ca="1">LOOKUP(B450,geomorph!$A:$A,geomorph!$G:$G)</f>
        <v>105.303101</v>
      </c>
      <c r="Q450" s="1">
        <f t="shared" ca="1" si="75"/>
        <v>120.55900424874942</v>
      </c>
    </row>
    <row r="451" spans="2:17" x14ac:dyDescent="0.3">
      <c r="B451" s="6">
        <f ca="1">RANDBETWEEN(ranges!B$2,ranges!B$3)</f>
        <v>11213</v>
      </c>
      <c r="C451" s="9">
        <f ca="1">LOOKUP(B451,geomorph!A:A,geomorph!B:B)</f>
        <v>1655.9</v>
      </c>
      <c r="D451">
        <f t="shared" si="68"/>
        <v>1.13E-4</v>
      </c>
      <c r="E451" s="9">
        <f ca="1">'[2]Q_GEV(random)'!$J451</f>
        <v>10835.211511799065</v>
      </c>
      <c r="F451" s="26">
        <f ca="1">RANDBETWEEN(ranges!F$2*1000,ranges!F$3*1000)/1000</f>
        <v>9.6000000000000002E-2</v>
      </c>
      <c r="G451" s="3">
        <f t="shared" ca="1" si="69"/>
        <v>6.5433972533359892</v>
      </c>
      <c r="H451" s="4">
        <f t="shared" ca="1" si="70"/>
        <v>9.7514170892140317</v>
      </c>
      <c r="I451" s="4">
        <f t="shared" ca="1" si="71"/>
        <v>180.66946936596247</v>
      </c>
      <c r="J451" s="26">
        <f ca="1">RANDBETWEEN(ranges!J$2*1000,ranges!J$3*1000)/1000</f>
        <v>0.78500000000000003</v>
      </c>
      <c r="K451" s="26">
        <f ca="1">RANDBETWEEN(ranges!K$2*1000,ranges!K$3*1000)/1000</f>
        <v>0.96099999999999997</v>
      </c>
      <c r="L451">
        <f t="shared" ca="1" si="72"/>
        <v>79.984159941662341</v>
      </c>
      <c r="M451">
        <f t="shared" ca="1" si="73"/>
        <v>14.966372060556051</v>
      </c>
      <c r="N451" s="4">
        <f t="shared" ca="1" si="74"/>
        <v>5.6684293166761073</v>
      </c>
      <c r="O451" s="4"/>
      <c r="P451" s="1">
        <f ca="1">LOOKUP(B451,geomorph!$A:$A,geomorph!$G:$G)</f>
        <v>105.25903100000001</v>
      </c>
      <c r="Q451" s="1">
        <f t="shared" ca="1" si="75"/>
        <v>120.22540306055606</v>
      </c>
    </row>
    <row r="452" spans="2:17" x14ac:dyDescent="0.3">
      <c r="B452" s="6">
        <f ca="1">RANDBETWEEN(ranges!B$2,ranges!B$3)</f>
        <v>13572</v>
      </c>
      <c r="C452" s="9">
        <f ca="1">LOOKUP(B452,geomorph!A:A,geomorph!B:B)</f>
        <v>1220.3</v>
      </c>
      <c r="D452">
        <f t="shared" si="68"/>
        <v>1.13E-4</v>
      </c>
      <c r="E452" s="9">
        <f ca="1">'[2]Q_GEV(random)'!$J452</f>
        <v>10833.113509465687</v>
      </c>
      <c r="F452" s="26">
        <f ca="1">RANDBETWEEN(ranges!F$2*1000,ranges!F$3*1000)/1000</f>
        <v>0.10100000000000001</v>
      </c>
      <c r="G452" s="3">
        <f t="shared" ca="1" si="69"/>
        <v>8.8774182655623104</v>
      </c>
      <c r="H452" s="4">
        <f t="shared" ca="1" si="70"/>
        <v>12.154582418181343</v>
      </c>
      <c r="I452" s="4">
        <f t="shared" ca="1" si="71"/>
        <v>300.45160426593009</v>
      </c>
      <c r="J452" s="26">
        <f ca="1">RANDBETWEEN(ranges!J$2*1000,ranges!J$3*1000)/1000</f>
        <v>0.73599999999999999</v>
      </c>
      <c r="K452" s="26">
        <f ca="1">RANDBETWEEN(ranges!K$2*1000,ranges!K$3*1000)/1000</f>
        <v>0.95799999999999996</v>
      </c>
      <c r="L452">
        <f t="shared" ca="1" si="72"/>
        <v>122.85858566117145</v>
      </c>
      <c r="M452">
        <f t="shared" ca="1" si="73"/>
        <v>16.941449525303007</v>
      </c>
      <c r="N452" s="4">
        <f t="shared" ca="1" si="74"/>
        <v>5.2031164207844167</v>
      </c>
      <c r="O452" s="4"/>
      <c r="P452" s="1">
        <f ca="1">LOOKUP(B452,geomorph!$A:$A,geomorph!$G:$G)</f>
        <v>104.992351</v>
      </c>
      <c r="Q452" s="1">
        <f t="shared" ca="1" si="75"/>
        <v>121.93380052530301</v>
      </c>
    </row>
    <row r="453" spans="2:17" x14ac:dyDescent="0.3">
      <c r="B453" s="6">
        <f ca="1">RANDBETWEEN(ranges!B$2,ranges!B$3)</f>
        <v>10018</v>
      </c>
      <c r="C453" s="9">
        <f ca="1">LOOKUP(B453,geomorph!A:A,geomorph!B:B)</f>
        <v>1705.9</v>
      </c>
      <c r="D453">
        <f t="shared" si="68"/>
        <v>1.13E-4</v>
      </c>
      <c r="E453" s="9">
        <f ca="1">'[2]Q_GEV(random)'!$J453</f>
        <v>10830.973645785643</v>
      </c>
      <c r="F453" s="26">
        <f ca="1">RANDBETWEEN(ranges!F$2*1000,ranges!F$3*1000)/1000</f>
        <v>9.5000000000000001E-2</v>
      </c>
      <c r="G453" s="3">
        <f t="shared" ca="1" si="69"/>
        <v>6.3491257669181325</v>
      </c>
      <c r="H453" s="4">
        <f t="shared" ca="1" si="70"/>
        <v>9.5241366586895495</v>
      </c>
      <c r="I453" s="4">
        <f t="shared" ca="1" si="71"/>
        <v>171.88543107377359</v>
      </c>
      <c r="J453" s="26">
        <f ca="1">RANDBETWEEN(ranges!J$2*1000,ranges!J$3*1000)/1000</f>
        <v>0.748</v>
      </c>
      <c r="K453" s="26">
        <f ca="1">RANDBETWEEN(ranges!K$2*1000,ranges!K$3*1000)/1000</f>
        <v>0.85699999999999998</v>
      </c>
      <c r="L453">
        <f t="shared" ca="1" si="72"/>
        <v>76.742103054221431</v>
      </c>
      <c r="M453">
        <f t="shared" ca="1" si="73"/>
        <v>14.793321956822187</v>
      </c>
      <c r="N453" s="4">
        <f t="shared" ca="1" si="74"/>
        <v>5.7273753240572143</v>
      </c>
      <c r="O453" s="4"/>
      <c r="P453" s="1">
        <f ca="1">LOOKUP(B453,geomorph!$A:$A,geomorph!$G:$G)</f>
        <v>105.394631</v>
      </c>
      <c r="Q453" s="1">
        <f t="shared" ca="1" si="75"/>
        <v>120.18795295682219</v>
      </c>
    </row>
    <row r="454" spans="2:17" x14ac:dyDescent="0.3">
      <c r="B454" s="6">
        <f ca="1">RANDBETWEEN(ranges!B$2,ranges!B$3)</f>
        <v>10783</v>
      </c>
      <c r="C454" s="9">
        <f ca="1">LOOKUP(B454,geomorph!A:A,geomorph!B:B)</f>
        <v>1676.5</v>
      </c>
      <c r="D454">
        <f t="shared" si="68"/>
        <v>1.13E-4</v>
      </c>
      <c r="E454" s="9">
        <f ca="1">'[2]Q_GEV(random)'!$J454</f>
        <v>10821.465873284675</v>
      </c>
      <c r="F454" s="26">
        <f ca="1">RANDBETWEEN(ranges!F$2*1000,ranges!F$3*1000)/1000</f>
        <v>0.106</v>
      </c>
      <c r="G454" s="3">
        <f t="shared" ca="1" si="69"/>
        <v>6.4547962262360121</v>
      </c>
      <c r="H454" s="4">
        <f t="shared" ca="1" si="70"/>
        <v>9.9876989345215748</v>
      </c>
      <c r="I454" s="4">
        <f t="shared" ca="1" si="71"/>
        <v>176.83496878996158</v>
      </c>
      <c r="J454" s="26">
        <f ca="1">RANDBETWEEN(ranges!J$2*1000,ranges!J$3*1000)/1000</f>
        <v>0.78</v>
      </c>
      <c r="K454" s="26">
        <f ca="1">RANDBETWEEN(ranges!K$2*1000,ranges!K$3*1000)/1000</f>
        <v>0.878</v>
      </c>
      <c r="L454">
        <f t="shared" ca="1" si="72"/>
        <v>80.019730392978673</v>
      </c>
      <c r="M454">
        <f t="shared" ca="1" si="73"/>
        <v>15.159297814432646</v>
      </c>
      <c r="N454" s="4">
        <f t="shared" ca="1" si="74"/>
        <v>5.6213031303381209</v>
      </c>
      <c r="O454" s="4"/>
      <c r="P454" s="1">
        <f ca="1">LOOKUP(B454,geomorph!$A:$A,geomorph!$G:$G)</f>
        <v>105.307621</v>
      </c>
      <c r="Q454" s="1">
        <f t="shared" ca="1" si="75"/>
        <v>120.46691881443265</v>
      </c>
    </row>
    <row r="455" spans="2:17" x14ac:dyDescent="0.3">
      <c r="B455" s="6">
        <f ca="1">RANDBETWEEN(ranges!B$2,ranges!B$3)</f>
        <v>11808</v>
      </c>
      <c r="C455" s="9">
        <f ca="1">LOOKUP(B455,geomorph!A:A,geomorph!B:B)</f>
        <v>1410.8</v>
      </c>
      <c r="D455">
        <f t="shared" si="68"/>
        <v>1.13E-4</v>
      </c>
      <c r="E455" s="9">
        <f ca="1">'[2]Q_GEV(random)'!$J455</f>
        <v>10817.486379666407</v>
      </c>
      <c r="F455" s="26">
        <f ca="1">RANDBETWEEN(ranges!F$2*1000,ranges!F$3*1000)/1000</f>
        <v>9.8000000000000004E-2</v>
      </c>
      <c r="G455" s="3">
        <f t="shared" ca="1" si="69"/>
        <v>7.6676257298457662</v>
      </c>
      <c r="H455" s="4">
        <f t="shared" ca="1" si="70"/>
        <v>10.913341848846155</v>
      </c>
      <c r="I455" s="4">
        <f t="shared" ca="1" si="71"/>
        <v>235.69941428267094</v>
      </c>
      <c r="J455" s="26">
        <f ca="1">RANDBETWEEN(ranges!J$2*1000,ranges!J$3*1000)/1000</f>
        <v>0.65300000000000002</v>
      </c>
      <c r="K455" s="26">
        <f ca="1">RANDBETWEEN(ranges!K$2*1000,ranges!K$3*1000)/1000</f>
        <v>0.82099999999999995</v>
      </c>
      <c r="L455">
        <f t="shared" ca="1" si="72"/>
        <v>101.23334755574754</v>
      </c>
      <c r="M455">
        <f t="shared" ca="1" si="73"/>
        <v>16.138660760676295</v>
      </c>
      <c r="N455" s="4">
        <f t="shared" ca="1" si="74"/>
        <v>5.6796944693805864</v>
      </c>
      <c r="O455" s="4"/>
      <c r="P455" s="1">
        <f ca="1">LOOKUP(B455,geomorph!$A:$A,geomorph!$G:$G)</f>
        <v>105.19236100000001</v>
      </c>
      <c r="Q455" s="1">
        <f t="shared" ca="1" si="75"/>
        <v>121.33102176067629</v>
      </c>
    </row>
    <row r="456" spans="2:17" x14ac:dyDescent="0.3">
      <c r="B456" s="6">
        <f ca="1">RANDBETWEEN(ranges!B$2,ranges!B$3)</f>
        <v>12887</v>
      </c>
      <c r="C456" s="9">
        <f ca="1">LOOKUP(B456,geomorph!A:A,geomorph!B:B)</f>
        <v>1136</v>
      </c>
      <c r="D456">
        <f t="shared" si="68"/>
        <v>1.13E-4</v>
      </c>
      <c r="E456" s="9">
        <f ca="1">'[2]Q_GEV(random)'!$J456</f>
        <v>10809.129010481591</v>
      </c>
      <c r="F456" s="26">
        <f ca="1">RANDBETWEEN(ranges!F$2*1000,ranges!F$3*1000)/1000</f>
        <v>9.4E-2</v>
      </c>
      <c r="G456" s="3">
        <f t="shared" ca="1" si="69"/>
        <v>9.5150783542971755</v>
      </c>
      <c r="H456" s="4">
        <f t="shared" ca="1" si="70"/>
        <v>12.428708256615653</v>
      </c>
      <c r="I456" s="4">
        <f t="shared" ca="1" si="71"/>
        <v>338.0232695513601</v>
      </c>
      <c r="J456" s="26">
        <f ca="1">RANDBETWEEN(ranges!J$2*1000,ranges!J$3*1000)/1000</f>
        <v>0.66</v>
      </c>
      <c r="K456" s="26">
        <f ca="1">RANDBETWEEN(ranges!K$2*1000,ranges!K$3*1000)/1000</f>
        <v>0.85799999999999998</v>
      </c>
      <c r="L456">
        <f t="shared" ca="1" si="72"/>
        <v>133.86851231183567</v>
      </c>
      <c r="M456">
        <f t="shared" ca="1" si="73"/>
        <v>17.184433188445723</v>
      </c>
      <c r="N456" s="4">
        <f t="shared" ca="1" si="74"/>
        <v>5.1692662302500754</v>
      </c>
      <c r="O456" s="4"/>
      <c r="P456" s="1">
        <f ca="1">LOOKUP(B456,geomorph!$A:$A,geomorph!$G:$G)</f>
        <v>105.07032100000001</v>
      </c>
      <c r="Q456" s="1">
        <f t="shared" ca="1" si="75"/>
        <v>122.25475418844573</v>
      </c>
    </row>
    <row r="457" spans="2:17" x14ac:dyDescent="0.3">
      <c r="B457" s="6">
        <f ca="1">RANDBETWEEN(ranges!B$2,ranges!B$3)</f>
        <v>11842</v>
      </c>
      <c r="C457" s="9">
        <f ca="1">LOOKUP(B457,geomorph!A:A,geomorph!B:B)</f>
        <v>1399.1</v>
      </c>
      <c r="D457">
        <f t="shared" si="68"/>
        <v>1.13E-4</v>
      </c>
      <c r="E457" s="9">
        <f ca="1">'[2]Q_GEV(random)'!$J457</f>
        <v>10799.485600025824</v>
      </c>
      <c r="F457" s="26">
        <f ca="1">RANDBETWEEN(ranges!F$2*1000,ranges!F$3*1000)/1000</f>
        <v>0.106</v>
      </c>
      <c r="G457" s="3">
        <f t="shared" ca="1" si="69"/>
        <v>7.7188804231476125</v>
      </c>
      <c r="H457" s="4">
        <f t="shared" ca="1" si="70"/>
        <v>11.252437959587102</v>
      </c>
      <c r="I457" s="4">
        <f t="shared" ca="1" si="71"/>
        <v>238.72842661115058</v>
      </c>
      <c r="J457" s="26">
        <f ca="1">RANDBETWEEN(ranges!J$2*1000,ranges!J$3*1000)/1000</f>
        <v>0.68600000000000005</v>
      </c>
      <c r="K457" s="26">
        <f ca="1">RANDBETWEEN(ranges!K$2*1000,ranges!K$3*1000)/1000</f>
        <v>0.80800000000000005</v>
      </c>
      <c r="L457">
        <f t="shared" ca="1" si="72"/>
        <v>103.10216131542518</v>
      </c>
      <c r="M457">
        <f t="shared" ca="1" si="73"/>
        <v>16.300276430294481</v>
      </c>
      <c r="N457" s="4">
        <f t="shared" ca="1" si="74"/>
        <v>5.4867809464210646</v>
      </c>
      <c r="O457" s="4"/>
      <c r="P457" s="1">
        <f ca="1">LOOKUP(B457,geomorph!$A:$A,geomorph!$G:$G)</f>
        <v>105.18784100000001</v>
      </c>
      <c r="Q457" s="1">
        <f t="shared" ca="1" si="75"/>
        <v>121.48811743029449</v>
      </c>
    </row>
    <row r="458" spans="2:17" x14ac:dyDescent="0.3">
      <c r="B458" s="6">
        <f ca="1">RANDBETWEEN(ranges!B$2,ranges!B$3)</f>
        <v>12685</v>
      </c>
      <c r="C458" s="9">
        <f ca="1">LOOKUP(B458,geomorph!A:A,geomorph!B:B)</f>
        <v>1163.0999999999999</v>
      </c>
      <c r="D458">
        <f t="shared" si="68"/>
        <v>1.13E-4</v>
      </c>
      <c r="E458" s="9">
        <f ca="1">'[2]Q_GEV(random)'!$J458</f>
        <v>10786.052843408033</v>
      </c>
      <c r="F458" s="26">
        <f ca="1">RANDBETWEEN(ranges!F$2*1000,ranges!F$3*1000)/1000</f>
        <v>0.104</v>
      </c>
      <c r="G458" s="3">
        <f t="shared" ca="1" si="69"/>
        <v>9.2735386840409539</v>
      </c>
      <c r="H458" s="4">
        <f t="shared" ca="1" si="70"/>
        <v>12.636202247790541</v>
      </c>
      <c r="I458" s="4">
        <f t="shared" ca="1" si="71"/>
        <v>324.53630446532844</v>
      </c>
      <c r="J458" s="26">
        <f ca="1">RANDBETWEEN(ranges!J$2*1000,ranges!J$3*1000)/1000</f>
        <v>0.61299999999999999</v>
      </c>
      <c r="K458" s="26">
        <f ca="1">RANDBETWEEN(ranges!K$2*1000,ranges!K$3*1000)/1000</f>
        <v>0.91100000000000003</v>
      </c>
      <c r="L458">
        <f t="shared" ca="1" si="72"/>
        <v>135.74365314105987</v>
      </c>
      <c r="M458">
        <f t="shared" ca="1" si="73"/>
        <v>17.840829055425438</v>
      </c>
      <c r="N458" s="4">
        <f t="shared" ca="1" si="74"/>
        <v>5.6572030517770617</v>
      </c>
      <c r="O458" s="4"/>
      <c r="P458" s="1">
        <f ca="1">LOOKUP(B458,geomorph!$A:$A,geomorph!$G:$G)</f>
        <v>105.092921</v>
      </c>
      <c r="Q458" s="1">
        <f t="shared" ca="1" si="75"/>
        <v>122.93375005542543</v>
      </c>
    </row>
    <row r="459" spans="2:17" x14ac:dyDescent="0.3">
      <c r="B459" s="6">
        <f ca="1">RANDBETWEEN(ranges!B$2,ranges!B$3)</f>
        <v>13677</v>
      </c>
      <c r="C459" s="9">
        <f ca="1">LOOKUP(B459,geomorph!A:A,geomorph!B:B)</f>
        <v>1245.5999999999999</v>
      </c>
      <c r="D459">
        <f t="shared" ref="D459:D522" si="76">D458</f>
        <v>1.13E-4</v>
      </c>
      <c r="E459" s="9">
        <f ca="1">'[2]Q_GEV(random)'!$J459</f>
        <v>10786.021435758636</v>
      </c>
      <c r="F459" s="26">
        <f ca="1">RANDBETWEEN(ranges!F$2*1000,ranges!F$3*1000)/1000</f>
        <v>0.106</v>
      </c>
      <c r="G459" s="3">
        <f t="shared" ref="G459:G522" ca="1" si="77">E459/C459</f>
        <v>8.6592978771344224</v>
      </c>
      <c r="H459" s="4">
        <f t="shared" ref="H459:H522" ca="1" si="78">POWER(G459/SQRT(4*9.807*D459/F459),2/3)</f>
        <v>12.148767052132513</v>
      </c>
      <c r="I459" s="4">
        <f t="shared" ref="I459:I522" ca="1" si="79">POWER(G459*G459/9.807/D459,1/3)/C459/D459</f>
        <v>289.50753418955333</v>
      </c>
      <c r="J459" s="26">
        <f ca="1">RANDBETWEEN(ranges!J$2*1000,ranges!J$3*1000)/1000</f>
        <v>0.72399999999999998</v>
      </c>
      <c r="K459" s="26">
        <f ca="1">RANDBETWEEN(ranges!K$2*1000,ranges!K$3*1000)/1000</f>
        <v>0.80900000000000005</v>
      </c>
      <c r="L459">
        <f t="shared" ref="L459:L522" ca="1" si="80">0.63*POWER(F459,1/3)*I459+5.75*(1+SQRT(1+0.11*J459*POWER(F459,1/3)*K459*I459))/J459</f>
        <v>119.15750556066124</v>
      </c>
      <c r="M459">
        <f t="shared" ref="M459:M522" ca="1" si="81">L459*C459*D459</f>
        <v>16.771752548678638</v>
      </c>
      <c r="N459" s="4">
        <f t="shared" ref="N459:N522" ca="1" si="82">(M459-H459)/0.92</f>
        <v>5.0249842353762224</v>
      </c>
      <c r="O459" s="4"/>
      <c r="P459" s="1">
        <f ca="1">LOOKUP(B459,geomorph!$A:$A,geomorph!$G:$G)</f>
        <v>104.98105100000001</v>
      </c>
      <c r="Q459" s="1">
        <f t="shared" ref="Q459:Q522" ca="1" si="83">M459+P459</f>
        <v>121.75280354867864</v>
      </c>
    </row>
    <row r="460" spans="2:17" x14ac:dyDescent="0.3">
      <c r="B460" s="6">
        <f ca="1">RANDBETWEEN(ranges!B$2,ranges!B$3)</f>
        <v>12397</v>
      </c>
      <c r="C460" s="9">
        <f ca="1">LOOKUP(B460,geomorph!A:A,geomorph!B:B)</f>
        <v>1238.8</v>
      </c>
      <c r="D460">
        <f t="shared" si="76"/>
        <v>1.13E-4</v>
      </c>
      <c r="E460" s="9">
        <f ca="1">'[2]Q_GEV(random)'!$J460</f>
        <v>10769.302292266717</v>
      </c>
      <c r="F460" s="26">
        <f ca="1">RANDBETWEEN(ranges!F$2*1000,ranges!F$3*1000)/1000</f>
        <v>9.2999999999999999E-2</v>
      </c>
      <c r="G460" s="3">
        <f t="shared" ca="1" si="77"/>
        <v>8.6933341074158204</v>
      </c>
      <c r="H460" s="4">
        <f t="shared" ca="1" si="78"/>
        <v>11.660764563465447</v>
      </c>
      <c r="I460" s="4">
        <f t="shared" ca="1" si="79"/>
        <v>291.85898485905597</v>
      </c>
      <c r="J460" s="26">
        <f ca="1">RANDBETWEEN(ranges!J$2*1000,ranges!J$3*1000)/1000</f>
        <v>0.60299999999999998</v>
      </c>
      <c r="K460" s="26">
        <f ca="1">RANDBETWEEN(ranges!K$2*1000,ranges!K$3*1000)/1000</f>
        <v>0.94</v>
      </c>
      <c r="L460">
        <f t="shared" ca="1" si="80"/>
        <v>121.8344972905612</v>
      </c>
      <c r="M460">
        <f t="shared" ca="1" si="81"/>
        <v>17.054929002520833</v>
      </c>
      <c r="N460" s="4">
        <f t="shared" ca="1" si="82"/>
        <v>5.8632222163645498</v>
      </c>
      <c r="O460" s="4"/>
      <c r="P460" s="1">
        <f ca="1">LOOKUP(B460,geomorph!$A:$A,geomorph!$G:$G)</f>
        <v>105.125691</v>
      </c>
      <c r="Q460" s="1">
        <f t="shared" ca="1" si="83"/>
        <v>122.18062000252084</v>
      </c>
    </row>
    <row r="461" spans="2:17" x14ac:dyDescent="0.3">
      <c r="B461" s="6">
        <f ca="1">RANDBETWEEN(ranges!B$2,ranges!B$3)</f>
        <v>10517</v>
      </c>
      <c r="C461" s="9">
        <f ca="1">LOOKUP(B461,geomorph!A:A,geomorph!B:B)</f>
        <v>1761.2</v>
      </c>
      <c r="D461">
        <f t="shared" si="76"/>
        <v>1.13E-4</v>
      </c>
      <c r="E461" s="9">
        <f ca="1">'[2]Q_GEV(random)'!$J461</f>
        <v>10736.754895634007</v>
      </c>
      <c r="F461" s="26">
        <f ca="1">RANDBETWEEN(ranges!F$2*1000,ranges!F$3*1000)/1000</f>
        <v>9.4E-2</v>
      </c>
      <c r="G461" s="3">
        <f t="shared" ca="1" si="77"/>
        <v>6.0962723686316185</v>
      </c>
      <c r="H461" s="4">
        <f t="shared" ca="1" si="78"/>
        <v>9.236922984487494</v>
      </c>
      <c r="I461" s="4">
        <f t="shared" ca="1" si="79"/>
        <v>162.03826394023372</v>
      </c>
      <c r="J461" s="26">
        <f ca="1">RANDBETWEEN(ranges!J$2*1000,ranges!J$3*1000)/1000</f>
        <v>0.753</v>
      </c>
      <c r="K461" s="26">
        <f ca="1">RANDBETWEEN(ranges!K$2*1000,ranges!K$3*1000)/1000</f>
        <v>0.88200000000000001</v>
      </c>
      <c r="L461">
        <f t="shared" ca="1" si="80"/>
        <v>73.343674617684542</v>
      </c>
      <c r="M461">
        <f t="shared" ca="1" si="81"/>
        <v>14.596535410243259</v>
      </c>
      <c r="N461" s="4">
        <f t="shared" ca="1" si="82"/>
        <v>5.8256656801693101</v>
      </c>
      <c r="O461" s="4"/>
      <c r="P461" s="1">
        <f ca="1">LOOKUP(B461,geomorph!$A:$A,geomorph!$G:$G)</f>
        <v>105.338131</v>
      </c>
      <c r="Q461" s="1">
        <f t="shared" ca="1" si="83"/>
        <v>119.93466641024327</v>
      </c>
    </row>
    <row r="462" spans="2:17" x14ac:dyDescent="0.3">
      <c r="B462" s="6">
        <f ca="1">RANDBETWEEN(ranges!B$2,ranges!B$3)</f>
        <v>10472</v>
      </c>
      <c r="C462" s="9">
        <f ca="1">LOOKUP(B462,geomorph!A:A,geomorph!B:B)</f>
        <v>1762.8</v>
      </c>
      <c r="D462">
        <f t="shared" si="76"/>
        <v>1.13E-4</v>
      </c>
      <c r="E462" s="9">
        <f ca="1">'[2]Q_GEV(random)'!$J462</f>
        <v>10731.14309337849</v>
      </c>
      <c r="F462" s="26">
        <f ca="1">RANDBETWEEN(ranges!F$2*1000,ranges!F$3*1000)/1000</f>
        <v>0.1</v>
      </c>
      <c r="G462" s="3">
        <f t="shared" ca="1" si="77"/>
        <v>6.0875556463458649</v>
      </c>
      <c r="H462" s="4">
        <f t="shared" ca="1" si="78"/>
        <v>9.4204234757709528</v>
      </c>
      <c r="I462" s="4">
        <f t="shared" ca="1" si="79"/>
        <v>161.7368341102231</v>
      </c>
      <c r="J462" s="26">
        <f ca="1">RANDBETWEEN(ranges!J$2*1000,ranges!J$3*1000)/1000</f>
        <v>0.79900000000000004</v>
      </c>
      <c r="K462" s="26">
        <f ca="1">RANDBETWEEN(ranges!K$2*1000,ranges!K$3*1000)/1000</f>
        <v>0.81499999999999995</v>
      </c>
      <c r="L462">
        <f t="shared" ca="1" si="80"/>
        <v>72.665282893010072</v>
      </c>
      <c r="M462">
        <f t="shared" ca="1" si="81"/>
        <v>14.47466275726919</v>
      </c>
      <c r="N462" s="4">
        <f t="shared" ca="1" si="82"/>
        <v>5.4937383494546053</v>
      </c>
      <c r="O462" s="4"/>
      <c r="P462" s="1">
        <f ca="1">LOOKUP(B462,geomorph!$A:$A,geomorph!$G:$G)</f>
        <v>105.342651</v>
      </c>
      <c r="Q462" s="1">
        <f t="shared" ca="1" si="83"/>
        <v>119.81731375726919</v>
      </c>
    </row>
    <row r="463" spans="2:17" x14ac:dyDescent="0.3">
      <c r="B463" s="6">
        <f ca="1">RANDBETWEEN(ranges!B$2,ranges!B$3)</f>
        <v>14384</v>
      </c>
      <c r="C463" s="9">
        <f ca="1">LOOKUP(B463,geomorph!A:A,geomorph!B:B)</f>
        <v>1370.7</v>
      </c>
      <c r="D463">
        <f t="shared" si="76"/>
        <v>1.13E-4</v>
      </c>
      <c r="E463" s="9">
        <f ca="1">'[2]Q_GEV(random)'!$J463</f>
        <v>10727.640805062023</v>
      </c>
      <c r="F463" s="26">
        <f ca="1">RANDBETWEEN(ranges!F$2*1000,ranges!F$3*1000)/1000</f>
        <v>0.10199999999999999</v>
      </c>
      <c r="G463" s="3">
        <f t="shared" ca="1" si="77"/>
        <v>7.8263958598249239</v>
      </c>
      <c r="H463" s="4">
        <f t="shared" ca="1" si="78"/>
        <v>11.211999276586203</v>
      </c>
      <c r="I463" s="4">
        <f t="shared" ca="1" si="79"/>
        <v>245.93224710735484</v>
      </c>
      <c r="J463" s="26">
        <f ca="1">RANDBETWEEN(ranges!J$2*1000,ranges!J$3*1000)/1000</f>
        <v>0.79200000000000004</v>
      </c>
      <c r="K463" s="26">
        <f ca="1">RANDBETWEEN(ranges!K$2*1000,ranges!K$3*1000)/1000</f>
        <v>0.83499999999999996</v>
      </c>
      <c r="L463">
        <f t="shared" ca="1" si="80"/>
        <v>101.86233415387943</v>
      </c>
      <c r="M463">
        <f t="shared" ca="1" si="81"/>
        <v>15.777365260993646</v>
      </c>
      <c r="N463" s="4">
        <f t="shared" ca="1" si="82"/>
        <v>4.9623543308776545</v>
      </c>
      <c r="O463" s="4"/>
      <c r="P463" s="1">
        <f ca="1">LOOKUP(B463,geomorph!$A:$A,geomorph!$G:$G)</f>
        <v>104.90082100000001</v>
      </c>
      <c r="Q463" s="1">
        <f t="shared" ca="1" si="83"/>
        <v>120.67818626099366</v>
      </c>
    </row>
    <row r="464" spans="2:17" x14ac:dyDescent="0.3">
      <c r="B464" s="6">
        <f ca="1">RANDBETWEEN(ranges!B$2,ranges!B$3)</f>
        <v>10356</v>
      </c>
      <c r="C464" s="9">
        <f ca="1">LOOKUP(B464,geomorph!A:A,geomorph!B:B)</f>
        <v>1661.1</v>
      </c>
      <c r="D464">
        <f t="shared" si="76"/>
        <v>1.13E-4</v>
      </c>
      <c r="E464" s="9">
        <f ca="1">'[2]Q_GEV(random)'!$J464</f>
        <v>10726.724326803283</v>
      </c>
      <c r="F464" s="26">
        <f ca="1">RANDBETWEEN(ranges!F$2*1000,ranges!F$3*1000)/1000</f>
        <v>0.104</v>
      </c>
      <c r="G464" s="3">
        <f t="shared" ca="1" si="77"/>
        <v>6.4576029900687999</v>
      </c>
      <c r="H464" s="4">
        <f t="shared" ca="1" si="78"/>
        <v>9.9273607490831104</v>
      </c>
      <c r="I464" s="4">
        <f t="shared" ca="1" si="79"/>
        <v>178.52613365739541</v>
      </c>
      <c r="J464" s="26">
        <f ca="1">RANDBETWEEN(ranges!J$2*1000,ranges!J$3*1000)/1000</f>
        <v>0.78500000000000003</v>
      </c>
      <c r="K464" s="26">
        <f ca="1">RANDBETWEEN(ranges!K$2*1000,ranges!K$3*1000)/1000</f>
        <v>0.91400000000000003</v>
      </c>
      <c r="L464">
        <f t="shared" ca="1" si="80"/>
        <v>80.4442235590937</v>
      </c>
      <c r="M464">
        <f t="shared" ca="1" si="81"/>
        <v>15.099726672203191</v>
      </c>
      <c r="N464" s="4">
        <f t="shared" ca="1" si="82"/>
        <v>5.6221368729566095</v>
      </c>
      <c r="O464" s="4"/>
      <c r="P464" s="1">
        <f ca="1">LOOKUP(B464,geomorph!$A:$A,geomorph!$G:$G)</f>
        <v>105.356211</v>
      </c>
      <c r="Q464" s="1">
        <f t="shared" ca="1" si="83"/>
        <v>120.45593767220319</v>
      </c>
    </row>
    <row r="465" spans="2:17" x14ac:dyDescent="0.3">
      <c r="B465" s="6">
        <f ca="1">RANDBETWEEN(ranges!B$2,ranges!B$3)</f>
        <v>11632</v>
      </c>
      <c r="C465" s="9">
        <f ca="1">LOOKUP(B465,geomorph!A:A,geomorph!B:B)</f>
        <v>1457.4</v>
      </c>
      <c r="D465">
        <f t="shared" si="76"/>
        <v>1.13E-4</v>
      </c>
      <c r="E465" s="9">
        <f ca="1">'[2]Q_GEV(random)'!$J465</f>
        <v>10722.086199694144</v>
      </c>
      <c r="F465" s="26">
        <f ca="1">RANDBETWEEN(ranges!F$2*1000,ranges!F$3*1000)/1000</f>
        <v>0.10199999999999999</v>
      </c>
      <c r="G465" s="3">
        <f t="shared" ca="1" si="77"/>
        <v>7.3569961573309612</v>
      </c>
      <c r="H465" s="4">
        <f t="shared" ca="1" si="78"/>
        <v>10.759089990299602</v>
      </c>
      <c r="I465" s="4">
        <f t="shared" ca="1" si="79"/>
        <v>221.95840972049066</v>
      </c>
      <c r="J465" s="26">
        <f ca="1">RANDBETWEEN(ranges!J$2*1000,ranges!J$3*1000)/1000</f>
        <v>0.76900000000000002</v>
      </c>
      <c r="K465" s="26">
        <f ca="1">RANDBETWEEN(ranges!K$2*1000,ranges!K$3*1000)/1000</f>
        <v>0.88200000000000001</v>
      </c>
      <c r="L465">
        <f t="shared" ca="1" si="80"/>
        <v>94.914188218607705</v>
      </c>
      <c r="M465">
        <f t="shared" ca="1" si="81"/>
        <v>15.631056983807271</v>
      </c>
      <c r="N465" s="4">
        <f t="shared" ca="1" si="82"/>
        <v>5.2956162972909446</v>
      </c>
      <c r="O465" s="4"/>
      <c r="P465" s="1">
        <f ca="1">LOOKUP(B465,geomorph!$A:$A,geomorph!$G:$G)</f>
        <v>105.21157100000001</v>
      </c>
      <c r="Q465" s="1">
        <f t="shared" ca="1" si="83"/>
        <v>120.84262798380728</v>
      </c>
    </row>
    <row r="466" spans="2:17" x14ac:dyDescent="0.3">
      <c r="B466" s="6">
        <f ca="1">RANDBETWEEN(ranges!B$2,ranges!B$3)</f>
        <v>11299</v>
      </c>
      <c r="C466" s="9">
        <f ca="1">LOOKUP(B466,geomorph!A:A,geomorph!B:B)</f>
        <v>1611.1</v>
      </c>
      <c r="D466">
        <f t="shared" si="76"/>
        <v>1.13E-4</v>
      </c>
      <c r="E466" s="9">
        <f ca="1">'[2]Q_GEV(random)'!$J466</f>
        <v>10718.790159901015</v>
      </c>
      <c r="F466" s="26">
        <f ca="1">RANDBETWEEN(ranges!F$2*1000,ranges!F$3*1000)/1000</f>
        <v>9.0999999999999998E-2</v>
      </c>
      <c r="G466" s="3">
        <f t="shared" ca="1" si="77"/>
        <v>6.6530880515802959</v>
      </c>
      <c r="H466" s="4">
        <f t="shared" ca="1" si="78"/>
        <v>9.6858507992799776</v>
      </c>
      <c r="I466" s="4">
        <f t="shared" ca="1" si="79"/>
        <v>187.76286358463341</v>
      </c>
      <c r="J466" s="26">
        <f ca="1">RANDBETWEEN(ranges!J$2*1000,ranges!J$3*1000)/1000</f>
        <v>0.64400000000000002</v>
      </c>
      <c r="K466" s="26">
        <f ca="1">RANDBETWEEN(ranges!K$2*1000,ranges!K$3*1000)/1000</f>
        <v>0.89500000000000002</v>
      </c>
      <c r="L466">
        <f t="shared" ca="1" si="80"/>
        <v>84.642389192435743</v>
      </c>
      <c r="M466">
        <f t="shared" ca="1" si="81"/>
        <v>15.409510914756455</v>
      </c>
      <c r="N466" s="4">
        <f t="shared" ca="1" si="82"/>
        <v>6.2213696907353011</v>
      </c>
      <c r="O466" s="4"/>
      <c r="P466" s="1">
        <f ca="1">LOOKUP(B466,geomorph!$A:$A,geomorph!$G:$G)</f>
        <v>105.24999100000001</v>
      </c>
      <c r="Q466" s="1">
        <f t="shared" ca="1" si="83"/>
        <v>120.65950191475646</v>
      </c>
    </row>
    <row r="467" spans="2:17" x14ac:dyDescent="0.3">
      <c r="B467" s="6">
        <f ca="1">RANDBETWEEN(ranges!B$2,ranges!B$3)</f>
        <v>11264</v>
      </c>
      <c r="C467" s="9">
        <f ca="1">LOOKUP(B467,geomorph!A:A,geomorph!B:B)</f>
        <v>1629</v>
      </c>
      <c r="D467">
        <f t="shared" si="76"/>
        <v>1.13E-4</v>
      </c>
      <c r="E467" s="9">
        <f ca="1">'[2]Q_GEV(random)'!$J467</f>
        <v>10716.169740561674</v>
      </c>
      <c r="F467" s="26">
        <f ca="1">RANDBETWEEN(ranges!F$2*1000,ranges!F$3*1000)/1000</f>
        <v>0.107</v>
      </c>
      <c r="G467" s="3">
        <f t="shared" ca="1" si="77"/>
        <v>6.5783730758512426</v>
      </c>
      <c r="H467" s="4">
        <f t="shared" ca="1" si="78"/>
        <v>10.146479658341033</v>
      </c>
      <c r="I467" s="4">
        <f t="shared" ca="1" si="79"/>
        <v>184.30676052285497</v>
      </c>
      <c r="J467" s="26">
        <f ca="1">RANDBETWEEN(ranges!J$2*1000,ranges!J$3*1000)/1000</f>
        <v>0.67300000000000004</v>
      </c>
      <c r="K467" s="26">
        <f ca="1">RANDBETWEEN(ranges!K$2*1000,ranges!K$3*1000)/1000</f>
        <v>0.90700000000000003</v>
      </c>
      <c r="L467">
        <f t="shared" ca="1" si="80"/>
        <v>86.070466137786369</v>
      </c>
      <c r="M467">
        <f t="shared" ca="1" si="81"/>
        <v>15.843593195245301</v>
      </c>
      <c r="N467" s="4">
        <f t="shared" ca="1" si="82"/>
        <v>6.1925147140263785</v>
      </c>
      <c r="O467" s="4"/>
      <c r="P467" s="1">
        <f ca="1">LOOKUP(B467,geomorph!$A:$A,geomorph!$G:$G)</f>
        <v>105.253381</v>
      </c>
      <c r="Q467" s="1">
        <f t="shared" ca="1" si="83"/>
        <v>121.09697419524531</v>
      </c>
    </row>
    <row r="468" spans="2:17" x14ac:dyDescent="0.3">
      <c r="B468" s="6">
        <f ca="1">RANDBETWEEN(ranges!B$2,ranges!B$3)</f>
        <v>12470</v>
      </c>
      <c r="C468" s="9">
        <f ca="1">LOOKUP(B468,geomorph!A:A,geomorph!B:B)</f>
        <v>1217.5999999999999</v>
      </c>
      <c r="D468">
        <f t="shared" si="76"/>
        <v>1.13E-4</v>
      </c>
      <c r="E468" s="9">
        <f ca="1">'[2]Q_GEV(random)'!$J468</f>
        <v>10709.76255735628</v>
      </c>
      <c r="F468" s="26">
        <f ca="1">RANDBETWEEN(ranges!F$2*1000,ranges!F$3*1000)/1000</f>
        <v>0.11</v>
      </c>
      <c r="G468" s="3">
        <f t="shared" ca="1" si="77"/>
        <v>8.7957971068957637</v>
      </c>
      <c r="H468" s="4">
        <f t="shared" ca="1" si="78"/>
        <v>12.428617627929967</v>
      </c>
      <c r="I468" s="4">
        <f t="shared" ca="1" si="79"/>
        <v>299.26930801094761</v>
      </c>
      <c r="J468" s="26">
        <f ca="1">RANDBETWEEN(ranges!J$2*1000,ranges!J$3*1000)/1000</f>
        <v>0.73299999999999998</v>
      </c>
      <c r="K468" s="26">
        <f ca="1">RANDBETWEEN(ranges!K$2*1000,ranges!K$3*1000)/1000</f>
        <v>0.88400000000000001</v>
      </c>
      <c r="L468">
        <f t="shared" ca="1" si="80"/>
        <v>124.45848039437526</v>
      </c>
      <c r="M468">
        <f t="shared" ca="1" si="81"/>
        <v>17.124092967285616</v>
      </c>
      <c r="N468" s="4">
        <f t="shared" ca="1" si="82"/>
        <v>5.1037775427778795</v>
      </c>
      <c r="O468" s="4"/>
      <c r="P468" s="1">
        <f ca="1">LOOKUP(B468,geomorph!$A:$A,geomorph!$G:$G)</f>
        <v>105.116651</v>
      </c>
      <c r="Q468" s="1">
        <f t="shared" ca="1" si="83"/>
        <v>122.24074396728562</v>
      </c>
    </row>
    <row r="469" spans="2:17" x14ac:dyDescent="0.3">
      <c r="B469" s="6">
        <f ca="1">RANDBETWEEN(ranges!B$2,ranges!B$3)</f>
        <v>10246</v>
      </c>
      <c r="C469" s="9">
        <f ca="1">LOOKUP(B469,geomorph!A:A,geomorph!B:B)</f>
        <v>1632.5</v>
      </c>
      <c r="D469">
        <f t="shared" si="76"/>
        <v>1.13E-4</v>
      </c>
      <c r="E469" s="9">
        <f ca="1">'[2]Q_GEV(random)'!$J469</f>
        <v>10688.744987356524</v>
      </c>
      <c r="F469" s="26">
        <f ca="1">RANDBETWEEN(ranges!F$2*1000,ranges!F$3*1000)/1000</f>
        <v>9.5000000000000001E-2</v>
      </c>
      <c r="G469" s="3">
        <f t="shared" ca="1" si="77"/>
        <v>6.5474701300805656</v>
      </c>
      <c r="H469" s="4">
        <f t="shared" ca="1" si="78"/>
        <v>9.721471685813194</v>
      </c>
      <c r="I469" s="4">
        <f t="shared" ca="1" si="79"/>
        <v>183.33519473715666</v>
      </c>
      <c r="J469" s="26">
        <f ca="1">RANDBETWEEN(ranges!J$2*1000,ranges!J$3*1000)/1000</f>
        <v>0.74299999999999999</v>
      </c>
      <c r="K469" s="26">
        <f ca="1">RANDBETWEEN(ranges!K$2*1000,ranges!K$3*1000)/1000</f>
        <v>0.97299999999999998</v>
      </c>
      <c r="L469">
        <f t="shared" ca="1" si="80"/>
        <v>81.84910888680119</v>
      </c>
      <c r="M469">
        <f t="shared" ca="1" si="81"/>
        <v>15.098909739120431</v>
      </c>
      <c r="N469" s="4">
        <f t="shared" ca="1" si="82"/>
        <v>5.8450413622904751</v>
      </c>
      <c r="O469" s="4"/>
      <c r="P469" s="1">
        <f ca="1">LOOKUP(B469,geomorph!$A:$A,geomorph!$G:$G)</f>
        <v>105.368641</v>
      </c>
      <c r="Q469" s="1">
        <f t="shared" ca="1" si="83"/>
        <v>120.46755073912043</v>
      </c>
    </row>
    <row r="470" spans="2:17" x14ac:dyDescent="0.3">
      <c r="B470" s="6">
        <f ca="1">RANDBETWEEN(ranges!B$2,ranges!B$3)</f>
        <v>14358</v>
      </c>
      <c r="C470" s="9">
        <f ca="1">LOOKUP(B470,geomorph!A:A,geomorph!B:B)</f>
        <v>1361.8</v>
      </c>
      <c r="D470">
        <f t="shared" si="76"/>
        <v>1.13E-4</v>
      </c>
      <c r="E470" s="9">
        <f ca="1">'[2]Q_GEV(random)'!$J470</f>
        <v>10688.000387389915</v>
      </c>
      <c r="F470" s="26">
        <f ca="1">RANDBETWEEN(ranges!F$2*1000,ranges!F$3*1000)/1000</f>
        <v>0.107</v>
      </c>
      <c r="G470" s="3">
        <f t="shared" ca="1" si="77"/>
        <v>7.8484361781391652</v>
      </c>
      <c r="H470" s="4">
        <f t="shared" ca="1" si="78"/>
        <v>11.413665570148451</v>
      </c>
      <c r="I470" s="4">
        <f t="shared" ca="1" si="79"/>
        <v>248.0040507742934</v>
      </c>
      <c r="J470" s="26">
        <f ca="1">RANDBETWEEN(ranges!J$2*1000,ranges!J$3*1000)/1000</f>
        <v>0.68400000000000005</v>
      </c>
      <c r="K470" s="26">
        <f ca="1">RANDBETWEEN(ranges!K$2*1000,ranges!K$3*1000)/1000</f>
        <v>0.80500000000000005</v>
      </c>
      <c r="L470">
        <f t="shared" ca="1" si="80"/>
        <v>106.55316115204782</v>
      </c>
      <c r="M470">
        <f t="shared" ca="1" si="81"/>
        <v>16.396762718825034</v>
      </c>
      <c r="N470" s="4">
        <f t="shared" ca="1" si="82"/>
        <v>5.4164099442136768</v>
      </c>
      <c r="O470" s="4"/>
      <c r="P470" s="1">
        <f ca="1">LOOKUP(B470,geomorph!$A:$A,geomorph!$G:$G)</f>
        <v>104.904211</v>
      </c>
      <c r="Q470" s="1">
        <f t="shared" ca="1" si="83"/>
        <v>121.30097371882503</v>
      </c>
    </row>
    <row r="471" spans="2:17" x14ac:dyDescent="0.3">
      <c r="B471" s="6">
        <f ca="1">RANDBETWEEN(ranges!B$2,ranges!B$3)</f>
        <v>11564</v>
      </c>
      <c r="C471" s="9">
        <f ca="1">LOOKUP(B471,geomorph!A:A,geomorph!B:B)</f>
        <v>1474.6</v>
      </c>
      <c r="D471">
        <f t="shared" si="76"/>
        <v>1.13E-4</v>
      </c>
      <c r="E471" s="9">
        <f ca="1">'[2]Q_GEV(random)'!$J471</f>
        <v>10687.648810317049</v>
      </c>
      <c r="F471" s="26">
        <f ca="1">RANDBETWEEN(ranges!F$2*1000,ranges!F$3*1000)/1000</f>
        <v>9.7000000000000003E-2</v>
      </c>
      <c r="G471" s="3">
        <f t="shared" ca="1" si="77"/>
        <v>7.2478291131947978</v>
      </c>
      <c r="H471" s="4">
        <f t="shared" ca="1" si="78"/>
        <v>10.475409393864339</v>
      </c>
      <c r="I471" s="4">
        <f t="shared" ca="1" si="79"/>
        <v>217.19396355153279</v>
      </c>
      <c r="J471" s="26">
        <f ca="1">RANDBETWEEN(ranges!J$2*1000,ranges!J$3*1000)/1000</f>
        <v>0.79600000000000004</v>
      </c>
      <c r="K471" s="26">
        <f ca="1">RANDBETWEEN(ranges!K$2*1000,ranges!K$3*1000)/1000</f>
        <v>0.80900000000000005</v>
      </c>
      <c r="L471">
        <f t="shared" ca="1" si="80"/>
        <v>90.613345454171622</v>
      </c>
      <c r="M471">
        <f t="shared" ca="1" si="81"/>
        <v>15.098883630359525</v>
      </c>
      <c r="N471" s="4">
        <f t="shared" ca="1" si="82"/>
        <v>5.0255154744512884</v>
      </c>
      <c r="O471" s="4"/>
      <c r="P471" s="1">
        <f ca="1">LOOKUP(B471,geomorph!$A:$A,geomorph!$G:$G)</f>
        <v>105.219481</v>
      </c>
      <c r="Q471" s="1">
        <f t="shared" ca="1" si="83"/>
        <v>120.31836463035953</v>
      </c>
    </row>
    <row r="472" spans="2:17" x14ac:dyDescent="0.3">
      <c r="B472" s="6">
        <f ca="1">RANDBETWEEN(ranges!B$2,ranges!B$3)</f>
        <v>10190</v>
      </c>
      <c r="C472" s="9">
        <f ca="1">LOOKUP(B472,geomorph!A:A,geomorph!B:B)</f>
        <v>1590.7</v>
      </c>
      <c r="D472">
        <f t="shared" si="76"/>
        <v>1.13E-4</v>
      </c>
      <c r="E472" s="9">
        <f ca="1">'[2]Q_GEV(random)'!$J472</f>
        <v>10685.691539100219</v>
      </c>
      <c r="F472" s="26">
        <f ca="1">RANDBETWEEN(ranges!F$2*1000,ranges!F$3*1000)/1000</f>
        <v>9.0999999999999998E-2</v>
      </c>
      <c r="G472" s="3">
        <f t="shared" ca="1" si="77"/>
        <v>6.7176032810084987</v>
      </c>
      <c r="H472" s="4">
        <f t="shared" ca="1" si="78"/>
        <v>9.7483660591594408</v>
      </c>
      <c r="I472" s="4">
        <f t="shared" ca="1" si="79"/>
        <v>191.39825357495039</v>
      </c>
      <c r="J472" s="26">
        <f ca="1">RANDBETWEEN(ranges!J$2*1000,ranges!J$3*1000)/1000</f>
        <v>0.64800000000000002</v>
      </c>
      <c r="K472" s="26">
        <f ca="1">RANDBETWEEN(ranges!K$2*1000,ranges!K$3*1000)/1000</f>
        <v>0.89500000000000002</v>
      </c>
      <c r="L472">
        <f t="shared" ca="1" si="80"/>
        <v>85.719341486225446</v>
      </c>
      <c r="M472">
        <f t="shared" ca="1" si="81"/>
        <v>15.407974484741688</v>
      </c>
      <c r="N472" s="4">
        <f t="shared" ca="1" si="82"/>
        <v>6.1517482886763553</v>
      </c>
      <c r="O472" s="4"/>
      <c r="P472" s="1">
        <f ca="1">LOOKUP(B472,geomorph!$A:$A,geomorph!$G:$G)</f>
        <v>105.374291</v>
      </c>
      <c r="Q472" s="1">
        <f t="shared" ca="1" si="83"/>
        <v>120.78226548474169</v>
      </c>
    </row>
    <row r="473" spans="2:17" x14ac:dyDescent="0.3">
      <c r="B473" s="6">
        <f ca="1">RANDBETWEEN(ranges!B$2,ranges!B$3)</f>
        <v>12271</v>
      </c>
      <c r="C473" s="9">
        <f ca="1">LOOKUP(B473,geomorph!A:A,geomorph!B:B)</f>
        <v>1271.3</v>
      </c>
      <c r="D473">
        <f t="shared" si="76"/>
        <v>1.13E-4</v>
      </c>
      <c r="E473" s="9">
        <f ca="1">'[2]Q_GEV(random)'!$J473</f>
        <v>10681.419922167255</v>
      </c>
      <c r="F473" s="26">
        <f ca="1">RANDBETWEEN(ranges!F$2*1000,ranges!F$3*1000)/1000</f>
        <v>0.106</v>
      </c>
      <c r="G473" s="3">
        <f t="shared" ca="1" si="77"/>
        <v>8.4019664297705141</v>
      </c>
      <c r="H473" s="4">
        <f t="shared" ca="1" si="78"/>
        <v>11.906872770074138</v>
      </c>
      <c r="I473" s="4">
        <f t="shared" ca="1" si="79"/>
        <v>278.00712802311858</v>
      </c>
      <c r="J473" s="26">
        <f ca="1">RANDBETWEEN(ranges!J$2*1000,ranges!J$3*1000)/1000</f>
        <v>0.76100000000000001</v>
      </c>
      <c r="K473" s="26">
        <f ca="1">RANDBETWEEN(ranges!K$2*1000,ranges!K$3*1000)/1000</f>
        <v>0.90300000000000002</v>
      </c>
      <c r="L473">
        <f t="shared" ca="1" si="80"/>
        <v>115.44279942006436</v>
      </c>
      <c r="M473">
        <f t="shared" ca="1" si="81"/>
        <v>16.584154692008244</v>
      </c>
      <c r="N473" s="4">
        <f t="shared" ca="1" si="82"/>
        <v>5.0840020890588109</v>
      </c>
      <c r="O473" s="4"/>
      <c r="P473" s="1">
        <f ca="1">LOOKUP(B473,geomorph!$A:$A,geomorph!$G:$G)</f>
        <v>105.139251</v>
      </c>
      <c r="Q473" s="1">
        <f t="shared" ca="1" si="83"/>
        <v>121.72340569200824</v>
      </c>
    </row>
    <row r="474" spans="2:17" x14ac:dyDescent="0.3">
      <c r="B474" s="6">
        <f ca="1">RANDBETWEEN(ranges!B$2,ranges!B$3)</f>
        <v>12001</v>
      </c>
      <c r="C474" s="9">
        <f ca="1">LOOKUP(B474,geomorph!A:A,geomorph!B:B)</f>
        <v>1350.4</v>
      </c>
      <c r="D474">
        <f t="shared" si="76"/>
        <v>1.13E-4</v>
      </c>
      <c r="E474" s="9">
        <f ca="1">'[2]Q_GEV(random)'!$J474</f>
        <v>10681.402766915418</v>
      </c>
      <c r="F474" s="26">
        <f ca="1">RANDBETWEEN(ranges!F$2*1000,ranges!F$3*1000)/1000</f>
        <v>0.108</v>
      </c>
      <c r="G474" s="3">
        <f t="shared" ca="1" si="77"/>
        <v>7.9098065513295452</v>
      </c>
      <c r="H474" s="4">
        <f t="shared" ca="1" si="78"/>
        <v>11.508718211083783</v>
      </c>
      <c r="I474" s="4">
        <f t="shared" ca="1" si="79"/>
        <v>251.39974282904006</v>
      </c>
      <c r="J474" s="26">
        <f ca="1">RANDBETWEEN(ranges!J$2*1000,ranges!J$3*1000)/1000</f>
        <v>0.64100000000000001</v>
      </c>
      <c r="K474" s="26">
        <f ca="1">RANDBETWEEN(ranges!K$2*1000,ranges!K$3*1000)/1000</f>
        <v>0.89700000000000002</v>
      </c>
      <c r="L474">
        <f t="shared" ca="1" si="80"/>
        <v>110.65854610966102</v>
      </c>
      <c r="M474">
        <f t="shared" ca="1" si="81"/>
        <v>16.885962975312946</v>
      </c>
      <c r="N474" s="4">
        <f t="shared" ca="1" si="82"/>
        <v>5.8448312654664809</v>
      </c>
      <c r="O474" s="4"/>
      <c r="P474" s="1">
        <f ca="1">LOOKUP(B474,geomorph!$A:$A,geomorph!$G:$G)</f>
        <v>105.16976100000001</v>
      </c>
      <c r="Q474" s="1">
        <f t="shared" ca="1" si="83"/>
        <v>122.05572397531296</v>
      </c>
    </row>
    <row r="475" spans="2:17" x14ac:dyDescent="0.3">
      <c r="B475" s="6">
        <f ca="1">RANDBETWEEN(ranges!B$2,ranges!B$3)</f>
        <v>12291</v>
      </c>
      <c r="C475" s="9">
        <f ca="1">LOOKUP(B475,geomorph!A:A,geomorph!B:B)</f>
        <v>1265.7</v>
      </c>
      <c r="D475">
        <f t="shared" si="76"/>
        <v>1.13E-4</v>
      </c>
      <c r="E475" s="9">
        <f ca="1">'[2]Q_GEV(random)'!$J475</f>
        <v>10680.629596749894</v>
      </c>
      <c r="F475" s="26">
        <f ca="1">RANDBETWEEN(ranges!F$2*1000,ranges!F$3*1000)/1000</f>
        <v>9.2999999999999999E-2</v>
      </c>
      <c r="G475" s="3">
        <f t="shared" ca="1" si="77"/>
        <v>8.4385159174764102</v>
      </c>
      <c r="H475" s="4">
        <f t="shared" ca="1" si="78"/>
        <v>11.431770455289108</v>
      </c>
      <c r="I475" s="4">
        <f t="shared" ca="1" si="79"/>
        <v>280.04637330171306</v>
      </c>
      <c r="J475" s="26">
        <f ca="1">RANDBETWEEN(ranges!J$2*1000,ranges!J$3*1000)/1000</f>
        <v>0.67900000000000005</v>
      </c>
      <c r="K475" s="26">
        <f ca="1">RANDBETWEEN(ranges!K$2*1000,ranges!K$3*1000)/1000</f>
        <v>0.95599999999999996</v>
      </c>
      <c r="L475">
        <f t="shared" ca="1" si="80"/>
        <v>115.26130023202023</v>
      </c>
      <c r="M475">
        <f t="shared" ca="1" si="81"/>
        <v>16.485143730514483</v>
      </c>
      <c r="N475" s="4">
        <f t="shared" ca="1" si="82"/>
        <v>5.492797038288451</v>
      </c>
      <c r="O475" s="4"/>
      <c r="P475" s="1">
        <f ca="1">LOOKUP(B475,geomorph!$A:$A,geomorph!$G:$G)</f>
        <v>105.13699100000001</v>
      </c>
      <c r="Q475" s="1">
        <f t="shared" ca="1" si="83"/>
        <v>121.62213473051449</v>
      </c>
    </row>
    <row r="476" spans="2:17" x14ac:dyDescent="0.3">
      <c r="B476" s="6">
        <f ca="1">RANDBETWEEN(ranges!B$2,ranges!B$3)</f>
        <v>14697</v>
      </c>
      <c r="C476" s="9">
        <f ca="1">LOOKUP(B476,geomorph!A:A,geomorph!B:B)</f>
        <v>1456.5</v>
      </c>
      <c r="D476">
        <f t="shared" si="76"/>
        <v>1.13E-4</v>
      </c>
      <c r="E476" s="9">
        <f ca="1">'[2]Q_GEV(random)'!$J476</f>
        <v>10674.762563729066</v>
      </c>
      <c r="F476" s="26">
        <f ca="1">RANDBETWEEN(ranges!F$2*1000,ranges!F$3*1000)/1000</f>
        <v>9.6000000000000002E-2</v>
      </c>
      <c r="G476" s="3">
        <f t="shared" ca="1" si="77"/>
        <v>7.3290508504833953</v>
      </c>
      <c r="H476" s="4">
        <f t="shared" ca="1" si="78"/>
        <v>10.517132956567153</v>
      </c>
      <c r="I476" s="4">
        <f t="shared" ca="1" si="79"/>
        <v>221.53279042924626</v>
      </c>
      <c r="J476" s="26">
        <f ca="1">RANDBETWEEN(ranges!J$2*1000,ranges!J$3*1000)/1000</f>
        <v>0.6</v>
      </c>
      <c r="K476" s="26">
        <f ca="1">RANDBETWEEN(ranges!K$2*1000,ranges!K$3*1000)/1000</f>
        <v>0.98599999999999999</v>
      </c>
      <c r="L476">
        <f t="shared" ca="1" si="80"/>
        <v>99.909780886634536</v>
      </c>
      <c r="M476">
        <f t="shared" ca="1" si="81"/>
        <v>16.4436013323363</v>
      </c>
      <c r="N476" s="4">
        <f t="shared" ca="1" si="82"/>
        <v>6.4418134519229859</v>
      </c>
      <c r="O476" s="4"/>
      <c r="P476" s="1">
        <f ca="1">LOOKUP(B476,geomorph!$A:$A,geomorph!$G:$G)</f>
        <v>104.865791</v>
      </c>
      <c r="Q476" s="1">
        <f t="shared" ca="1" si="83"/>
        <v>121.3093923323363</v>
      </c>
    </row>
    <row r="477" spans="2:17" x14ac:dyDescent="0.3">
      <c r="B477" s="6">
        <f ca="1">RANDBETWEEN(ranges!B$2,ranges!B$3)</f>
        <v>11729</v>
      </c>
      <c r="C477" s="9">
        <f ca="1">LOOKUP(B477,geomorph!A:A,geomorph!B:B)</f>
        <v>1433.7</v>
      </c>
      <c r="D477">
        <f t="shared" si="76"/>
        <v>1.13E-4</v>
      </c>
      <c r="E477" s="9">
        <f ca="1">'[2]Q_GEV(random)'!$J477</f>
        <v>10663.952319743155</v>
      </c>
      <c r="F477" s="26">
        <f ca="1">RANDBETWEEN(ranges!F$2*1000,ranges!F$3*1000)/1000</f>
        <v>0.10100000000000001</v>
      </c>
      <c r="G477" s="3">
        <f t="shared" ca="1" si="77"/>
        <v>7.4380639741529997</v>
      </c>
      <c r="H477" s="4">
        <f t="shared" ca="1" si="78"/>
        <v>10.802448241810666</v>
      </c>
      <c r="I477" s="4">
        <f t="shared" ca="1" si="79"/>
        <v>227.28198023199255</v>
      </c>
      <c r="J477" s="26">
        <f ca="1">RANDBETWEEN(ranges!J$2*1000,ranges!J$3*1000)/1000</f>
        <v>0.64</v>
      </c>
      <c r="K477" s="26">
        <f ca="1">RANDBETWEEN(ranges!K$2*1000,ranges!K$3*1000)/1000</f>
        <v>0.88200000000000001</v>
      </c>
      <c r="L477">
        <f t="shared" ca="1" si="80"/>
        <v>100.38993423550998</v>
      </c>
      <c r="M477">
        <f t="shared" ca="1" si="81"/>
        <v>16.263982504619925</v>
      </c>
      <c r="N477" s="4">
        <f t="shared" ca="1" si="82"/>
        <v>5.9364502856622376</v>
      </c>
      <c r="O477" s="4"/>
      <c r="P477" s="1">
        <f ca="1">LOOKUP(B477,geomorph!$A:$A,geomorph!$G:$G)</f>
        <v>105.201401</v>
      </c>
      <c r="Q477" s="1">
        <f t="shared" ca="1" si="83"/>
        <v>121.46538350461992</v>
      </c>
    </row>
    <row r="478" spans="2:17" x14ac:dyDescent="0.3">
      <c r="B478" s="6">
        <f ca="1">RANDBETWEEN(ranges!B$2,ranges!B$3)</f>
        <v>13776</v>
      </c>
      <c r="C478" s="9">
        <f ca="1">LOOKUP(B478,geomorph!A:A,geomorph!B:B)</f>
        <v>1270.7</v>
      </c>
      <c r="D478">
        <f t="shared" si="76"/>
        <v>1.13E-4</v>
      </c>
      <c r="E478" s="9">
        <f ca="1">'[2]Q_GEV(random)'!$J478</f>
        <v>10645.465700163677</v>
      </c>
      <c r="F478" s="26">
        <f ca="1">RANDBETWEEN(ranges!F$2*1000,ranges!F$3*1000)/1000</f>
        <v>9.0999999999999998E-2</v>
      </c>
      <c r="G478" s="3">
        <f t="shared" ca="1" si="77"/>
        <v>8.377638860599415</v>
      </c>
      <c r="H478" s="4">
        <f t="shared" ca="1" si="78"/>
        <v>11.294578219913811</v>
      </c>
      <c r="I478" s="4">
        <f t="shared" ca="1" si="79"/>
        <v>277.60124553814438</v>
      </c>
      <c r="J478" s="26">
        <f ca="1">RANDBETWEEN(ranges!J$2*1000,ranges!J$3*1000)/1000</f>
        <v>0.72399999999999998</v>
      </c>
      <c r="K478" s="26">
        <f ca="1">RANDBETWEEN(ranges!K$2*1000,ranges!K$3*1000)/1000</f>
        <v>0.94299999999999995</v>
      </c>
      <c r="L478">
        <f t="shared" ca="1" si="80"/>
        <v>112.19012713644454</v>
      </c>
      <c r="M478">
        <f t="shared" ca="1" si="81"/>
        <v>16.10927938440765</v>
      </c>
      <c r="N478" s="4">
        <f t="shared" ca="1" si="82"/>
        <v>5.2333708309715634</v>
      </c>
      <c r="O478" s="4"/>
      <c r="P478" s="1">
        <f ca="1">LOOKUP(B478,geomorph!$A:$A,geomorph!$G:$G)</f>
        <v>104.969751</v>
      </c>
      <c r="Q478" s="1">
        <f t="shared" ca="1" si="83"/>
        <v>121.07903038440764</v>
      </c>
    </row>
    <row r="479" spans="2:17" x14ac:dyDescent="0.3">
      <c r="B479" s="6">
        <f ca="1">RANDBETWEEN(ranges!B$2,ranges!B$3)</f>
        <v>14651</v>
      </c>
      <c r="C479" s="9">
        <f ca="1">LOOKUP(B479,geomorph!A:A,geomorph!B:B)</f>
        <v>1443.7</v>
      </c>
      <c r="D479">
        <f t="shared" si="76"/>
        <v>1.13E-4</v>
      </c>
      <c r="E479" s="9">
        <f ca="1">'[2]Q_GEV(random)'!$J479</f>
        <v>10633.492515646883</v>
      </c>
      <c r="F479" s="26">
        <f ca="1">RANDBETWEEN(ranges!F$2*1000,ranges!F$3*1000)/1000</f>
        <v>9.2999999999999999E-2</v>
      </c>
      <c r="G479" s="3">
        <f t="shared" ca="1" si="77"/>
        <v>7.3654447015632636</v>
      </c>
      <c r="H479" s="4">
        <f t="shared" ca="1" si="78"/>
        <v>10.440839707274948</v>
      </c>
      <c r="I479" s="4">
        <f t="shared" ca="1" si="79"/>
        <v>224.23619184527135</v>
      </c>
      <c r="J479" s="26">
        <f ca="1">RANDBETWEEN(ranges!J$2*1000,ranges!J$3*1000)/1000</f>
        <v>0.72299999999999998</v>
      </c>
      <c r="K479" s="26">
        <f ca="1">RANDBETWEEN(ranges!K$2*1000,ranges!K$3*1000)/1000</f>
        <v>0.97699999999999998</v>
      </c>
      <c r="L479">
        <f t="shared" ca="1" si="80"/>
        <v>95.674876256630142</v>
      </c>
      <c r="M479">
        <f t="shared" ca="1" si="81"/>
        <v>15.608217530241754</v>
      </c>
      <c r="N479" s="4">
        <f t="shared" ca="1" si="82"/>
        <v>5.6167150249639191</v>
      </c>
      <c r="O479" s="4"/>
      <c r="P479" s="1">
        <f ca="1">LOOKUP(B479,geomorph!$A:$A,geomorph!$G:$G)</f>
        <v>104.870311</v>
      </c>
      <c r="Q479" s="1">
        <f t="shared" ca="1" si="83"/>
        <v>120.47852853024176</v>
      </c>
    </row>
    <row r="480" spans="2:17" x14ac:dyDescent="0.3">
      <c r="B480" s="6">
        <f ca="1">RANDBETWEEN(ranges!B$2,ranges!B$3)</f>
        <v>12140</v>
      </c>
      <c r="C480" s="9">
        <f ca="1">LOOKUP(B480,geomorph!A:A,geomorph!B:B)</f>
        <v>1305.8</v>
      </c>
      <c r="D480">
        <f t="shared" si="76"/>
        <v>1.13E-4</v>
      </c>
      <c r="E480" s="9">
        <f ca="1">'[2]Q_GEV(random)'!$J480</f>
        <v>10623.785290862386</v>
      </c>
      <c r="F480" s="26">
        <f ca="1">RANDBETWEEN(ranges!F$2*1000,ranges!F$3*1000)/1000</f>
        <v>9.6000000000000002E-2</v>
      </c>
      <c r="G480" s="3">
        <f t="shared" ca="1" si="77"/>
        <v>8.1358441498410077</v>
      </c>
      <c r="H480" s="4">
        <f t="shared" ca="1" si="78"/>
        <v>11.275451850613742</v>
      </c>
      <c r="I480" s="4">
        <f t="shared" ca="1" si="79"/>
        <v>264.91614891833058</v>
      </c>
      <c r="J480" s="26">
        <f ca="1">RANDBETWEEN(ranges!J$2*1000,ranges!J$3*1000)/1000</f>
        <v>0.79900000000000004</v>
      </c>
      <c r="K480" s="26">
        <f ca="1">RANDBETWEEN(ranges!K$2*1000,ranges!K$3*1000)/1000</f>
        <v>0.89900000000000002</v>
      </c>
      <c r="L480">
        <f t="shared" ca="1" si="80"/>
        <v>107.02916281542954</v>
      </c>
      <c r="M480">
        <f t="shared" ca="1" si="81"/>
        <v>15.792730930895832</v>
      </c>
      <c r="N480" s="4">
        <f t="shared" ca="1" si="82"/>
        <v>4.9100859568283592</v>
      </c>
      <c r="O480" s="4"/>
      <c r="P480" s="1">
        <f ca="1">LOOKUP(B480,geomorph!$A:$A,geomorph!$G:$G)</f>
        <v>105.153941</v>
      </c>
      <c r="Q480" s="1">
        <f t="shared" ca="1" si="83"/>
        <v>120.94667193089583</v>
      </c>
    </row>
    <row r="481" spans="2:17" x14ac:dyDescent="0.3">
      <c r="B481" s="6">
        <f ca="1">RANDBETWEEN(ranges!B$2,ranges!B$3)</f>
        <v>10044</v>
      </c>
      <c r="C481" s="9">
        <f ca="1">LOOKUP(B481,geomorph!A:A,geomorph!B:B)</f>
        <v>1645.1</v>
      </c>
      <c r="D481">
        <f t="shared" si="76"/>
        <v>1.13E-4</v>
      </c>
      <c r="E481" s="9">
        <f ca="1">'[2]Q_GEV(random)'!$J481</f>
        <v>10619.772422543272</v>
      </c>
      <c r="F481" s="26">
        <f ca="1">RANDBETWEEN(ranges!F$2*1000,ranges!F$3*1000)/1000</f>
        <v>0.108</v>
      </c>
      <c r="G481" s="3">
        <f t="shared" ca="1" si="77"/>
        <v>6.4553962814073751</v>
      </c>
      <c r="H481" s="4">
        <f t="shared" ca="1" si="78"/>
        <v>10.050746521465523</v>
      </c>
      <c r="I481" s="4">
        <f t="shared" ca="1" si="79"/>
        <v>180.22138366866409</v>
      </c>
      <c r="J481" s="26">
        <f ca="1">RANDBETWEEN(ranges!J$2*1000,ranges!J$3*1000)/1000</f>
        <v>0.748</v>
      </c>
      <c r="K481" s="26">
        <f ca="1">RANDBETWEEN(ranges!K$2*1000,ranges!K$3*1000)/1000</f>
        <v>0.92400000000000004</v>
      </c>
      <c r="L481">
        <f t="shared" ca="1" si="80"/>
        <v>82.844196582332955</v>
      </c>
      <c r="M481">
        <f t="shared" ca="1" si="81"/>
        <v>15.400429621128341</v>
      </c>
      <c r="N481" s="4">
        <f t="shared" ca="1" si="82"/>
        <v>5.8148729344161056</v>
      </c>
      <c r="O481" s="4"/>
      <c r="P481" s="1">
        <f ca="1">LOOKUP(B481,geomorph!$A:$A,geomorph!$G:$G)</f>
        <v>105.39124100000001</v>
      </c>
      <c r="Q481" s="1">
        <f t="shared" ca="1" si="83"/>
        <v>120.79167062112835</v>
      </c>
    </row>
    <row r="482" spans="2:17" x14ac:dyDescent="0.3">
      <c r="B482" s="6">
        <f ca="1">RANDBETWEEN(ranges!B$2,ranges!B$3)</f>
        <v>12992</v>
      </c>
      <c r="C482" s="9">
        <f ca="1">LOOKUP(B482,geomorph!A:A,geomorph!B:B)</f>
        <v>1143.3</v>
      </c>
      <c r="D482">
        <f t="shared" si="76"/>
        <v>1.13E-4</v>
      </c>
      <c r="E482" s="9">
        <f ca="1">'[2]Q_GEV(random)'!$J482</f>
        <v>10601.270236747374</v>
      </c>
      <c r="F482" s="26">
        <f ca="1">RANDBETWEEN(ranges!F$2*1000,ranges!F$3*1000)/1000</f>
        <v>0.11</v>
      </c>
      <c r="G482" s="3">
        <f t="shared" ca="1" si="77"/>
        <v>9.2725183562908899</v>
      </c>
      <c r="H482" s="4">
        <f t="shared" ca="1" si="78"/>
        <v>12.873732857389644</v>
      </c>
      <c r="I482" s="4">
        <f t="shared" ca="1" si="79"/>
        <v>330.13250043257329</v>
      </c>
      <c r="J482" s="26">
        <f ca="1">RANDBETWEEN(ranges!J$2*1000,ranges!J$3*1000)/1000</f>
        <v>0.69699999999999995</v>
      </c>
      <c r="K482" s="26">
        <f ca="1">RANDBETWEEN(ranges!K$2*1000,ranges!K$3*1000)/1000</f>
        <v>0.876</v>
      </c>
      <c r="L482">
        <f t="shared" ca="1" si="80"/>
        <v>136.02939658817286</v>
      </c>
      <c r="M482">
        <f t="shared" ca="1" si="81"/>
        <v>17.574032230476156</v>
      </c>
      <c r="N482" s="4">
        <f t="shared" ca="1" si="82"/>
        <v>5.10902105770273</v>
      </c>
      <c r="O482" s="4"/>
      <c r="P482" s="1">
        <f ca="1">LOOKUP(B482,geomorph!$A:$A,geomorph!$G:$G)</f>
        <v>105.057891</v>
      </c>
      <c r="Q482" s="1">
        <f t="shared" ca="1" si="83"/>
        <v>122.63192323047616</v>
      </c>
    </row>
    <row r="483" spans="2:17" x14ac:dyDescent="0.3">
      <c r="B483" s="6">
        <f ca="1">RANDBETWEEN(ranges!B$2,ranges!B$3)</f>
        <v>10231</v>
      </c>
      <c r="C483" s="9">
        <f ca="1">LOOKUP(B483,geomorph!A:A,geomorph!B:B)</f>
        <v>1595.3</v>
      </c>
      <c r="D483">
        <f t="shared" si="76"/>
        <v>1.13E-4</v>
      </c>
      <c r="E483" s="9">
        <f ca="1">'[2]Q_GEV(random)'!$J483</f>
        <v>10579.444109654529</v>
      </c>
      <c r="F483" s="26">
        <f ca="1">RANDBETWEEN(ranges!F$2*1000,ranges!F$3*1000)/1000</f>
        <v>9.0999999999999998E-2</v>
      </c>
      <c r="G483" s="3">
        <f t="shared" ca="1" si="77"/>
        <v>6.6316329904435083</v>
      </c>
      <c r="H483" s="4">
        <f t="shared" ca="1" si="78"/>
        <v>9.6650161260161376</v>
      </c>
      <c r="I483" s="4">
        <f t="shared" ca="1" si="79"/>
        <v>189.214598543476</v>
      </c>
      <c r="J483" s="26">
        <f ca="1">RANDBETWEEN(ranges!J$2*1000,ranges!J$3*1000)/1000</f>
        <v>0.60899999999999999</v>
      </c>
      <c r="K483" s="26">
        <f ca="1">RANDBETWEEN(ranges!K$2*1000,ranges!K$3*1000)/1000</f>
        <v>0.90500000000000003</v>
      </c>
      <c r="L483">
        <f t="shared" ca="1" si="80"/>
        <v>86.492696504596438</v>
      </c>
      <c r="M483">
        <f t="shared" ca="1" si="81"/>
        <v>15.591943256917444</v>
      </c>
      <c r="N483" s="4">
        <f t="shared" ca="1" si="82"/>
        <v>6.4423120988057683</v>
      </c>
      <c r="O483" s="4"/>
      <c r="P483" s="1">
        <f ca="1">LOOKUP(B483,geomorph!$A:$A,geomorph!$G:$G)</f>
        <v>105.369771</v>
      </c>
      <c r="Q483" s="1">
        <f t="shared" ca="1" si="83"/>
        <v>120.96171425691745</v>
      </c>
    </row>
    <row r="484" spans="2:17" x14ac:dyDescent="0.3">
      <c r="B484" s="6">
        <f ca="1">RANDBETWEEN(ranges!B$2,ranges!B$3)</f>
        <v>14584</v>
      </c>
      <c r="C484" s="9">
        <f ca="1">LOOKUP(B484,geomorph!A:A,geomorph!B:B)</f>
        <v>1420.5</v>
      </c>
      <c r="D484">
        <f t="shared" si="76"/>
        <v>1.13E-4</v>
      </c>
      <c r="E484" s="9">
        <f ca="1">'[2]Q_GEV(random)'!$J484</f>
        <v>10572.243525614147</v>
      </c>
      <c r="F484" s="26">
        <f ca="1">RANDBETWEEN(ranges!F$2*1000,ranges!F$3*1000)/1000</f>
        <v>9.9000000000000005E-2</v>
      </c>
      <c r="G484" s="3">
        <f t="shared" ca="1" si="77"/>
        <v>7.4426212781514591</v>
      </c>
      <c r="H484" s="4">
        <f t="shared" ca="1" si="78"/>
        <v>10.735051732571199</v>
      </c>
      <c r="I484" s="4">
        <f t="shared" ca="1" si="79"/>
        <v>229.48768891482612</v>
      </c>
      <c r="J484" s="26">
        <f ca="1">RANDBETWEEN(ranges!J$2*1000,ranges!J$3*1000)/1000</f>
        <v>0.624</v>
      </c>
      <c r="K484" s="26">
        <f ca="1">RANDBETWEEN(ranges!K$2*1000,ranges!K$3*1000)/1000</f>
        <v>0.90600000000000003</v>
      </c>
      <c r="L484">
        <f t="shared" ca="1" si="80"/>
        <v>101.50378119516856</v>
      </c>
      <c r="M484">
        <f t="shared" ca="1" si="81"/>
        <v>16.293031694214271</v>
      </c>
      <c r="N484" s="4">
        <f t="shared" ca="1" si="82"/>
        <v>6.0412825670033392</v>
      </c>
      <c r="O484" s="4"/>
      <c r="P484" s="1">
        <f ca="1">LOOKUP(B484,geomorph!$A:$A,geomorph!$G:$G)</f>
        <v>104.878221</v>
      </c>
      <c r="Q484" s="1">
        <f t="shared" ca="1" si="83"/>
        <v>121.17125269421427</v>
      </c>
    </row>
    <row r="485" spans="2:17" x14ac:dyDescent="0.3">
      <c r="B485" s="6">
        <f ca="1">RANDBETWEEN(ranges!B$2,ranges!B$3)</f>
        <v>10919</v>
      </c>
      <c r="C485" s="9">
        <f ca="1">LOOKUP(B485,geomorph!A:A,geomorph!B:B)</f>
        <v>1678.2</v>
      </c>
      <c r="D485">
        <f t="shared" si="76"/>
        <v>1.13E-4</v>
      </c>
      <c r="E485" s="9">
        <f ca="1">'[2]Q_GEV(random)'!$J485</f>
        <v>10547.171174405181</v>
      </c>
      <c r="F485" s="26">
        <f ca="1">RANDBETWEEN(ranges!F$2*1000,ranges!F$3*1000)/1000</f>
        <v>9.0999999999999998E-2</v>
      </c>
      <c r="G485" s="3">
        <f t="shared" ca="1" si="77"/>
        <v>6.2848118069390901</v>
      </c>
      <c r="H485" s="4">
        <f t="shared" ca="1" si="78"/>
        <v>9.3250344697371528</v>
      </c>
      <c r="I485" s="4">
        <f t="shared" ca="1" si="79"/>
        <v>173.54062289204938</v>
      </c>
      <c r="J485" s="26">
        <f ca="1">RANDBETWEEN(ranges!J$2*1000,ranges!J$3*1000)/1000</f>
        <v>0.69899999999999995</v>
      </c>
      <c r="K485" s="26">
        <f ca="1">RANDBETWEEN(ranges!K$2*1000,ranges!K$3*1000)/1000</f>
        <v>0.95099999999999996</v>
      </c>
      <c r="L485">
        <f t="shared" ca="1" si="80"/>
        <v>78.707186027287477</v>
      </c>
      <c r="M485">
        <f t="shared" ca="1" si="81"/>
        <v>14.925763153782304</v>
      </c>
      <c r="N485" s="4">
        <f t="shared" ca="1" si="82"/>
        <v>6.0877485696142948</v>
      </c>
      <c r="O485" s="4"/>
      <c r="P485" s="1">
        <f ca="1">LOOKUP(B485,geomorph!$A:$A,geomorph!$G:$G)</f>
        <v>105.29293100000001</v>
      </c>
      <c r="Q485" s="1">
        <f t="shared" ca="1" si="83"/>
        <v>120.21869415378231</v>
      </c>
    </row>
    <row r="486" spans="2:17" x14ac:dyDescent="0.3">
      <c r="B486" s="6">
        <f ca="1">RANDBETWEEN(ranges!B$2,ranges!B$3)</f>
        <v>12046</v>
      </c>
      <c r="C486" s="9">
        <f ca="1">LOOKUP(B486,geomorph!A:A,geomorph!B:B)</f>
        <v>1337.9</v>
      </c>
      <c r="D486">
        <f t="shared" si="76"/>
        <v>1.13E-4</v>
      </c>
      <c r="E486" s="9">
        <f ca="1">'[2]Q_GEV(random)'!$J486</f>
        <v>10543.282488396844</v>
      </c>
      <c r="F486" s="26">
        <f ca="1">RANDBETWEEN(ranges!F$2*1000,ranges!F$3*1000)/1000</f>
        <v>0.106</v>
      </c>
      <c r="G486" s="3">
        <f t="shared" ca="1" si="77"/>
        <v>7.8804712522586469</v>
      </c>
      <c r="H486" s="4">
        <f t="shared" ca="1" si="78"/>
        <v>11.408937765385204</v>
      </c>
      <c r="I486" s="4">
        <f t="shared" ca="1" si="79"/>
        <v>253.12079309002715</v>
      </c>
      <c r="J486" s="26">
        <f ca="1">RANDBETWEEN(ranges!J$2*1000,ranges!J$3*1000)/1000</f>
        <v>0.65400000000000003</v>
      </c>
      <c r="K486" s="26">
        <f ca="1">RANDBETWEEN(ranges!K$2*1000,ranges!K$3*1000)/1000</f>
        <v>0.95399999999999996</v>
      </c>
      <c r="L486">
        <f t="shared" ca="1" si="80"/>
        <v>110.9600291236483</v>
      </c>
      <c r="M486">
        <f t="shared" ca="1" si="81"/>
        <v>16.775236794991784</v>
      </c>
      <c r="N486" s="4">
        <f t="shared" ca="1" si="82"/>
        <v>5.8329337278332387</v>
      </c>
      <c r="O486" s="4"/>
      <c r="P486" s="1">
        <f ca="1">LOOKUP(B486,geomorph!$A:$A,geomorph!$G:$G)</f>
        <v>105.16524100000001</v>
      </c>
      <c r="Q486" s="1">
        <f t="shared" ca="1" si="83"/>
        <v>121.94047779499179</v>
      </c>
    </row>
    <row r="487" spans="2:17" x14ac:dyDescent="0.3">
      <c r="B487" s="6">
        <f ca="1">RANDBETWEEN(ranges!B$2,ranges!B$3)</f>
        <v>13831</v>
      </c>
      <c r="C487" s="9">
        <f ca="1">LOOKUP(B487,geomorph!A:A,geomorph!B:B)</f>
        <v>1285.7</v>
      </c>
      <c r="D487">
        <f t="shared" si="76"/>
        <v>1.13E-4</v>
      </c>
      <c r="E487" s="9">
        <f ca="1">'[2]Q_GEV(random)'!$J487</f>
        <v>10540.528070517264</v>
      </c>
      <c r="F487" s="26">
        <f ca="1">RANDBETWEEN(ranges!F$2*1000,ranges!F$3*1000)/1000</f>
        <v>9.7000000000000003E-2</v>
      </c>
      <c r="G487" s="3">
        <f t="shared" ca="1" si="77"/>
        <v>8.1982795912866635</v>
      </c>
      <c r="H487" s="4">
        <f t="shared" ca="1" si="78"/>
        <v>11.372279498807387</v>
      </c>
      <c r="I487" s="4">
        <f t="shared" ca="1" si="79"/>
        <v>270.43248352159361</v>
      </c>
      <c r="J487" s="26">
        <f ca="1">RANDBETWEEN(ranges!J$2*1000,ranges!J$3*1000)/1000</f>
        <v>0.78200000000000003</v>
      </c>
      <c r="K487" s="26">
        <f ca="1">RANDBETWEEN(ranges!K$2*1000,ranges!K$3*1000)/1000</f>
        <v>0.95699999999999996</v>
      </c>
      <c r="L487">
        <f t="shared" ca="1" si="80"/>
        <v>110.27333072684939</v>
      </c>
      <c r="M487">
        <f t="shared" ca="1" si="81"/>
        <v>16.020961608652659</v>
      </c>
      <c r="N487" s="4">
        <f t="shared" ca="1" si="82"/>
        <v>5.0529153367883382</v>
      </c>
      <c r="O487" s="4"/>
      <c r="P487" s="1">
        <f ca="1">LOOKUP(B487,geomorph!$A:$A,geomorph!$G:$G)</f>
        <v>104.962971</v>
      </c>
      <c r="Q487" s="1">
        <f t="shared" ca="1" si="83"/>
        <v>120.98393260865265</v>
      </c>
    </row>
    <row r="488" spans="2:17" x14ac:dyDescent="0.3">
      <c r="B488" s="6">
        <f ca="1">RANDBETWEEN(ranges!B$2,ranges!B$3)</f>
        <v>13236</v>
      </c>
      <c r="C488" s="9">
        <f ca="1">LOOKUP(B488,geomorph!A:A,geomorph!B:B)</f>
        <v>1166.5</v>
      </c>
      <c r="D488">
        <f t="shared" si="76"/>
        <v>1.13E-4</v>
      </c>
      <c r="E488" s="9">
        <f ca="1">'[2]Q_GEV(random)'!$J488</f>
        <v>10505.731709736674</v>
      </c>
      <c r="F488" s="26">
        <f ca="1">RANDBETWEEN(ranges!F$2*1000,ranges!F$3*1000)/1000</f>
        <v>9.4E-2</v>
      </c>
      <c r="G488" s="3">
        <f t="shared" ca="1" si="77"/>
        <v>9.0061994939877188</v>
      </c>
      <c r="H488" s="4">
        <f t="shared" ca="1" si="78"/>
        <v>11.981525680969559</v>
      </c>
      <c r="I488" s="4">
        <f t="shared" ca="1" si="79"/>
        <v>317.34109472182166</v>
      </c>
      <c r="J488" s="26">
        <f ca="1">RANDBETWEEN(ranges!J$2*1000,ranges!J$3*1000)/1000</f>
        <v>0.66200000000000003</v>
      </c>
      <c r="K488" s="26">
        <f ca="1">RANDBETWEEN(ranges!K$2*1000,ranges!K$3*1000)/1000</f>
        <v>0.871</v>
      </c>
      <c r="L488">
        <f t="shared" ca="1" si="80"/>
        <v>127.26290986223788</v>
      </c>
      <c r="M488">
        <f t="shared" ca="1" si="81"/>
        <v>16.775096832035956</v>
      </c>
      <c r="N488" s="4">
        <f t="shared" ca="1" si="82"/>
        <v>5.2104034250721698</v>
      </c>
      <c r="O488" s="4"/>
      <c r="P488" s="1">
        <f ca="1">LOOKUP(B488,geomorph!$A:$A,geomorph!$G:$G)</f>
        <v>105.030771</v>
      </c>
      <c r="Q488" s="1">
        <f t="shared" ca="1" si="83"/>
        <v>121.80586783203596</v>
      </c>
    </row>
    <row r="489" spans="2:17" x14ac:dyDescent="0.3">
      <c r="B489" s="6">
        <f ca="1">RANDBETWEEN(ranges!B$2,ranges!B$3)</f>
        <v>14484</v>
      </c>
      <c r="C489" s="9">
        <f ca="1">LOOKUP(B489,geomorph!A:A,geomorph!B:B)</f>
        <v>1396.3</v>
      </c>
      <c r="D489">
        <f t="shared" si="76"/>
        <v>1.13E-4</v>
      </c>
      <c r="E489" s="9">
        <f ca="1">'[2]Q_GEV(random)'!$J489</f>
        <v>10501.397684630667</v>
      </c>
      <c r="F489" s="26">
        <f ca="1">RANDBETWEEN(ranges!F$2*1000,ranges!F$3*1000)/1000</f>
        <v>9.5000000000000001E-2</v>
      </c>
      <c r="G489" s="3">
        <f t="shared" ca="1" si="77"/>
        <v>7.52087494423166</v>
      </c>
      <c r="H489" s="4">
        <f t="shared" ca="1" si="78"/>
        <v>10.662570359255763</v>
      </c>
      <c r="I489" s="4">
        <f t="shared" ca="1" si="79"/>
        <v>235.09867987304281</v>
      </c>
      <c r="J489" s="26">
        <f ca="1">RANDBETWEEN(ranges!J$2*1000,ranges!J$3*1000)/1000</f>
        <v>0.747</v>
      </c>
      <c r="K489" s="26">
        <f ca="1">RANDBETWEEN(ranges!K$2*1000,ranges!K$3*1000)/1000</f>
        <v>0.97</v>
      </c>
      <c r="L489">
        <f t="shared" ca="1" si="80"/>
        <v>99.067356298808946</v>
      </c>
      <c r="M489">
        <f t="shared" ca="1" si="81"/>
        <v>15.631035704803043</v>
      </c>
      <c r="N489" s="4">
        <f t="shared" ca="1" si="82"/>
        <v>5.4005058103774779</v>
      </c>
      <c r="O489" s="4"/>
      <c r="P489" s="1">
        <f ca="1">LOOKUP(B489,geomorph!$A:$A,geomorph!$G:$G)</f>
        <v>104.889521</v>
      </c>
      <c r="Q489" s="1">
        <f t="shared" ca="1" si="83"/>
        <v>120.52055670480304</v>
      </c>
    </row>
    <row r="490" spans="2:17" x14ac:dyDescent="0.3">
      <c r="B490" s="6">
        <f ca="1">RANDBETWEEN(ranges!B$2,ranges!B$3)</f>
        <v>12988</v>
      </c>
      <c r="C490" s="9">
        <f ca="1">LOOKUP(B490,geomorph!A:A,geomorph!B:B)</f>
        <v>1142.5999999999999</v>
      </c>
      <c r="D490">
        <f t="shared" si="76"/>
        <v>1.13E-4</v>
      </c>
      <c r="E490" s="9">
        <f ca="1">'[2]Q_GEV(random)'!$J490</f>
        <v>10482.035905823301</v>
      </c>
      <c r="F490" s="26">
        <f ca="1">RANDBETWEEN(ranges!F$2*1000,ranges!F$3*1000)/1000</f>
        <v>0.11</v>
      </c>
      <c r="G490" s="3">
        <f t="shared" ca="1" si="77"/>
        <v>9.1738455328402786</v>
      </c>
      <c r="H490" s="4">
        <f t="shared" ca="1" si="78"/>
        <v>12.78224018425353</v>
      </c>
      <c r="I490" s="4">
        <f t="shared" ca="1" si="79"/>
        <v>327.98708729376312</v>
      </c>
      <c r="J490" s="26">
        <f ca="1">RANDBETWEEN(ranges!J$2*1000,ranges!J$3*1000)/1000</f>
        <v>0.60699999999999998</v>
      </c>
      <c r="K490" s="26">
        <f ca="1">RANDBETWEEN(ranges!K$2*1000,ranges!K$3*1000)/1000</f>
        <v>0.90100000000000002</v>
      </c>
      <c r="L490">
        <f t="shared" ca="1" si="80"/>
        <v>139.10731169410707</v>
      </c>
      <c r="M490">
        <f t="shared" ca="1" si="81"/>
        <v>17.960673620610599</v>
      </c>
      <c r="N490" s="4">
        <f t="shared" ca="1" si="82"/>
        <v>5.6287319960402931</v>
      </c>
      <c r="O490" s="4"/>
      <c r="P490" s="1">
        <f ca="1">LOOKUP(B490,geomorph!$A:$A,geomorph!$G:$G)</f>
        <v>105.059021</v>
      </c>
      <c r="Q490" s="1">
        <f t="shared" ca="1" si="83"/>
        <v>123.01969462061061</v>
      </c>
    </row>
    <row r="491" spans="2:17" x14ac:dyDescent="0.3">
      <c r="B491" s="6">
        <f ca="1">RANDBETWEEN(ranges!B$2,ranges!B$3)</f>
        <v>14619</v>
      </c>
      <c r="C491" s="9">
        <f ca="1">LOOKUP(B491,geomorph!A:A,geomorph!B:B)</f>
        <v>1430.4</v>
      </c>
      <c r="D491">
        <f t="shared" si="76"/>
        <v>1.13E-4</v>
      </c>
      <c r="E491" s="9">
        <f ca="1">'[2]Q_GEV(random)'!$J491</f>
        <v>10456.029250396947</v>
      </c>
      <c r="F491" s="26">
        <f ca="1">RANDBETWEEN(ranges!F$2*1000,ranges!F$3*1000)/1000</f>
        <v>9.2999999999999999E-2</v>
      </c>
      <c r="G491" s="3">
        <f t="shared" ca="1" si="77"/>
        <v>7.309863849550438</v>
      </c>
      <c r="H491" s="4">
        <f t="shared" ca="1" si="78"/>
        <v>10.388247899429958</v>
      </c>
      <c r="I491" s="4">
        <f t="shared" ca="1" si="79"/>
        <v>225.18115419504775</v>
      </c>
      <c r="J491" s="26">
        <f ca="1">RANDBETWEEN(ranges!J$2*1000,ranges!J$3*1000)/1000</f>
        <v>0.64200000000000002</v>
      </c>
      <c r="K491" s="26">
        <f ca="1">RANDBETWEEN(ranges!K$2*1000,ranges!K$3*1000)/1000</f>
        <v>0.84899999999999998</v>
      </c>
      <c r="L491">
        <f t="shared" ca="1" si="80"/>
        <v>97.123472899413628</v>
      </c>
      <c r="M491">
        <f t="shared" ca="1" si="81"/>
        <v>15.698571966791302</v>
      </c>
      <c r="N491" s="4">
        <f t="shared" ca="1" si="82"/>
        <v>5.7720913775666789</v>
      </c>
      <c r="O491" s="4"/>
      <c r="P491" s="1">
        <f ca="1">LOOKUP(B491,geomorph!$A:$A,geomorph!$G:$G)</f>
        <v>104.874831</v>
      </c>
      <c r="Q491" s="1">
        <f t="shared" ca="1" si="83"/>
        <v>120.57340296679131</v>
      </c>
    </row>
    <row r="492" spans="2:17" x14ac:dyDescent="0.3">
      <c r="B492" s="6">
        <f ca="1">RANDBETWEEN(ranges!B$2,ranges!B$3)</f>
        <v>10623</v>
      </c>
      <c r="C492" s="9">
        <f ca="1">LOOKUP(B492,geomorph!A:A,geomorph!B:B)</f>
        <v>1734.9</v>
      </c>
      <c r="D492">
        <f t="shared" si="76"/>
        <v>1.13E-4</v>
      </c>
      <c r="E492" s="9">
        <f ca="1">'[2]Q_GEV(random)'!$J492</f>
        <v>10446.592407485188</v>
      </c>
      <c r="F492" s="26">
        <f ca="1">RANDBETWEEN(ranges!F$2*1000,ranges!F$3*1000)/1000</f>
        <v>0.108</v>
      </c>
      <c r="G492" s="3">
        <f t="shared" ca="1" si="77"/>
        <v>6.0214377817079878</v>
      </c>
      <c r="H492" s="4">
        <f t="shared" ca="1" si="78"/>
        <v>9.5951076291107373</v>
      </c>
      <c r="I492" s="4">
        <f t="shared" ca="1" si="79"/>
        <v>163.14572769762958</v>
      </c>
      <c r="J492" s="26">
        <f ca="1">RANDBETWEEN(ranges!J$2*1000,ranges!J$3*1000)/1000</f>
        <v>0.70299999999999996</v>
      </c>
      <c r="K492" s="26">
        <f ca="1">RANDBETWEEN(ranges!K$2*1000,ranges!K$3*1000)/1000</f>
        <v>0.94099999999999995</v>
      </c>
      <c r="L492">
        <f t="shared" ca="1" si="80"/>
        <v>78.223917659419172</v>
      </c>
      <c r="M492">
        <f t="shared" ca="1" si="81"/>
        <v>15.335306246447875</v>
      </c>
      <c r="N492" s="4">
        <f t="shared" ca="1" si="82"/>
        <v>6.2393463231925406</v>
      </c>
      <c r="O492" s="4"/>
      <c r="P492" s="1">
        <f ca="1">LOOKUP(B492,geomorph!$A:$A,geomorph!$G:$G)</f>
        <v>105.32570100000001</v>
      </c>
      <c r="Q492" s="1">
        <f t="shared" ca="1" si="83"/>
        <v>120.66100724644788</v>
      </c>
    </row>
    <row r="493" spans="2:17" x14ac:dyDescent="0.3">
      <c r="B493" s="6">
        <f ca="1">RANDBETWEEN(ranges!B$2,ranges!B$3)</f>
        <v>11427</v>
      </c>
      <c r="C493" s="9">
        <f ca="1">LOOKUP(B493,geomorph!A:A,geomorph!B:B)</f>
        <v>1523.4</v>
      </c>
      <c r="D493">
        <f t="shared" si="76"/>
        <v>1.13E-4</v>
      </c>
      <c r="E493" s="9">
        <f ca="1">'[2]Q_GEV(random)'!$J493</f>
        <v>10431.644877450848</v>
      </c>
      <c r="F493" s="26">
        <f ca="1">RANDBETWEEN(ranges!F$2*1000,ranges!F$3*1000)/1000</f>
        <v>9.6000000000000002E-2</v>
      </c>
      <c r="G493" s="3">
        <f t="shared" ca="1" si="77"/>
        <v>6.8476072452742862</v>
      </c>
      <c r="H493" s="4">
        <f t="shared" ca="1" si="78"/>
        <v>10.051358646400285</v>
      </c>
      <c r="I493" s="4">
        <f t="shared" ca="1" si="79"/>
        <v>202.42398059369344</v>
      </c>
      <c r="J493" s="26">
        <f ca="1">RANDBETWEEN(ranges!J$2*1000,ranges!J$3*1000)/1000</f>
        <v>0.79600000000000004</v>
      </c>
      <c r="K493" s="26">
        <f ca="1">RANDBETWEEN(ranges!K$2*1000,ranges!K$3*1000)/1000</f>
        <v>0.82199999999999995</v>
      </c>
      <c r="L493">
        <f t="shared" ca="1" si="80"/>
        <v>85.623514808798063</v>
      </c>
      <c r="M493">
        <f t="shared" ca="1" si="81"/>
        <v>14.739591457948697</v>
      </c>
      <c r="N493" s="4">
        <f t="shared" ca="1" si="82"/>
        <v>5.0959052299439254</v>
      </c>
      <c r="O493" s="4"/>
      <c r="P493" s="1">
        <f ca="1">LOOKUP(B493,geomorph!$A:$A,geomorph!$G:$G)</f>
        <v>105.23530100000001</v>
      </c>
      <c r="Q493" s="1">
        <f t="shared" ca="1" si="83"/>
        <v>119.9748924579487</v>
      </c>
    </row>
    <row r="494" spans="2:17" x14ac:dyDescent="0.3">
      <c r="B494" s="6">
        <f ca="1">RANDBETWEEN(ranges!B$2,ranges!B$3)</f>
        <v>10750</v>
      </c>
      <c r="C494" s="9">
        <f ca="1">LOOKUP(B494,geomorph!A:A,geomorph!B:B)</f>
        <v>1686.5</v>
      </c>
      <c r="D494">
        <f t="shared" si="76"/>
        <v>1.13E-4</v>
      </c>
      <c r="E494" s="9">
        <f ca="1">'[2]Q_GEV(random)'!$J494</f>
        <v>10430.630656912981</v>
      </c>
      <c r="F494" s="26">
        <f ca="1">RANDBETWEEN(ranges!F$2*1000,ranges!F$3*1000)/1000</f>
        <v>0.105</v>
      </c>
      <c r="G494" s="3">
        <f t="shared" ca="1" si="77"/>
        <v>6.1847795178849578</v>
      </c>
      <c r="H494" s="4">
        <f t="shared" ca="1" si="78"/>
        <v>9.6765611253143273</v>
      </c>
      <c r="I494" s="4">
        <f t="shared" ca="1" si="79"/>
        <v>170.84927992993141</v>
      </c>
      <c r="J494" s="26">
        <f ca="1">RANDBETWEEN(ranges!J$2*1000,ranges!J$3*1000)/1000</f>
        <v>0.73899999999999999</v>
      </c>
      <c r="K494" s="26">
        <f ca="1">RANDBETWEEN(ranges!K$2*1000,ranges!K$3*1000)/1000</f>
        <v>0.90100000000000002</v>
      </c>
      <c r="L494">
        <f t="shared" ca="1" si="80"/>
        <v>79.00324334987846</v>
      </c>
      <c r="M494">
        <f t="shared" ca="1" si="81"/>
        <v>15.056003599781413</v>
      </c>
      <c r="N494" s="4">
        <f t="shared" ca="1" si="82"/>
        <v>5.8472200809424839</v>
      </c>
      <c r="O494" s="4"/>
      <c r="P494" s="1">
        <f ca="1">LOOKUP(B494,geomorph!$A:$A,geomorph!$G:$G)</f>
        <v>105.31101100000001</v>
      </c>
      <c r="Q494" s="1">
        <f t="shared" ca="1" si="83"/>
        <v>120.36701459978141</v>
      </c>
    </row>
    <row r="495" spans="2:17" x14ac:dyDescent="0.3">
      <c r="B495" s="6">
        <f ca="1">RANDBETWEEN(ranges!B$2,ranges!B$3)</f>
        <v>14554</v>
      </c>
      <c r="C495" s="9">
        <f ca="1">LOOKUP(B495,geomorph!A:A,geomorph!B:B)</f>
        <v>1413.3</v>
      </c>
      <c r="D495">
        <f t="shared" si="76"/>
        <v>1.13E-4</v>
      </c>
      <c r="E495" s="9">
        <f ca="1">'[2]Q_GEV(random)'!$J495</f>
        <v>10417.61853244996</v>
      </c>
      <c r="F495" s="26">
        <f ca="1">RANDBETWEEN(ranges!F$2*1000,ranges!F$3*1000)/1000</f>
        <v>9.6000000000000002E-2</v>
      </c>
      <c r="G495" s="3">
        <f t="shared" ca="1" si="77"/>
        <v>7.3711303562229959</v>
      </c>
      <c r="H495" s="4">
        <f t="shared" ca="1" si="78"/>
        <v>10.557350383179395</v>
      </c>
      <c r="I495" s="4">
        <f t="shared" ca="1" si="79"/>
        <v>229.17736357471998</v>
      </c>
      <c r="J495" s="26">
        <f ca="1">RANDBETWEEN(ranges!J$2*1000,ranges!J$3*1000)/1000</f>
        <v>0.70199999999999996</v>
      </c>
      <c r="K495" s="26">
        <f ca="1">RANDBETWEEN(ranges!K$2*1000,ranges!K$3*1000)/1000</f>
        <v>0.84199999999999997</v>
      </c>
      <c r="L495">
        <f t="shared" ca="1" si="80"/>
        <v>97.210702882112201</v>
      </c>
      <c r="M495">
        <f t="shared" ca="1" si="81"/>
        <v>15.524831161311678</v>
      </c>
      <c r="N495" s="4">
        <f t="shared" ca="1" si="82"/>
        <v>5.3994356284046541</v>
      </c>
      <c r="O495" s="4"/>
      <c r="P495" s="1">
        <f ca="1">LOOKUP(B495,geomorph!$A:$A,geomorph!$G:$G)</f>
        <v>104.88161100000001</v>
      </c>
      <c r="Q495" s="1">
        <f t="shared" ca="1" si="83"/>
        <v>120.40644216131169</v>
      </c>
    </row>
    <row r="496" spans="2:17" x14ac:dyDescent="0.3">
      <c r="B496" s="6">
        <f ca="1">RANDBETWEEN(ranges!B$2,ranges!B$3)</f>
        <v>12773</v>
      </c>
      <c r="C496" s="9">
        <f ca="1">LOOKUP(B496,geomorph!A:A,geomorph!B:B)</f>
        <v>1140.5</v>
      </c>
      <c r="D496">
        <f t="shared" si="76"/>
        <v>1.13E-4</v>
      </c>
      <c r="E496" s="9">
        <f ca="1">'[2]Q_GEV(random)'!$J496</f>
        <v>10410.857567065077</v>
      </c>
      <c r="F496" s="26">
        <f ca="1">RANDBETWEEN(ranges!F$2*1000,ranges!F$3*1000)/1000</f>
        <v>0.09</v>
      </c>
      <c r="G496" s="3">
        <f t="shared" ca="1" si="77"/>
        <v>9.1283275467471086</v>
      </c>
      <c r="H496" s="4">
        <f t="shared" ca="1" si="78"/>
        <v>11.915623618516911</v>
      </c>
      <c r="I496" s="4">
        <f t="shared" ca="1" si="79"/>
        <v>327.50319221300265</v>
      </c>
      <c r="J496" s="26">
        <f ca="1">RANDBETWEEN(ranges!J$2*1000,ranges!J$3*1000)/1000</f>
        <v>0.61499999999999999</v>
      </c>
      <c r="K496" s="26">
        <f ca="1">RANDBETWEEN(ranges!K$2*1000,ranges!K$3*1000)/1000</f>
        <v>0.9</v>
      </c>
      <c r="L496">
        <f t="shared" ca="1" si="80"/>
        <v>131.28422983516069</v>
      </c>
      <c r="M496">
        <f t="shared" ca="1" si="81"/>
        <v>16.919452046351083</v>
      </c>
      <c r="N496" s="4">
        <f t="shared" ca="1" si="82"/>
        <v>5.4389439432980131</v>
      </c>
      <c r="O496" s="4"/>
      <c r="P496" s="1">
        <f ca="1">LOOKUP(B496,geomorph!$A:$A,geomorph!$G:$G)</f>
        <v>105.082751</v>
      </c>
      <c r="Q496" s="1">
        <f t="shared" ca="1" si="83"/>
        <v>122.00220304635108</v>
      </c>
    </row>
    <row r="497" spans="2:17" x14ac:dyDescent="0.3">
      <c r="B497" s="6">
        <f ca="1">RANDBETWEEN(ranges!B$2,ranges!B$3)</f>
        <v>13419</v>
      </c>
      <c r="C497" s="9">
        <f ca="1">LOOKUP(B497,geomorph!A:A,geomorph!B:B)</f>
        <v>1187.4000000000001</v>
      </c>
      <c r="D497">
        <f t="shared" si="76"/>
        <v>1.13E-4</v>
      </c>
      <c r="E497" s="9">
        <f ca="1">'[2]Q_GEV(random)'!$J497</f>
        <v>10410.423608447431</v>
      </c>
      <c r="F497" s="26">
        <f ca="1">RANDBETWEEN(ranges!F$2*1000,ranges!F$3*1000)/1000</f>
        <v>0.10299999999999999</v>
      </c>
      <c r="G497" s="3">
        <f t="shared" ca="1" si="77"/>
        <v>8.7674108206564174</v>
      </c>
      <c r="H497" s="4">
        <f t="shared" ca="1" si="78"/>
        <v>12.133006853357099</v>
      </c>
      <c r="I497" s="4">
        <f t="shared" ca="1" si="79"/>
        <v>306.22022907860025</v>
      </c>
      <c r="J497" s="26">
        <f ca="1">RANDBETWEEN(ranges!J$2*1000,ranges!J$3*1000)/1000</f>
        <v>0.627</v>
      </c>
      <c r="K497" s="26">
        <f ca="1">RANDBETWEEN(ranges!K$2*1000,ranges!K$3*1000)/1000</f>
        <v>0.82299999999999995</v>
      </c>
      <c r="L497">
        <f t="shared" ca="1" si="80"/>
        <v>127.33917039299564</v>
      </c>
      <c r="M497">
        <f t="shared" ca="1" si="81"/>
        <v>17.085885994484663</v>
      </c>
      <c r="N497" s="4">
        <f t="shared" ca="1" si="82"/>
        <v>5.3835642838343087</v>
      </c>
      <c r="O497" s="4"/>
      <c r="P497" s="1">
        <f ca="1">LOOKUP(B497,geomorph!$A:$A,geomorph!$G:$G)</f>
        <v>105.010431</v>
      </c>
      <c r="Q497" s="1">
        <f t="shared" ca="1" si="83"/>
        <v>122.09631699448465</v>
      </c>
    </row>
    <row r="498" spans="2:17" x14ac:dyDescent="0.3">
      <c r="B498" s="6">
        <f ca="1">RANDBETWEEN(ranges!B$2,ranges!B$3)</f>
        <v>11059</v>
      </c>
      <c r="C498" s="9">
        <f ca="1">LOOKUP(B498,geomorph!A:A,geomorph!B:B)</f>
        <v>1686.9</v>
      </c>
      <c r="D498">
        <f t="shared" si="76"/>
        <v>1.13E-4</v>
      </c>
      <c r="E498" s="9">
        <f ca="1">'[2]Q_GEV(random)'!$J498</f>
        <v>10407.218085410157</v>
      </c>
      <c r="F498" s="26">
        <f ca="1">RANDBETWEEN(ranges!F$2*1000,ranges!F$3*1000)/1000</f>
        <v>9.2999999999999999E-2</v>
      </c>
      <c r="G498" s="3">
        <f t="shared" ca="1" si="77"/>
        <v>6.1694339234158262</v>
      </c>
      <c r="H498" s="4">
        <f t="shared" ca="1" si="78"/>
        <v>9.2775433205574114</v>
      </c>
      <c r="I498" s="4">
        <f t="shared" ca="1" si="79"/>
        <v>170.52611195582011</v>
      </c>
      <c r="J498" s="26">
        <f ca="1">RANDBETWEEN(ranges!J$2*1000,ranges!J$3*1000)/1000</f>
        <v>0.71099999999999997</v>
      </c>
      <c r="K498" s="26">
        <f ca="1">RANDBETWEEN(ranges!K$2*1000,ranges!K$3*1000)/1000</f>
        <v>0.91300000000000003</v>
      </c>
      <c r="L498">
        <f t="shared" ca="1" si="80"/>
        <v>77.405663806314294</v>
      </c>
      <c r="M498">
        <f t="shared" ca="1" si="81"/>
        <v>14.755044413060489</v>
      </c>
      <c r="N498" s="4">
        <f t="shared" ca="1" si="82"/>
        <v>5.9538055353294315</v>
      </c>
      <c r="O498" s="4"/>
      <c r="P498" s="1">
        <f ca="1">LOOKUP(B498,geomorph!$A:$A,geomorph!$G:$G)</f>
        <v>105.277111</v>
      </c>
      <c r="Q498" s="1">
        <f t="shared" ca="1" si="83"/>
        <v>120.03215541306049</v>
      </c>
    </row>
    <row r="499" spans="2:17" x14ac:dyDescent="0.3">
      <c r="B499" s="6">
        <f ca="1">RANDBETWEEN(ranges!B$2,ranges!B$3)</f>
        <v>10706</v>
      </c>
      <c r="C499" s="9">
        <f ca="1">LOOKUP(B499,geomorph!A:A,geomorph!B:B)</f>
        <v>1711.6</v>
      </c>
      <c r="D499">
        <f t="shared" si="76"/>
        <v>1.13E-4</v>
      </c>
      <c r="E499" s="9">
        <f ca="1">'[2]Q_GEV(random)'!$J499</f>
        <v>10400.648233613831</v>
      </c>
      <c r="F499" s="26">
        <f ca="1">RANDBETWEEN(ranges!F$2*1000,ranges!F$3*1000)/1000</f>
        <v>0.11</v>
      </c>
      <c r="G499" s="3">
        <f t="shared" ca="1" si="77"/>
        <v>6.0765647543899455</v>
      </c>
      <c r="H499" s="4">
        <f t="shared" ca="1" si="78"/>
        <v>9.7128074347896796</v>
      </c>
      <c r="I499" s="4">
        <f t="shared" ca="1" si="79"/>
        <v>166.37439630512679</v>
      </c>
      <c r="J499" s="26">
        <f ca="1">RANDBETWEEN(ranges!J$2*1000,ranges!J$3*1000)/1000</f>
        <v>0.7</v>
      </c>
      <c r="K499" s="26">
        <f ca="1">RANDBETWEEN(ranges!K$2*1000,ranges!K$3*1000)/1000</f>
        <v>0.93400000000000005</v>
      </c>
      <c r="L499">
        <f t="shared" ca="1" si="80"/>
        <v>79.750552048906641</v>
      </c>
      <c r="M499">
        <f t="shared" ca="1" si="81"/>
        <v>15.424618072220673</v>
      </c>
      <c r="N499" s="4">
        <f t="shared" ca="1" si="82"/>
        <v>6.2084898232945571</v>
      </c>
      <c r="O499" s="4"/>
      <c r="P499" s="1">
        <f ca="1">LOOKUP(B499,geomorph!$A:$A,geomorph!$G:$G)</f>
        <v>105.316661</v>
      </c>
      <c r="Q499" s="1">
        <f t="shared" ca="1" si="83"/>
        <v>120.74127907222066</v>
      </c>
    </row>
    <row r="500" spans="2:17" x14ac:dyDescent="0.3">
      <c r="B500" s="6">
        <f ca="1">RANDBETWEEN(ranges!B$2,ranges!B$3)</f>
        <v>11046</v>
      </c>
      <c r="C500" s="9">
        <f ca="1">LOOKUP(B500,geomorph!A:A,geomorph!B:B)</f>
        <v>1687.2</v>
      </c>
      <c r="D500">
        <f t="shared" si="76"/>
        <v>1.13E-4</v>
      </c>
      <c r="E500" s="9">
        <f ca="1">'[2]Q_GEV(random)'!$J500</f>
        <v>10380.630957710757</v>
      </c>
      <c r="F500" s="26">
        <f ca="1">RANDBETWEEN(ranges!F$2*1000,ranges!F$3*1000)/1000</f>
        <v>0.10299999999999999</v>
      </c>
      <c r="G500" s="3">
        <f t="shared" ca="1" si="77"/>
        <v>6.1525788037640803</v>
      </c>
      <c r="H500" s="4">
        <f t="shared" ca="1" si="78"/>
        <v>9.5813269801741079</v>
      </c>
      <c r="I500" s="4">
        <f t="shared" ca="1" si="79"/>
        <v>170.18511540794506</v>
      </c>
      <c r="J500" s="26">
        <f ca="1">RANDBETWEEN(ranges!J$2*1000,ranges!J$3*1000)/1000</f>
        <v>0.68899999999999995</v>
      </c>
      <c r="K500" s="26">
        <f ca="1">RANDBETWEEN(ranges!K$2*1000,ranges!K$3*1000)/1000</f>
        <v>0.88</v>
      </c>
      <c r="L500">
        <f t="shared" ca="1" si="80"/>
        <v>79.58483931627697</v>
      </c>
      <c r="M500">
        <f t="shared" ca="1" si="81"/>
        <v>15.173136121069742</v>
      </c>
      <c r="N500" s="4">
        <f t="shared" ca="1" si="82"/>
        <v>6.0780534140169937</v>
      </c>
      <c r="O500" s="4"/>
      <c r="P500" s="1">
        <f ca="1">LOOKUP(B500,geomorph!$A:$A,geomorph!$G:$G)</f>
        <v>105.27824100000001</v>
      </c>
      <c r="Q500" s="1">
        <f t="shared" ca="1" si="83"/>
        <v>120.45137712106975</v>
      </c>
    </row>
    <row r="501" spans="2:17" x14ac:dyDescent="0.3">
      <c r="B501" s="6">
        <f ca="1">RANDBETWEEN(ranges!B$2,ranges!B$3)</f>
        <v>11471</v>
      </c>
      <c r="C501" s="9">
        <f ca="1">LOOKUP(B501,geomorph!A:A,geomorph!B:B)</f>
        <v>1498.4</v>
      </c>
      <c r="D501">
        <f t="shared" si="76"/>
        <v>1.13E-4</v>
      </c>
      <c r="E501" s="9">
        <f ca="1">'[2]Q_GEV(random)'!$J501</f>
        <v>10378.901492010187</v>
      </c>
      <c r="F501" s="26">
        <f ca="1">RANDBETWEEN(ranges!F$2*1000,ranges!F$3*1000)/1000</f>
        <v>0.10100000000000001</v>
      </c>
      <c r="G501" s="3">
        <f t="shared" ca="1" si="77"/>
        <v>6.9266560945075994</v>
      </c>
      <c r="H501" s="4">
        <f t="shared" ca="1" si="78"/>
        <v>10.301441604007849</v>
      </c>
      <c r="I501" s="4">
        <f t="shared" ca="1" si="79"/>
        <v>207.38213265329009</v>
      </c>
      <c r="J501" s="26">
        <f ca="1">RANDBETWEEN(ranges!J$2*1000,ranges!J$3*1000)/1000</f>
        <v>0.79800000000000004</v>
      </c>
      <c r="K501" s="26">
        <f ca="1">RANDBETWEEN(ranges!K$2*1000,ranges!K$3*1000)/1000</f>
        <v>0.88900000000000001</v>
      </c>
      <c r="L501">
        <f t="shared" ca="1" si="80"/>
        <v>89.102377860394071</v>
      </c>
      <c r="M501">
        <f t="shared" ca="1" si="81"/>
        <v>15.086743337419634</v>
      </c>
      <c r="N501" s="4">
        <f t="shared" ca="1" si="82"/>
        <v>5.2014149276215056</v>
      </c>
      <c r="O501" s="4"/>
      <c r="P501" s="1">
        <f ca="1">LOOKUP(B501,geomorph!$A:$A,geomorph!$G:$G)</f>
        <v>105.229651</v>
      </c>
      <c r="Q501" s="1">
        <f t="shared" ca="1" si="83"/>
        <v>120.31639433741964</v>
      </c>
    </row>
    <row r="502" spans="2:17" x14ac:dyDescent="0.3">
      <c r="B502" s="6">
        <f ca="1">RANDBETWEEN(ranges!B$2,ranges!B$3)</f>
        <v>11948</v>
      </c>
      <c r="C502" s="9">
        <f ca="1">LOOKUP(B502,geomorph!A:A,geomorph!B:B)</f>
        <v>1368.9</v>
      </c>
      <c r="D502">
        <f t="shared" si="76"/>
        <v>1.13E-4</v>
      </c>
      <c r="E502" s="9">
        <f ca="1">'[2]Q_GEV(random)'!$J502</f>
        <v>10371.611048167795</v>
      </c>
      <c r="F502" s="26">
        <f ca="1">RANDBETWEEN(ranges!F$2*1000,ranges!F$3*1000)/1000</f>
        <v>9.0999999999999998E-2</v>
      </c>
      <c r="G502" s="3">
        <f t="shared" ca="1" si="77"/>
        <v>7.5766024166614026</v>
      </c>
      <c r="H502" s="4">
        <f t="shared" ca="1" si="78"/>
        <v>10.562626573172032</v>
      </c>
      <c r="I502" s="4">
        <f t="shared" ca="1" si="79"/>
        <v>240.98756059799896</v>
      </c>
      <c r="J502" s="26">
        <f ca="1">RANDBETWEEN(ranges!J$2*1000,ranges!J$3*1000)/1000</f>
        <v>0.66600000000000004</v>
      </c>
      <c r="K502" s="26">
        <f ca="1">RANDBETWEEN(ranges!K$2*1000,ranges!K$3*1000)/1000</f>
        <v>0.88800000000000001</v>
      </c>
      <c r="L502">
        <f t="shared" ca="1" si="80"/>
        <v>101.42059949521357</v>
      </c>
      <c r="M502">
        <f t="shared" ca="1" si="81"/>
        <v>15.688316427336758</v>
      </c>
      <c r="N502" s="4">
        <f t="shared" ca="1" si="82"/>
        <v>5.5714020153964414</v>
      </c>
      <c r="O502" s="4"/>
      <c r="P502" s="1">
        <f ca="1">LOOKUP(B502,geomorph!$A:$A,geomorph!$G:$G)</f>
        <v>105.176541</v>
      </c>
      <c r="Q502" s="1">
        <f t="shared" ca="1" si="83"/>
        <v>120.86485742733676</v>
      </c>
    </row>
    <row r="503" spans="2:17" x14ac:dyDescent="0.3">
      <c r="B503" s="6">
        <f ca="1">RANDBETWEEN(ranges!B$2,ranges!B$3)</f>
        <v>13734</v>
      </c>
      <c r="C503" s="9">
        <f ca="1">LOOKUP(B503,geomorph!A:A,geomorph!B:B)</f>
        <v>1260.7</v>
      </c>
      <c r="D503">
        <f t="shared" si="76"/>
        <v>1.13E-4</v>
      </c>
      <c r="E503" s="9">
        <f ca="1">'[2]Q_GEV(random)'!$J503</f>
        <v>10363.752022479268</v>
      </c>
      <c r="F503" s="26">
        <f ca="1">RANDBETWEEN(ranges!F$2*1000,ranges!F$3*1000)/1000</f>
        <v>0.104</v>
      </c>
      <c r="G503" s="3">
        <f t="shared" ca="1" si="77"/>
        <v>8.2206329995076288</v>
      </c>
      <c r="H503" s="4">
        <f t="shared" ca="1" si="78"/>
        <v>11.660658675676409</v>
      </c>
      <c r="I503" s="4">
        <f t="shared" ca="1" si="79"/>
        <v>276.29632226727961</v>
      </c>
      <c r="J503" s="26">
        <f ca="1">RANDBETWEEN(ranges!J$2*1000,ranges!J$3*1000)/1000</f>
        <v>0.73299999999999998</v>
      </c>
      <c r="K503" s="26">
        <f ca="1">RANDBETWEEN(ranges!K$2*1000,ranges!K$3*1000)/1000</f>
        <v>0.998</v>
      </c>
      <c r="L503">
        <f t="shared" ca="1" si="80"/>
        <v>116.25272438030208</v>
      </c>
      <c r="M503">
        <f t="shared" ca="1" si="81"/>
        <v>16.56125848776589</v>
      </c>
      <c r="N503" s="4">
        <f t="shared" ca="1" si="82"/>
        <v>5.3267389261842188</v>
      </c>
      <c r="O503" s="4"/>
      <c r="P503" s="1">
        <f ca="1">LOOKUP(B503,geomorph!$A:$A,geomorph!$G:$G)</f>
        <v>104.974271</v>
      </c>
      <c r="Q503" s="1">
        <f t="shared" ca="1" si="83"/>
        <v>121.5355294877659</v>
      </c>
    </row>
    <row r="504" spans="2:17" x14ac:dyDescent="0.3">
      <c r="B504" s="6">
        <f ca="1">RANDBETWEEN(ranges!B$2,ranges!B$3)</f>
        <v>13586</v>
      </c>
      <c r="C504" s="9">
        <f ca="1">LOOKUP(B504,geomorph!A:A,geomorph!B:B)</f>
        <v>1222.8</v>
      </c>
      <c r="D504">
        <f t="shared" si="76"/>
        <v>1.13E-4</v>
      </c>
      <c r="E504" s="9">
        <f ca="1">'[2]Q_GEV(random)'!$J504</f>
        <v>10360.155067917807</v>
      </c>
      <c r="F504" s="26">
        <f ca="1">RANDBETWEEN(ranges!F$2*1000,ranges!F$3*1000)/1000</f>
        <v>9.2999999999999999E-2</v>
      </c>
      <c r="G504" s="3">
        <f t="shared" ca="1" si="77"/>
        <v>8.472485335228825</v>
      </c>
      <c r="H504" s="4">
        <f t="shared" ca="1" si="78"/>
        <v>11.462429125312992</v>
      </c>
      <c r="I504" s="4">
        <f t="shared" ca="1" si="79"/>
        <v>290.64875750940911</v>
      </c>
      <c r="J504" s="26">
        <f ca="1">RANDBETWEEN(ranges!J$2*1000,ranges!J$3*1000)/1000</f>
        <v>0.78600000000000003</v>
      </c>
      <c r="K504" s="26">
        <f ca="1">RANDBETWEEN(ranges!K$2*1000,ranges!K$3*1000)/1000</f>
        <v>0.82199999999999995</v>
      </c>
      <c r="L504">
        <f t="shared" ca="1" si="80"/>
        <v>113.82074451095136</v>
      </c>
      <c r="M504">
        <f t="shared" ca="1" si="81"/>
        <v>15.727340721843017</v>
      </c>
      <c r="N504" s="4">
        <f t="shared" ca="1" si="82"/>
        <v>4.6357734744891577</v>
      </c>
      <c r="O504" s="4"/>
      <c r="P504" s="1">
        <f ca="1">LOOKUP(B504,geomorph!$A:$A,geomorph!$G:$G)</f>
        <v>104.991221</v>
      </c>
      <c r="Q504" s="1">
        <f t="shared" ca="1" si="83"/>
        <v>120.71856172184302</v>
      </c>
    </row>
    <row r="505" spans="2:17" x14ac:dyDescent="0.3">
      <c r="B505" s="6">
        <f ca="1">RANDBETWEEN(ranges!B$2,ranges!B$3)</f>
        <v>13395</v>
      </c>
      <c r="C505" s="9">
        <f ca="1">LOOKUP(B505,geomorph!A:A,geomorph!B:B)</f>
        <v>1184.9000000000001</v>
      </c>
      <c r="D505">
        <f t="shared" si="76"/>
        <v>1.13E-4</v>
      </c>
      <c r="E505" s="9">
        <f ca="1">'[2]Q_GEV(random)'!$J505</f>
        <v>10359.518852411775</v>
      </c>
      <c r="F505" s="26">
        <f ca="1">RANDBETWEEN(ranges!F$2*1000,ranges!F$3*1000)/1000</f>
        <v>9.9000000000000005E-2</v>
      </c>
      <c r="G505" s="3">
        <f t="shared" ca="1" si="77"/>
        <v>8.7429478035376604</v>
      </c>
      <c r="H505" s="4">
        <f t="shared" ca="1" si="78"/>
        <v>11.951583551339908</v>
      </c>
      <c r="I505" s="4">
        <f t="shared" ca="1" si="79"/>
        <v>306.29523541834828</v>
      </c>
      <c r="J505" s="26">
        <f ca="1">RANDBETWEEN(ranges!J$2*1000,ranges!J$3*1000)/1000</f>
        <v>0.66400000000000003</v>
      </c>
      <c r="K505" s="26">
        <f ca="1">RANDBETWEEN(ranges!K$2*1000,ranges!K$3*1000)/1000</f>
        <v>0.85699999999999998</v>
      </c>
      <c r="L505">
        <f t="shared" ca="1" si="80"/>
        <v>125.13171977618646</v>
      </c>
      <c r="M505">
        <f t="shared" ca="1" si="81"/>
        <v>16.754348948196778</v>
      </c>
      <c r="N505" s="4">
        <f t="shared" ca="1" si="82"/>
        <v>5.2203971704965975</v>
      </c>
      <c r="O505" s="4"/>
      <c r="P505" s="1">
        <f ca="1">LOOKUP(B505,geomorph!$A:$A,geomorph!$G:$G)</f>
        <v>105.012691</v>
      </c>
      <c r="Q505" s="1">
        <f t="shared" ca="1" si="83"/>
        <v>121.76703994819678</v>
      </c>
    </row>
    <row r="506" spans="2:17" x14ac:dyDescent="0.3">
      <c r="B506" s="6">
        <f ca="1">RANDBETWEEN(ranges!B$2,ranges!B$3)</f>
        <v>14154</v>
      </c>
      <c r="C506" s="9">
        <f ca="1">LOOKUP(B506,geomorph!A:A,geomorph!B:B)</f>
        <v>1293.8</v>
      </c>
      <c r="D506">
        <f t="shared" si="76"/>
        <v>1.13E-4</v>
      </c>
      <c r="E506" s="9">
        <f ca="1">'[2]Q_GEV(random)'!$J506</f>
        <v>10355.580775321916</v>
      </c>
      <c r="F506" s="26">
        <f ca="1">RANDBETWEEN(ranges!F$2*1000,ranges!F$3*1000)/1000</f>
        <v>0.105</v>
      </c>
      <c r="G506" s="3">
        <f t="shared" ca="1" si="77"/>
        <v>8.0040043092610276</v>
      </c>
      <c r="H506" s="4">
        <f t="shared" ca="1" si="78"/>
        <v>11.491492523587533</v>
      </c>
      <c r="I506" s="4">
        <f t="shared" ca="1" si="79"/>
        <v>264.47690011590851</v>
      </c>
      <c r="J506" s="26">
        <f ca="1">RANDBETWEEN(ranges!J$2*1000,ranges!J$3*1000)/1000</f>
        <v>0.64</v>
      </c>
      <c r="K506" s="26">
        <f ca="1">RANDBETWEEN(ranges!K$2*1000,ranges!K$3*1000)/1000</f>
        <v>0.92300000000000004</v>
      </c>
      <c r="L506">
        <f t="shared" ca="1" si="80"/>
        <v>114.70455682630805</v>
      </c>
      <c r="M506">
        <f t="shared" ca="1" si="81"/>
        <v>16.769737385272141</v>
      </c>
      <c r="N506" s="4">
        <f t="shared" ca="1" si="82"/>
        <v>5.737222675744138</v>
      </c>
      <c r="O506" s="4"/>
      <c r="P506" s="1">
        <f ca="1">LOOKUP(B506,geomorph!$A:$A,geomorph!$G:$G)</f>
        <v>104.926811</v>
      </c>
      <c r="Q506" s="1">
        <f t="shared" ca="1" si="83"/>
        <v>121.69654838527214</v>
      </c>
    </row>
    <row r="507" spans="2:17" x14ac:dyDescent="0.3">
      <c r="B507" s="6">
        <f ca="1">RANDBETWEEN(ranges!B$2,ranges!B$3)</f>
        <v>14953</v>
      </c>
      <c r="C507" s="9">
        <f ca="1">LOOKUP(B507,geomorph!A:A,geomorph!B:B)</f>
        <v>1500.2</v>
      </c>
      <c r="D507">
        <f t="shared" si="76"/>
        <v>1.13E-4</v>
      </c>
      <c r="E507" s="9">
        <f ca="1">'[2]Q_GEV(random)'!$J507</f>
        <v>10354.266333477559</v>
      </c>
      <c r="F507" s="26">
        <f ca="1">RANDBETWEEN(ranges!F$2*1000,ranges!F$3*1000)/1000</f>
        <v>0.11</v>
      </c>
      <c r="G507" s="3">
        <f t="shared" ca="1" si="77"/>
        <v>6.9019239657896003</v>
      </c>
      <c r="H507" s="4">
        <f t="shared" ca="1" si="78"/>
        <v>10.573517102817021</v>
      </c>
      <c r="I507" s="4">
        <f t="shared" ca="1" si="79"/>
        <v>206.63995704251874</v>
      </c>
      <c r="J507" s="26">
        <f ca="1">RANDBETWEEN(ranges!J$2*1000,ranges!J$3*1000)/1000</f>
        <v>0.60799999999999998</v>
      </c>
      <c r="K507" s="26">
        <f ca="1">RANDBETWEEN(ranges!K$2*1000,ranges!K$3*1000)/1000</f>
        <v>0.95399999999999996</v>
      </c>
      <c r="L507">
        <f t="shared" ca="1" si="80"/>
        <v>97.415555372832188</v>
      </c>
      <c r="M507">
        <f t="shared" ca="1" si="81"/>
        <v>16.51413822724648</v>
      </c>
      <c r="N507" s="4">
        <f t="shared" ca="1" si="82"/>
        <v>6.4571968743798465</v>
      </c>
      <c r="O507" s="4"/>
      <c r="P507" s="1">
        <f ca="1">LOOKUP(B507,geomorph!$A:$A,geomorph!$G:$G)</f>
        <v>104.836411</v>
      </c>
      <c r="Q507" s="1">
        <f t="shared" ca="1" si="83"/>
        <v>121.35054922724647</v>
      </c>
    </row>
    <row r="508" spans="2:17" x14ac:dyDescent="0.3">
      <c r="B508" s="6">
        <f ca="1">RANDBETWEEN(ranges!B$2,ranges!B$3)</f>
        <v>11758</v>
      </c>
      <c r="C508" s="9">
        <f ca="1">LOOKUP(B508,geomorph!A:A,geomorph!B:B)</f>
        <v>1425.2</v>
      </c>
      <c r="D508">
        <f t="shared" si="76"/>
        <v>1.13E-4</v>
      </c>
      <c r="E508" s="9">
        <f ca="1">'[2]Q_GEV(random)'!$J508</f>
        <v>10336.49550715638</v>
      </c>
      <c r="F508" s="26">
        <f ca="1">RANDBETWEEN(ranges!F$2*1000,ranges!F$3*1000)/1000</f>
        <v>0.10199999999999999</v>
      </c>
      <c r="G508" s="3">
        <f t="shared" ca="1" si="77"/>
        <v>7.2526631400199131</v>
      </c>
      <c r="H508" s="4">
        <f t="shared" ca="1" si="78"/>
        <v>10.65712823452891</v>
      </c>
      <c r="I508" s="4">
        <f t="shared" ca="1" si="79"/>
        <v>224.82220740244819</v>
      </c>
      <c r="J508" s="26">
        <f ca="1">RANDBETWEEN(ranges!J$2*1000,ranges!J$3*1000)/1000</f>
        <v>0.77500000000000002</v>
      </c>
      <c r="K508" s="26">
        <f ca="1">RANDBETWEEN(ranges!K$2*1000,ranges!K$3*1000)/1000</f>
        <v>0.93</v>
      </c>
      <c r="L508">
        <f t="shared" ca="1" si="80"/>
        <v>96.257521187489431</v>
      </c>
      <c r="M508">
        <f t="shared" ca="1" si="81"/>
        <v>15.502042769194324</v>
      </c>
      <c r="N508" s="4">
        <f t="shared" ca="1" si="82"/>
        <v>5.2662114507232749</v>
      </c>
      <c r="O508" s="4"/>
      <c r="P508" s="1">
        <f ca="1">LOOKUP(B508,geomorph!$A:$A,geomorph!$G:$G)</f>
        <v>105.19801100000001</v>
      </c>
      <c r="Q508" s="1">
        <f t="shared" ca="1" si="83"/>
        <v>120.70005376919433</v>
      </c>
    </row>
    <row r="509" spans="2:17" x14ac:dyDescent="0.3">
      <c r="B509" s="6">
        <f ca="1">RANDBETWEEN(ranges!B$2,ranges!B$3)</f>
        <v>12604</v>
      </c>
      <c r="C509" s="9">
        <f ca="1">LOOKUP(B509,geomorph!A:A,geomorph!B:B)</f>
        <v>1183.7</v>
      </c>
      <c r="D509">
        <f t="shared" si="76"/>
        <v>1.13E-4</v>
      </c>
      <c r="E509" s="9">
        <f ca="1">'[2]Q_GEV(random)'!$J509</f>
        <v>10313.859336019586</v>
      </c>
      <c r="F509" s="26">
        <f ca="1">RANDBETWEEN(ranges!F$2*1000,ranges!F$3*1000)/1000</f>
        <v>9.2999999999999999E-2</v>
      </c>
      <c r="G509" s="3">
        <f t="shared" ca="1" si="77"/>
        <v>8.7132375906222741</v>
      </c>
      <c r="H509" s="4">
        <f t="shared" ca="1" si="78"/>
        <v>11.678556077190061</v>
      </c>
      <c r="I509" s="4">
        <f t="shared" ca="1" si="79"/>
        <v>305.91075104889791</v>
      </c>
      <c r="J509" s="26">
        <f ca="1">RANDBETWEEN(ranges!J$2*1000,ranges!J$3*1000)/1000</f>
        <v>0.76900000000000002</v>
      </c>
      <c r="K509" s="26">
        <f ca="1">RANDBETWEEN(ranges!K$2*1000,ranges!K$3*1000)/1000</f>
        <v>0.95599999999999996</v>
      </c>
      <c r="L509">
        <f t="shared" ca="1" si="80"/>
        <v>120.91930770874281</v>
      </c>
      <c r="M509">
        <f t="shared" ca="1" si="81"/>
        <v>16.173936852436789</v>
      </c>
      <c r="N509" s="4">
        <f t="shared" ca="1" si="82"/>
        <v>4.8862834513551388</v>
      </c>
      <c r="O509" s="4"/>
      <c r="P509" s="1">
        <f ca="1">LOOKUP(B509,geomorph!$A:$A,geomorph!$G:$G)</f>
        <v>105.101961</v>
      </c>
      <c r="Q509" s="1">
        <f t="shared" ca="1" si="83"/>
        <v>121.2758978524368</v>
      </c>
    </row>
    <row r="510" spans="2:17" x14ac:dyDescent="0.3">
      <c r="B510" s="6">
        <f ca="1">RANDBETWEEN(ranges!B$2,ranges!B$3)</f>
        <v>11990</v>
      </c>
      <c r="C510" s="9">
        <f ca="1">LOOKUP(B510,geomorph!A:A,geomorph!B:B)</f>
        <v>1353.5</v>
      </c>
      <c r="D510">
        <f t="shared" si="76"/>
        <v>1.13E-4</v>
      </c>
      <c r="E510" s="9">
        <f ca="1">'[2]Q_GEV(random)'!$J510</f>
        <v>10309.154113585077</v>
      </c>
      <c r="F510" s="26">
        <f ca="1">RANDBETWEEN(ranges!F$2*1000,ranges!F$3*1000)/1000</f>
        <v>9.6000000000000002E-2</v>
      </c>
      <c r="G510" s="3">
        <f t="shared" ca="1" si="77"/>
        <v>7.6166635490100312</v>
      </c>
      <c r="H510" s="4">
        <f t="shared" ca="1" si="78"/>
        <v>10.790512087930459</v>
      </c>
      <c r="I510" s="4">
        <f t="shared" ca="1" si="79"/>
        <v>244.58788301007192</v>
      </c>
      <c r="J510" s="26">
        <f ca="1">RANDBETWEEN(ranges!J$2*1000,ranges!J$3*1000)/1000</f>
        <v>0.61499999999999999</v>
      </c>
      <c r="K510" s="26">
        <f ca="1">RANDBETWEEN(ranges!K$2*1000,ranges!K$3*1000)/1000</f>
        <v>0.89200000000000002</v>
      </c>
      <c r="L510">
        <f t="shared" ca="1" si="80"/>
        <v>105.94713476960672</v>
      </c>
      <c r="M510">
        <f t="shared" ca="1" si="81"/>
        <v>16.204137500904885</v>
      </c>
      <c r="N510" s="4">
        <f t="shared" ca="1" si="82"/>
        <v>5.8843754488852449</v>
      </c>
      <c r="O510" s="4"/>
      <c r="P510" s="1">
        <f ca="1">LOOKUP(B510,geomorph!$A:$A,geomorph!$G:$G)</f>
        <v>105.170891</v>
      </c>
      <c r="Q510" s="1">
        <f t="shared" ca="1" si="83"/>
        <v>121.37502850090488</v>
      </c>
    </row>
    <row r="511" spans="2:17" x14ac:dyDescent="0.3">
      <c r="B511" s="6">
        <f ca="1">RANDBETWEEN(ranges!B$2,ranges!B$3)</f>
        <v>10885</v>
      </c>
      <c r="C511" s="9">
        <f ca="1">LOOKUP(B511,geomorph!A:A,geomorph!B:B)</f>
        <v>1672.1</v>
      </c>
      <c r="D511">
        <f t="shared" si="76"/>
        <v>1.13E-4</v>
      </c>
      <c r="E511" s="9">
        <f ca="1">'[2]Q_GEV(random)'!$J511</f>
        <v>10298.754170527078</v>
      </c>
      <c r="F511" s="26">
        <f ca="1">RANDBETWEEN(ranges!F$2*1000,ranges!F$3*1000)/1000</f>
        <v>0.09</v>
      </c>
      <c r="G511" s="3">
        <f t="shared" ca="1" si="77"/>
        <v>6.1591735963920087</v>
      </c>
      <c r="H511" s="4">
        <f t="shared" ca="1" si="78"/>
        <v>9.1665152018545157</v>
      </c>
      <c r="I511" s="4">
        <f t="shared" ca="1" si="79"/>
        <v>171.84467007102648</v>
      </c>
      <c r="J511" s="26">
        <f ca="1">RANDBETWEEN(ranges!J$2*1000,ranges!J$3*1000)/1000</f>
        <v>0.64900000000000002</v>
      </c>
      <c r="K511" s="26">
        <f ca="1">RANDBETWEEN(ranges!K$2*1000,ranges!K$3*1000)/1000</f>
        <v>0.86499999999999999</v>
      </c>
      <c r="L511">
        <f t="shared" ca="1" si="80"/>
        <v>78.631759111484172</v>
      </c>
      <c r="M511">
        <f t="shared" ca="1" si="81"/>
        <v>14.857258578365334</v>
      </c>
      <c r="N511" s="4">
        <f t="shared" ca="1" si="82"/>
        <v>6.1855906266421936</v>
      </c>
      <c r="O511" s="4"/>
      <c r="P511" s="1">
        <f ca="1">LOOKUP(B511,geomorph!$A:$A,geomorph!$G:$G)</f>
        <v>105.29632100000001</v>
      </c>
      <c r="Q511" s="1">
        <f t="shared" ca="1" si="83"/>
        <v>120.15357957836534</v>
      </c>
    </row>
    <row r="512" spans="2:17" x14ac:dyDescent="0.3">
      <c r="B512" s="6">
        <f ca="1">RANDBETWEEN(ranges!B$2,ranges!B$3)</f>
        <v>13787</v>
      </c>
      <c r="C512" s="9">
        <f ca="1">LOOKUP(B512,geomorph!A:A,geomorph!B:B)</f>
        <v>1273.3</v>
      </c>
      <c r="D512">
        <f t="shared" si="76"/>
        <v>1.13E-4</v>
      </c>
      <c r="E512" s="9">
        <f ca="1">'[2]Q_GEV(random)'!$J512</f>
        <v>10281.875290467766</v>
      </c>
      <c r="F512" s="26">
        <f ca="1">RANDBETWEEN(ranges!F$2*1000,ranges!F$3*1000)/1000</f>
        <v>0.09</v>
      </c>
      <c r="G512" s="3">
        <f t="shared" ca="1" si="77"/>
        <v>8.0749825575023682</v>
      </c>
      <c r="H512" s="4">
        <f t="shared" ca="1" si="78"/>
        <v>10.980371360550055</v>
      </c>
      <c r="I512" s="4">
        <f t="shared" ca="1" si="79"/>
        <v>270.32134509140991</v>
      </c>
      <c r="J512" s="26">
        <f ca="1">RANDBETWEEN(ranges!J$2*1000,ranges!J$3*1000)/1000</f>
        <v>0.61699999999999999</v>
      </c>
      <c r="K512" s="26">
        <f ca="1">RANDBETWEEN(ranges!K$2*1000,ranges!K$3*1000)/1000</f>
        <v>0.95399999999999996</v>
      </c>
      <c r="L512">
        <f t="shared" ca="1" si="80"/>
        <v>113.35272958563294</v>
      </c>
      <c r="M512">
        <f t="shared" ca="1" si="81"/>
        <v>16.309519455696663</v>
      </c>
      <c r="N512" s="4">
        <f t="shared" ca="1" si="82"/>
        <v>5.7925522773332681</v>
      </c>
      <c r="O512" s="4"/>
      <c r="P512" s="1">
        <f ca="1">LOOKUP(B512,geomorph!$A:$A,geomorph!$G:$G)</f>
        <v>104.968621</v>
      </c>
      <c r="Q512" s="1">
        <f t="shared" ca="1" si="83"/>
        <v>121.27814045569666</v>
      </c>
    </row>
    <row r="513" spans="2:17" x14ac:dyDescent="0.3">
      <c r="B513" s="6">
        <f ca="1">RANDBETWEEN(ranges!B$2,ranges!B$3)</f>
        <v>13601</v>
      </c>
      <c r="C513" s="9">
        <f ca="1">LOOKUP(B513,geomorph!A:A,geomorph!B:B)</f>
        <v>1227.8</v>
      </c>
      <c r="D513">
        <f t="shared" si="76"/>
        <v>1.13E-4</v>
      </c>
      <c r="E513" s="9">
        <f ca="1">'[2]Q_GEV(random)'!$J513</f>
        <v>10259.493318654751</v>
      </c>
      <c r="F513" s="26">
        <f ca="1">RANDBETWEEN(ranges!F$2*1000,ranges!F$3*1000)/1000</f>
        <v>9.5000000000000001E-2</v>
      </c>
      <c r="G513" s="3">
        <f t="shared" ca="1" si="77"/>
        <v>8.355997164566503</v>
      </c>
      <c r="H513" s="4">
        <f t="shared" ca="1" si="78"/>
        <v>11.437958619645373</v>
      </c>
      <c r="I513" s="4">
        <f t="shared" ca="1" si="79"/>
        <v>286.80578731637593</v>
      </c>
      <c r="J513" s="26">
        <f ca="1">RANDBETWEEN(ranges!J$2*1000,ranges!J$3*1000)/1000</f>
        <v>0.60899999999999999</v>
      </c>
      <c r="K513" s="26">
        <f ca="1">RANDBETWEEN(ranges!K$2*1000,ranges!K$3*1000)/1000</f>
        <v>0.88400000000000001</v>
      </c>
      <c r="L513">
        <f t="shared" ca="1" si="80"/>
        <v>119.81637471739384</v>
      </c>
      <c r="M513">
        <f t="shared" ca="1" si="81"/>
        <v>16.623491571215826</v>
      </c>
      <c r="N513" s="4">
        <f t="shared" ca="1" si="82"/>
        <v>5.6364488604026661</v>
      </c>
      <c r="O513" s="4"/>
      <c r="P513" s="1">
        <f ca="1">LOOKUP(B513,geomorph!$A:$A,geomorph!$G:$G)</f>
        <v>104.988961</v>
      </c>
      <c r="Q513" s="1">
        <f t="shared" ca="1" si="83"/>
        <v>121.61245257121583</v>
      </c>
    </row>
    <row r="514" spans="2:17" x14ac:dyDescent="0.3">
      <c r="B514" s="6">
        <f ca="1">RANDBETWEEN(ranges!B$2,ranges!B$3)</f>
        <v>13323</v>
      </c>
      <c r="C514" s="9">
        <f ca="1">LOOKUP(B514,geomorph!A:A,geomorph!B:B)</f>
        <v>1176.5</v>
      </c>
      <c r="D514">
        <f t="shared" si="76"/>
        <v>1.13E-4</v>
      </c>
      <c r="E514" s="9">
        <f ca="1">'[2]Q_GEV(random)'!$J514</f>
        <v>10249.727813314221</v>
      </c>
      <c r="F514" s="26">
        <f ca="1">RANDBETWEEN(ranges!F$2*1000,ranges!F$3*1000)/1000</f>
        <v>0.108</v>
      </c>
      <c r="G514" s="3">
        <f t="shared" ca="1" si="77"/>
        <v>8.7120508400460874</v>
      </c>
      <c r="H514" s="4">
        <f t="shared" ca="1" si="78"/>
        <v>12.274297609073042</v>
      </c>
      <c r="I514" s="4">
        <f t="shared" ca="1" si="79"/>
        <v>307.75493054302211</v>
      </c>
      <c r="J514" s="26">
        <f ca="1">RANDBETWEEN(ranges!J$2*1000,ranges!J$3*1000)/1000</f>
        <v>0.70099999999999996</v>
      </c>
      <c r="K514" s="26">
        <f ca="1">RANDBETWEEN(ranges!K$2*1000,ranges!K$3*1000)/1000</f>
        <v>0.96</v>
      </c>
      <c r="L514">
        <f t="shared" ca="1" si="80"/>
        <v>128.7701736059168</v>
      </c>
      <c r="M514">
        <f t="shared" ca="1" si="81"/>
        <v>17.119286344951803</v>
      </c>
      <c r="N514" s="4">
        <f t="shared" ca="1" si="82"/>
        <v>5.2662921042160447</v>
      </c>
      <c r="O514" s="4"/>
      <c r="P514" s="1">
        <f ca="1">LOOKUP(B514,geomorph!$A:$A,geomorph!$G:$G)</f>
        <v>105.020601</v>
      </c>
      <c r="Q514" s="1">
        <f t="shared" ca="1" si="83"/>
        <v>122.1398873449518</v>
      </c>
    </row>
    <row r="515" spans="2:17" x14ac:dyDescent="0.3">
      <c r="B515" s="6">
        <f ca="1">RANDBETWEEN(ranges!B$2,ranges!B$3)</f>
        <v>10151</v>
      </c>
      <c r="C515" s="9">
        <f ca="1">LOOKUP(B515,geomorph!A:A,geomorph!B:B)</f>
        <v>1592.9</v>
      </c>
      <c r="D515">
        <f t="shared" si="76"/>
        <v>1.13E-4</v>
      </c>
      <c r="E515" s="9">
        <f ca="1">'[2]Q_GEV(random)'!$J515</f>
        <v>10246.78564761318</v>
      </c>
      <c r="F515" s="26">
        <f ca="1">RANDBETWEEN(ranges!F$2*1000,ranges!F$3*1000)/1000</f>
        <v>0.108</v>
      </c>
      <c r="G515" s="3">
        <f t="shared" ca="1" si="77"/>
        <v>6.432786519940473</v>
      </c>
      <c r="H515" s="4">
        <f t="shared" ca="1" si="78"/>
        <v>10.027264581588852</v>
      </c>
      <c r="I515" s="4">
        <f t="shared" ca="1" si="79"/>
        <v>185.69245758119595</v>
      </c>
      <c r="J515" s="26">
        <f ca="1">RANDBETWEEN(ranges!J$2*1000,ranges!J$3*1000)/1000</f>
        <v>0.68700000000000006</v>
      </c>
      <c r="K515" s="26">
        <f ca="1">RANDBETWEEN(ranges!K$2*1000,ranges!K$3*1000)/1000</f>
        <v>0.85</v>
      </c>
      <c r="L515">
        <f t="shared" ca="1" si="80"/>
        <v>85.713554248739172</v>
      </c>
      <c r="M515">
        <f t="shared" ca="1" si="81"/>
        <v>15.428242623598278</v>
      </c>
      <c r="N515" s="4">
        <f t="shared" ca="1" si="82"/>
        <v>5.8706283065319838</v>
      </c>
      <c r="O515" s="4"/>
      <c r="P515" s="1">
        <f ca="1">LOOKUP(B515,geomorph!$A:$A,geomorph!$G:$G)</f>
        <v>105.378811</v>
      </c>
      <c r="Q515" s="1">
        <f t="shared" ca="1" si="83"/>
        <v>120.80705362359828</v>
      </c>
    </row>
    <row r="516" spans="2:17" x14ac:dyDescent="0.3">
      <c r="B516" s="6">
        <f ca="1">RANDBETWEEN(ranges!B$2,ranges!B$3)</f>
        <v>13660</v>
      </c>
      <c r="C516" s="9">
        <f ca="1">LOOKUP(B516,geomorph!A:A,geomorph!B:B)</f>
        <v>1243.0999999999999</v>
      </c>
      <c r="D516">
        <f t="shared" si="76"/>
        <v>1.13E-4</v>
      </c>
      <c r="E516" s="9">
        <f ca="1">'[2]Q_GEV(random)'!$J516</f>
        <v>10245.476872848867</v>
      </c>
      <c r="F516" s="26">
        <f ca="1">RANDBETWEEN(ranges!F$2*1000,ranges!F$3*1000)/1000</f>
        <v>9.0999999999999998E-2</v>
      </c>
      <c r="G516" s="3">
        <f t="shared" ca="1" si="77"/>
        <v>8.2418766574280973</v>
      </c>
      <c r="H516" s="4">
        <f t="shared" ca="1" si="78"/>
        <v>11.172224858739289</v>
      </c>
      <c r="I516" s="4">
        <f t="shared" ca="1" si="79"/>
        <v>280.69070051228755</v>
      </c>
      <c r="J516" s="26">
        <f ca="1">RANDBETWEEN(ranges!J$2*1000,ranges!J$3*1000)/1000</f>
        <v>0.69499999999999995</v>
      </c>
      <c r="K516" s="26">
        <f ca="1">RANDBETWEEN(ranges!K$2*1000,ranges!K$3*1000)/1000</f>
        <v>0.95699999999999996</v>
      </c>
      <c r="L516">
        <f t="shared" ca="1" si="80"/>
        <v>114.28374252794336</v>
      </c>
      <c r="M516">
        <f t="shared" ca="1" si="81"/>
        <v>16.053471598022959</v>
      </c>
      <c r="N516" s="4">
        <f t="shared" ca="1" si="82"/>
        <v>5.3057029774822499</v>
      </c>
      <c r="O516" s="4"/>
      <c r="P516" s="1">
        <f ca="1">LOOKUP(B516,geomorph!$A:$A,geomorph!$G:$G)</f>
        <v>104.982181</v>
      </c>
      <c r="Q516" s="1">
        <f t="shared" ca="1" si="83"/>
        <v>121.03565259802295</v>
      </c>
    </row>
    <row r="517" spans="2:17" x14ac:dyDescent="0.3">
      <c r="B517" s="6">
        <f ca="1">RANDBETWEEN(ranges!B$2,ranges!B$3)</f>
        <v>11311</v>
      </c>
      <c r="C517" s="9">
        <f ca="1">LOOKUP(B517,geomorph!A:A,geomorph!B:B)</f>
        <v>1598.7</v>
      </c>
      <c r="D517">
        <f t="shared" si="76"/>
        <v>1.13E-4</v>
      </c>
      <c r="E517" s="9">
        <f ca="1">'[2]Q_GEV(random)'!$J517</f>
        <v>10243.287881945962</v>
      </c>
      <c r="F517" s="26">
        <f ca="1">RANDBETWEEN(ranges!F$2*1000,ranges!F$3*1000)/1000</f>
        <v>0.106</v>
      </c>
      <c r="G517" s="3">
        <f t="shared" ca="1" si="77"/>
        <v>6.4072608256370565</v>
      </c>
      <c r="H517" s="4">
        <f t="shared" ca="1" si="78"/>
        <v>9.9386032546685819</v>
      </c>
      <c r="I517" s="4">
        <f t="shared" ca="1" si="79"/>
        <v>184.52900683982287</v>
      </c>
      <c r="J517" s="26">
        <f ca="1">RANDBETWEEN(ranges!J$2*1000,ranges!J$3*1000)/1000</f>
        <v>0.75900000000000001</v>
      </c>
      <c r="K517" s="26">
        <f ca="1">RANDBETWEEN(ranges!K$2*1000,ranges!K$3*1000)/1000</f>
        <v>0.91500000000000004</v>
      </c>
      <c r="L517">
        <f t="shared" ca="1" si="80"/>
        <v>83.576961150021674</v>
      </c>
      <c r="M517">
        <f t="shared" ca="1" si="81"/>
        <v>15.098437120330981</v>
      </c>
      <c r="N517" s="4">
        <f t="shared" ca="1" si="82"/>
        <v>5.6085150713721728</v>
      </c>
      <c r="O517" s="4"/>
      <c r="P517" s="1">
        <f ca="1">LOOKUP(B517,geomorph!$A:$A,geomorph!$G:$G)</f>
        <v>105.247731</v>
      </c>
      <c r="Q517" s="1">
        <f t="shared" ca="1" si="83"/>
        <v>120.34616812033099</v>
      </c>
    </row>
    <row r="518" spans="2:17" x14ac:dyDescent="0.3">
      <c r="B518" s="6">
        <f ca="1">RANDBETWEEN(ranges!B$2,ranges!B$3)</f>
        <v>10333</v>
      </c>
      <c r="C518" s="9">
        <f ca="1">LOOKUP(B518,geomorph!A:A,geomorph!B:B)</f>
        <v>1660.3</v>
      </c>
      <c r="D518">
        <f t="shared" si="76"/>
        <v>1.13E-4</v>
      </c>
      <c r="E518" s="9">
        <f ca="1">'[2]Q_GEV(random)'!$J518</f>
        <v>10222.456125896602</v>
      </c>
      <c r="F518" s="26">
        <f ca="1">RANDBETWEEN(ranges!F$2*1000,ranges!F$3*1000)/1000</f>
        <v>0.10199999999999999</v>
      </c>
      <c r="G518" s="3">
        <f t="shared" ca="1" si="77"/>
        <v>6.1569933902888652</v>
      </c>
      <c r="H518" s="4">
        <f t="shared" ca="1" si="78"/>
        <v>9.5547863135685098</v>
      </c>
      <c r="I518" s="4">
        <f t="shared" ca="1" si="79"/>
        <v>173.02515246241794</v>
      </c>
      <c r="J518" s="26">
        <f ca="1">RANDBETWEEN(ranges!J$2*1000,ranges!J$3*1000)/1000</f>
        <v>0.64</v>
      </c>
      <c r="K518" s="26">
        <f ca="1">RANDBETWEEN(ranges!K$2*1000,ranges!K$3*1000)/1000</f>
        <v>0.91300000000000003</v>
      </c>
      <c r="L518">
        <f t="shared" ca="1" si="80"/>
        <v>82.279550812265001</v>
      </c>
      <c r="M518">
        <f t="shared" ca="1" si="81"/>
        <v>15.436787418137206</v>
      </c>
      <c r="N518" s="4">
        <f t="shared" ca="1" si="82"/>
        <v>6.3934794614877122</v>
      </c>
      <c r="O518" s="4"/>
      <c r="P518" s="1">
        <f ca="1">LOOKUP(B518,geomorph!$A:$A,geomorph!$G:$G)</f>
        <v>105.35847100000001</v>
      </c>
      <c r="Q518" s="1">
        <f t="shared" ca="1" si="83"/>
        <v>120.79525841813721</v>
      </c>
    </row>
    <row r="519" spans="2:17" x14ac:dyDescent="0.3">
      <c r="B519" s="6">
        <f ca="1">RANDBETWEEN(ranges!B$2,ranges!B$3)</f>
        <v>10246</v>
      </c>
      <c r="C519" s="9">
        <f ca="1">LOOKUP(B519,geomorph!A:A,geomorph!B:B)</f>
        <v>1632.5</v>
      </c>
      <c r="D519">
        <f t="shared" si="76"/>
        <v>1.13E-4</v>
      </c>
      <c r="E519" s="9">
        <f ca="1">'[2]Q_GEV(random)'!$J519</f>
        <v>10208.2985745927</v>
      </c>
      <c r="F519" s="26">
        <f ca="1">RANDBETWEEN(ranges!F$2*1000,ranges!F$3*1000)/1000</f>
        <v>0.107</v>
      </c>
      <c r="G519" s="3">
        <f t="shared" ca="1" si="77"/>
        <v>6.2531691115422356</v>
      </c>
      <c r="H519" s="4">
        <f t="shared" ca="1" si="78"/>
        <v>9.8092658557017813</v>
      </c>
      <c r="I519" s="4">
        <f t="shared" ca="1" si="79"/>
        <v>177.79939394458813</v>
      </c>
      <c r="J519" s="26">
        <f ca="1">RANDBETWEEN(ranges!J$2*1000,ranges!J$3*1000)/1000</f>
        <v>0.63</v>
      </c>
      <c r="K519" s="26">
        <f ca="1">RANDBETWEEN(ranges!K$2*1000,ranges!K$3*1000)/1000</f>
        <v>0.999</v>
      </c>
      <c r="L519">
        <f t="shared" ca="1" si="80"/>
        <v>86.181665754609384</v>
      </c>
      <c r="M519">
        <f t="shared" ca="1" si="81"/>
        <v>15.898147335917178</v>
      </c>
      <c r="N519" s="4">
        <f t="shared" ca="1" si="82"/>
        <v>6.6183494350167358</v>
      </c>
      <c r="O519" s="4"/>
      <c r="P519" s="1">
        <f ca="1">LOOKUP(B519,geomorph!$A:$A,geomorph!$G:$G)</f>
        <v>105.368641</v>
      </c>
      <c r="Q519" s="1">
        <f t="shared" ca="1" si="83"/>
        <v>121.26678833591717</v>
      </c>
    </row>
    <row r="520" spans="2:17" x14ac:dyDescent="0.3">
      <c r="B520" s="6">
        <f ca="1">RANDBETWEEN(ranges!B$2,ranges!B$3)</f>
        <v>12396</v>
      </c>
      <c r="C520" s="9">
        <f ca="1">LOOKUP(B520,geomorph!A:A,geomorph!B:B)</f>
        <v>1238.8</v>
      </c>
      <c r="D520">
        <f t="shared" si="76"/>
        <v>1.13E-4</v>
      </c>
      <c r="E520" s="9">
        <f ca="1">'[2]Q_GEV(random)'!$J520</f>
        <v>10194.296537112084</v>
      </c>
      <c r="F520" s="26">
        <f ca="1">RANDBETWEEN(ranges!F$2*1000,ranges!F$3*1000)/1000</f>
        <v>9.6000000000000002E-2</v>
      </c>
      <c r="G520" s="3">
        <f t="shared" ca="1" si="77"/>
        <v>8.2291705982499881</v>
      </c>
      <c r="H520" s="4">
        <f t="shared" ca="1" si="78"/>
        <v>11.361515138181352</v>
      </c>
      <c r="I520" s="4">
        <f t="shared" ca="1" si="79"/>
        <v>281.37544664846416</v>
      </c>
      <c r="J520" s="26">
        <f ca="1">RANDBETWEEN(ranges!J$2*1000,ranges!J$3*1000)/1000</f>
        <v>0.60799999999999998</v>
      </c>
      <c r="K520" s="26">
        <f ca="1">RANDBETWEEN(ranges!K$2*1000,ranges!K$3*1000)/1000</f>
        <v>0.82799999999999996</v>
      </c>
      <c r="L520">
        <f t="shared" ca="1" si="80"/>
        <v>117.59824626500617</v>
      </c>
      <c r="M520">
        <f t="shared" ca="1" si="81"/>
        <v>16.461919944459126</v>
      </c>
      <c r="N520" s="4">
        <f t="shared" ca="1" si="82"/>
        <v>5.5439182676932326</v>
      </c>
      <c r="O520" s="4"/>
      <c r="P520" s="1">
        <f ca="1">LOOKUP(B520,geomorph!$A:$A,geomorph!$G:$G)</f>
        <v>105.125691</v>
      </c>
      <c r="Q520" s="1">
        <f t="shared" ca="1" si="83"/>
        <v>121.58761094445913</v>
      </c>
    </row>
    <row r="521" spans="2:17" x14ac:dyDescent="0.3">
      <c r="B521" s="6">
        <f ca="1">RANDBETWEEN(ranges!B$2,ranges!B$3)</f>
        <v>12341</v>
      </c>
      <c r="C521" s="9">
        <f ca="1">LOOKUP(B521,geomorph!A:A,geomorph!B:B)</f>
        <v>1252.2</v>
      </c>
      <c r="D521">
        <f t="shared" si="76"/>
        <v>1.13E-4</v>
      </c>
      <c r="E521" s="9">
        <f ca="1">'[2]Q_GEV(random)'!$J521</f>
        <v>10187.316524857786</v>
      </c>
      <c r="F521" s="26">
        <f ca="1">RANDBETWEEN(ranges!F$2*1000,ranges!F$3*1000)/1000</f>
        <v>0.10299999999999999</v>
      </c>
      <c r="G521" s="3">
        <f t="shared" ca="1" si="77"/>
        <v>8.1355346788514495</v>
      </c>
      <c r="H521" s="4">
        <f t="shared" ca="1" si="78"/>
        <v>11.542811548837641</v>
      </c>
      <c r="I521" s="4">
        <f t="shared" ca="1" si="79"/>
        <v>276.24879008839412</v>
      </c>
      <c r="J521" s="26">
        <f ca="1">RANDBETWEEN(ranges!J$2*1000,ranges!J$3*1000)/1000</f>
        <v>0.65400000000000003</v>
      </c>
      <c r="K521" s="26">
        <f ca="1">RANDBETWEEN(ranges!K$2*1000,ranges!K$3*1000)/1000</f>
        <v>0.88</v>
      </c>
      <c r="L521">
        <f t="shared" ca="1" si="80"/>
        <v>117.03707610598373</v>
      </c>
      <c r="M521">
        <f t="shared" ca="1" si="81"/>
        <v>16.560582417090149</v>
      </c>
      <c r="N521" s="4">
        <f t="shared" ca="1" si="82"/>
        <v>5.4540987698396828</v>
      </c>
      <c r="O521" s="4"/>
      <c r="P521" s="1">
        <f ca="1">LOOKUP(B521,geomorph!$A:$A,geomorph!$G:$G)</f>
        <v>105.13134100000001</v>
      </c>
      <c r="Q521" s="1">
        <f t="shared" ca="1" si="83"/>
        <v>121.69192341709015</v>
      </c>
    </row>
    <row r="522" spans="2:17" x14ac:dyDescent="0.3">
      <c r="B522" s="6">
        <f ca="1">RANDBETWEEN(ranges!B$2,ranges!B$3)</f>
        <v>13547</v>
      </c>
      <c r="C522" s="9">
        <f ca="1">LOOKUP(B522,geomorph!A:A,geomorph!B:B)</f>
        <v>1212.7</v>
      </c>
      <c r="D522">
        <f t="shared" si="76"/>
        <v>1.13E-4</v>
      </c>
      <c r="E522" s="9">
        <f ca="1">'[2]Q_GEV(random)'!$J522</f>
        <v>10179.903468496777</v>
      </c>
      <c r="F522" s="26">
        <f ca="1">RANDBETWEEN(ranges!F$2*1000,ranges!F$3*1000)/1000</f>
        <v>9.6000000000000002E-2</v>
      </c>
      <c r="G522" s="3">
        <f t="shared" ca="1" si="77"/>
        <v>8.3944120297656273</v>
      </c>
      <c r="H522" s="4">
        <f t="shared" ca="1" si="78"/>
        <v>11.513103153084188</v>
      </c>
      <c r="I522" s="4">
        <f t="shared" ca="1" si="79"/>
        <v>291.26624762388474</v>
      </c>
      <c r="J522" s="26">
        <f ca="1">RANDBETWEEN(ranges!J$2*1000,ranges!J$3*1000)/1000</f>
        <v>0.64500000000000002</v>
      </c>
      <c r="K522" s="26">
        <f ca="1">RANDBETWEEN(ranges!K$2*1000,ranges!K$3*1000)/1000</f>
        <v>0.93600000000000005</v>
      </c>
      <c r="L522">
        <f t="shared" ca="1" si="80"/>
        <v>120.92395138585515</v>
      </c>
      <c r="M522">
        <f t="shared" ca="1" si="81"/>
        <v>16.5708257705558</v>
      </c>
      <c r="N522" s="4">
        <f t="shared" ca="1" si="82"/>
        <v>5.4975245842082732</v>
      </c>
      <c r="O522" s="4"/>
      <c r="P522" s="1">
        <f ca="1">LOOKUP(B522,geomorph!$A:$A,geomorph!$G:$G)</f>
        <v>104.99574100000001</v>
      </c>
      <c r="Q522" s="1">
        <f t="shared" ca="1" si="83"/>
        <v>121.56656677055581</v>
      </c>
    </row>
    <row r="523" spans="2:17" x14ac:dyDescent="0.3">
      <c r="B523" s="6">
        <f ca="1">RANDBETWEEN(ranges!B$2,ranges!B$3)</f>
        <v>12417</v>
      </c>
      <c r="C523" s="9">
        <f ca="1">LOOKUP(B523,geomorph!A:A,geomorph!B:B)</f>
        <v>1233.4000000000001</v>
      </c>
      <c r="D523">
        <f t="shared" ref="D523:D586" si="84">D522</f>
        <v>1.13E-4</v>
      </c>
      <c r="E523" s="9">
        <f ca="1">'[2]Q_GEV(random)'!$J523</f>
        <v>10174.495384158792</v>
      </c>
      <c r="F523" s="26">
        <f ca="1">RANDBETWEEN(ranges!F$2*1000,ranges!F$3*1000)/1000</f>
        <v>9.9000000000000005E-2</v>
      </c>
      <c r="G523" s="3">
        <f t="shared" ref="G523:G586" ca="1" si="85">E523/C523</f>
        <v>8.2491449522934914</v>
      </c>
      <c r="H523" s="4">
        <f t="shared" ref="H523:H586" ca="1" si="86">POWER(G523/SQRT(4*9.807*D523/F523),2/3)</f>
        <v>11.497219377184491</v>
      </c>
      <c r="I523" s="4">
        <f t="shared" ref="I523:I586" ca="1" si="87">POWER(G523*G523/9.807/D523,1/3)/C523/D523</f>
        <v>283.0644715026757</v>
      </c>
      <c r="J523" s="26">
        <f ca="1">RANDBETWEEN(ranges!J$2*1000,ranges!J$3*1000)/1000</f>
        <v>0.69599999999999995</v>
      </c>
      <c r="K523" s="26">
        <f ca="1">RANDBETWEEN(ranges!K$2*1000,ranges!K$3*1000)/1000</f>
        <v>0.93799999999999994</v>
      </c>
      <c r="L523">
        <f t="shared" ref="L523:L586" ca="1" si="88">0.63*POWER(F523,1/3)*I523+5.75*(1+SQRT(1+0.11*J523*POWER(F523,1/3)*K523*I523))/J523</f>
        <v>117.4057400422659</v>
      </c>
      <c r="M523">
        <f t="shared" ref="M523:M586" ca="1" si="89">L523*C523*D523</f>
        <v>16.363331093798777</v>
      </c>
      <c r="N523" s="4">
        <f t="shared" ref="N523:N586" ca="1" si="90">(M523-H523)/0.92</f>
        <v>5.2892518658850936</v>
      </c>
      <c r="O523" s="4"/>
      <c r="P523" s="1">
        <f ca="1">LOOKUP(B523,geomorph!$A:$A,geomorph!$G:$G)</f>
        <v>105.123431</v>
      </c>
      <c r="Q523" s="1">
        <f t="shared" ref="Q523:Q586" ca="1" si="91">M523+P523</f>
        <v>121.48676209379877</v>
      </c>
    </row>
    <row r="524" spans="2:17" x14ac:dyDescent="0.3">
      <c r="B524" s="6">
        <f ca="1">RANDBETWEEN(ranges!B$2,ranges!B$3)</f>
        <v>14842</v>
      </c>
      <c r="C524" s="9">
        <f ca="1">LOOKUP(B524,geomorph!A:A,geomorph!B:B)</f>
        <v>1498.6</v>
      </c>
      <c r="D524">
        <f t="shared" si="84"/>
        <v>1.13E-4</v>
      </c>
      <c r="E524" s="9">
        <f ca="1">'[2]Q_GEV(random)'!$J524</f>
        <v>10171.19473296535</v>
      </c>
      <c r="F524" s="26">
        <f ca="1">RANDBETWEEN(ranges!F$2*1000,ranges!F$3*1000)/1000</f>
        <v>9.5000000000000001E-2</v>
      </c>
      <c r="G524" s="3">
        <f t="shared" ca="1" si="85"/>
        <v>6.7871311443783204</v>
      </c>
      <c r="H524" s="4">
        <f t="shared" ca="1" si="86"/>
        <v>9.9572747869542368</v>
      </c>
      <c r="I524" s="4">
        <f t="shared" ca="1" si="87"/>
        <v>204.56050285584496</v>
      </c>
      <c r="J524" s="26">
        <f ca="1">RANDBETWEEN(ranges!J$2*1000,ranges!J$3*1000)/1000</f>
        <v>0.749</v>
      </c>
      <c r="K524" s="26">
        <f ca="1">RANDBETWEEN(ranges!K$2*1000,ranges!K$3*1000)/1000</f>
        <v>0.90900000000000003</v>
      </c>
      <c r="L524">
        <f t="shared" ca="1" si="88"/>
        <v>88.18096392850812</v>
      </c>
      <c r="M524">
        <f t="shared" ca="1" si="89"/>
        <v>14.932723157388635</v>
      </c>
      <c r="N524" s="4">
        <f t="shared" ca="1" si="90"/>
        <v>5.4080960548199979</v>
      </c>
      <c r="O524" s="4"/>
      <c r="P524" s="1">
        <f ca="1">LOOKUP(B524,geomorph!$A:$A,geomorph!$G:$G)</f>
        <v>104.84884100000001</v>
      </c>
      <c r="Q524" s="1">
        <f t="shared" ca="1" si="91"/>
        <v>119.78156415738864</v>
      </c>
    </row>
    <row r="525" spans="2:17" x14ac:dyDescent="0.3">
      <c r="B525" s="6">
        <f ca="1">RANDBETWEEN(ranges!B$2,ranges!B$3)</f>
        <v>14044</v>
      </c>
      <c r="C525" s="9">
        <f ca="1">LOOKUP(B525,geomorph!A:A,geomorph!B:B)</f>
        <v>1337.2</v>
      </c>
      <c r="D525">
        <f t="shared" si="84"/>
        <v>1.13E-4</v>
      </c>
      <c r="E525" s="9">
        <f ca="1">'[2]Q_GEV(random)'!$J525</f>
        <v>10168.483265970061</v>
      </c>
      <c r="F525" s="26">
        <f ca="1">RANDBETWEEN(ranges!F$2*1000,ranges!F$3*1000)/1000</f>
        <v>0.108</v>
      </c>
      <c r="G525" s="3">
        <f t="shared" ca="1" si="85"/>
        <v>7.6043099506207446</v>
      </c>
      <c r="H525" s="4">
        <f t="shared" ca="1" si="86"/>
        <v>11.210446799329477</v>
      </c>
      <c r="I525" s="4">
        <f t="shared" ca="1" si="87"/>
        <v>247.30155997451365</v>
      </c>
      <c r="J525" s="26">
        <f ca="1">RANDBETWEEN(ranges!J$2*1000,ranges!J$3*1000)/1000</f>
        <v>0.63400000000000001</v>
      </c>
      <c r="K525" s="26">
        <f ca="1">RANDBETWEEN(ranges!K$2*1000,ranges!K$3*1000)/1000</f>
        <v>0.89300000000000002</v>
      </c>
      <c r="L525">
        <f t="shared" ca="1" si="88"/>
        <v>109.44739270896693</v>
      </c>
      <c r="M525">
        <f t="shared" ca="1" si="89"/>
        <v>16.537895048938658</v>
      </c>
      <c r="N525" s="4">
        <f t="shared" ca="1" si="90"/>
        <v>5.7907046191404143</v>
      </c>
      <c r="O525" s="4"/>
      <c r="P525" s="1">
        <f ca="1">LOOKUP(B525,geomorph!$A:$A,geomorph!$G:$G)</f>
        <v>104.93924100000001</v>
      </c>
      <c r="Q525" s="1">
        <f t="shared" ca="1" si="91"/>
        <v>121.47713604893866</v>
      </c>
    </row>
    <row r="526" spans="2:17" x14ac:dyDescent="0.3">
      <c r="B526" s="6">
        <f ca="1">RANDBETWEEN(ranges!B$2,ranges!B$3)</f>
        <v>14250</v>
      </c>
      <c r="C526" s="9">
        <f ca="1">LOOKUP(B526,geomorph!A:A,geomorph!B:B)</f>
        <v>1329.8</v>
      </c>
      <c r="D526">
        <f t="shared" si="84"/>
        <v>1.13E-4</v>
      </c>
      <c r="E526" s="9">
        <f ca="1">'[2]Q_GEV(random)'!$J526</f>
        <v>10167.786205680974</v>
      </c>
      <c r="F526" s="26">
        <f ca="1">RANDBETWEEN(ranges!F$2*1000,ranges!F$3*1000)/1000</f>
        <v>0.109</v>
      </c>
      <c r="G526" s="3">
        <f t="shared" ca="1" si="85"/>
        <v>7.6461018240945808</v>
      </c>
      <c r="H526" s="4">
        <f t="shared" ca="1" si="86"/>
        <v>11.286103121796868</v>
      </c>
      <c r="I526" s="4">
        <f t="shared" ca="1" si="87"/>
        <v>249.58802233139673</v>
      </c>
      <c r="J526" s="26">
        <f ca="1">RANDBETWEEN(ranges!J$2*1000,ranges!J$3*1000)/1000</f>
        <v>0.69799999999999995</v>
      </c>
      <c r="K526" s="26">
        <f ca="1">RANDBETWEEN(ranges!K$2*1000,ranges!K$3*1000)/1000</f>
        <v>0.96099999999999997</v>
      </c>
      <c r="L526">
        <f t="shared" ca="1" si="88"/>
        <v>109.13391627357656</v>
      </c>
      <c r="M526">
        <f t="shared" ca="1" si="89"/>
        <v>16.399269850248039</v>
      </c>
      <c r="N526" s="4">
        <f t="shared" ca="1" si="90"/>
        <v>5.5577899222295333</v>
      </c>
      <c r="O526" s="4"/>
      <c r="P526" s="1">
        <f ca="1">LOOKUP(B526,geomorph!$A:$A,geomorph!$G:$G)</f>
        <v>104.91551100000001</v>
      </c>
      <c r="Q526" s="1">
        <f t="shared" ca="1" si="91"/>
        <v>121.31478085024804</v>
      </c>
    </row>
    <row r="527" spans="2:17" x14ac:dyDescent="0.3">
      <c r="B527" s="6">
        <f ca="1">RANDBETWEEN(ranges!B$2,ranges!B$3)</f>
        <v>14544</v>
      </c>
      <c r="C527" s="9">
        <f ca="1">LOOKUP(B527,geomorph!A:A,geomorph!B:B)</f>
        <v>1411</v>
      </c>
      <c r="D527">
        <f t="shared" si="84"/>
        <v>1.13E-4</v>
      </c>
      <c r="E527" s="9">
        <f ca="1">'[2]Q_GEV(random)'!$J527</f>
        <v>10156.173601650744</v>
      </c>
      <c r="F527" s="26">
        <f ca="1">RANDBETWEEN(ranges!F$2*1000,ranges!F$3*1000)/1000</f>
        <v>9.7000000000000003E-2</v>
      </c>
      <c r="G527" s="3">
        <f t="shared" ca="1" si="85"/>
        <v>7.1978551393697687</v>
      </c>
      <c r="H527" s="4">
        <f t="shared" ca="1" si="86"/>
        <v>10.427201738281271</v>
      </c>
      <c r="I527" s="4">
        <f t="shared" ca="1" si="87"/>
        <v>225.93927863549709</v>
      </c>
      <c r="J527" s="26">
        <f ca="1">RANDBETWEEN(ranges!J$2*1000,ranges!J$3*1000)/1000</f>
        <v>0.65</v>
      </c>
      <c r="K527" s="26">
        <f ca="1">RANDBETWEEN(ranges!K$2*1000,ranges!K$3*1000)/1000</f>
        <v>0.81399999999999995</v>
      </c>
      <c r="L527">
        <f t="shared" ca="1" si="88"/>
        <v>97.722730717102507</v>
      </c>
      <c r="M527">
        <f t="shared" ca="1" si="89"/>
        <v>15.581205353726975</v>
      </c>
      <c r="N527" s="4">
        <f t="shared" ca="1" si="90"/>
        <v>5.6021778428757658</v>
      </c>
      <c r="O527" s="4"/>
      <c r="P527" s="1">
        <f ca="1">LOOKUP(B527,geomorph!$A:$A,geomorph!$G:$G)</f>
        <v>104.88274100000001</v>
      </c>
      <c r="Q527" s="1">
        <f t="shared" ca="1" si="91"/>
        <v>120.46394635372698</v>
      </c>
    </row>
    <row r="528" spans="2:17" x14ac:dyDescent="0.3">
      <c r="B528" s="6">
        <f ca="1">RANDBETWEEN(ranges!B$2,ranges!B$3)</f>
        <v>11839</v>
      </c>
      <c r="C528" s="9">
        <f ca="1">LOOKUP(B528,geomorph!A:A,geomorph!B:B)</f>
        <v>1402.1</v>
      </c>
      <c r="D528">
        <f t="shared" si="84"/>
        <v>1.13E-4</v>
      </c>
      <c r="E528" s="9">
        <f ca="1">'[2]Q_GEV(random)'!$J528</f>
        <v>10148.674172634228</v>
      </c>
      <c r="F528" s="26">
        <f ca="1">RANDBETWEEN(ranges!F$2*1000,ranges!F$3*1000)/1000</f>
        <v>0.104</v>
      </c>
      <c r="G528" s="3">
        <f t="shared" ca="1" si="85"/>
        <v>7.2381956869226363</v>
      </c>
      <c r="H528" s="4">
        <f t="shared" ca="1" si="86"/>
        <v>10.71206312373333</v>
      </c>
      <c r="I528" s="4">
        <f t="shared" ca="1" si="87"/>
        <v>228.22221062926397</v>
      </c>
      <c r="J528" s="26">
        <f ca="1">RANDBETWEEN(ranges!J$2*1000,ranges!J$3*1000)/1000</f>
        <v>0.65800000000000003</v>
      </c>
      <c r="K528" s="26">
        <f ca="1">RANDBETWEEN(ranges!K$2*1000,ranges!K$3*1000)/1000</f>
        <v>0.81200000000000006</v>
      </c>
      <c r="L528">
        <f t="shared" ca="1" si="88"/>
        <v>99.97656868976523</v>
      </c>
      <c r="M528">
        <f t="shared" ca="1" si="89"/>
        <v>15.840017606470941</v>
      </c>
      <c r="N528" s="4">
        <f t="shared" ca="1" si="90"/>
        <v>5.5738635681930546</v>
      </c>
      <c r="O528" s="4"/>
      <c r="P528" s="1">
        <f ca="1">LOOKUP(B528,geomorph!$A:$A,geomorph!$G:$G)</f>
        <v>105.18897100000001</v>
      </c>
      <c r="Q528" s="1">
        <f t="shared" ca="1" si="91"/>
        <v>121.02898860647095</v>
      </c>
    </row>
    <row r="529" spans="2:17" x14ac:dyDescent="0.3">
      <c r="B529" s="6">
        <f ca="1">RANDBETWEEN(ranges!B$2,ranges!B$3)</f>
        <v>12877</v>
      </c>
      <c r="C529" s="9">
        <f ca="1">LOOKUP(B529,geomorph!A:A,geomorph!B:B)</f>
        <v>1135.3</v>
      </c>
      <c r="D529">
        <f t="shared" si="84"/>
        <v>1.13E-4</v>
      </c>
      <c r="E529" s="9">
        <f ca="1">'[2]Q_GEV(random)'!$J529</f>
        <v>10148.557909331948</v>
      </c>
      <c r="F529" s="26">
        <f ca="1">RANDBETWEEN(ranges!F$2*1000,ranges!F$3*1000)/1000</f>
        <v>9.0999999999999998E-2</v>
      </c>
      <c r="G529" s="3">
        <f t="shared" ca="1" si="85"/>
        <v>8.9390979558988359</v>
      </c>
      <c r="H529" s="4">
        <f t="shared" ca="1" si="86"/>
        <v>11.793735719611679</v>
      </c>
      <c r="I529" s="4">
        <f t="shared" ca="1" si="87"/>
        <v>324.44058562487754</v>
      </c>
      <c r="J529" s="26">
        <f ca="1">RANDBETWEEN(ranges!J$2*1000,ranges!J$3*1000)/1000</f>
        <v>0.69299999999999995</v>
      </c>
      <c r="K529" s="26">
        <f ca="1">RANDBETWEEN(ranges!K$2*1000,ranges!K$3*1000)/1000</f>
        <v>0.80200000000000005</v>
      </c>
      <c r="L529">
        <f t="shared" ca="1" si="88"/>
        <v>126.36944250828476</v>
      </c>
      <c r="M529">
        <f t="shared" ca="1" si="89"/>
        <v>16.21179677300109</v>
      </c>
      <c r="N529" s="4">
        <f t="shared" ca="1" si="90"/>
        <v>4.8022402754232738</v>
      </c>
      <c r="O529" s="4"/>
      <c r="P529" s="1">
        <f ca="1">LOOKUP(B529,geomorph!$A:$A,geomorph!$G:$G)</f>
        <v>105.071451</v>
      </c>
      <c r="Q529" s="1">
        <f t="shared" ca="1" si="91"/>
        <v>121.28324777300108</v>
      </c>
    </row>
    <row r="530" spans="2:17" x14ac:dyDescent="0.3">
      <c r="B530" s="6">
        <f ca="1">RANDBETWEEN(ranges!B$2,ranges!B$3)</f>
        <v>12402</v>
      </c>
      <c r="C530" s="9">
        <f ca="1">LOOKUP(B530,geomorph!A:A,geomorph!B:B)</f>
        <v>1236.0999999999999</v>
      </c>
      <c r="D530">
        <f t="shared" si="84"/>
        <v>1.13E-4</v>
      </c>
      <c r="E530" s="9">
        <f ca="1">'[2]Q_GEV(random)'!$J530</f>
        <v>10148.302784708339</v>
      </c>
      <c r="F530" s="26">
        <f ca="1">RANDBETWEEN(ranges!F$2*1000,ranges!F$3*1000)/1000</f>
        <v>0.09</v>
      </c>
      <c r="G530" s="3">
        <f t="shared" ca="1" si="85"/>
        <v>8.2099367241390997</v>
      </c>
      <c r="H530" s="4">
        <f t="shared" ca="1" si="86"/>
        <v>11.102373658147593</v>
      </c>
      <c r="I530" s="4">
        <f t="shared" ca="1" si="87"/>
        <v>281.55048758352962</v>
      </c>
      <c r="J530" s="26">
        <f ca="1">RANDBETWEEN(ranges!J$2*1000,ranges!J$3*1000)/1000</f>
        <v>0.68500000000000005</v>
      </c>
      <c r="K530" s="26">
        <f ca="1">RANDBETWEEN(ranges!K$2*1000,ranges!K$3*1000)/1000</f>
        <v>0.94899999999999995</v>
      </c>
      <c r="L530">
        <f t="shared" ca="1" si="88"/>
        <v>114.45820769050201</v>
      </c>
      <c r="M530">
        <f t="shared" ca="1" si="89"/>
        <v>15.987442329463933</v>
      </c>
      <c r="N530" s="4">
        <f t="shared" ca="1" si="90"/>
        <v>5.3098572514308042</v>
      </c>
      <c r="O530" s="4"/>
      <c r="P530" s="1">
        <f ca="1">LOOKUP(B530,geomorph!$A:$A,geomorph!$G:$G)</f>
        <v>105.124561</v>
      </c>
      <c r="Q530" s="1">
        <f t="shared" ca="1" si="91"/>
        <v>121.11200332946393</v>
      </c>
    </row>
    <row r="531" spans="2:17" x14ac:dyDescent="0.3">
      <c r="B531" s="6">
        <f ca="1">RANDBETWEEN(ranges!B$2,ranges!B$3)</f>
        <v>14082</v>
      </c>
      <c r="C531" s="9">
        <f ca="1">LOOKUP(B531,geomorph!A:A,geomorph!B:B)</f>
        <v>1347</v>
      </c>
      <c r="D531">
        <f t="shared" si="84"/>
        <v>1.13E-4</v>
      </c>
      <c r="E531" s="9">
        <f ca="1">'[2]Q_GEV(random)'!$J531</f>
        <v>10137.808469396616</v>
      </c>
      <c r="F531" s="26">
        <f ca="1">RANDBETWEEN(ranges!F$2*1000,ranges!F$3*1000)/1000</f>
        <v>0.10100000000000001</v>
      </c>
      <c r="G531" s="3">
        <f t="shared" ca="1" si="85"/>
        <v>7.5262126721578442</v>
      </c>
      <c r="H531" s="4">
        <f t="shared" ca="1" si="86"/>
        <v>10.887627287378024</v>
      </c>
      <c r="I531" s="4">
        <f t="shared" ca="1" si="87"/>
        <v>243.81855066918311</v>
      </c>
      <c r="J531" s="26">
        <f ca="1">RANDBETWEEN(ranges!J$2*1000,ranges!J$3*1000)/1000</f>
        <v>0.72799999999999998</v>
      </c>
      <c r="K531" s="26">
        <f ca="1">RANDBETWEEN(ranges!K$2*1000,ranges!K$3*1000)/1000</f>
        <v>0.81299999999999994</v>
      </c>
      <c r="L531">
        <f t="shared" ca="1" si="88"/>
        <v>102.3139760238189</v>
      </c>
      <c r="M531">
        <f t="shared" ca="1" si="89"/>
        <v>15.573312604561497</v>
      </c>
      <c r="N531" s="4">
        <f t="shared" ca="1" si="90"/>
        <v>5.0931362143298626</v>
      </c>
      <c r="O531" s="4"/>
      <c r="P531" s="1">
        <f ca="1">LOOKUP(B531,geomorph!$A:$A,geomorph!$G:$G)</f>
        <v>104.934721</v>
      </c>
      <c r="Q531" s="1">
        <f t="shared" ca="1" si="91"/>
        <v>120.50803360456149</v>
      </c>
    </row>
    <row r="532" spans="2:17" x14ac:dyDescent="0.3">
      <c r="B532" s="6">
        <f ca="1">RANDBETWEEN(ranges!B$2,ranges!B$3)</f>
        <v>11896</v>
      </c>
      <c r="C532" s="9">
        <f ca="1">LOOKUP(B532,geomorph!A:A,geomorph!B:B)</f>
        <v>1384.1</v>
      </c>
      <c r="D532">
        <f t="shared" si="84"/>
        <v>1.13E-4</v>
      </c>
      <c r="E532" s="9">
        <f ca="1">'[2]Q_GEV(random)'!$J532</f>
        <v>10128.999406676081</v>
      </c>
      <c r="F532" s="26">
        <f ca="1">RANDBETWEEN(ranges!F$2*1000,ranges!F$3*1000)/1000</f>
        <v>9.4E-2</v>
      </c>
      <c r="G532" s="3">
        <f t="shared" ca="1" si="85"/>
        <v>7.3181124244462694</v>
      </c>
      <c r="H532" s="4">
        <f t="shared" ca="1" si="86"/>
        <v>10.433190386484032</v>
      </c>
      <c r="I532" s="4">
        <f t="shared" ca="1" si="87"/>
        <v>232.88879813911007</v>
      </c>
      <c r="J532" s="26">
        <f ca="1">RANDBETWEEN(ranges!J$2*1000,ranges!J$3*1000)/1000</f>
        <v>0.65500000000000003</v>
      </c>
      <c r="K532" s="26">
        <f ca="1">RANDBETWEEN(ranges!K$2*1000,ranges!K$3*1000)/1000</f>
        <v>0.83099999999999996</v>
      </c>
      <c r="L532">
        <f t="shared" ca="1" si="88"/>
        <v>99.273297654467342</v>
      </c>
      <c r="M532">
        <f t="shared" ca="1" si="89"/>
        <v>15.52667135504095</v>
      </c>
      <c r="N532" s="4">
        <f t="shared" ca="1" si="90"/>
        <v>5.5363923571270846</v>
      </c>
      <c r="O532" s="4"/>
      <c r="P532" s="1">
        <f ca="1">LOOKUP(B532,geomorph!$A:$A,geomorph!$G:$G)</f>
        <v>105.182191</v>
      </c>
      <c r="Q532" s="1">
        <f t="shared" ca="1" si="91"/>
        <v>120.70886235504095</v>
      </c>
    </row>
    <row r="533" spans="2:17" x14ac:dyDescent="0.3">
      <c r="B533" s="6">
        <f ca="1">RANDBETWEEN(ranges!B$2,ranges!B$3)</f>
        <v>13661</v>
      </c>
      <c r="C533" s="9">
        <f ca="1">LOOKUP(B533,geomorph!A:A,geomorph!B:B)</f>
        <v>1243.0999999999999</v>
      </c>
      <c r="D533">
        <f t="shared" si="84"/>
        <v>1.13E-4</v>
      </c>
      <c r="E533" s="9">
        <f ca="1">'[2]Q_GEV(random)'!$J533</f>
        <v>10118.958222784986</v>
      </c>
      <c r="F533" s="26">
        <f ca="1">RANDBETWEEN(ranges!F$2*1000,ranges!F$3*1000)/1000</f>
        <v>9.2999999999999999E-2</v>
      </c>
      <c r="G533" s="3">
        <f t="shared" ca="1" si="85"/>
        <v>8.1400999298407104</v>
      </c>
      <c r="H533" s="4">
        <f t="shared" ca="1" si="86"/>
        <v>11.160644388439954</v>
      </c>
      <c r="I533" s="4">
        <f t="shared" ca="1" si="87"/>
        <v>278.37513548853707</v>
      </c>
      <c r="J533" s="26">
        <f ca="1">RANDBETWEEN(ranges!J$2*1000,ranges!J$3*1000)/1000</f>
        <v>0.70199999999999996</v>
      </c>
      <c r="K533" s="26">
        <f ca="1">RANDBETWEEN(ranges!K$2*1000,ranges!K$3*1000)/1000</f>
        <v>0.82299999999999995</v>
      </c>
      <c r="L533">
        <f t="shared" ca="1" si="88"/>
        <v>112.24140798282744</v>
      </c>
      <c r="M533">
        <f t="shared" ca="1" si="89"/>
        <v>15.766584251770164</v>
      </c>
      <c r="N533" s="4">
        <f t="shared" ca="1" si="90"/>
        <v>5.0064563731850109</v>
      </c>
      <c r="O533" s="4"/>
      <c r="P533" s="1">
        <f ca="1">LOOKUP(B533,geomorph!$A:$A,geomorph!$G:$G)</f>
        <v>104.982181</v>
      </c>
      <c r="Q533" s="1">
        <f t="shared" ca="1" si="91"/>
        <v>120.74876525177017</v>
      </c>
    </row>
    <row r="534" spans="2:17" x14ac:dyDescent="0.3">
      <c r="B534" s="6">
        <f ca="1">RANDBETWEEN(ranges!B$2,ranges!B$3)</f>
        <v>10222</v>
      </c>
      <c r="C534" s="9">
        <f ca="1">LOOKUP(B534,geomorph!A:A,geomorph!B:B)</f>
        <v>1593.6</v>
      </c>
      <c r="D534">
        <f t="shared" si="84"/>
        <v>1.13E-4</v>
      </c>
      <c r="E534" s="9">
        <f ca="1">'[2]Q_GEV(random)'!$J534</f>
        <v>10114.548882555648</v>
      </c>
      <c r="F534" s="26">
        <f ca="1">RANDBETWEEN(ranges!F$2*1000,ranges!F$3*1000)/1000</f>
        <v>9.2999999999999999E-2</v>
      </c>
      <c r="G534" s="3">
        <f t="shared" ca="1" si="85"/>
        <v>6.3469809754992772</v>
      </c>
      <c r="H534" s="4">
        <f t="shared" ca="1" si="86"/>
        <v>9.454696169718968</v>
      </c>
      <c r="I534" s="4">
        <f t="shared" ca="1" si="87"/>
        <v>183.95665060516819</v>
      </c>
      <c r="J534" s="26">
        <f ca="1">RANDBETWEEN(ranges!J$2*1000,ranges!J$3*1000)/1000</f>
        <v>0.66</v>
      </c>
      <c r="K534" s="26">
        <f ca="1">RANDBETWEEN(ranges!K$2*1000,ranges!K$3*1000)/1000</f>
        <v>0.92400000000000004</v>
      </c>
      <c r="L534">
        <f t="shared" ca="1" si="88"/>
        <v>83.585581950969413</v>
      </c>
      <c r="M534">
        <f t="shared" ca="1" si="89"/>
        <v>15.051824123868327</v>
      </c>
      <c r="N534" s="4">
        <f t="shared" ca="1" si="90"/>
        <v>6.0838347327710425</v>
      </c>
      <c r="O534" s="4"/>
      <c r="P534" s="1">
        <f ca="1">LOOKUP(B534,geomorph!$A:$A,geomorph!$G:$G)</f>
        <v>105.370901</v>
      </c>
      <c r="Q534" s="1">
        <f t="shared" ca="1" si="91"/>
        <v>120.42272512386833</v>
      </c>
    </row>
    <row r="535" spans="2:17" x14ac:dyDescent="0.3">
      <c r="B535" s="6">
        <f ca="1">RANDBETWEEN(ranges!B$2,ranges!B$3)</f>
        <v>12747</v>
      </c>
      <c r="C535" s="9">
        <f ca="1">LOOKUP(B535,geomorph!A:A,geomorph!B:B)</f>
        <v>1148</v>
      </c>
      <c r="D535">
        <f t="shared" si="84"/>
        <v>1.13E-4</v>
      </c>
      <c r="E535" s="9">
        <f ca="1">'[2]Q_GEV(random)'!$J535</f>
        <v>10101.069801120831</v>
      </c>
      <c r="F535" s="26">
        <f ca="1">RANDBETWEEN(ranges!F$2*1000,ranges!F$3*1000)/1000</f>
        <v>0.1</v>
      </c>
      <c r="G535" s="3">
        <f t="shared" ca="1" si="85"/>
        <v>8.7988412901749395</v>
      </c>
      <c r="H535" s="4">
        <f t="shared" ca="1" si="86"/>
        <v>12.042743954010538</v>
      </c>
      <c r="I535" s="4">
        <f t="shared" ca="1" si="87"/>
        <v>317.48639408812926</v>
      </c>
      <c r="J535" s="26">
        <f ca="1">RANDBETWEEN(ranges!J$2*1000,ranges!J$3*1000)/1000</f>
        <v>0.68</v>
      </c>
      <c r="K535" s="26">
        <f ca="1">RANDBETWEEN(ranges!K$2*1000,ranges!K$3*1000)/1000</f>
        <v>0.89500000000000002</v>
      </c>
      <c r="L535">
        <f t="shared" ca="1" si="88"/>
        <v>129.16821101830504</v>
      </c>
      <c r="M535">
        <f t="shared" ca="1" si="89"/>
        <v>16.756217006138602</v>
      </c>
      <c r="N535" s="4">
        <f t="shared" ca="1" si="90"/>
        <v>5.1233402740522438</v>
      </c>
      <c r="O535" s="4"/>
      <c r="P535" s="1">
        <f ca="1">LOOKUP(B535,geomorph!$A:$A,geomorph!$G:$G)</f>
        <v>105.086141</v>
      </c>
      <c r="Q535" s="1">
        <f t="shared" ca="1" si="91"/>
        <v>121.8423580061386</v>
      </c>
    </row>
    <row r="536" spans="2:17" x14ac:dyDescent="0.3">
      <c r="B536" s="6">
        <f ca="1">RANDBETWEEN(ranges!B$2,ranges!B$3)</f>
        <v>11243</v>
      </c>
      <c r="C536" s="9">
        <f ca="1">LOOKUP(B536,geomorph!A:A,geomorph!B:B)</f>
        <v>1640.3</v>
      </c>
      <c r="D536">
        <f t="shared" si="84"/>
        <v>1.13E-4</v>
      </c>
      <c r="E536" s="9">
        <f ca="1">'[2]Q_GEV(random)'!$J536</f>
        <v>10099.725258426939</v>
      </c>
      <c r="F536" s="26">
        <f ca="1">RANDBETWEEN(ranges!F$2*1000,ranges!F$3*1000)/1000</f>
        <v>0.104</v>
      </c>
      <c r="G536" s="3">
        <f t="shared" ca="1" si="85"/>
        <v>6.1572427351258545</v>
      </c>
      <c r="H536" s="4">
        <f t="shared" ca="1" si="86"/>
        <v>9.6170917578376347</v>
      </c>
      <c r="I536" s="4">
        <f t="shared" ca="1" si="87"/>
        <v>175.1395577352763</v>
      </c>
      <c r="J536" s="26">
        <f ca="1">RANDBETWEEN(ranges!J$2*1000,ranges!J$3*1000)/1000</f>
        <v>0.72499999999999998</v>
      </c>
      <c r="K536" s="26">
        <f ca="1">RANDBETWEEN(ranges!K$2*1000,ranges!K$3*1000)/1000</f>
        <v>0.84899999999999998</v>
      </c>
      <c r="L536">
        <f t="shared" ca="1" si="88"/>
        <v>80.158307630170341</v>
      </c>
      <c r="M536">
        <f t="shared" ca="1" si="89"/>
        <v>14.857654936651828</v>
      </c>
      <c r="N536" s="4">
        <f t="shared" ca="1" si="90"/>
        <v>5.6962643247980358</v>
      </c>
      <c r="O536" s="4"/>
      <c r="P536" s="1">
        <f ca="1">LOOKUP(B536,geomorph!$A:$A,geomorph!$G:$G)</f>
        <v>105.255641</v>
      </c>
      <c r="Q536" s="1">
        <f t="shared" ca="1" si="91"/>
        <v>120.11329593665182</v>
      </c>
    </row>
    <row r="537" spans="2:17" x14ac:dyDescent="0.3">
      <c r="B537" s="6">
        <f ca="1">RANDBETWEEN(ranges!B$2,ranges!B$3)</f>
        <v>12146</v>
      </c>
      <c r="C537" s="9">
        <f ca="1">LOOKUP(B537,geomorph!A:A,geomorph!B:B)</f>
        <v>1305.8</v>
      </c>
      <c r="D537">
        <f t="shared" si="84"/>
        <v>1.13E-4</v>
      </c>
      <c r="E537" s="9">
        <f ca="1">'[2]Q_GEV(random)'!$J537</f>
        <v>10091.636288792768</v>
      </c>
      <c r="F537" s="26">
        <f ca="1">RANDBETWEEN(ranges!F$2*1000,ranges!F$3*1000)/1000</f>
        <v>9.8000000000000004E-2</v>
      </c>
      <c r="G537" s="3">
        <f t="shared" ca="1" si="85"/>
        <v>7.7283169618569216</v>
      </c>
      <c r="H537" s="4">
        <f t="shared" ca="1" si="86"/>
        <v>10.970854084873231</v>
      </c>
      <c r="I537" s="4">
        <f t="shared" ca="1" si="87"/>
        <v>255.99410801495029</v>
      </c>
      <c r="J537" s="26">
        <f ca="1">RANDBETWEEN(ranges!J$2*1000,ranges!J$3*1000)/1000</f>
        <v>0.60699999999999998</v>
      </c>
      <c r="K537" s="26">
        <f ca="1">RANDBETWEEN(ranges!K$2*1000,ranges!K$3*1000)/1000</f>
        <v>0.96399999999999997</v>
      </c>
      <c r="L537">
        <f t="shared" ca="1" si="88"/>
        <v>111.60279829270465</v>
      </c>
      <c r="M537">
        <f t="shared" ca="1" si="89"/>
        <v>16.467595543199351</v>
      </c>
      <c r="N537" s="4">
        <f t="shared" ca="1" si="90"/>
        <v>5.9747189764414346</v>
      </c>
      <c r="O537" s="4"/>
      <c r="P537" s="1">
        <f ca="1">LOOKUP(B537,geomorph!$A:$A,geomorph!$G:$G)</f>
        <v>105.153941</v>
      </c>
      <c r="Q537" s="1">
        <f t="shared" ca="1" si="91"/>
        <v>121.62153654319935</v>
      </c>
    </row>
    <row r="538" spans="2:17" x14ac:dyDescent="0.3">
      <c r="B538" s="6">
        <f ca="1">RANDBETWEEN(ranges!B$2,ranges!B$3)</f>
        <v>13843</v>
      </c>
      <c r="C538" s="9">
        <f ca="1">LOOKUP(B538,geomorph!A:A,geomorph!B:B)</f>
        <v>1288</v>
      </c>
      <c r="D538">
        <f t="shared" si="84"/>
        <v>1.13E-4</v>
      </c>
      <c r="E538" s="9">
        <f ca="1">'[2]Q_GEV(random)'!$J538</f>
        <v>10089.00537683921</v>
      </c>
      <c r="F538" s="26">
        <f ca="1">RANDBETWEEN(ranges!F$2*1000,ranges!F$3*1000)/1000</f>
        <v>0.108</v>
      </c>
      <c r="G538" s="3">
        <f t="shared" ca="1" si="85"/>
        <v>7.8330787087260942</v>
      </c>
      <c r="H538" s="4">
        <f t="shared" ca="1" si="86"/>
        <v>11.434171681685893</v>
      </c>
      <c r="I538" s="4">
        <f t="shared" ca="1" si="87"/>
        <v>261.87204972805222</v>
      </c>
      <c r="J538" s="26">
        <f ca="1">RANDBETWEEN(ranges!J$2*1000,ranges!J$3*1000)/1000</f>
        <v>0.68500000000000005</v>
      </c>
      <c r="K538" s="26">
        <f ca="1">RANDBETWEEN(ranges!K$2*1000,ranges!K$3*1000)/1000</f>
        <v>0.81200000000000006</v>
      </c>
      <c r="L538">
        <f t="shared" ca="1" si="88"/>
        <v>111.62040433558306</v>
      </c>
      <c r="M538">
        <f t="shared" ca="1" si="89"/>
        <v>16.245680128618101</v>
      </c>
      <c r="N538" s="4">
        <f t="shared" ca="1" si="90"/>
        <v>5.2299004857958789</v>
      </c>
      <c r="O538" s="4"/>
      <c r="P538" s="1">
        <f ca="1">LOOKUP(B538,geomorph!$A:$A,geomorph!$G:$G)</f>
        <v>104.96184100000001</v>
      </c>
      <c r="Q538" s="1">
        <f t="shared" ca="1" si="91"/>
        <v>121.20752112861811</v>
      </c>
    </row>
    <row r="539" spans="2:17" x14ac:dyDescent="0.3">
      <c r="B539" s="6">
        <f ca="1">RANDBETWEEN(ranges!B$2,ranges!B$3)</f>
        <v>10965</v>
      </c>
      <c r="C539" s="9">
        <f ca="1">LOOKUP(B539,geomorph!A:A,geomorph!B:B)</f>
        <v>1684.2</v>
      </c>
      <c r="D539">
        <f t="shared" si="84"/>
        <v>1.13E-4</v>
      </c>
      <c r="E539" s="9">
        <f ca="1">'[2]Q_GEV(random)'!$J539</f>
        <v>10082.573345097349</v>
      </c>
      <c r="F539" s="26">
        <f ca="1">RANDBETWEEN(ranges!F$2*1000,ranges!F$3*1000)/1000</f>
        <v>9.6000000000000002E-2</v>
      </c>
      <c r="G539" s="3">
        <f t="shared" ca="1" si="85"/>
        <v>5.9865653396849243</v>
      </c>
      <c r="H539" s="4">
        <f t="shared" ca="1" si="86"/>
        <v>9.1900390954012821</v>
      </c>
      <c r="I539" s="4">
        <f t="shared" ca="1" si="87"/>
        <v>167.40747211510802</v>
      </c>
      <c r="J539" s="26">
        <f ca="1">RANDBETWEEN(ranges!J$2*1000,ranges!J$3*1000)/1000</f>
        <v>0.745</v>
      </c>
      <c r="K539" s="26">
        <f ca="1">RANDBETWEEN(ranges!K$2*1000,ranges!K$3*1000)/1000</f>
        <v>0.93400000000000005</v>
      </c>
      <c r="L539">
        <f t="shared" ca="1" si="88"/>
        <v>76.235355412197947</v>
      </c>
      <c r="M539">
        <f t="shared" ca="1" si="89"/>
        <v>14.508701171130287</v>
      </c>
      <c r="N539" s="4">
        <f t="shared" ca="1" si="90"/>
        <v>5.7811544301402229</v>
      </c>
      <c r="O539" s="4"/>
      <c r="P539" s="1">
        <f ca="1">LOOKUP(B539,geomorph!$A:$A,geomorph!$G:$G)</f>
        <v>105.28728100000001</v>
      </c>
      <c r="Q539" s="1">
        <f t="shared" ca="1" si="91"/>
        <v>119.79598217113029</v>
      </c>
    </row>
    <row r="540" spans="2:17" x14ac:dyDescent="0.3">
      <c r="B540" s="6">
        <f ca="1">RANDBETWEEN(ranges!B$2,ranges!B$3)</f>
        <v>11921</v>
      </c>
      <c r="C540" s="9">
        <f ca="1">LOOKUP(B540,geomorph!A:A,geomorph!B:B)</f>
        <v>1375</v>
      </c>
      <c r="D540">
        <f t="shared" si="84"/>
        <v>1.13E-4</v>
      </c>
      <c r="E540" s="9">
        <f ca="1">'[2]Q_GEV(random)'!$J540</f>
        <v>10082.474287866255</v>
      </c>
      <c r="F540" s="26">
        <f ca="1">RANDBETWEEN(ranges!F$2*1000,ranges!F$3*1000)/1000</f>
        <v>9.2999999999999999E-2</v>
      </c>
      <c r="G540" s="3">
        <f t="shared" ca="1" si="85"/>
        <v>7.3327085729936394</v>
      </c>
      <c r="H540" s="4">
        <f t="shared" ca="1" si="86"/>
        <v>10.409880150188757</v>
      </c>
      <c r="I540" s="4">
        <f t="shared" ca="1" si="87"/>
        <v>234.74171260809294</v>
      </c>
      <c r="J540" s="26">
        <f ca="1">RANDBETWEEN(ranges!J$2*1000,ranges!J$3*1000)/1000</f>
        <v>0.72299999999999998</v>
      </c>
      <c r="K540" s="26">
        <f ca="1">RANDBETWEEN(ranges!K$2*1000,ranges!K$3*1000)/1000</f>
        <v>0.94899999999999995</v>
      </c>
      <c r="L540">
        <f t="shared" ca="1" si="88"/>
        <v>98.850161082125297</v>
      </c>
      <c r="M540">
        <f t="shared" ca="1" si="89"/>
        <v>15.358843778135217</v>
      </c>
      <c r="N540" s="4">
        <f t="shared" ca="1" si="90"/>
        <v>5.3793082912461525</v>
      </c>
      <c r="O540" s="4"/>
      <c r="P540" s="1">
        <f ca="1">LOOKUP(B540,geomorph!$A:$A,geomorph!$G:$G)</f>
        <v>105.17880100000001</v>
      </c>
      <c r="Q540" s="1">
        <f t="shared" ca="1" si="91"/>
        <v>120.53764477813522</v>
      </c>
    </row>
    <row r="541" spans="2:17" x14ac:dyDescent="0.3">
      <c r="B541" s="6">
        <f ca="1">RANDBETWEEN(ranges!B$2,ranges!B$3)</f>
        <v>10545</v>
      </c>
      <c r="C541" s="9">
        <f ca="1">LOOKUP(B541,geomorph!A:A,geomorph!B:B)</f>
        <v>1756.7</v>
      </c>
      <c r="D541">
        <f t="shared" si="84"/>
        <v>1.13E-4</v>
      </c>
      <c r="E541" s="9">
        <f ca="1">'[2]Q_GEV(random)'!$J541</f>
        <v>10075.284347189507</v>
      </c>
      <c r="F541" s="26">
        <f ca="1">RANDBETWEEN(ranges!F$2*1000,ranges!F$3*1000)/1000</f>
        <v>0.108</v>
      </c>
      <c r="G541" s="3">
        <f t="shared" ca="1" si="85"/>
        <v>5.7353471550005732</v>
      </c>
      <c r="H541" s="4">
        <f t="shared" ca="1" si="86"/>
        <v>9.2887267821236996</v>
      </c>
      <c r="I541" s="4">
        <f t="shared" ca="1" si="87"/>
        <v>155.97639886472069</v>
      </c>
      <c r="J541" s="26">
        <f ca="1">RANDBETWEEN(ranges!J$2*1000,ranges!J$3*1000)/1000</f>
        <v>0.60599999999999998</v>
      </c>
      <c r="K541" s="26">
        <f ca="1">RANDBETWEEN(ranges!K$2*1000,ranges!K$3*1000)/1000</f>
        <v>0.88800000000000001</v>
      </c>
      <c r="L541">
        <f t="shared" ca="1" si="88"/>
        <v>78.327102327942256</v>
      </c>
      <c r="M541">
        <f t="shared" ca="1" si="89"/>
        <v>15.548485934523066</v>
      </c>
      <c r="N541" s="4">
        <f t="shared" ca="1" si="90"/>
        <v>6.8040860352167023</v>
      </c>
      <c r="O541" s="4"/>
      <c r="P541" s="1">
        <f ca="1">LOOKUP(B541,geomorph!$A:$A,geomorph!$G:$G)</f>
        <v>105.33474100000001</v>
      </c>
      <c r="Q541" s="1">
        <f t="shared" ca="1" si="91"/>
        <v>120.88322693452308</v>
      </c>
    </row>
    <row r="542" spans="2:17" x14ac:dyDescent="0.3">
      <c r="B542" s="6">
        <f ca="1">RANDBETWEEN(ranges!B$2,ranges!B$3)</f>
        <v>14161</v>
      </c>
      <c r="C542" s="9">
        <f ca="1">LOOKUP(B542,geomorph!A:A,geomorph!B:B)</f>
        <v>1297.5999999999999</v>
      </c>
      <c r="D542">
        <f t="shared" si="84"/>
        <v>1.13E-4</v>
      </c>
      <c r="E542" s="9">
        <f ca="1">'[2]Q_GEV(random)'!$J542</f>
        <v>10069.567283238444</v>
      </c>
      <c r="F542" s="26">
        <f ca="1">RANDBETWEEN(ranges!F$2*1000,ranges!F$3*1000)/1000</f>
        <v>0.10299999999999999</v>
      </c>
      <c r="G542" s="3">
        <f t="shared" ca="1" si="85"/>
        <v>7.7601474130999115</v>
      </c>
      <c r="H542" s="4">
        <f t="shared" ca="1" si="86"/>
        <v>11.184953572054139</v>
      </c>
      <c r="I542" s="4">
        <f t="shared" ca="1" si="87"/>
        <v>258.31868879343199</v>
      </c>
      <c r="J542" s="26">
        <f ca="1">RANDBETWEEN(ranges!J$2*1000,ranges!J$3*1000)/1000</f>
        <v>0.76100000000000001</v>
      </c>
      <c r="K542" s="26">
        <f ca="1">RANDBETWEEN(ranges!K$2*1000,ranges!K$3*1000)/1000</f>
        <v>0.94599999999999995</v>
      </c>
      <c r="L542">
        <f t="shared" ca="1" si="88"/>
        <v>108.42857497099354</v>
      </c>
      <c r="M542">
        <f t="shared" ca="1" si="89"/>
        <v>15.898751833706816</v>
      </c>
      <c r="N542" s="4">
        <f t="shared" ca="1" si="90"/>
        <v>5.1236937626659529</v>
      </c>
      <c r="O542" s="4"/>
      <c r="P542" s="1">
        <f ca="1">LOOKUP(B542,geomorph!$A:$A,geomorph!$G:$G)</f>
        <v>104.925681</v>
      </c>
      <c r="Q542" s="1">
        <f t="shared" ca="1" si="91"/>
        <v>120.82443283370681</v>
      </c>
    </row>
    <row r="543" spans="2:17" x14ac:dyDescent="0.3">
      <c r="B543" s="6">
        <f ca="1">RANDBETWEEN(ranges!B$2,ranges!B$3)</f>
        <v>11086</v>
      </c>
      <c r="C543" s="9">
        <f ca="1">LOOKUP(B543,geomorph!A:A,geomorph!B:B)</f>
        <v>1685.7</v>
      </c>
      <c r="D543">
        <f t="shared" si="84"/>
        <v>1.13E-4</v>
      </c>
      <c r="E543" s="9">
        <f ca="1">'[2]Q_GEV(random)'!$J543</f>
        <v>10063.948488940192</v>
      </c>
      <c r="F543" s="26">
        <f ca="1">RANDBETWEEN(ranges!F$2*1000,ranges!F$3*1000)/1000</f>
        <v>0.10199999999999999</v>
      </c>
      <c r="G543" s="3">
        <f t="shared" ca="1" si="85"/>
        <v>5.9701895289435791</v>
      </c>
      <c r="H543" s="4">
        <f t="shared" ca="1" si="86"/>
        <v>9.3605334482778044</v>
      </c>
      <c r="I543" s="4">
        <f t="shared" ca="1" si="87"/>
        <v>166.95335175826224</v>
      </c>
      <c r="J543" s="26">
        <f ca="1">RANDBETWEEN(ranges!J$2*1000,ranges!J$3*1000)/1000</f>
        <v>0.74399999999999999</v>
      </c>
      <c r="K543" s="26">
        <f ca="1">RANDBETWEEN(ranges!K$2*1000,ranges!K$3*1000)/1000</f>
        <v>0.89200000000000002</v>
      </c>
      <c r="L543">
        <f t="shared" ca="1" si="88"/>
        <v>76.868900496461464</v>
      </c>
      <c r="M543">
        <f t="shared" ca="1" si="89"/>
        <v>14.642303329058015</v>
      </c>
      <c r="N543" s="4">
        <f t="shared" ca="1" si="90"/>
        <v>5.7410542182393591</v>
      </c>
      <c r="O543" s="4"/>
      <c r="P543" s="1">
        <f ca="1">LOOKUP(B543,geomorph!$A:$A,geomorph!$G:$G)</f>
        <v>105.27372100000001</v>
      </c>
      <c r="Q543" s="1">
        <f t="shared" ca="1" si="91"/>
        <v>119.91602432905802</v>
      </c>
    </row>
    <row r="544" spans="2:17" x14ac:dyDescent="0.3">
      <c r="B544" s="6">
        <f ca="1">RANDBETWEEN(ranges!B$2,ranges!B$3)</f>
        <v>12329</v>
      </c>
      <c r="C544" s="9">
        <f ca="1">LOOKUP(B544,geomorph!A:A,geomorph!B:B)</f>
        <v>1257.5999999999999</v>
      </c>
      <c r="D544">
        <f t="shared" si="84"/>
        <v>1.13E-4</v>
      </c>
      <c r="E544" s="9">
        <f ca="1">'[2]Q_GEV(random)'!$J544</f>
        <v>10058.339774119655</v>
      </c>
      <c r="F544" s="26">
        <f ca="1">RANDBETWEEN(ranges!F$2*1000,ranges!F$3*1000)/1000</f>
        <v>9.7000000000000003E-2</v>
      </c>
      <c r="G544" s="3">
        <f t="shared" ca="1" si="85"/>
        <v>7.9980437135175375</v>
      </c>
      <c r="H544" s="4">
        <f t="shared" ca="1" si="86"/>
        <v>11.186345369265114</v>
      </c>
      <c r="I544" s="4">
        <f t="shared" ca="1" si="87"/>
        <v>271.95476368991734</v>
      </c>
      <c r="J544" s="26">
        <f ca="1">RANDBETWEEN(ranges!J$2*1000,ranges!J$3*1000)/1000</f>
        <v>0.71199999999999997</v>
      </c>
      <c r="K544" s="26">
        <f ca="1">RANDBETWEEN(ranges!K$2*1000,ranges!K$3*1000)/1000</f>
        <v>0.93400000000000005</v>
      </c>
      <c r="L544">
        <f t="shared" ca="1" si="88"/>
        <v>112.51447270014832</v>
      </c>
      <c r="M544">
        <f t="shared" ca="1" si="89"/>
        <v>15.989296698050834</v>
      </c>
      <c r="N544" s="4">
        <f t="shared" ca="1" si="90"/>
        <v>5.2205992704192612</v>
      </c>
      <c r="O544" s="4"/>
      <c r="P544" s="1">
        <f ca="1">LOOKUP(B544,geomorph!$A:$A,geomorph!$G:$G)</f>
        <v>105.133601</v>
      </c>
      <c r="Q544" s="1">
        <f t="shared" ca="1" si="91"/>
        <v>121.12289769805083</v>
      </c>
    </row>
    <row r="545" spans="2:17" x14ac:dyDescent="0.3">
      <c r="B545" s="6">
        <f ca="1">RANDBETWEEN(ranges!B$2,ranges!B$3)</f>
        <v>14217</v>
      </c>
      <c r="C545" s="9">
        <f ca="1">LOOKUP(B545,geomorph!A:A,geomorph!B:B)</f>
        <v>1315.9</v>
      </c>
      <c r="D545">
        <f t="shared" si="84"/>
        <v>1.13E-4</v>
      </c>
      <c r="E545" s="9">
        <f ca="1">'[2]Q_GEV(random)'!$J545</f>
        <v>10037.084343667379</v>
      </c>
      <c r="F545" s="26">
        <f ca="1">RANDBETWEEN(ranges!F$2*1000,ranges!F$3*1000)/1000</f>
        <v>9.5000000000000001E-2</v>
      </c>
      <c r="G545" s="3">
        <f t="shared" ca="1" si="85"/>
        <v>7.6275433875426533</v>
      </c>
      <c r="H545" s="4">
        <f t="shared" ca="1" si="86"/>
        <v>10.7631515702535</v>
      </c>
      <c r="I545" s="4">
        <f t="shared" ca="1" si="87"/>
        <v>251.81615467102941</v>
      </c>
      <c r="J545" s="26">
        <f ca="1">RANDBETWEEN(ranges!J$2*1000,ranges!J$3*1000)/1000</f>
        <v>0.79900000000000004</v>
      </c>
      <c r="K545" s="26">
        <f ca="1">RANDBETWEEN(ranges!K$2*1000,ranges!K$3*1000)/1000</f>
        <v>0.80100000000000005</v>
      </c>
      <c r="L545">
        <f t="shared" ca="1" si="88"/>
        <v>101.28030443168906</v>
      </c>
      <c r="M545">
        <f t="shared" ca="1" si="89"/>
        <v>15.06004704398754</v>
      </c>
      <c r="N545" s="4">
        <f t="shared" ca="1" si="90"/>
        <v>4.6705385584065651</v>
      </c>
      <c r="O545" s="4"/>
      <c r="P545" s="1">
        <f ca="1">LOOKUP(B545,geomorph!$A:$A,geomorph!$G:$G)</f>
        <v>104.92003100000001</v>
      </c>
      <c r="Q545" s="1">
        <f t="shared" ca="1" si="91"/>
        <v>119.98007804398755</v>
      </c>
    </row>
    <row r="546" spans="2:17" x14ac:dyDescent="0.3">
      <c r="B546" s="6">
        <f ca="1">RANDBETWEEN(ranges!B$2,ranges!B$3)</f>
        <v>14353</v>
      </c>
      <c r="C546" s="9">
        <f ca="1">LOOKUP(B546,geomorph!A:A,geomorph!B:B)</f>
        <v>1361.8</v>
      </c>
      <c r="D546">
        <f t="shared" si="84"/>
        <v>1.13E-4</v>
      </c>
      <c r="E546" s="9">
        <f ca="1">'[2]Q_GEV(random)'!$J546</f>
        <v>10018.027538485481</v>
      </c>
      <c r="F546" s="26">
        <f ca="1">RANDBETWEEN(ranges!F$2*1000,ranges!F$3*1000)/1000</f>
        <v>9.7000000000000003E-2</v>
      </c>
      <c r="G546" s="3">
        <f t="shared" ca="1" si="85"/>
        <v>7.3564602279963882</v>
      </c>
      <c r="H546" s="4">
        <f t="shared" ca="1" si="86"/>
        <v>10.57982056995346</v>
      </c>
      <c r="I546" s="4">
        <f t="shared" ca="1" si="87"/>
        <v>237.52862131027192</v>
      </c>
      <c r="J546" s="26">
        <f ca="1">RANDBETWEEN(ranges!J$2*1000,ranges!J$3*1000)/1000</f>
        <v>0.77400000000000002</v>
      </c>
      <c r="K546" s="26">
        <f ca="1">RANDBETWEEN(ranges!K$2*1000,ranges!K$3*1000)/1000</f>
        <v>0.96599999999999997</v>
      </c>
      <c r="L546">
        <f t="shared" ca="1" si="88"/>
        <v>99.649629834091002</v>
      </c>
      <c r="M546">
        <f t="shared" ca="1" si="89"/>
        <v>15.334423847611356</v>
      </c>
      <c r="N546" s="4">
        <f t="shared" ca="1" si="90"/>
        <v>5.1680470409324952</v>
      </c>
      <c r="O546" s="4"/>
      <c r="P546" s="1">
        <f ca="1">LOOKUP(B546,geomorph!$A:$A,geomorph!$G:$G)</f>
        <v>104.904211</v>
      </c>
      <c r="Q546" s="1">
        <f t="shared" ca="1" si="91"/>
        <v>120.23863484761137</v>
      </c>
    </row>
    <row r="547" spans="2:17" x14ac:dyDescent="0.3">
      <c r="B547" s="6">
        <f ca="1">RANDBETWEEN(ranges!B$2,ranges!B$3)</f>
        <v>10174</v>
      </c>
      <c r="C547" s="9">
        <f ca="1">LOOKUP(B547,geomorph!A:A,geomorph!B:B)</f>
        <v>1590.7</v>
      </c>
      <c r="D547">
        <f t="shared" si="84"/>
        <v>1.13E-4</v>
      </c>
      <c r="E547" s="9">
        <f ca="1">'[2]Q_GEV(random)'!$J547</f>
        <v>10007.531636577223</v>
      </c>
      <c r="F547" s="26">
        <f ca="1">RANDBETWEEN(ranges!F$2*1000,ranges!F$3*1000)/1000</f>
        <v>0.104</v>
      </c>
      <c r="G547" s="3">
        <f t="shared" ca="1" si="85"/>
        <v>6.2912753106036483</v>
      </c>
      <c r="H547" s="4">
        <f t="shared" ca="1" si="86"/>
        <v>9.7561552689785476</v>
      </c>
      <c r="I547" s="4">
        <f t="shared" ca="1" si="87"/>
        <v>183.21211838785658</v>
      </c>
      <c r="J547" s="26">
        <f ca="1">RANDBETWEEN(ranges!J$2*1000,ranges!J$3*1000)/1000</f>
        <v>0.71199999999999997</v>
      </c>
      <c r="K547" s="26">
        <f ca="1">RANDBETWEEN(ranges!K$2*1000,ranges!K$3*1000)/1000</f>
        <v>0.91700000000000004</v>
      </c>
      <c r="L547">
        <f t="shared" ca="1" si="88"/>
        <v>84.007249046343873</v>
      </c>
      <c r="M547">
        <f t="shared" ca="1" si="89"/>
        <v>15.100227409556167</v>
      </c>
      <c r="N547" s="4">
        <f t="shared" ca="1" si="90"/>
        <v>5.8087740658452383</v>
      </c>
      <c r="O547" s="4"/>
      <c r="P547" s="1">
        <f ca="1">LOOKUP(B547,geomorph!$A:$A,geomorph!$G:$G)</f>
        <v>105.37655100000001</v>
      </c>
      <c r="Q547" s="1">
        <f t="shared" ca="1" si="91"/>
        <v>120.47677840955618</v>
      </c>
    </row>
    <row r="548" spans="2:17" x14ac:dyDescent="0.3">
      <c r="B548" s="6">
        <f ca="1">RANDBETWEEN(ranges!B$2,ranges!B$3)</f>
        <v>12118</v>
      </c>
      <c r="C548" s="9">
        <f ca="1">LOOKUP(B548,geomorph!A:A,geomorph!B:B)</f>
        <v>1315.7</v>
      </c>
      <c r="D548">
        <f t="shared" si="84"/>
        <v>1.13E-4</v>
      </c>
      <c r="E548" s="9">
        <f ca="1">'[2]Q_GEV(random)'!$J548</f>
        <v>9999.8638994110406</v>
      </c>
      <c r="F548" s="26">
        <f ca="1">RANDBETWEEN(ranges!F$2*1000,ranges!F$3*1000)/1000</f>
        <v>9.7000000000000003E-2</v>
      </c>
      <c r="G548" s="3">
        <f t="shared" ca="1" si="85"/>
        <v>7.6004133916630234</v>
      </c>
      <c r="H548" s="4">
        <f t="shared" ca="1" si="86"/>
        <v>10.812443498977865</v>
      </c>
      <c r="I548" s="4">
        <f t="shared" ca="1" si="87"/>
        <v>251.25687381397759</v>
      </c>
      <c r="J548" s="26">
        <f ca="1">RANDBETWEEN(ranges!J$2*1000,ranges!J$3*1000)/1000</f>
        <v>0.748</v>
      </c>
      <c r="K548" s="26">
        <f ca="1">RANDBETWEEN(ranges!K$2*1000,ranges!K$3*1000)/1000</f>
        <v>0.99299999999999999</v>
      </c>
      <c r="L548">
        <f t="shared" ca="1" si="88"/>
        <v>105.24638774611276</v>
      </c>
      <c r="M548">
        <f t="shared" ca="1" si="89"/>
        <v>15.647411976404344</v>
      </c>
      <c r="N548" s="4">
        <f t="shared" ca="1" si="90"/>
        <v>5.2554005189418245</v>
      </c>
      <c r="O548" s="4"/>
      <c r="P548" s="1">
        <f ca="1">LOOKUP(B548,geomorph!$A:$A,geomorph!$G:$G)</f>
        <v>105.157331</v>
      </c>
      <c r="Q548" s="1">
        <f t="shared" ca="1" si="91"/>
        <v>120.80474297640434</v>
      </c>
    </row>
    <row r="549" spans="2:17" x14ac:dyDescent="0.3">
      <c r="B549" s="6">
        <f ca="1">RANDBETWEEN(ranges!B$2,ranges!B$3)</f>
        <v>13940</v>
      </c>
      <c r="C549" s="9">
        <f ca="1">LOOKUP(B549,geomorph!A:A,geomorph!B:B)</f>
        <v>1312.6</v>
      </c>
      <c r="D549">
        <f t="shared" si="84"/>
        <v>1.13E-4</v>
      </c>
      <c r="E549" s="9">
        <f ca="1">'[2]Q_GEV(random)'!$J549</f>
        <v>9998.6935503572331</v>
      </c>
      <c r="F549" s="26">
        <f ca="1">RANDBETWEEN(ranges!F$2*1000,ranges!F$3*1000)/1000</f>
        <v>0.105</v>
      </c>
      <c r="G549" s="3">
        <f t="shared" ca="1" si="85"/>
        <v>7.6174718500359848</v>
      </c>
      <c r="H549" s="4">
        <f t="shared" ca="1" si="86"/>
        <v>11.118481257412732</v>
      </c>
      <c r="I549" s="4">
        <f t="shared" ca="1" si="87"/>
        <v>252.22696975633434</v>
      </c>
      <c r="J549" s="26">
        <f ca="1">RANDBETWEEN(ranges!J$2*1000,ranges!J$3*1000)/1000</f>
        <v>0.74199999999999999</v>
      </c>
      <c r="K549" s="26">
        <f ca="1">RANDBETWEEN(ranges!K$2*1000,ranges!K$3*1000)/1000</f>
        <v>0.97299999999999998</v>
      </c>
      <c r="L549">
        <f t="shared" ca="1" si="88"/>
        <v>107.76569409825427</v>
      </c>
      <c r="M549">
        <f t="shared" ca="1" si="89"/>
        <v>15.984217258290645</v>
      </c>
      <c r="N549" s="4">
        <f t="shared" ca="1" si="90"/>
        <v>5.2888434792151227</v>
      </c>
      <c r="O549" s="4"/>
      <c r="P549" s="1">
        <f ca="1">LOOKUP(B549,geomorph!$A:$A,geomorph!$G:$G)</f>
        <v>104.950541</v>
      </c>
      <c r="Q549" s="1">
        <f t="shared" ca="1" si="91"/>
        <v>120.93475825829064</v>
      </c>
    </row>
    <row r="550" spans="2:17" x14ac:dyDescent="0.3">
      <c r="B550" s="6">
        <f ca="1">RANDBETWEEN(ranges!B$2,ranges!B$3)</f>
        <v>14697</v>
      </c>
      <c r="C550" s="9">
        <f ca="1">LOOKUP(B550,geomorph!A:A,geomorph!B:B)</f>
        <v>1456.5</v>
      </c>
      <c r="D550">
        <f t="shared" si="84"/>
        <v>1.13E-4</v>
      </c>
      <c r="E550" s="9">
        <f ca="1">'[2]Q_GEV(random)'!$J550</f>
        <v>9998.6286855356957</v>
      </c>
      <c r="F550" s="26">
        <f ca="1">RANDBETWEEN(ranges!F$2*1000,ranges!F$3*1000)/1000</f>
        <v>9.9000000000000005E-2</v>
      </c>
      <c r="G550" s="3">
        <f t="shared" ca="1" si="85"/>
        <v>6.8648326024961861</v>
      </c>
      <c r="H550" s="4">
        <f t="shared" ca="1" si="86"/>
        <v>10.172011188014215</v>
      </c>
      <c r="I550" s="4">
        <f t="shared" ca="1" si="87"/>
        <v>212.07663749193256</v>
      </c>
      <c r="J550" s="26">
        <f ca="1">RANDBETWEEN(ranges!J$2*1000,ranges!J$3*1000)/1000</f>
        <v>0.63300000000000001</v>
      </c>
      <c r="K550" s="26">
        <f ca="1">RANDBETWEEN(ranges!K$2*1000,ranges!K$3*1000)/1000</f>
        <v>0.86199999999999999</v>
      </c>
      <c r="L550">
        <f t="shared" ca="1" si="88"/>
        <v>94.732980741627955</v>
      </c>
      <c r="M550">
        <f t="shared" ca="1" si="89"/>
        <v>15.591580268870466</v>
      </c>
      <c r="N550" s="4">
        <f t="shared" ca="1" si="90"/>
        <v>5.8908359574524463</v>
      </c>
      <c r="O550" s="4"/>
      <c r="P550" s="1">
        <f ca="1">LOOKUP(B550,geomorph!$A:$A,geomorph!$G:$G)</f>
        <v>104.865791</v>
      </c>
      <c r="Q550" s="1">
        <f t="shared" ca="1" si="91"/>
        <v>120.45737126887047</v>
      </c>
    </row>
    <row r="551" spans="2:17" x14ac:dyDescent="0.3">
      <c r="B551" s="6">
        <f ca="1">RANDBETWEEN(ranges!B$2,ranges!B$3)</f>
        <v>11132</v>
      </c>
      <c r="C551" s="9">
        <f ca="1">LOOKUP(B551,geomorph!A:A,geomorph!B:B)</f>
        <v>1680.6</v>
      </c>
      <c r="D551">
        <f t="shared" si="84"/>
        <v>1.13E-4</v>
      </c>
      <c r="E551" s="9">
        <f ca="1">'[2]Q_GEV(random)'!$J551</f>
        <v>9996.3927269947417</v>
      </c>
      <c r="F551" s="26">
        <f ca="1">RANDBETWEEN(ranges!F$2*1000,ranges!F$3*1000)/1000</f>
        <v>0.11</v>
      </c>
      <c r="G551" s="3">
        <f t="shared" ca="1" si="85"/>
        <v>5.9481094412678459</v>
      </c>
      <c r="H551" s="4">
        <f t="shared" ca="1" si="86"/>
        <v>9.5754382243918172</v>
      </c>
      <c r="I551" s="4">
        <f t="shared" ca="1" si="87"/>
        <v>167.04685035286482</v>
      </c>
      <c r="J551" s="26">
        <f ca="1">RANDBETWEEN(ranges!J$2*1000,ranges!J$3*1000)/1000</f>
        <v>0.71699999999999997</v>
      </c>
      <c r="K551" s="26">
        <f ca="1">RANDBETWEEN(ranges!K$2*1000,ranges!K$3*1000)/1000</f>
        <v>0.86899999999999999</v>
      </c>
      <c r="L551">
        <f t="shared" ca="1" si="88"/>
        <v>78.86759423003268</v>
      </c>
      <c r="M551">
        <f t="shared" ca="1" si="89"/>
        <v>14.977571311518199</v>
      </c>
      <c r="N551" s="4">
        <f t="shared" ca="1" si="90"/>
        <v>5.8718837903547625</v>
      </c>
      <c r="O551" s="4"/>
      <c r="P551" s="1">
        <f ca="1">LOOKUP(B551,geomorph!$A:$A,geomorph!$G:$G)</f>
        <v>105.26807100000001</v>
      </c>
      <c r="Q551" s="1">
        <f t="shared" ca="1" si="91"/>
        <v>120.24564231151821</v>
      </c>
    </row>
    <row r="552" spans="2:17" x14ac:dyDescent="0.3">
      <c r="B552" s="6">
        <f ca="1">RANDBETWEEN(ranges!B$2,ranges!B$3)</f>
        <v>11685</v>
      </c>
      <c r="C552" s="9">
        <f ca="1">LOOKUP(B552,geomorph!A:A,geomorph!B:B)</f>
        <v>1444.4</v>
      </c>
      <c r="D552">
        <f t="shared" si="84"/>
        <v>1.13E-4</v>
      </c>
      <c r="E552" s="9">
        <f ca="1">'[2]Q_GEV(random)'!$J552</f>
        <v>9984.4805951114995</v>
      </c>
      <c r="F552" s="26">
        <f ca="1">RANDBETWEEN(ranges!F$2*1000,ranges!F$3*1000)/1000</f>
        <v>0.10299999999999999</v>
      </c>
      <c r="G552" s="3">
        <f t="shared" ca="1" si="85"/>
        <v>6.9125454133976039</v>
      </c>
      <c r="H552" s="4">
        <f t="shared" ca="1" si="86"/>
        <v>10.354907011070143</v>
      </c>
      <c r="I552" s="4">
        <f t="shared" ca="1" si="87"/>
        <v>214.84299706968574</v>
      </c>
      <c r="J552" s="26">
        <f ca="1">RANDBETWEEN(ranges!J$2*1000,ranges!J$3*1000)/1000</f>
        <v>0.77600000000000002</v>
      </c>
      <c r="K552" s="26">
        <f ca="1">RANDBETWEEN(ranges!K$2*1000,ranges!K$3*1000)/1000</f>
        <v>0.997</v>
      </c>
      <c r="L552">
        <f t="shared" ca="1" si="88"/>
        <v>93.779617319738847</v>
      </c>
      <c r="M552">
        <f t="shared" ca="1" si="89"/>
        <v>15.30644655599928</v>
      </c>
      <c r="N552" s="4">
        <f t="shared" ca="1" si="90"/>
        <v>5.382108201009931</v>
      </c>
      <c r="O552" s="4"/>
      <c r="P552" s="1">
        <f ca="1">LOOKUP(B552,geomorph!$A:$A,geomorph!$G:$G)</f>
        <v>105.205921</v>
      </c>
      <c r="Q552" s="1">
        <f t="shared" ca="1" si="91"/>
        <v>120.51236755599928</v>
      </c>
    </row>
    <row r="553" spans="2:17" x14ac:dyDescent="0.3">
      <c r="B553" s="6">
        <f ca="1">RANDBETWEEN(ranges!B$2,ranges!B$3)</f>
        <v>10508</v>
      </c>
      <c r="C553" s="9">
        <f ca="1">LOOKUP(B553,geomorph!A:A,geomorph!B:B)</f>
        <v>1761.5</v>
      </c>
      <c r="D553">
        <f t="shared" si="84"/>
        <v>1.13E-4</v>
      </c>
      <c r="E553" s="9">
        <f ca="1">'[2]Q_GEV(random)'!$J553</f>
        <v>9984.4508233985525</v>
      </c>
      <c r="F553" s="26">
        <f ca="1">RANDBETWEEN(ranges!F$2*1000,ranges!F$3*1000)/1000</f>
        <v>9.0999999999999998E-2</v>
      </c>
      <c r="G553" s="3">
        <f t="shared" ca="1" si="85"/>
        <v>5.6681526105015907</v>
      </c>
      <c r="H553" s="4">
        <f t="shared" ca="1" si="86"/>
        <v>8.704622682371923</v>
      </c>
      <c r="I553" s="4">
        <f t="shared" ca="1" si="87"/>
        <v>154.3340403766274</v>
      </c>
      <c r="J553" s="26">
        <f ca="1">RANDBETWEEN(ranges!J$2*1000,ranges!J$3*1000)/1000</f>
        <v>0.78400000000000003</v>
      </c>
      <c r="K553" s="26">
        <f ca="1">RANDBETWEEN(ranges!K$2*1000,ranges!K$3*1000)/1000</f>
        <v>0.82299999999999995</v>
      </c>
      <c r="L553">
        <f t="shared" ca="1" si="88"/>
        <v>68.923281184952884</v>
      </c>
      <c r="M553">
        <f t="shared" ca="1" si="89"/>
        <v>13.719144658224279</v>
      </c>
      <c r="N553" s="4">
        <f t="shared" ca="1" si="90"/>
        <v>5.4505673650569078</v>
      </c>
      <c r="O553" s="4"/>
      <c r="P553" s="1">
        <f ca="1">LOOKUP(B553,geomorph!$A:$A,geomorph!$G:$G)</f>
        <v>105.33926100000001</v>
      </c>
      <c r="Q553" s="1">
        <f t="shared" ca="1" si="91"/>
        <v>119.05840565822429</v>
      </c>
    </row>
    <row r="554" spans="2:17" x14ac:dyDescent="0.3">
      <c r="B554" s="6">
        <f ca="1">RANDBETWEEN(ranges!B$2,ranges!B$3)</f>
        <v>14287</v>
      </c>
      <c r="C554" s="9">
        <f ca="1">LOOKUP(B554,geomorph!A:A,geomorph!B:B)</f>
        <v>1339.9</v>
      </c>
      <c r="D554">
        <f t="shared" si="84"/>
        <v>1.13E-4</v>
      </c>
      <c r="E554" s="9">
        <f ca="1">'[2]Q_GEV(random)'!$J554</f>
        <v>9983.3111444257684</v>
      </c>
      <c r="F554" s="26">
        <f ca="1">RANDBETWEEN(ranges!F$2*1000,ranges!F$3*1000)/1000</f>
        <v>0.1</v>
      </c>
      <c r="G554" s="3">
        <f t="shared" ca="1" si="85"/>
        <v>7.4507882263047751</v>
      </c>
      <c r="H554" s="4">
        <f t="shared" ca="1" si="86"/>
        <v>10.778953780810918</v>
      </c>
      <c r="I554" s="4">
        <f t="shared" ca="1" si="87"/>
        <v>243.47017965977528</v>
      </c>
      <c r="J554" s="26">
        <f ca="1">RANDBETWEEN(ranges!J$2*1000,ranges!J$3*1000)/1000</f>
        <v>0.79</v>
      </c>
      <c r="K554" s="26">
        <f ca="1">RANDBETWEEN(ranges!K$2*1000,ranges!K$3*1000)/1000</f>
        <v>0.85599999999999998</v>
      </c>
      <c r="L554">
        <f t="shared" ca="1" si="88"/>
        <v>100.79695669476119</v>
      </c>
      <c r="M554">
        <f t="shared" ca="1" si="89"/>
        <v>15.26153617711009</v>
      </c>
      <c r="N554" s="4">
        <f t="shared" ca="1" si="90"/>
        <v>4.8723721698904043</v>
      </c>
      <c r="O554" s="4"/>
      <c r="P554" s="1">
        <f ca="1">LOOKUP(B554,geomorph!$A:$A,geomorph!$G:$G)</f>
        <v>104.912121</v>
      </c>
      <c r="Q554" s="1">
        <f t="shared" ca="1" si="91"/>
        <v>120.17365717711009</v>
      </c>
    </row>
    <row r="555" spans="2:17" x14ac:dyDescent="0.3">
      <c r="B555" s="6">
        <f ca="1">RANDBETWEEN(ranges!B$2,ranges!B$3)</f>
        <v>12484</v>
      </c>
      <c r="C555" s="9">
        <f ca="1">LOOKUP(B555,geomorph!A:A,geomorph!B:B)</f>
        <v>1214.9000000000001</v>
      </c>
      <c r="D555">
        <f t="shared" si="84"/>
        <v>1.13E-4</v>
      </c>
      <c r="E555" s="9">
        <f ca="1">'[2]Q_GEV(random)'!$J555</f>
        <v>9982.2675796799285</v>
      </c>
      <c r="F555" s="26">
        <f ca="1">RANDBETWEEN(ranges!F$2*1000,ranges!F$3*1000)/1000</f>
        <v>0.09</v>
      </c>
      <c r="G555" s="3">
        <f t="shared" ca="1" si="85"/>
        <v>8.216534348242595</v>
      </c>
      <c r="H555" s="4">
        <f t="shared" ca="1" si="86"/>
        <v>11.108320880667332</v>
      </c>
      <c r="I555" s="4">
        <f t="shared" ca="1" si="87"/>
        <v>286.61699272070103</v>
      </c>
      <c r="J555" s="26">
        <f ca="1">RANDBETWEEN(ranges!J$2*1000,ranges!J$3*1000)/1000</f>
        <v>0.68600000000000005</v>
      </c>
      <c r="K555" s="26">
        <f ca="1">RANDBETWEEN(ranges!K$2*1000,ranges!K$3*1000)/1000</f>
        <v>0.97499999999999998</v>
      </c>
      <c r="L555">
        <f t="shared" ca="1" si="88"/>
        <v>116.39802423173151</v>
      </c>
      <c r="M555">
        <f t="shared" ca="1" si="89"/>
        <v>15.97955143922176</v>
      </c>
      <c r="N555" s="4">
        <f t="shared" ca="1" si="90"/>
        <v>5.2948158245156822</v>
      </c>
      <c r="O555" s="4"/>
      <c r="P555" s="1">
        <f ca="1">LOOKUP(B555,geomorph!$A:$A,geomorph!$G:$G)</f>
        <v>105.115521</v>
      </c>
      <c r="Q555" s="1">
        <f t="shared" ca="1" si="91"/>
        <v>121.09507243922177</v>
      </c>
    </row>
    <row r="556" spans="2:17" x14ac:dyDescent="0.3">
      <c r="B556" s="6">
        <f ca="1">RANDBETWEEN(ranges!B$2,ranges!B$3)</f>
        <v>12597</v>
      </c>
      <c r="C556" s="9">
        <f ca="1">LOOKUP(B556,geomorph!A:A,geomorph!B:B)</f>
        <v>1186.3</v>
      </c>
      <c r="D556">
        <f t="shared" si="84"/>
        <v>1.13E-4</v>
      </c>
      <c r="E556" s="9">
        <f ca="1">'[2]Q_GEV(random)'!$J556</f>
        <v>9978.0920696852791</v>
      </c>
      <c r="F556" s="26">
        <f ca="1">RANDBETWEEN(ranges!F$2*1000,ranges!F$3*1000)/1000</f>
        <v>0.106</v>
      </c>
      <c r="G556" s="3">
        <f t="shared" ca="1" si="85"/>
        <v>8.4111034895770711</v>
      </c>
      <c r="H556" s="4">
        <f t="shared" ca="1" si="86"/>
        <v>11.915503614637736</v>
      </c>
      <c r="I556" s="4">
        <f t="shared" ca="1" si="87"/>
        <v>298.14267075299136</v>
      </c>
      <c r="J556" s="26">
        <f ca="1">RANDBETWEEN(ranges!J$2*1000,ranges!J$3*1000)/1000</f>
        <v>0.749</v>
      </c>
      <c r="K556" s="26">
        <f ca="1">RANDBETWEEN(ranges!K$2*1000,ranges!K$3*1000)/1000</f>
        <v>0.82199999999999995</v>
      </c>
      <c r="L556">
        <f t="shared" ca="1" si="88"/>
        <v>121.51187224622316</v>
      </c>
      <c r="M556">
        <f t="shared" ca="1" si="89"/>
        <v>16.288897347163484</v>
      </c>
      <c r="N556" s="4">
        <f t="shared" ca="1" si="90"/>
        <v>4.7536888397019004</v>
      </c>
      <c r="O556" s="4"/>
      <c r="P556" s="1">
        <f ca="1">LOOKUP(B556,geomorph!$A:$A,geomorph!$G:$G)</f>
        <v>105.10309100000001</v>
      </c>
      <c r="Q556" s="1">
        <f t="shared" ca="1" si="91"/>
        <v>121.39198834716349</v>
      </c>
    </row>
    <row r="557" spans="2:17" x14ac:dyDescent="0.3">
      <c r="B557" s="6">
        <f ca="1">RANDBETWEEN(ranges!B$2,ranges!B$3)</f>
        <v>12157</v>
      </c>
      <c r="C557" s="9">
        <f ca="1">LOOKUP(B557,geomorph!A:A,geomorph!B:B)</f>
        <v>1302.4000000000001</v>
      </c>
      <c r="D557">
        <f t="shared" si="84"/>
        <v>1.13E-4</v>
      </c>
      <c r="E557" s="9">
        <f ca="1">'[2]Q_GEV(random)'!$J557</f>
        <v>9968.7454158989131</v>
      </c>
      <c r="F557" s="26">
        <f ca="1">RANDBETWEEN(ranges!F$2*1000,ranges!F$3*1000)/1000</f>
        <v>0.108</v>
      </c>
      <c r="G557" s="3">
        <f t="shared" ca="1" si="85"/>
        <v>7.654134993779877</v>
      </c>
      <c r="H557" s="4">
        <f t="shared" ca="1" si="86"/>
        <v>11.259362287213744</v>
      </c>
      <c r="I557" s="4">
        <f t="shared" ca="1" si="87"/>
        <v>255.01733779466235</v>
      </c>
      <c r="J557" s="26">
        <f ca="1">RANDBETWEEN(ranges!J$2*1000,ranges!J$3*1000)/1000</f>
        <v>0.76600000000000001</v>
      </c>
      <c r="K557" s="26">
        <f ca="1">RANDBETWEEN(ranges!K$2*1000,ranges!K$3*1000)/1000</f>
        <v>0.91800000000000004</v>
      </c>
      <c r="L557">
        <f t="shared" ca="1" si="88"/>
        <v>108.21714083428496</v>
      </c>
      <c r="M557">
        <f t="shared" ca="1" si="89"/>
        <v>15.926446477150721</v>
      </c>
      <c r="N557" s="4">
        <f t="shared" ca="1" si="90"/>
        <v>5.0729175977575833</v>
      </c>
      <c r="O557" s="4"/>
      <c r="P557" s="1">
        <f ca="1">LOOKUP(B557,geomorph!$A:$A,geomorph!$G:$G)</f>
        <v>105.152811</v>
      </c>
      <c r="Q557" s="1">
        <f t="shared" ca="1" si="91"/>
        <v>121.07925747715072</v>
      </c>
    </row>
    <row r="558" spans="2:17" x14ac:dyDescent="0.3">
      <c r="B558" s="6">
        <f ca="1">RANDBETWEEN(ranges!B$2,ranges!B$3)</f>
        <v>10078</v>
      </c>
      <c r="C558" s="9">
        <f ca="1">LOOKUP(B558,geomorph!A:A,geomorph!B:B)</f>
        <v>1616.6</v>
      </c>
      <c r="D558">
        <f t="shared" si="84"/>
        <v>1.13E-4</v>
      </c>
      <c r="E558" s="9">
        <f ca="1">'[2]Q_GEV(random)'!$J558</f>
        <v>9968.1755953831052</v>
      </c>
      <c r="F558" s="26">
        <f ca="1">RANDBETWEEN(ranges!F$2*1000,ranges!F$3*1000)/1000</f>
        <v>9.5000000000000001E-2</v>
      </c>
      <c r="G558" s="3">
        <f t="shared" ca="1" si="85"/>
        <v>6.1661360852301783</v>
      </c>
      <c r="H558" s="4">
        <f t="shared" ca="1" si="86"/>
        <v>9.3402478762450301</v>
      </c>
      <c r="I558" s="4">
        <f t="shared" ca="1" si="87"/>
        <v>177.8782491200013</v>
      </c>
      <c r="J558" s="26">
        <f ca="1">RANDBETWEEN(ranges!J$2*1000,ranges!J$3*1000)/1000</f>
        <v>0.64900000000000002</v>
      </c>
      <c r="K558" s="26">
        <f ca="1">RANDBETWEEN(ranges!K$2*1000,ranges!K$3*1000)/1000</f>
        <v>0.84</v>
      </c>
      <c r="L558">
        <f t="shared" ca="1" si="88"/>
        <v>81.453645430028388</v>
      </c>
      <c r="M558">
        <f t="shared" ca="1" si="89"/>
        <v>14.879609841846779</v>
      </c>
      <c r="N558" s="4">
        <f t="shared" ca="1" si="90"/>
        <v>6.0210456147845095</v>
      </c>
      <c r="O558" s="4"/>
      <c r="P558" s="1">
        <f ca="1">LOOKUP(B558,geomorph!$A:$A,geomorph!$G:$G)</f>
        <v>105.387851</v>
      </c>
      <c r="Q558" s="1">
        <f t="shared" ca="1" si="91"/>
        <v>120.26746084184677</v>
      </c>
    </row>
    <row r="559" spans="2:17" x14ac:dyDescent="0.3">
      <c r="B559" s="6">
        <f ca="1">RANDBETWEEN(ranges!B$2,ranges!B$3)</f>
        <v>12402</v>
      </c>
      <c r="C559" s="9">
        <f ca="1">LOOKUP(B559,geomorph!A:A,geomorph!B:B)</f>
        <v>1236.0999999999999</v>
      </c>
      <c r="D559">
        <f t="shared" si="84"/>
        <v>1.13E-4</v>
      </c>
      <c r="E559" s="9">
        <f ca="1">'[2]Q_GEV(random)'!$J559</f>
        <v>9929.5670791755583</v>
      </c>
      <c r="F559" s="26">
        <f ca="1">RANDBETWEEN(ranges!F$2*1000,ranges!F$3*1000)/1000</f>
        <v>0.107</v>
      </c>
      <c r="G559" s="3">
        <f t="shared" ca="1" si="85"/>
        <v>8.0329804054490399</v>
      </c>
      <c r="H559" s="4">
        <f t="shared" ca="1" si="86"/>
        <v>11.591888477807158</v>
      </c>
      <c r="I559" s="4">
        <f t="shared" ca="1" si="87"/>
        <v>277.49013544071278</v>
      </c>
      <c r="J559" s="26">
        <f ca="1">RANDBETWEEN(ranges!J$2*1000,ranges!J$3*1000)/1000</f>
        <v>0.64500000000000002</v>
      </c>
      <c r="K559" s="26">
        <f ca="1">RANDBETWEEN(ranges!K$2*1000,ranges!K$3*1000)/1000</f>
        <v>0.91800000000000004</v>
      </c>
      <c r="L559">
        <f t="shared" ca="1" si="88"/>
        <v>119.50219896851905</v>
      </c>
      <c r="M559">
        <f t="shared" ca="1" si="89"/>
        <v>16.691983500383461</v>
      </c>
      <c r="N559" s="4">
        <f t="shared" ca="1" si="90"/>
        <v>5.54358154627859</v>
      </c>
      <c r="O559" s="4"/>
      <c r="P559" s="1">
        <f ca="1">LOOKUP(B559,geomorph!$A:$A,geomorph!$G:$G)</f>
        <v>105.124561</v>
      </c>
      <c r="Q559" s="1">
        <f t="shared" ca="1" si="91"/>
        <v>121.81654450038346</v>
      </c>
    </row>
    <row r="560" spans="2:17" x14ac:dyDescent="0.3">
      <c r="B560" s="6">
        <f ca="1">RANDBETWEEN(ranges!B$2,ranges!B$3)</f>
        <v>11374</v>
      </c>
      <c r="C560" s="9">
        <f ca="1">LOOKUP(B560,geomorph!A:A,geomorph!B:B)</f>
        <v>1558.9</v>
      </c>
      <c r="D560">
        <f t="shared" si="84"/>
        <v>1.13E-4</v>
      </c>
      <c r="E560" s="9">
        <f ca="1">'[2]Q_GEV(random)'!$J560</f>
        <v>9923.0450319978772</v>
      </c>
      <c r="F560" s="26">
        <f ca="1">RANDBETWEEN(ranges!F$2*1000,ranges!F$3*1000)/1000</f>
        <v>9.6000000000000002E-2</v>
      </c>
      <c r="G560" s="3">
        <f t="shared" ca="1" si="85"/>
        <v>6.3654147360304556</v>
      </c>
      <c r="H560" s="4">
        <f t="shared" ca="1" si="86"/>
        <v>9.5737778179757083</v>
      </c>
      <c r="I560" s="4">
        <f t="shared" ca="1" si="87"/>
        <v>188.41532769650584</v>
      </c>
      <c r="J560" s="26">
        <f ca="1">RANDBETWEEN(ranges!J$2*1000,ranges!J$3*1000)/1000</f>
        <v>0.64300000000000002</v>
      </c>
      <c r="K560" s="26">
        <f ca="1">RANDBETWEEN(ranges!K$2*1000,ranges!K$3*1000)/1000</f>
        <v>0.98899999999999999</v>
      </c>
      <c r="L560">
        <f t="shared" ca="1" si="88"/>
        <v>87.012746819065569</v>
      </c>
      <c r="M560">
        <f t="shared" ca="1" si="89"/>
        <v>15.327791324835271</v>
      </c>
      <c r="N560" s="4">
        <f t="shared" ca="1" si="90"/>
        <v>6.2543625074560465</v>
      </c>
      <c r="O560" s="4"/>
      <c r="P560" s="1">
        <f ca="1">LOOKUP(B560,geomorph!$A:$A,geomorph!$G:$G)</f>
        <v>105.24095100000001</v>
      </c>
      <c r="Q560" s="1">
        <f t="shared" ca="1" si="91"/>
        <v>120.56874232483528</v>
      </c>
    </row>
    <row r="561" spans="2:17" x14ac:dyDescent="0.3">
      <c r="B561" s="6">
        <f ca="1">RANDBETWEEN(ranges!B$2,ranges!B$3)</f>
        <v>12793</v>
      </c>
      <c r="C561" s="9">
        <f ca="1">LOOKUP(B561,geomorph!A:A,geomorph!B:B)</f>
        <v>1135.5</v>
      </c>
      <c r="D561">
        <f t="shared" si="84"/>
        <v>1.13E-4</v>
      </c>
      <c r="E561" s="9">
        <f ca="1">'[2]Q_GEV(random)'!$J561</f>
        <v>9905.3347046399558</v>
      </c>
      <c r="F561" s="26">
        <f ca="1">RANDBETWEEN(ranges!F$2*1000,ranges!F$3*1000)/1000</f>
        <v>0.10299999999999999</v>
      </c>
      <c r="G561" s="3">
        <f t="shared" ca="1" si="85"/>
        <v>8.7233242665257205</v>
      </c>
      <c r="H561" s="4">
        <f t="shared" ca="1" si="86"/>
        <v>12.092299148559464</v>
      </c>
      <c r="I561" s="4">
        <f t="shared" ca="1" si="87"/>
        <v>319.14219133044884</v>
      </c>
      <c r="J561" s="26">
        <f ca="1">RANDBETWEEN(ranges!J$2*1000,ranges!J$3*1000)/1000</f>
        <v>0.69899999999999995</v>
      </c>
      <c r="K561" s="26">
        <f ca="1">RANDBETWEEN(ranges!K$2*1000,ranges!K$3*1000)/1000</f>
        <v>0.88300000000000001</v>
      </c>
      <c r="L561">
        <f t="shared" ca="1" si="88"/>
        <v>129.95023003453727</v>
      </c>
      <c r="M561">
        <f t="shared" ca="1" si="89"/>
        <v>16.674108941076529</v>
      </c>
      <c r="N561" s="4">
        <f t="shared" ca="1" si="90"/>
        <v>4.980228035344636</v>
      </c>
      <c r="O561" s="4"/>
      <c r="P561" s="1">
        <f ca="1">LOOKUP(B561,geomorph!$A:$A,geomorph!$G:$G)</f>
        <v>105.08049100000001</v>
      </c>
      <c r="Q561" s="1">
        <f t="shared" ca="1" si="91"/>
        <v>121.75459994107653</v>
      </c>
    </row>
    <row r="562" spans="2:17" x14ac:dyDescent="0.3">
      <c r="B562" s="6">
        <f ca="1">RANDBETWEEN(ranges!B$2,ranges!B$3)</f>
        <v>13121</v>
      </c>
      <c r="C562" s="9">
        <f ca="1">LOOKUP(B562,geomorph!A:A,geomorph!B:B)</f>
        <v>1154.2</v>
      </c>
      <c r="D562">
        <f t="shared" si="84"/>
        <v>1.13E-4</v>
      </c>
      <c r="E562" s="9">
        <f ca="1">'[2]Q_GEV(random)'!$J562</f>
        <v>9891.187916160934</v>
      </c>
      <c r="F562" s="26">
        <f ca="1">RANDBETWEEN(ranges!F$2*1000,ranges!F$3*1000)/1000</f>
        <v>9.9000000000000005E-2</v>
      </c>
      <c r="G562" s="3">
        <f t="shared" ca="1" si="85"/>
        <v>8.5697348086648191</v>
      </c>
      <c r="H562" s="4">
        <f t="shared" ca="1" si="86"/>
        <v>11.793203248287401</v>
      </c>
      <c r="I562" s="4">
        <f t="shared" ca="1" si="87"/>
        <v>310.27529855596271</v>
      </c>
      <c r="J562" s="26">
        <f ca="1">RANDBETWEEN(ranges!J$2*1000,ranges!J$3*1000)/1000</f>
        <v>0.68</v>
      </c>
      <c r="K562" s="26">
        <f ca="1">RANDBETWEEN(ranges!K$2*1000,ranges!K$3*1000)/1000</f>
        <v>0.80100000000000005</v>
      </c>
      <c r="L562">
        <f t="shared" ca="1" si="88"/>
        <v>125.08261278290823</v>
      </c>
      <c r="M562">
        <f t="shared" ca="1" si="89"/>
        <v>16.313849739165693</v>
      </c>
      <c r="N562" s="4">
        <f t="shared" ca="1" si="90"/>
        <v>4.9137461857372733</v>
      </c>
      <c r="O562" s="4"/>
      <c r="P562" s="1">
        <f ca="1">LOOKUP(B562,geomorph!$A:$A,geomorph!$G:$G)</f>
        <v>105.043201</v>
      </c>
      <c r="Q562" s="1">
        <f t="shared" ca="1" si="91"/>
        <v>121.35705073916569</v>
      </c>
    </row>
    <row r="563" spans="2:17" x14ac:dyDescent="0.3">
      <c r="B563" s="6">
        <f ca="1">RANDBETWEEN(ranges!B$2,ranges!B$3)</f>
        <v>11009</v>
      </c>
      <c r="C563" s="9">
        <f ca="1">LOOKUP(B563,geomorph!A:A,geomorph!B:B)</f>
        <v>1687</v>
      </c>
      <c r="D563">
        <f t="shared" si="84"/>
        <v>1.13E-4</v>
      </c>
      <c r="E563" s="9">
        <f ca="1">'[2]Q_GEV(random)'!$J563</f>
        <v>9887.3928762300729</v>
      </c>
      <c r="F563" s="26">
        <f ca="1">RANDBETWEEN(ranges!F$2*1000,ranges!F$3*1000)/1000</f>
        <v>9.4E-2</v>
      </c>
      <c r="G563" s="3">
        <f t="shared" ca="1" si="85"/>
        <v>5.8609323510551707</v>
      </c>
      <c r="H563" s="4">
        <f t="shared" ca="1" si="86"/>
        <v>8.997645678244794</v>
      </c>
      <c r="I563" s="4">
        <f t="shared" ca="1" si="87"/>
        <v>164.78312704407247</v>
      </c>
      <c r="J563" s="26">
        <f ca="1">RANDBETWEEN(ranges!J$2*1000,ranges!J$3*1000)/1000</f>
        <v>0.70899999999999996</v>
      </c>
      <c r="K563" s="26">
        <f ca="1">RANDBETWEEN(ranges!K$2*1000,ranges!K$3*1000)/1000</f>
        <v>0.82499999999999996</v>
      </c>
      <c r="L563">
        <f t="shared" ca="1" si="88"/>
        <v>74.878662623682246</v>
      </c>
      <c r="M563">
        <f t="shared" ca="1" si="89"/>
        <v>14.274194334615169</v>
      </c>
      <c r="N563" s="4">
        <f t="shared" ca="1" si="90"/>
        <v>5.7353789743156245</v>
      </c>
      <c r="O563" s="4"/>
      <c r="P563" s="1">
        <f ca="1">LOOKUP(B563,geomorph!$A:$A,geomorph!$G:$G)</f>
        <v>105.28276100000001</v>
      </c>
      <c r="Q563" s="1">
        <f t="shared" ca="1" si="91"/>
        <v>119.55695533461518</v>
      </c>
    </row>
    <row r="564" spans="2:17" x14ac:dyDescent="0.3">
      <c r="B564" s="6">
        <f ca="1">RANDBETWEEN(ranges!B$2,ranges!B$3)</f>
        <v>14099</v>
      </c>
      <c r="C564" s="9">
        <f ca="1">LOOKUP(B564,geomorph!A:A,geomorph!B:B)</f>
        <v>1349.5</v>
      </c>
      <c r="D564">
        <f t="shared" si="84"/>
        <v>1.13E-4</v>
      </c>
      <c r="E564" s="9">
        <f ca="1">'[2]Q_GEV(random)'!$J564</f>
        <v>9865.2632110761933</v>
      </c>
      <c r="F564" s="26">
        <f ca="1">RANDBETWEEN(ranges!F$2*1000,ranges!F$3*1000)/1000</f>
        <v>0.105</v>
      </c>
      <c r="G564" s="3">
        <f t="shared" ca="1" si="85"/>
        <v>7.3103099007604246</v>
      </c>
      <c r="H564" s="4">
        <f t="shared" ca="1" si="86"/>
        <v>10.817546109484503</v>
      </c>
      <c r="I564" s="4">
        <f t="shared" ca="1" si="87"/>
        <v>238.69005255066909</v>
      </c>
      <c r="J564" s="26">
        <f ca="1">RANDBETWEEN(ranges!J$2*1000,ranges!J$3*1000)/1000</f>
        <v>0.65100000000000002</v>
      </c>
      <c r="K564" s="26">
        <f ca="1">RANDBETWEEN(ranges!K$2*1000,ranges!K$3*1000)/1000</f>
        <v>0.80900000000000005</v>
      </c>
      <c r="L564">
        <f t="shared" ca="1" si="88"/>
        <v>104.00174105888613</v>
      </c>
      <c r="M564">
        <f t="shared" ca="1" si="89"/>
        <v>15.859589500163249</v>
      </c>
      <c r="N564" s="4">
        <f t="shared" ca="1" si="90"/>
        <v>5.4804819463899408</v>
      </c>
      <c r="O564" s="4"/>
      <c r="P564" s="1">
        <f ca="1">LOOKUP(B564,geomorph!$A:$A,geomorph!$G:$G)</f>
        <v>104.93359100000001</v>
      </c>
      <c r="Q564" s="1">
        <f t="shared" ca="1" si="91"/>
        <v>120.79318050016326</v>
      </c>
    </row>
    <row r="565" spans="2:17" x14ac:dyDescent="0.3">
      <c r="B565" s="6">
        <f ca="1">RANDBETWEEN(ranges!B$2,ranges!B$3)</f>
        <v>11843</v>
      </c>
      <c r="C565" s="9">
        <f ca="1">LOOKUP(B565,geomorph!A:A,geomorph!B:B)</f>
        <v>1399.1</v>
      </c>
      <c r="D565">
        <f t="shared" si="84"/>
        <v>1.13E-4</v>
      </c>
      <c r="E565" s="9">
        <f ca="1">'[2]Q_GEV(random)'!$J565</f>
        <v>9852.4711378501088</v>
      </c>
      <c r="F565" s="26">
        <f ca="1">RANDBETWEEN(ranges!F$2*1000,ranges!F$3*1000)/1000</f>
        <v>0.10100000000000001</v>
      </c>
      <c r="G565" s="3">
        <f t="shared" ca="1" si="85"/>
        <v>7.0420063882854045</v>
      </c>
      <c r="H565" s="4">
        <f t="shared" ca="1" si="86"/>
        <v>10.415493791179101</v>
      </c>
      <c r="I565" s="4">
        <f t="shared" ca="1" si="87"/>
        <v>224.5598985754194</v>
      </c>
      <c r="J565" s="26">
        <f ca="1">RANDBETWEEN(ranges!J$2*1000,ranges!J$3*1000)/1000</f>
        <v>0.66800000000000004</v>
      </c>
      <c r="K565" s="26">
        <f ca="1">RANDBETWEEN(ranges!K$2*1000,ranges!K$3*1000)/1000</f>
        <v>0.84</v>
      </c>
      <c r="L565">
        <f t="shared" ca="1" si="88"/>
        <v>97.994135305475055</v>
      </c>
      <c r="M565">
        <f t="shared" ca="1" si="89"/>
        <v>15.492706201765586</v>
      </c>
      <c r="N565" s="4">
        <f t="shared" ca="1" si="90"/>
        <v>5.518709141941831</v>
      </c>
      <c r="O565" s="4"/>
      <c r="P565" s="1">
        <f ca="1">LOOKUP(B565,geomorph!$A:$A,geomorph!$G:$G)</f>
        <v>105.18784100000001</v>
      </c>
      <c r="Q565" s="1">
        <f t="shared" ca="1" si="91"/>
        <v>120.68054720176559</v>
      </c>
    </row>
    <row r="566" spans="2:17" x14ac:dyDescent="0.3">
      <c r="B566" s="6">
        <f ca="1">RANDBETWEEN(ranges!B$2,ranges!B$3)</f>
        <v>10523</v>
      </c>
      <c r="C566" s="9">
        <f ca="1">LOOKUP(B566,geomorph!A:A,geomorph!B:B)</f>
        <v>1760.5</v>
      </c>
      <c r="D566">
        <f t="shared" si="84"/>
        <v>1.13E-4</v>
      </c>
      <c r="E566" s="9">
        <f ca="1">'[2]Q_GEV(random)'!$J566</f>
        <v>9835.2428777540554</v>
      </c>
      <c r="F566" s="26">
        <f ca="1">RANDBETWEEN(ranges!F$2*1000,ranges!F$3*1000)/1000</f>
        <v>0.09</v>
      </c>
      <c r="G566" s="3">
        <f t="shared" ca="1" si="85"/>
        <v>5.586619072850926</v>
      </c>
      <c r="H566" s="4">
        <f t="shared" ca="1" si="86"/>
        <v>8.5892518991886888</v>
      </c>
      <c r="I566" s="4">
        <f t="shared" ca="1" si="87"/>
        <v>152.93727954298441</v>
      </c>
      <c r="J566" s="26">
        <f ca="1">RANDBETWEEN(ranges!J$2*1000,ranges!J$3*1000)/1000</f>
        <v>0.68400000000000005</v>
      </c>
      <c r="K566" s="26">
        <f ca="1">RANDBETWEEN(ranges!K$2*1000,ranges!K$3*1000)/1000</f>
        <v>0.92200000000000004</v>
      </c>
      <c r="L566">
        <f t="shared" ca="1" si="88"/>
        <v>71.750835035062124</v>
      </c>
      <c r="M566">
        <f t="shared" ca="1" si="89"/>
        <v>14.273859993952636</v>
      </c>
      <c r="N566" s="4">
        <f t="shared" ca="1" si="90"/>
        <v>6.1789218421347245</v>
      </c>
      <c r="O566" s="4"/>
      <c r="P566" s="1">
        <f ca="1">LOOKUP(B566,geomorph!$A:$A,geomorph!$G:$G)</f>
        <v>105.337001</v>
      </c>
      <c r="Q566" s="1">
        <f t="shared" ca="1" si="91"/>
        <v>119.61086099395264</v>
      </c>
    </row>
    <row r="567" spans="2:17" x14ac:dyDescent="0.3">
      <c r="B567" s="6">
        <f ca="1">RANDBETWEEN(ranges!B$2,ranges!B$3)</f>
        <v>11204</v>
      </c>
      <c r="C567" s="9">
        <f ca="1">LOOKUP(B567,geomorph!A:A,geomorph!B:B)</f>
        <v>1660.7</v>
      </c>
      <c r="D567">
        <f t="shared" si="84"/>
        <v>1.13E-4</v>
      </c>
      <c r="E567" s="9">
        <f ca="1">'[2]Q_GEV(random)'!$J567</f>
        <v>9830.8368341274199</v>
      </c>
      <c r="F567" s="26">
        <f ca="1">RANDBETWEEN(ranges!F$2*1000,ranges!F$3*1000)/1000</f>
        <v>0.104</v>
      </c>
      <c r="G567" s="3">
        <f t="shared" ca="1" si="85"/>
        <v>5.9196946071701211</v>
      </c>
      <c r="H567" s="4">
        <f t="shared" ca="1" si="86"/>
        <v>9.3681199888355966</v>
      </c>
      <c r="I567" s="4">
        <f t="shared" ca="1" si="87"/>
        <v>168.50974943701067</v>
      </c>
      <c r="J567" s="26">
        <f ca="1">RANDBETWEEN(ranges!J$2*1000,ranges!J$3*1000)/1000</f>
        <v>0.70799999999999996</v>
      </c>
      <c r="K567" s="26">
        <f ca="1">RANDBETWEEN(ranges!K$2*1000,ranges!K$3*1000)/1000</f>
        <v>0.84099999999999997</v>
      </c>
      <c r="L567">
        <f t="shared" ca="1" si="88"/>
        <v>78.251993085956371</v>
      </c>
      <c r="M567">
        <f t="shared" ca="1" si="89"/>
        <v>14.684698595716796</v>
      </c>
      <c r="N567" s="4">
        <f t="shared" ca="1" si="90"/>
        <v>5.7788897900882601</v>
      </c>
      <c r="O567" s="4"/>
      <c r="P567" s="1">
        <f ca="1">LOOKUP(B567,geomorph!$A:$A,geomorph!$G:$G)</f>
        <v>105.260161</v>
      </c>
      <c r="Q567" s="1">
        <f t="shared" ca="1" si="91"/>
        <v>119.94485959571679</v>
      </c>
    </row>
    <row r="568" spans="2:17" x14ac:dyDescent="0.3">
      <c r="B568" s="6">
        <f ca="1">RANDBETWEEN(ranges!B$2,ranges!B$3)</f>
        <v>10431</v>
      </c>
      <c r="C568" s="9">
        <f ca="1">LOOKUP(B568,geomorph!A:A,geomorph!B:B)</f>
        <v>1757.1</v>
      </c>
      <c r="D568">
        <f t="shared" si="84"/>
        <v>1.13E-4</v>
      </c>
      <c r="E568" s="9">
        <f ca="1">'[2]Q_GEV(random)'!$J568</f>
        <v>9820.9723433333129</v>
      </c>
      <c r="F568" s="26">
        <f ca="1">RANDBETWEEN(ranges!F$2*1000,ranges!F$3*1000)/1000</f>
        <v>0.104</v>
      </c>
      <c r="G568" s="3">
        <f t="shared" ca="1" si="85"/>
        <v>5.5893075768785572</v>
      </c>
      <c r="H568" s="4">
        <f t="shared" ca="1" si="86"/>
        <v>9.0162286315277989</v>
      </c>
      <c r="I568" s="4">
        <f t="shared" ca="1" si="87"/>
        <v>153.28237152918135</v>
      </c>
      <c r="J568" s="26">
        <f ca="1">RANDBETWEEN(ranges!J$2*1000,ranges!J$3*1000)/1000</f>
        <v>0.621</v>
      </c>
      <c r="K568" s="26">
        <f ca="1">RANDBETWEEN(ranges!K$2*1000,ranges!K$3*1000)/1000</f>
        <v>0.877</v>
      </c>
      <c r="L568">
        <f t="shared" ca="1" si="88"/>
        <v>76.025286171947528</v>
      </c>
      <c r="M568">
        <f t="shared" ca="1" si="89"/>
        <v>15.094995427598375</v>
      </c>
      <c r="N568" s="4">
        <f t="shared" ca="1" si="90"/>
        <v>6.6073552131201918</v>
      </c>
      <c r="O568" s="4"/>
      <c r="P568" s="1">
        <f ca="1">LOOKUP(B568,geomorph!$A:$A,geomorph!$G:$G)</f>
        <v>105.347171</v>
      </c>
      <c r="Q568" s="1">
        <f t="shared" ca="1" si="91"/>
        <v>120.44216642759838</v>
      </c>
    </row>
    <row r="569" spans="2:17" x14ac:dyDescent="0.3">
      <c r="B569" s="6">
        <f ca="1">RANDBETWEEN(ranges!B$2,ranges!B$3)</f>
        <v>12941</v>
      </c>
      <c r="C569" s="9">
        <f ca="1">LOOKUP(B569,geomorph!A:A,geomorph!B:B)</f>
        <v>1140</v>
      </c>
      <c r="D569">
        <f t="shared" si="84"/>
        <v>1.13E-4</v>
      </c>
      <c r="E569" s="9">
        <f ca="1">'[2]Q_GEV(random)'!$J569</f>
        <v>9819.7371039963546</v>
      </c>
      <c r="F569" s="26">
        <f ca="1">RANDBETWEEN(ranges!F$2*1000,ranges!F$3*1000)/1000</f>
        <v>0.106</v>
      </c>
      <c r="G569" s="3">
        <f t="shared" ca="1" si="85"/>
        <v>8.6138044771897846</v>
      </c>
      <c r="H569" s="4">
        <f t="shared" ca="1" si="86"/>
        <v>12.10617901142294</v>
      </c>
      <c r="I569" s="4">
        <f t="shared" ca="1" si="87"/>
        <v>315.2161826478345</v>
      </c>
      <c r="J569" s="26">
        <f ca="1">RANDBETWEEN(ranges!J$2*1000,ranges!J$3*1000)/1000</f>
        <v>0.745</v>
      </c>
      <c r="K569" s="26">
        <f ca="1">RANDBETWEEN(ranges!K$2*1000,ranges!K$3*1000)/1000</f>
        <v>0.95499999999999996</v>
      </c>
      <c r="L569">
        <f t="shared" ca="1" si="88"/>
        <v>129.17968956047184</v>
      </c>
      <c r="M569">
        <f t="shared" ca="1" si="89"/>
        <v>16.640927609179982</v>
      </c>
      <c r="N569" s="4">
        <f t="shared" ca="1" si="90"/>
        <v>4.9290745627793937</v>
      </c>
      <c r="O569" s="4"/>
      <c r="P569" s="1">
        <f ca="1">LOOKUP(B569,geomorph!$A:$A,geomorph!$G:$G)</f>
        <v>105.063541</v>
      </c>
      <c r="Q569" s="1">
        <f t="shared" ca="1" si="91"/>
        <v>121.70446860917998</v>
      </c>
    </row>
    <row r="570" spans="2:17" x14ac:dyDescent="0.3">
      <c r="B570" s="6">
        <f ca="1">RANDBETWEEN(ranges!B$2,ranges!B$3)</f>
        <v>10875</v>
      </c>
      <c r="C570" s="9">
        <f ca="1">LOOKUP(B570,geomorph!A:A,geomorph!B:B)</f>
        <v>1670.1</v>
      </c>
      <c r="D570">
        <f t="shared" si="84"/>
        <v>1.13E-4</v>
      </c>
      <c r="E570" s="9">
        <f ca="1">'[2]Q_GEV(random)'!$J570</f>
        <v>9799.5853627319775</v>
      </c>
      <c r="F570" s="26">
        <f ca="1">RANDBETWEEN(ranges!F$2*1000,ranges!F$3*1000)/1000</f>
        <v>9.9000000000000005E-2</v>
      </c>
      <c r="G570" s="3">
        <f t="shared" ca="1" si="85"/>
        <v>5.8676638301490796</v>
      </c>
      <c r="H570" s="4">
        <f t="shared" ca="1" si="86"/>
        <v>9.1614386505914602</v>
      </c>
      <c r="I570" s="4">
        <f t="shared" ca="1" si="87"/>
        <v>166.57801801322418</v>
      </c>
      <c r="J570" s="26">
        <f ca="1">RANDBETWEEN(ranges!J$2*1000,ranges!J$3*1000)/1000</f>
        <v>0.69699999999999995</v>
      </c>
      <c r="K570" s="26">
        <f ca="1">RANDBETWEEN(ranges!K$2*1000,ranges!K$3*1000)/1000</f>
        <v>0.94799999999999995</v>
      </c>
      <c r="L570">
        <f t="shared" ca="1" si="88"/>
        <v>77.992757119954064</v>
      </c>
      <c r="M570">
        <f t="shared" ca="1" si="89"/>
        <v>14.718894514261985</v>
      </c>
      <c r="N570" s="4">
        <f t="shared" ca="1" si="90"/>
        <v>6.0407128952940479</v>
      </c>
      <c r="O570" s="4"/>
      <c r="P570" s="1">
        <f ca="1">LOOKUP(B570,geomorph!$A:$A,geomorph!$G:$G)</f>
        <v>105.29745100000001</v>
      </c>
      <c r="Q570" s="1">
        <f t="shared" ca="1" si="91"/>
        <v>120.016345514262</v>
      </c>
    </row>
    <row r="571" spans="2:17" x14ac:dyDescent="0.3">
      <c r="B571" s="6">
        <f ca="1">RANDBETWEEN(ranges!B$2,ranges!B$3)</f>
        <v>10993</v>
      </c>
      <c r="C571" s="9">
        <f ca="1">LOOKUP(B571,geomorph!A:A,geomorph!B:B)</f>
        <v>1686.6</v>
      </c>
      <c r="D571">
        <f t="shared" si="84"/>
        <v>1.13E-4</v>
      </c>
      <c r="E571" s="9">
        <f ca="1">'[2]Q_GEV(random)'!$J571</f>
        <v>9798.8481359852049</v>
      </c>
      <c r="F571" s="26">
        <f ca="1">RANDBETWEEN(ranges!F$2*1000,ranges!F$3*1000)/1000</f>
        <v>0.105</v>
      </c>
      <c r="G571" s="3">
        <f t="shared" ca="1" si="85"/>
        <v>5.8098233938012598</v>
      </c>
      <c r="H571" s="4">
        <f t="shared" ca="1" si="86"/>
        <v>9.2814005796639201</v>
      </c>
      <c r="I571" s="4">
        <f t="shared" ca="1" si="87"/>
        <v>163.86261260283067</v>
      </c>
      <c r="J571" s="26">
        <f ca="1">RANDBETWEEN(ranges!J$2*1000,ranges!J$3*1000)/1000</f>
        <v>0.79400000000000004</v>
      </c>
      <c r="K571" s="26">
        <f ca="1">RANDBETWEEN(ranges!K$2*1000,ranges!K$3*1000)/1000</f>
        <v>0.873</v>
      </c>
      <c r="L571">
        <f t="shared" ca="1" si="88"/>
        <v>74.959114067860398</v>
      </c>
      <c r="M571">
        <f t="shared" ca="1" si="89"/>
        <v>14.286142721914427</v>
      </c>
      <c r="N571" s="4">
        <f t="shared" ca="1" si="90"/>
        <v>5.4399371111418553</v>
      </c>
      <c r="O571" s="4"/>
      <c r="P571" s="1">
        <f ca="1">LOOKUP(B571,geomorph!$A:$A,geomorph!$G:$G)</f>
        <v>105.283891</v>
      </c>
      <c r="Q571" s="1">
        <f t="shared" ca="1" si="91"/>
        <v>119.57003372191443</v>
      </c>
    </row>
    <row r="572" spans="2:17" x14ac:dyDescent="0.3">
      <c r="B572" s="6">
        <f ca="1">RANDBETWEEN(ranges!B$2,ranges!B$3)</f>
        <v>13834</v>
      </c>
      <c r="C572" s="9">
        <f ca="1">LOOKUP(B572,geomorph!A:A,geomorph!B:B)</f>
        <v>1285.7</v>
      </c>
      <c r="D572">
        <f t="shared" si="84"/>
        <v>1.13E-4</v>
      </c>
      <c r="E572" s="9">
        <f ca="1">'[2]Q_GEV(random)'!$J572</f>
        <v>9781.8108940137045</v>
      </c>
      <c r="F572" s="26">
        <f ca="1">RANDBETWEEN(ranges!F$2*1000,ranges!F$3*1000)/1000</f>
        <v>0.10100000000000001</v>
      </c>
      <c r="G572" s="3">
        <f t="shared" ca="1" si="85"/>
        <v>7.6081596748959353</v>
      </c>
      <c r="H572" s="4">
        <f t="shared" ca="1" si="86"/>
        <v>10.966515758481945</v>
      </c>
      <c r="I572" s="4">
        <f t="shared" ca="1" si="87"/>
        <v>257.29427256868297</v>
      </c>
      <c r="J572" s="26">
        <f ca="1">RANDBETWEEN(ranges!J$2*1000,ranges!J$3*1000)/1000</f>
        <v>0.66800000000000004</v>
      </c>
      <c r="K572" s="26">
        <f ca="1">RANDBETWEEN(ranges!K$2*1000,ranges!K$3*1000)/1000</f>
        <v>0.95799999999999996</v>
      </c>
      <c r="L572">
        <f t="shared" ca="1" si="88"/>
        <v>110.53545740693532</v>
      </c>
      <c r="M572">
        <f t="shared" ca="1" si="89"/>
        <v>16.05904444745493</v>
      </c>
      <c r="N572" s="4">
        <f t="shared" ca="1" si="90"/>
        <v>5.5353572706228098</v>
      </c>
      <c r="O572" s="4"/>
      <c r="P572" s="1">
        <f ca="1">LOOKUP(B572,geomorph!$A:$A,geomorph!$G:$G)</f>
        <v>104.962971</v>
      </c>
      <c r="Q572" s="1">
        <f t="shared" ca="1" si="91"/>
        <v>121.02201544745492</v>
      </c>
    </row>
    <row r="573" spans="2:17" x14ac:dyDescent="0.3">
      <c r="B573" s="6">
        <f ca="1">RANDBETWEEN(ranges!B$2,ranges!B$3)</f>
        <v>10512</v>
      </c>
      <c r="C573" s="9">
        <f ca="1">LOOKUP(B573,geomorph!A:A,geomorph!B:B)</f>
        <v>1761.2</v>
      </c>
      <c r="D573">
        <f t="shared" si="84"/>
        <v>1.13E-4</v>
      </c>
      <c r="E573" s="9">
        <f ca="1">'[2]Q_GEV(random)'!$J573</f>
        <v>9777.4680940260569</v>
      </c>
      <c r="F573" s="26">
        <f ca="1">RANDBETWEEN(ranges!F$2*1000,ranges!F$3*1000)/1000</f>
        <v>9.8000000000000004E-2</v>
      </c>
      <c r="G573" s="3">
        <f t="shared" ca="1" si="85"/>
        <v>5.5515944208642161</v>
      </c>
      <c r="H573" s="4">
        <f t="shared" ca="1" si="86"/>
        <v>8.7995873953786354</v>
      </c>
      <c r="I573" s="4">
        <f t="shared" ca="1" si="87"/>
        <v>152.23686333351097</v>
      </c>
      <c r="J573" s="26">
        <f ca="1">RANDBETWEEN(ranges!J$2*1000,ranges!J$3*1000)/1000</f>
        <v>0.76200000000000001</v>
      </c>
      <c r="K573" s="26">
        <f ca="1">RANDBETWEEN(ranges!K$2*1000,ranges!K$3*1000)/1000</f>
        <v>0.92</v>
      </c>
      <c r="L573">
        <f t="shared" ca="1" si="88"/>
        <v>70.872756271469484</v>
      </c>
      <c r="M573">
        <f t="shared" ca="1" si="89"/>
        <v>14.104784113020262</v>
      </c>
      <c r="N573" s="4">
        <f t="shared" ca="1" si="90"/>
        <v>5.7665181713495937</v>
      </c>
      <c r="O573" s="4"/>
      <c r="P573" s="1">
        <f ca="1">LOOKUP(B573,geomorph!$A:$A,geomorph!$G:$G)</f>
        <v>105.338131</v>
      </c>
      <c r="Q573" s="1">
        <f t="shared" ca="1" si="91"/>
        <v>119.44291511302026</v>
      </c>
    </row>
    <row r="574" spans="2:17" x14ac:dyDescent="0.3">
      <c r="B574" s="6">
        <f ca="1">RANDBETWEEN(ranges!B$2,ranges!B$3)</f>
        <v>12178</v>
      </c>
      <c r="C574" s="9">
        <f ca="1">LOOKUP(B574,geomorph!A:A,geomorph!B:B)</f>
        <v>1298.3</v>
      </c>
      <c r="D574">
        <f t="shared" si="84"/>
        <v>1.13E-4</v>
      </c>
      <c r="E574" s="9">
        <f ca="1">'[2]Q_GEV(random)'!$J574</f>
        <v>9773.1108900153231</v>
      </c>
      <c r="F574" s="26">
        <f ca="1">RANDBETWEEN(ranges!F$2*1000,ranges!F$3*1000)/1000</f>
        <v>9.0999999999999998E-2</v>
      </c>
      <c r="G574" s="3">
        <f t="shared" ca="1" si="85"/>
        <v>7.5276214203306813</v>
      </c>
      <c r="H574" s="4">
        <f t="shared" ca="1" si="86"/>
        <v>10.517054077139163</v>
      </c>
      <c r="I574" s="4">
        <f t="shared" ca="1" si="87"/>
        <v>252.99589395043665</v>
      </c>
      <c r="J574" s="26">
        <f ca="1">RANDBETWEEN(ranges!J$2*1000,ranges!J$3*1000)/1000</f>
        <v>0.77100000000000002</v>
      </c>
      <c r="K574" s="26">
        <f ca="1">RANDBETWEEN(ranges!K$2*1000,ranges!K$3*1000)/1000</f>
        <v>0.86799999999999999</v>
      </c>
      <c r="L574">
        <f t="shared" ca="1" si="88"/>
        <v>101.98683742440724</v>
      </c>
      <c r="M574">
        <f t="shared" ca="1" si="89"/>
        <v>14.962274746176195</v>
      </c>
      <c r="N574" s="4">
        <f t="shared" ca="1" si="90"/>
        <v>4.8317615967793834</v>
      </c>
      <c r="O574" s="4"/>
      <c r="P574" s="1">
        <f ca="1">LOOKUP(B574,geomorph!$A:$A,geomorph!$G:$G)</f>
        <v>105.15055100000001</v>
      </c>
      <c r="Q574" s="1">
        <f t="shared" ca="1" si="91"/>
        <v>120.1128257461762</v>
      </c>
    </row>
    <row r="575" spans="2:17" x14ac:dyDescent="0.3">
      <c r="B575" s="6">
        <f ca="1">RANDBETWEEN(ranges!B$2,ranges!B$3)</f>
        <v>13680</v>
      </c>
      <c r="C575" s="9">
        <f ca="1">LOOKUP(B575,geomorph!A:A,geomorph!B:B)</f>
        <v>1248.0999999999999</v>
      </c>
      <c r="D575">
        <f t="shared" si="84"/>
        <v>1.13E-4</v>
      </c>
      <c r="E575" s="9">
        <f ca="1">'[2]Q_GEV(random)'!$J575</f>
        <v>9750.8046492689446</v>
      </c>
      <c r="F575" s="26">
        <f ca="1">RANDBETWEEN(ranges!F$2*1000,ranges!F$3*1000)/1000</f>
        <v>9.8000000000000004E-2</v>
      </c>
      <c r="G575" s="3">
        <f t="shared" ca="1" si="85"/>
        <v>7.8125187479119829</v>
      </c>
      <c r="H575" s="4">
        <f t="shared" ca="1" si="86"/>
        <v>11.050396728287202</v>
      </c>
      <c r="I575" s="4">
        <f t="shared" ca="1" si="87"/>
        <v>269.77063990108132</v>
      </c>
      <c r="J575" s="26">
        <f ca="1">RANDBETWEEN(ranges!J$2*1000,ranges!J$3*1000)/1000</f>
        <v>0.72399999999999998</v>
      </c>
      <c r="K575" s="26">
        <f ca="1">RANDBETWEEN(ranges!K$2*1000,ranges!K$3*1000)/1000</f>
        <v>0.82499999999999996</v>
      </c>
      <c r="L575">
        <f t="shared" ca="1" si="88"/>
        <v>110.35129148007616</v>
      </c>
      <c r="M575">
        <f t="shared" ca="1" si="89"/>
        <v>15.563427499279983</v>
      </c>
      <c r="N575" s="4">
        <f t="shared" ca="1" si="90"/>
        <v>4.9054682293399798</v>
      </c>
      <c r="O575" s="4"/>
      <c r="P575" s="1">
        <f ca="1">LOOKUP(B575,geomorph!$A:$A,geomorph!$G:$G)</f>
        <v>104.979921</v>
      </c>
      <c r="Q575" s="1">
        <f t="shared" ca="1" si="91"/>
        <v>120.54334849927999</v>
      </c>
    </row>
    <row r="576" spans="2:17" x14ac:dyDescent="0.3">
      <c r="B576" s="6">
        <f ca="1">RANDBETWEEN(ranges!B$2,ranges!B$3)</f>
        <v>12677</v>
      </c>
      <c r="C576" s="9">
        <f ca="1">LOOKUP(B576,geomorph!A:A,geomorph!B:B)</f>
        <v>1165.7</v>
      </c>
      <c r="D576">
        <f t="shared" si="84"/>
        <v>1.13E-4</v>
      </c>
      <c r="E576" s="9">
        <f ca="1">'[2]Q_GEV(random)'!$J576</f>
        <v>9741.8068025369648</v>
      </c>
      <c r="F576" s="26">
        <f ca="1">RANDBETWEEN(ranges!F$2*1000,ranges!F$3*1000)/1000</f>
        <v>0.104</v>
      </c>
      <c r="G576" s="3">
        <f t="shared" ca="1" si="85"/>
        <v>8.3570445247807879</v>
      </c>
      <c r="H576" s="4">
        <f t="shared" ca="1" si="86"/>
        <v>11.789300936325425</v>
      </c>
      <c r="I576" s="4">
        <f t="shared" ca="1" si="87"/>
        <v>302.10995147261519</v>
      </c>
      <c r="J576" s="26">
        <f ca="1">RANDBETWEEN(ranges!J$2*1000,ranges!J$3*1000)/1000</f>
        <v>0.78100000000000003</v>
      </c>
      <c r="K576" s="26">
        <f ca="1">RANDBETWEEN(ranges!K$2*1000,ranges!K$3*1000)/1000</f>
        <v>0.81699999999999995</v>
      </c>
      <c r="L576">
        <f t="shared" ca="1" si="88"/>
        <v>121.25481435964406</v>
      </c>
      <c r="M576">
        <f t="shared" ca="1" si="89"/>
        <v>15.972181292191191</v>
      </c>
      <c r="N576" s="4">
        <f t="shared" ca="1" si="90"/>
        <v>4.5466090824627887</v>
      </c>
      <c r="O576" s="4"/>
      <c r="P576" s="1">
        <f ca="1">LOOKUP(B576,geomorph!$A:$A,geomorph!$G:$G)</f>
        <v>105.09405100000001</v>
      </c>
      <c r="Q576" s="1">
        <f t="shared" ca="1" si="91"/>
        <v>121.0662322921912</v>
      </c>
    </row>
    <row r="577" spans="2:17" x14ac:dyDescent="0.3">
      <c r="B577" s="6">
        <f ca="1">RANDBETWEEN(ranges!B$2,ranges!B$3)</f>
        <v>13453</v>
      </c>
      <c r="C577" s="9">
        <f ca="1">LOOKUP(B577,geomorph!A:A,geomorph!B:B)</f>
        <v>1191.5999999999999</v>
      </c>
      <c r="D577">
        <f t="shared" si="84"/>
        <v>1.13E-4</v>
      </c>
      <c r="E577" s="9">
        <f ca="1">'[2]Q_GEV(random)'!$J577</f>
        <v>9740.0421539992494</v>
      </c>
      <c r="F577" s="26">
        <f ca="1">RANDBETWEEN(ranges!F$2*1000,ranges!F$3*1000)/1000</f>
        <v>9.9000000000000005E-2</v>
      </c>
      <c r="G577" s="3">
        <f t="shared" ca="1" si="85"/>
        <v>8.1739192296066214</v>
      </c>
      <c r="H577" s="4">
        <f t="shared" ca="1" si="86"/>
        <v>11.427215636414159</v>
      </c>
      <c r="I577" s="4">
        <f t="shared" ca="1" si="87"/>
        <v>291.21008894832335</v>
      </c>
      <c r="J577" s="26">
        <f ca="1">RANDBETWEEN(ranges!J$2*1000,ranges!J$3*1000)/1000</f>
        <v>0.79400000000000004</v>
      </c>
      <c r="K577" s="26">
        <f ca="1">RANDBETWEEN(ranges!K$2*1000,ranges!K$3*1000)/1000</f>
        <v>0.81</v>
      </c>
      <c r="L577">
        <f t="shared" ca="1" si="88"/>
        <v>115.61292372495153</v>
      </c>
      <c r="M577">
        <f t="shared" ca="1" si="89"/>
        <v>15.567372669903703</v>
      </c>
      <c r="N577" s="4">
        <f t="shared" ca="1" si="90"/>
        <v>4.500170688575591</v>
      </c>
      <c r="O577" s="4"/>
      <c r="P577" s="1">
        <f ca="1">LOOKUP(B577,geomorph!$A:$A,geomorph!$G:$G)</f>
        <v>105.005911</v>
      </c>
      <c r="Q577" s="1">
        <f t="shared" ca="1" si="91"/>
        <v>120.5732836699037</v>
      </c>
    </row>
    <row r="578" spans="2:17" x14ac:dyDescent="0.3">
      <c r="B578" s="6">
        <f ca="1">RANDBETWEEN(ranges!B$2,ranges!B$3)</f>
        <v>13272</v>
      </c>
      <c r="C578" s="9">
        <f ca="1">LOOKUP(B578,geomorph!A:A,geomorph!B:B)</f>
        <v>1171</v>
      </c>
      <c r="D578">
        <f t="shared" si="84"/>
        <v>1.13E-4</v>
      </c>
      <c r="E578" s="9">
        <f ca="1">'[2]Q_GEV(random)'!$J578</f>
        <v>9735.2615111612886</v>
      </c>
      <c r="F578" s="26">
        <f ca="1">RANDBETWEEN(ranges!F$2*1000,ranges!F$3*1000)/1000</f>
        <v>9.4E-2</v>
      </c>
      <c r="G578" s="3">
        <f t="shared" ca="1" si="85"/>
        <v>8.3136306670890594</v>
      </c>
      <c r="H578" s="4">
        <f t="shared" ca="1" si="86"/>
        <v>11.359125536302386</v>
      </c>
      <c r="I578" s="4">
        <f t="shared" ca="1" si="87"/>
        <v>299.7001359142385</v>
      </c>
      <c r="J578" s="26">
        <f ca="1">RANDBETWEEN(ranges!J$2*1000,ranges!J$3*1000)/1000</f>
        <v>0.63700000000000001</v>
      </c>
      <c r="K578" s="26">
        <f ca="1">RANDBETWEEN(ranges!K$2*1000,ranges!K$3*1000)/1000</f>
        <v>0.93500000000000005</v>
      </c>
      <c r="L578">
        <f t="shared" ca="1" si="88"/>
        <v>123.31751696473216</v>
      </c>
      <c r="M578">
        <f t="shared" ca="1" si="89"/>
        <v>16.317743797324255</v>
      </c>
      <c r="N578" s="4">
        <f t="shared" ca="1" si="90"/>
        <v>5.3898024576324657</v>
      </c>
      <c r="O578" s="4"/>
      <c r="P578" s="1">
        <f ca="1">LOOKUP(B578,geomorph!$A:$A,geomorph!$G:$G)</f>
        <v>105.026251</v>
      </c>
      <c r="Q578" s="1">
        <f t="shared" ca="1" si="91"/>
        <v>121.34399479732426</v>
      </c>
    </row>
    <row r="579" spans="2:17" x14ac:dyDescent="0.3">
      <c r="B579" s="6">
        <f ca="1">RANDBETWEEN(ranges!B$2,ranges!B$3)</f>
        <v>14634</v>
      </c>
      <c r="C579" s="9">
        <f ca="1">LOOKUP(B579,geomorph!A:A,geomorph!B:B)</f>
        <v>1436.9</v>
      </c>
      <c r="D579">
        <f t="shared" si="84"/>
        <v>1.13E-4</v>
      </c>
      <c r="E579" s="9">
        <f ca="1">'[2]Q_GEV(random)'!$J579</f>
        <v>9731.1536978138174</v>
      </c>
      <c r="F579" s="26">
        <f ca="1">RANDBETWEEN(ranges!F$2*1000,ranges!F$3*1000)/1000</f>
        <v>9.5000000000000001E-2</v>
      </c>
      <c r="G579" s="3">
        <f t="shared" ca="1" si="85"/>
        <v>6.7723249341038461</v>
      </c>
      <c r="H579" s="4">
        <f t="shared" ca="1" si="86"/>
        <v>9.9427882381831942</v>
      </c>
      <c r="I579" s="4">
        <f t="shared" ca="1" si="87"/>
        <v>213.0338733143812</v>
      </c>
      <c r="J579" s="26">
        <f ca="1">RANDBETWEEN(ranges!J$2*1000,ranges!J$3*1000)/1000</f>
        <v>0.62</v>
      </c>
      <c r="K579" s="26">
        <f ca="1">RANDBETWEEN(ranges!K$2*1000,ranges!K$3*1000)/1000</f>
        <v>0.85099999999999998</v>
      </c>
      <c r="L579">
        <f t="shared" ca="1" si="88"/>
        <v>94.414360768318033</v>
      </c>
      <c r="M579">
        <f t="shared" ca="1" si="89"/>
        <v>15.330031433643567</v>
      </c>
      <c r="N579" s="4">
        <f t="shared" ca="1" si="90"/>
        <v>5.8556991255004052</v>
      </c>
      <c r="O579" s="4"/>
      <c r="P579" s="1">
        <f ca="1">LOOKUP(B579,geomorph!$A:$A,geomorph!$G:$G)</f>
        <v>104.87257100000001</v>
      </c>
      <c r="Q579" s="1">
        <f t="shared" ca="1" si="91"/>
        <v>120.20260243364358</v>
      </c>
    </row>
    <row r="580" spans="2:17" x14ac:dyDescent="0.3">
      <c r="B580" s="6">
        <f ca="1">RANDBETWEEN(ranges!B$2,ranges!B$3)</f>
        <v>12183</v>
      </c>
      <c r="C580" s="9">
        <f ca="1">LOOKUP(B580,geomorph!A:A,geomorph!B:B)</f>
        <v>1295.7</v>
      </c>
      <c r="D580">
        <f t="shared" si="84"/>
        <v>1.13E-4</v>
      </c>
      <c r="E580" s="9">
        <f ca="1">'[2]Q_GEV(random)'!$J580</f>
        <v>9729.1406402997291</v>
      </c>
      <c r="F580" s="26">
        <f ca="1">RANDBETWEEN(ranges!F$2*1000,ranges!F$3*1000)/1000</f>
        <v>0.109</v>
      </c>
      <c r="G580" s="3">
        <f t="shared" ca="1" si="85"/>
        <v>7.5087911092843473</v>
      </c>
      <c r="H580" s="4">
        <f t="shared" ca="1" si="86"/>
        <v>11.150576229369385</v>
      </c>
      <c r="I580" s="4">
        <f t="shared" ca="1" si="87"/>
        <v>253.08062982350657</v>
      </c>
      <c r="J580" s="26">
        <f ca="1">RANDBETWEEN(ranges!J$2*1000,ranges!J$3*1000)/1000</f>
        <v>0.65800000000000003</v>
      </c>
      <c r="K580" s="26">
        <f ca="1">RANDBETWEEN(ranges!K$2*1000,ranges!K$3*1000)/1000</f>
        <v>0.97199999999999998</v>
      </c>
      <c r="L580">
        <f t="shared" ca="1" si="88"/>
        <v>111.84276602482748</v>
      </c>
      <c r="M580">
        <f t="shared" ca="1" si="89"/>
        <v>16.375357929035694</v>
      </c>
      <c r="N580" s="4">
        <f t="shared" ca="1" si="90"/>
        <v>5.6791105431155531</v>
      </c>
      <c r="O580" s="4"/>
      <c r="P580" s="1">
        <f ca="1">LOOKUP(B580,geomorph!$A:$A,geomorph!$G:$G)</f>
        <v>105.149421</v>
      </c>
      <c r="Q580" s="1">
        <f t="shared" ca="1" si="91"/>
        <v>121.5247789290357</v>
      </c>
    </row>
    <row r="581" spans="2:17" x14ac:dyDescent="0.3">
      <c r="B581" s="6">
        <f ca="1">RANDBETWEEN(ranges!B$2,ranges!B$3)</f>
        <v>11043</v>
      </c>
      <c r="C581" s="9">
        <f ca="1">LOOKUP(B581,geomorph!A:A,geomorph!B:B)</f>
        <v>1687.2</v>
      </c>
      <c r="D581">
        <f t="shared" si="84"/>
        <v>1.13E-4</v>
      </c>
      <c r="E581" s="9">
        <f ca="1">'[2]Q_GEV(random)'!$J581</f>
        <v>9722.5555473370787</v>
      </c>
      <c r="F581" s="26">
        <f ca="1">RANDBETWEEN(ranges!F$2*1000,ranges!F$3*1000)/1000</f>
        <v>9.8000000000000004E-2</v>
      </c>
      <c r="G581" s="3">
        <f t="shared" ca="1" si="85"/>
        <v>5.7625388497730432</v>
      </c>
      <c r="H581" s="4">
        <f t="shared" ca="1" si="86"/>
        <v>9.0211048957126909</v>
      </c>
      <c r="I581" s="4">
        <f t="shared" ca="1" si="87"/>
        <v>162.91435790740928</v>
      </c>
      <c r="J581" s="26">
        <f ca="1">RANDBETWEEN(ranges!J$2*1000,ranges!J$3*1000)/1000</f>
        <v>0.751</v>
      </c>
      <c r="K581" s="26">
        <f ca="1">RANDBETWEEN(ranges!K$2*1000,ranges!K$3*1000)/1000</f>
        <v>0.83699999999999997</v>
      </c>
      <c r="L581">
        <f t="shared" ca="1" si="88"/>
        <v>74.030571380923988</v>
      </c>
      <c r="M581">
        <f t="shared" ca="1" si="89"/>
        <v>14.114194943830128</v>
      </c>
      <c r="N581" s="4">
        <f t="shared" ca="1" si="90"/>
        <v>5.5359674436059096</v>
      </c>
      <c r="O581" s="4"/>
      <c r="P581" s="1">
        <f ca="1">LOOKUP(B581,geomorph!$A:$A,geomorph!$G:$G)</f>
        <v>105.27824100000001</v>
      </c>
      <c r="Q581" s="1">
        <f t="shared" ca="1" si="91"/>
        <v>119.39243594383014</v>
      </c>
    </row>
    <row r="582" spans="2:17" x14ac:dyDescent="0.3">
      <c r="B582" s="6">
        <f ca="1">RANDBETWEEN(ranges!B$2,ranges!B$3)</f>
        <v>14347</v>
      </c>
      <c r="C582" s="9">
        <f ca="1">LOOKUP(B582,geomorph!A:A,geomorph!B:B)</f>
        <v>1358.6</v>
      </c>
      <c r="D582">
        <f t="shared" si="84"/>
        <v>1.13E-4</v>
      </c>
      <c r="E582" s="9">
        <f ca="1">'[2]Q_GEV(random)'!$J582</f>
        <v>9722.1528340375044</v>
      </c>
      <c r="F582" s="26">
        <f ca="1">RANDBETWEEN(ranges!F$2*1000,ranges!F$3*1000)/1000</f>
        <v>0.105</v>
      </c>
      <c r="G582" s="3">
        <f t="shared" ca="1" si="85"/>
        <v>7.1560082688337294</v>
      </c>
      <c r="H582" s="4">
        <f t="shared" ca="1" si="86"/>
        <v>10.664785349269609</v>
      </c>
      <c r="I582" s="4">
        <f t="shared" ca="1" si="87"/>
        <v>233.74318769958006</v>
      </c>
      <c r="J582" s="26">
        <f ca="1">RANDBETWEEN(ranges!J$2*1000,ranges!J$3*1000)/1000</f>
        <v>0.77800000000000002</v>
      </c>
      <c r="K582" s="26">
        <f ca="1">RANDBETWEEN(ranges!K$2*1000,ranges!K$3*1000)/1000</f>
        <v>0.997</v>
      </c>
      <c r="L582">
        <f t="shared" ca="1" si="88"/>
        <v>100.70722945512674</v>
      </c>
      <c r="M582">
        <f t="shared" ca="1" si="89"/>
        <v>15.460755138964075</v>
      </c>
      <c r="N582" s="4">
        <f t="shared" ca="1" si="90"/>
        <v>5.2130106409722448</v>
      </c>
      <c r="O582" s="4"/>
      <c r="P582" s="1">
        <f ca="1">LOOKUP(B582,geomorph!$A:$A,geomorph!$G:$G)</f>
        <v>104.90534100000001</v>
      </c>
      <c r="Q582" s="1">
        <f t="shared" ca="1" si="91"/>
        <v>120.36609613896408</v>
      </c>
    </row>
    <row r="583" spans="2:17" x14ac:dyDescent="0.3">
      <c r="B583" s="6">
        <f ca="1">RANDBETWEEN(ranges!B$2,ranges!B$3)</f>
        <v>13296</v>
      </c>
      <c r="C583" s="9">
        <f ca="1">LOOKUP(B583,geomorph!A:A,geomorph!B:B)</f>
        <v>1173.0999999999999</v>
      </c>
      <c r="D583">
        <f t="shared" si="84"/>
        <v>1.13E-4</v>
      </c>
      <c r="E583" s="9">
        <f ca="1">'[2]Q_GEV(random)'!$J583</f>
        <v>9706.1560547267836</v>
      </c>
      <c r="F583" s="26">
        <f ca="1">RANDBETWEEN(ranges!F$2*1000,ranges!F$3*1000)/1000</f>
        <v>9.8000000000000004E-2</v>
      </c>
      <c r="G583" s="3">
        <f t="shared" ca="1" si="85"/>
        <v>8.2739374773904899</v>
      </c>
      <c r="H583" s="4">
        <f t="shared" ca="1" si="86"/>
        <v>11.481324147899656</v>
      </c>
      <c r="I583" s="4">
        <f t="shared" ca="1" si="87"/>
        <v>298.21064265576399</v>
      </c>
      <c r="J583" s="26">
        <f ca="1">RANDBETWEEN(ranges!J$2*1000,ranges!J$3*1000)/1000</f>
        <v>0.77800000000000002</v>
      </c>
      <c r="K583" s="26">
        <f ca="1">RANDBETWEEN(ranges!K$2*1000,ranges!K$3*1000)/1000</f>
        <v>0.94</v>
      </c>
      <c r="L583">
        <f t="shared" ca="1" si="88"/>
        <v>119.67475421091756</v>
      </c>
      <c r="M583">
        <f t="shared" ca="1" si="89"/>
        <v>15.864121320625495</v>
      </c>
      <c r="N583" s="4">
        <f t="shared" ca="1" si="90"/>
        <v>4.763909970354173</v>
      </c>
      <c r="O583" s="4"/>
      <c r="P583" s="1">
        <f ca="1">LOOKUP(B583,geomorph!$A:$A,geomorph!$G:$G)</f>
        <v>105.02399100000001</v>
      </c>
      <c r="Q583" s="1">
        <f t="shared" ca="1" si="91"/>
        <v>120.88811232062551</v>
      </c>
    </row>
    <row r="584" spans="2:17" x14ac:dyDescent="0.3">
      <c r="B584" s="6">
        <f ca="1">RANDBETWEEN(ranges!B$2,ranges!B$3)</f>
        <v>13334</v>
      </c>
      <c r="C584" s="9">
        <f ca="1">LOOKUP(B584,geomorph!A:A,geomorph!B:B)</f>
        <v>1177.5999999999999</v>
      </c>
      <c r="D584">
        <f t="shared" si="84"/>
        <v>1.13E-4</v>
      </c>
      <c r="E584" s="9">
        <f ca="1">'[2]Q_GEV(random)'!$J584</f>
        <v>9703.3887944962935</v>
      </c>
      <c r="F584" s="26">
        <f ca="1">RANDBETWEEN(ranges!F$2*1000,ranges!F$3*1000)/1000</f>
        <v>0.107</v>
      </c>
      <c r="G584" s="3">
        <f t="shared" ca="1" si="85"/>
        <v>8.2399701040219888</v>
      </c>
      <c r="H584" s="4">
        <f t="shared" ca="1" si="86"/>
        <v>11.79017215521359</v>
      </c>
      <c r="I584" s="4">
        <f t="shared" ca="1" si="87"/>
        <v>296.25747061562492</v>
      </c>
      <c r="J584" s="26">
        <f ca="1">RANDBETWEEN(ranges!J$2*1000,ranges!J$3*1000)/1000</f>
        <v>0.63800000000000001</v>
      </c>
      <c r="K584" s="26">
        <f ca="1">RANDBETWEEN(ranges!K$2*1000,ranges!K$3*1000)/1000</f>
        <v>0.876</v>
      </c>
      <c r="L584">
        <f t="shared" ca="1" si="88"/>
        <v>125.6122700516157</v>
      </c>
      <c r="M584">
        <f t="shared" ca="1" si="89"/>
        <v>16.715074041044439</v>
      </c>
      <c r="N584" s="4">
        <f t="shared" ca="1" si="90"/>
        <v>5.3531542237291836</v>
      </c>
      <c r="O584" s="4"/>
      <c r="P584" s="1">
        <f ca="1">LOOKUP(B584,geomorph!$A:$A,geomorph!$G:$G)</f>
        <v>105.01947100000001</v>
      </c>
      <c r="Q584" s="1">
        <f t="shared" ca="1" si="91"/>
        <v>121.73454504104444</v>
      </c>
    </row>
    <row r="585" spans="2:17" x14ac:dyDescent="0.3">
      <c r="B585" s="6">
        <f ca="1">RANDBETWEEN(ranges!B$2,ranges!B$3)</f>
        <v>13736</v>
      </c>
      <c r="C585" s="9">
        <f ca="1">LOOKUP(B585,geomorph!A:A,geomorph!B:B)</f>
        <v>1260.7</v>
      </c>
      <c r="D585">
        <f t="shared" si="84"/>
        <v>1.13E-4</v>
      </c>
      <c r="E585" s="9">
        <f ca="1">'[2]Q_GEV(random)'!$J585</f>
        <v>9698.4252916096721</v>
      </c>
      <c r="F585" s="26">
        <f ca="1">RANDBETWEEN(ranges!F$2*1000,ranges!F$3*1000)/1000</f>
        <v>9.8000000000000004E-2</v>
      </c>
      <c r="G585" s="3">
        <f t="shared" ca="1" si="85"/>
        <v>7.6928891025697403</v>
      </c>
      <c r="H585" s="4">
        <f t="shared" ca="1" si="86"/>
        <v>10.937300298997346</v>
      </c>
      <c r="I585" s="4">
        <f t="shared" ca="1" si="87"/>
        <v>264.34103047912271</v>
      </c>
      <c r="J585" s="26">
        <f ca="1">RANDBETWEEN(ranges!J$2*1000,ranges!J$3*1000)/1000</f>
        <v>0.64900000000000002</v>
      </c>
      <c r="K585" s="26">
        <f ca="1">RANDBETWEEN(ranges!K$2*1000,ranges!K$3*1000)/1000</f>
        <v>0.88500000000000001</v>
      </c>
      <c r="L585">
        <f t="shared" ca="1" si="88"/>
        <v>111.77213240731925</v>
      </c>
      <c r="M585">
        <f t="shared" ca="1" si="89"/>
        <v>15.922957387827534</v>
      </c>
      <c r="N585" s="4">
        <f t="shared" ca="1" si="90"/>
        <v>5.4191924878588988</v>
      </c>
      <c r="O585" s="4"/>
      <c r="P585" s="1">
        <f ca="1">LOOKUP(B585,geomorph!$A:$A,geomorph!$G:$G)</f>
        <v>104.974271</v>
      </c>
      <c r="Q585" s="1">
        <f t="shared" ca="1" si="91"/>
        <v>120.89722838782754</v>
      </c>
    </row>
    <row r="586" spans="2:17" x14ac:dyDescent="0.3">
      <c r="B586" s="6">
        <f ca="1">RANDBETWEEN(ranges!B$2,ranges!B$3)</f>
        <v>10424</v>
      </c>
      <c r="C586" s="9">
        <f ca="1">LOOKUP(B586,geomorph!A:A,geomorph!B:B)</f>
        <v>1754.8</v>
      </c>
      <c r="D586">
        <f t="shared" si="84"/>
        <v>1.13E-4</v>
      </c>
      <c r="E586" s="9">
        <f ca="1">'[2]Q_GEV(random)'!$J586</f>
        <v>9677.8561744016552</v>
      </c>
      <c r="F586" s="26">
        <f ca="1">RANDBETWEEN(ranges!F$2*1000,ranges!F$3*1000)/1000</f>
        <v>0.10199999999999999</v>
      </c>
      <c r="G586" s="3">
        <f t="shared" ca="1" si="85"/>
        <v>5.5150764613640613</v>
      </c>
      <c r="H586" s="4">
        <f t="shared" ca="1" si="86"/>
        <v>8.8785670574969107</v>
      </c>
      <c r="I586" s="4">
        <f t="shared" ca="1" si="87"/>
        <v>152.12131925471195</v>
      </c>
      <c r="J586" s="26">
        <f ca="1">RANDBETWEEN(ranges!J$2*1000,ranges!J$3*1000)/1000</f>
        <v>0.69799999999999995</v>
      </c>
      <c r="K586" s="26">
        <f ca="1">RANDBETWEEN(ranges!K$2*1000,ranges!K$3*1000)/1000</f>
        <v>0.80700000000000005</v>
      </c>
      <c r="L586">
        <f t="shared" ca="1" si="88"/>
        <v>72.165771904290523</v>
      </c>
      <c r="M586">
        <f t="shared" ca="1" si="89"/>
        <v>14.309924108754336</v>
      </c>
      <c r="N586" s="4">
        <f t="shared" ca="1" si="90"/>
        <v>5.9036489687580707</v>
      </c>
      <c r="O586" s="4"/>
      <c r="P586" s="1">
        <f ca="1">LOOKUP(B586,geomorph!$A:$A,geomorph!$G:$G)</f>
        <v>105.34830100000001</v>
      </c>
      <c r="Q586" s="1">
        <f t="shared" ca="1" si="91"/>
        <v>119.65822510875434</v>
      </c>
    </row>
    <row r="587" spans="2:17" x14ac:dyDescent="0.3">
      <c r="B587" s="6">
        <f ca="1">RANDBETWEEN(ranges!B$2,ranges!B$3)</f>
        <v>11813</v>
      </c>
      <c r="C587" s="9">
        <f ca="1">LOOKUP(B587,geomorph!A:A,geomorph!B:B)</f>
        <v>1408</v>
      </c>
      <c r="D587">
        <f t="shared" ref="D587:D650" si="92">D586</f>
        <v>1.13E-4</v>
      </c>
      <c r="E587" s="9">
        <f ca="1">'[2]Q_GEV(random)'!$J587</f>
        <v>9663.1096046640323</v>
      </c>
      <c r="F587" s="26">
        <f ca="1">RANDBETWEEN(ranges!F$2*1000,ranges!F$3*1000)/1000</f>
        <v>0.1</v>
      </c>
      <c r="G587" s="3">
        <f t="shared" ref="G587:G650" ca="1" si="93">E587/C587</f>
        <v>6.8630039805852503</v>
      </c>
      <c r="H587" s="4">
        <f t="shared" ref="H587:H650" ca="1" si="94">POWER(G587/SQRT(4*9.807*D587/F587),2/3)</f>
        <v>10.204333185614095</v>
      </c>
      <c r="I587" s="4">
        <f t="shared" ref="I587:I650" ca="1" si="95">POWER(G587*G587/9.807/D587,1/3)/C587/D587</f>
        <v>219.34287383440889</v>
      </c>
      <c r="J587" s="26">
        <f ca="1">RANDBETWEEN(ranges!J$2*1000,ranges!J$3*1000)/1000</f>
        <v>0.748</v>
      </c>
      <c r="K587" s="26">
        <f ca="1">RANDBETWEEN(ranges!K$2*1000,ranges!K$3*1000)/1000</f>
        <v>0.97799999999999998</v>
      </c>
      <c r="L587">
        <f t="shared" ref="L587:L650" ca="1" si="96">0.63*POWER(F587,1/3)*I587+5.75*(1+SQRT(1+0.11*J587*POWER(F587,1/3)*K587*I587))/J587</f>
        <v>95.134417091638682</v>
      </c>
      <c r="M587">
        <f t="shared" ref="M587:M650" ca="1" si="97">L587*C587*D587</f>
        <v>15.136266296948081</v>
      </c>
      <c r="N587" s="4">
        <f t="shared" ref="N587:N650" ca="1" si="98">(M587-H587)/0.92</f>
        <v>5.3607968601456371</v>
      </c>
      <c r="O587" s="4"/>
      <c r="P587" s="1">
        <f ca="1">LOOKUP(B587,geomorph!$A:$A,geomorph!$G:$G)</f>
        <v>105.191231</v>
      </c>
      <c r="Q587" s="1">
        <f t="shared" ref="Q587:Q650" ca="1" si="99">M587+P587</f>
        <v>120.32749729694808</v>
      </c>
    </row>
    <row r="588" spans="2:17" x14ac:dyDescent="0.3">
      <c r="B588" s="6">
        <f ca="1">RANDBETWEEN(ranges!B$2,ranges!B$3)</f>
        <v>12037</v>
      </c>
      <c r="C588" s="9">
        <f ca="1">LOOKUP(B588,geomorph!A:A,geomorph!B:B)</f>
        <v>1341</v>
      </c>
      <c r="D588">
        <f t="shared" si="92"/>
        <v>1.13E-4</v>
      </c>
      <c r="E588" s="9">
        <f ca="1">'[2]Q_GEV(random)'!$J588</f>
        <v>9663.0826900583888</v>
      </c>
      <c r="F588" s="26">
        <f ca="1">RANDBETWEEN(ranges!F$2*1000,ranges!F$3*1000)/1000</f>
        <v>0.10299999999999999</v>
      </c>
      <c r="G588" s="3">
        <f t="shared" ca="1" si="93"/>
        <v>7.2058782177914908</v>
      </c>
      <c r="H588" s="4">
        <f t="shared" ca="1" si="94"/>
        <v>10.645812599612642</v>
      </c>
      <c r="I588" s="4">
        <f t="shared" ca="1" si="95"/>
        <v>237.90990183938877</v>
      </c>
      <c r="J588" s="26">
        <f ca="1">RANDBETWEEN(ranges!J$2*1000,ranges!J$3*1000)/1000</f>
        <v>0.65800000000000003</v>
      </c>
      <c r="K588" s="26">
        <f ca="1">RANDBETWEEN(ranges!K$2*1000,ranges!K$3*1000)/1000</f>
        <v>0.80700000000000005</v>
      </c>
      <c r="L588">
        <f t="shared" ca="1" si="96"/>
        <v>102.95112645850509</v>
      </c>
      <c r="M588">
        <f t="shared" ca="1" si="97"/>
        <v>15.60049304563665</v>
      </c>
      <c r="N588" s="4">
        <f t="shared" ca="1" si="98"/>
        <v>5.3855222239391392</v>
      </c>
      <c r="O588" s="4"/>
      <c r="P588" s="1">
        <f ca="1">LOOKUP(B588,geomorph!$A:$A,geomorph!$G:$G)</f>
        <v>105.166371</v>
      </c>
      <c r="Q588" s="1">
        <f t="shared" ca="1" si="99"/>
        <v>120.76686404563665</v>
      </c>
    </row>
    <row r="589" spans="2:17" x14ac:dyDescent="0.3">
      <c r="B589" s="6">
        <f ca="1">RANDBETWEEN(ranges!B$2,ranges!B$3)</f>
        <v>10874</v>
      </c>
      <c r="C589" s="9">
        <f ca="1">LOOKUP(B589,geomorph!A:A,geomorph!B:B)</f>
        <v>1670.1</v>
      </c>
      <c r="D589">
        <f t="shared" si="92"/>
        <v>1.13E-4</v>
      </c>
      <c r="E589" s="9">
        <f ca="1">'[2]Q_GEV(random)'!$J589</f>
        <v>9646.1748957341024</v>
      </c>
      <c r="F589" s="26">
        <f ca="1">RANDBETWEEN(ranges!F$2*1000,ranges!F$3*1000)/1000</f>
        <v>0.109</v>
      </c>
      <c r="G589" s="3">
        <f t="shared" ca="1" si="93"/>
        <v>5.7758067754829669</v>
      </c>
      <c r="H589" s="4">
        <f t="shared" ca="1" si="94"/>
        <v>9.3610751811943711</v>
      </c>
      <c r="I589" s="4">
        <f t="shared" ca="1" si="95"/>
        <v>164.83495408739094</v>
      </c>
      <c r="J589" s="26">
        <f ca="1">RANDBETWEEN(ranges!J$2*1000,ranges!J$3*1000)/1000</f>
        <v>0.625</v>
      </c>
      <c r="K589" s="26">
        <f ca="1">RANDBETWEEN(ranges!K$2*1000,ranges!K$3*1000)/1000</f>
        <v>0.83199999999999996</v>
      </c>
      <c r="L589">
        <f t="shared" ca="1" si="96"/>
        <v>80.389286472606187</v>
      </c>
      <c r="M589">
        <f t="shared" ca="1" si="97"/>
        <v>15.171170649182651</v>
      </c>
      <c r="N589" s="4">
        <f t="shared" ca="1" si="98"/>
        <v>6.3153211608568256</v>
      </c>
      <c r="O589" s="4"/>
      <c r="P589" s="1">
        <f ca="1">LOOKUP(B589,geomorph!$A:$A,geomorph!$G:$G)</f>
        <v>105.29745100000001</v>
      </c>
      <c r="Q589" s="1">
        <f t="shared" ca="1" si="99"/>
        <v>120.46862164918267</v>
      </c>
    </row>
    <row r="590" spans="2:17" x14ac:dyDescent="0.3">
      <c r="B590" s="6">
        <f ca="1">RANDBETWEEN(ranges!B$2,ranges!B$3)</f>
        <v>13292</v>
      </c>
      <c r="C590" s="9">
        <f ca="1">LOOKUP(B590,geomorph!A:A,geomorph!B:B)</f>
        <v>1173.0999999999999</v>
      </c>
      <c r="D590">
        <f t="shared" si="92"/>
        <v>1.13E-4</v>
      </c>
      <c r="E590" s="9">
        <f ca="1">'[2]Q_GEV(random)'!$J590</f>
        <v>9632.5926320024373</v>
      </c>
      <c r="F590" s="26">
        <f ca="1">RANDBETWEEN(ranges!F$2*1000,ranges!F$3*1000)/1000</f>
        <v>0.11</v>
      </c>
      <c r="G590" s="3">
        <f t="shared" ca="1" si="93"/>
        <v>8.2112289080235605</v>
      </c>
      <c r="H590" s="4">
        <f t="shared" ca="1" si="94"/>
        <v>11.871660395862804</v>
      </c>
      <c r="I590" s="4">
        <f t="shared" ca="1" si="95"/>
        <v>296.70196438583349</v>
      </c>
      <c r="J590" s="26">
        <f ca="1">RANDBETWEEN(ranges!J$2*1000,ranges!J$3*1000)/1000</f>
        <v>0.61499999999999999</v>
      </c>
      <c r="K590" s="26">
        <f ca="1">RANDBETWEEN(ranges!K$2*1000,ranges!K$3*1000)/1000</f>
        <v>0.83099999999999996</v>
      </c>
      <c r="L590">
        <f t="shared" ca="1" si="96"/>
        <v>126.94813977701496</v>
      </c>
      <c r="M590">
        <f t="shared" ca="1" si="97"/>
        <v>16.828283493283035</v>
      </c>
      <c r="N590" s="4">
        <f t="shared" ca="1" si="98"/>
        <v>5.3876338015437284</v>
      </c>
      <c r="O590" s="4"/>
      <c r="P590" s="1">
        <f ca="1">LOOKUP(B590,geomorph!$A:$A,geomorph!$G:$G)</f>
        <v>105.02399100000001</v>
      </c>
      <c r="Q590" s="1">
        <f t="shared" ca="1" si="99"/>
        <v>121.85227449328305</v>
      </c>
    </row>
    <row r="591" spans="2:17" x14ac:dyDescent="0.3">
      <c r="B591" s="6">
        <f ca="1">RANDBETWEEN(ranges!B$2,ranges!B$3)</f>
        <v>14216</v>
      </c>
      <c r="C591" s="9">
        <f ca="1">LOOKUP(B591,geomorph!A:A,geomorph!B:B)</f>
        <v>1315.9</v>
      </c>
      <c r="D591">
        <f t="shared" si="92"/>
        <v>1.13E-4</v>
      </c>
      <c r="E591" s="9">
        <f ca="1">'[2]Q_GEV(random)'!$J591</f>
        <v>9631.490931148177</v>
      </c>
      <c r="F591" s="26">
        <f ca="1">RANDBETWEEN(ranges!F$2*1000,ranges!F$3*1000)/1000</f>
        <v>0.107</v>
      </c>
      <c r="G591" s="3">
        <f t="shared" ca="1" si="93"/>
        <v>7.3193182849366796</v>
      </c>
      <c r="H591" s="4">
        <f t="shared" ca="1" si="94"/>
        <v>10.894738517102898</v>
      </c>
      <c r="I591" s="4">
        <f t="shared" ca="1" si="95"/>
        <v>244.98578484448922</v>
      </c>
      <c r="J591" s="26">
        <f ca="1">RANDBETWEEN(ranges!J$2*1000,ranges!J$3*1000)/1000</f>
        <v>0.78500000000000003</v>
      </c>
      <c r="K591" s="26">
        <f ca="1">RANDBETWEEN(ranges!K$2*1000,ranges!K$3*1000)/1000</f>
        <v>0.92</v>
      </c>
      <c r="L591">
        <f t="shared" ca="1" si="96"/>
        <v>104.03663675875677</v>
      </c>
      <c r="M591">
        <f t="shared" ca="1" si="97"/>
        <v>15.46990456512583</v>
      </c>
      <c r="N591" s="4">
        <f t="shared" ca="1" si="98"/>
        <v>4.9730065739379699</v>
      </c>
      <c r="O591" s="4"/>
      <c r="P591" s="1">
        <f ca="1">LOOKUP(B591,geomorph!$A:$A,geomorph!$G:$G)</f>
        <v>104.92003100000001</v>
      </c>
      <c r="Q591" s="1">
        <f t="shared" ca="1" si="99"/>
        <v>120.38993556512584</v>
      </c>
    </row>
    <row r="592" spans="2:17" x14ac:dyDescent="0.3">
      <c r="B592" s="6">
        <f ca="1">RANDBETWEEN(ranges!B$2,ranges!B$3)</f>
        <v>14305</v>
      </c>
      <c r="C592" s="9">
        <f ca="1">LOOKUP(B592,geomorph!A:A,geomorph!B:B)</f>
        <v>1346.2</v>
      </c>
      <c r="D592">
        <f t="shared" si="92"/>
        <v>1.13E-4</v>
      </c>
      <c r="E592" s="9">
        <f ca="1">'[2]Q_GEV(random)'!$J592</f>
        <v>9624.732317671911</v>
      </c>
      <c r="F592" s="26">
        <f ca="1">RANDBETWEEN(ranges!F$2*1000,ranges!F$3*1000)/1000</f>
        <v>9.9000000000000005E-2</v>
      </c>
      <c r="G592" s="3">
        <f t="shared" ca="1" si="93"/>
        <v>7.1495560226355002</v>
      </c>
      <c r="H592" s="4">
        <f t="shared" ca="1" si="94"/>
        <v>10.451362482222612</v>
      </c>
      <c r="I592" s="4">
        <f t="shared" ca="1" si="95"/>
        <v>235.75440333328484</v>
      </c>
      <c r="J592" s="26">
        <f ca="1">RANDBETWEEN(ranges!J$2*1000,ranges!J$3*1000)/1000</f>
        <v>0.755</v>
      </c>
      <c r="K592" s="26">
        <f ca="1">RANDBETWEEN(ranges!K$2*1000,ranges!K$3*1000)/1000</f>
        <v>0.95099999999999996</v>
      </c>
      <c r="L592">
        <f t="shared" ca="1" si="96"/>
        <v>99.938515097867779</v>
      </c>
      <c r="M592">
        <f t="shared" ca="1" si="97"/>
        <v>15.202706879796704</v>
      </c>
      <c r="N592" s="4">
        <f t="shared" ca="1" si="98"/>
        <v>5.1645047799718391</v>
      </c>
      <c r="O592" s="4"/>
      <c r="P592" s="1">
        <f ca="1">LOOKUP(B592,geomorph!$A:$A,geomorph!$G:$G)</f>
        <v>104.90986100000001</v>
      </c>
      <c r="Q592" s="1">
        <f t="shared" ca="1" si="99"/>
        <v>120.11256787979671</v>
      </c>
    </row>
    <row r="593" spans="2:17" x14ac:dyDescent="0.3">
      <c r="B593" s="6">
        <f ca="1">RANDBETWEEN(ranges!B$2,ranges!B$3)</f>
        <v>11099</v>
      </c>
      <c r="C593" s="9">
        <f ca="1">LOOKUP(B593,geomorph!A:A,geomorph!B:B)</f>
        <v>1684.9</v>
      </c>
      <c r="D593">
        <f t="shared" si="92"/>
        <v>1.13E-4</v>
      </c>
      <c r="E593" s="9">
        <f ca="1">'[2]Q_GEV(random)'!$J593</f>
        <v>9577.4118032838196</v>
      </c>
      <c r="F593" s="26">
        <f ca="1">RANDBETWEEN(ranges!F$2*1000,ranges!F$3*1000)/1000</f>
        <v>0.1</v>
      </c>
      <c r="G593" s="3">
        <f t="shared" ca="1" si="93"/>
        <v>5.6842612637449221</v>
      </c>
      <c r="H593" s="4">
        <f t="shared" ca="1" si="94"/>
        <v>8.9996264615922517</v>
      </c>
      <c r="I593" s="4">
        <f t="shared" ca="1" si="95"/>
        <v>161.65602935809181</v>
      </c>
      <c r="J593" s="26">
        <f ca="1">RANDBETWEEN(ranges!J$2*1000,ranges!J$3*1000)/1000</f>
        <v>0.60399999999999998</v>
      </c>
      <c r="K593" s="26">
        <f ca="1">RANDBETWEEN(ranges!K$2*1000,ranges!K$3*1000)/1000</f>
        <v>0.997</v>
      </c>
      <c r="L593">
        <f t="shared" ca="1" si="96"/>
        <v>80.052388291967077</v>
      </c>
      <c r="M593">
        <f t="shared" ca="1" si="97"/>
        <v>15.241470400744291</v>
      </c>
      <c r="N593" s="4">
        <f t="shared" ca="1" si="98"/>
        <v>6.7846129773391723</v>
      </c>
      <c r="O593" s="4"/>
      <c r="P593" s="1">
        <f ca="1">LOOKUP(B593,geomorph!$A:$A,geomorph!$G:$G)</f>
        <v>105.27259100000001</v>
      </c>
      <c r="Q593" s="1">
        <f t="shared" ca="1" si="99"/>
        <v>120.5140614007443</v>
      </c>
    </row>
    <row r="594" spans="2:17" x14ac:dyDescent="0.3">
      <c r="B594" s="6">
        <f ca="1">RANDBETWEEN(ranges!B$2,ranges!B$3)</f>
        <v>12117</v>
      </c>
      <c r="C594" s="9">
        <f ca="1">LOOKUP(B594,geomorph!A:A,geomorph!B:B)</f>
        <v>1315.7</v>
      </c>
      <c r="D594">
        <f t="shared" si="92"/>
        <v>1.13E-4</v>
      </c>
      <c r="E594" s="9">
        <f ca="1">'[2]Q_GEV(random)'!$J594</f>
        <v>9563.0032113624493</v>
      </c>
      <c r="F594" s="26">
        <f ca="1">RANDBETWEEN(ranges!F$2*1000,ranges!F$3*1000)/1000</f>
        <v>9.1999999999999998E-2</v>
      </c>
      <c r="G594" s="3">
        <f t="shared" ca="1" si="93"/>
        <v>7.2683766902503981</v>
      </c>
      <c r="H594" s="4">
        <f t="shared" ca="1" si="94"/>
        <v>10.311678334056037</v>
      </c>
      <c r="I594" s="4">
        <f t="shared" ca="1" si="95"/>
        <v>243.88481472169804</v>
      </c>
      <c r="J594" s="26">
        <f ca="1">RANDBETWEEN(ranges!J$2*1000,ranges!J$3*1000)/1000</f>
        <v>0.78600000000000003</v>
      </c>
      <c r="K594" s="26">
        <f ca="1">RANDBETWEEN(ranges!K$2*1000,ranges!K$3*1000)/1000</f>
        <v>0.83099999999999996</v>
      </c>
      <c r="L594">
        <f t="shared" ca="1" si="96"/>
        <v>98.514478223061246</v>
      </c>
      <c r="M594">
        <f t="shared" ca="1" si="97"/>
        <v>14.64655138678323</v>
      </c>
      <c r="N594" s="4">
        <f t="shared" ca="1" si="98"/>
        <v>4.7118185355730358</v>
      </c>
      <c r="O594" s="4"/>
      <c r="P594" s="1">
        <f ca="1">LOOKUP(B594,geomorph!$A:$A,geomorph!$G:$G)</f>
        <v>105.157331</v>
      </c>
      <c r="Q594" s="1">
        <f t="shared" ca="1" si="99"/>
        <v>119.80388238678323</v>
      </c>
    </row>
    <row r="595" spans="2:17" x14ac:dyDescent="0.3">
      <c r="B595" s="6">
        <f ca="1">RANDBETWEEN(ranges!B$2,ranges!B$3)</f>
        <v>14016</v>
      </c>
      <c r="C595" s="9">
        <f ca="1">LOOKUP(B595,geomorph!A:A,geomorph!B:B)</f>
        <v>1329.8</v>
      </c>
      <c r="D595">
        <f t="shared" si="92"/>
        <v>1.13E-4</v>
      </c>
      <c r="E595" s="9">
        <f ca="1">'[2]Q_GEV(random)'!$J595</f>
        <v>9556.2740741047237</v>
      </c>
      <c r="F595" s="26">
        <f ca="1">RANDBETWEEN(ranges!F$2*1000,ranges!F$3*1000)/1000</f>
        <v>0.10100000000000001</v>
      </c>
      <c r="G595" s="3">
        <f t="shared" ca="1" si="93"/>
        <v>7.1862491157352411</v>
      </c>
      <c r="H595" s="4">
        <f t="shared" ca="1" si="94"/>
        <v>10.557240942943304</v>
      </c>
      <c r="I595" s="4">
        <f t="shared" ca="1" si="95"/>
        <v>239.47776728509683</v>
      </c>
      <c r="J595" s="26">
        <f ca="1">RANDBETWEEN(ranges!J$2*1000,ranges!J$3*1000)/1000</f>
        <v>0.76300000000000001</v>
      </c>
      <c r="K595" s="26">
        <f ca="1">RANDBETWEEN(ranges!K$2*1000,ranges!K$3*1000)/1000</f>
        <v>0.93899999999999995</v>
      </c>
      <c r="L595">
        <f t="shared" ca="1" si="96"/>
        <v>101.37548808448571</v>
      </c>
      <c r="M595">
        <f t="shared" ca="1" si="97"/>
        <v>15.233431018186646</v>
      </c>
      <c r="N595" s="4">
        <f t="shared" ca="1" si="98"/>
        <v>5.0828152991775459</v>
      </c>
      <c r="O595" s="4"/>
      <c r="P595" s="1">
        <f ca="1">LOOKUP(B595,geomorph!$A:$A,geomorph!$G:$G)</f>
        <v>104.94263100000001</v>
      </c>
      <c r="Q595" s="1">
        <f t="shared" ca="1" si="99"/>
        <v>120.17606201818666</v>
      </c>
    </row>
    <row r="596" spans="2:17" x14ac:dyDescent="0.3">
      <c r="B596" s="6">
        <f ca="1">RANDBETWEEN(ranges!B$2,ranges!B$3)</f>
        <v>10108</v>
      </c>
      <c r="C596" s="9">
        <f ca="1">LOOKUP(B596,geomorph!A:A,geomorph!B:B)</f>
        <v>1600.5</v>
      </c>
      <c r="D596">
        <f t="shared" si="92"/>
        <v>1.13E-4</v>
      </c>
      <c r="E596" s="9">
        <f ca="1">'[2]Q_GEV(random)'!$J596</f>
        <v>9554.3719821706018</v>
      </c>
      <c r="F596" s="26">
        <f ca="1">RANDBETWEEN(ranges!F$2*1000,ranges!F$3*1000)/1000</f>
        <v>9.9000000000000005E-2</v>
      </c>
      <c r="G596" s="3">
        <f t="shared" ca="1" si="93"/>
        <v>5.9696169835492672</v>
      </c>
      <c r="H596" s="4">
        <f t="shared" ca="1" si="94"/>
        <v>9.2672562732682131</v>
      </c>
      <c r="I596" s="4">
        <f t="shared" ca="1" si="95"/>
        <v>175.82959804559837</v>
      </c>
      <c r="J596" s="26">
        <f ca="1">RANDBETWEEN(ranges!J$2*1000,ranges!J$3*1000)/1000</f>
        <v>0.75</v>
      </c>
      <c r="K596" s="26">
        <f ca="1">RANDBETWEEN(ranges!K$2*1000,ranges!K$3*1000)/1000</f>
        <v>0.80900000000000005</v>
      </c>
      <c r="L596">
        <f t="shared" ca="1" si="96"/>
        <v>78.349750889255134</v>
      </c>
      <c r="M596">
        <f t="shared" ca="1" si="97"/>
        <v>14.17006172170257</v>
      </c>
      <c r="N596" s="4">
        <f t="shared" ca="1" si="98"/>
        <v>5.3291363569938666</v>
      </c>
      <c r="O596" s="4"/>
      <c r="P596" s="1">
        <f ca="1">LOOKUP(B596,geomorph!$A:$A,geomorph!$G:$G)</f>
        <v>105.384461</v>
      </c>
      <c r="Q596" s="1">
        <f t="shared" ca="1" si="99"/>
        <v>119.55452272170257</v>
      </c>
    </row>
    <row r="597" spans="2:17" x14ac:dyDescent="0.3">
      <c r="B597" s="6">
        <f ca="1">RANDBETWEEN(ranges!B$2,ranges!B$3)</f>
        <v>10930</v>
      </c>
      <c r="C597" s="9">
        <f ca="1">LOOKUP(B597,geomorph!A:A,geomorph!B:B)</f>
        <v>1681.1</v>
      </c>
      <c r="D597">
        <f t="shared" si="92"/>
        <v>1.13E-4</v>
      </c>
      <c r="E597" s="9">
        <f ca="1">'[2]Q_GEV(random)'!$J597</f>
        <v>9540.5039545672098</v>
      </c>
      <c r="F597" s="26">
        <f ca="1">RANDBETWEEN(ranges!F$2*1000,ranges!F$3*1000)/1000</f>
        <v>0.10299999999999999</v>
      </c>
      <c r="G597" s="3">
        <f t="shared" ca="1" si="93"/>
        <v>5.6751555258861517</v>
      </c>
      <c r="H597" s="4">
        <f t="shared" ca="1" si="94"/>
        <v>9.0790285827627386</v>
      </c>
      <c r="I597" s="4">
        <f t="shared" ca="1" si="95"/>
        <v>161.84836404101836</v>
      </c>
      <c r="J597" s="26">
        <f ca="1">RANDBETWEEN(ranges!J$2*1000,ranges!J$3*1000)/1000</f>
        <v>0.76500000000000001</v>
      </c>
      <c r="K597" s="26">
        <f ca="1">RANDBETWEEN(ranges!K$2*1000,ranges!K$3*1000)/1000</f>
        <v>0.82</v>
      </c>
      <c r="L597">
        <f t="shared" ca="1" si="96"/>
        <v>74.081059837310548</v>
      </c>
      <c r="M597">
        <f t="shared" ca="1" si="97"/>
        <v>14.07275667525281</v>
      </c>
      <c r="N597" s="4">
        <f t="shared" ca="1" si="98"/>
        <v>5.4279653179239906</v>
      </c>
      <c r="O597" s="4"/>
      <c r="P597" s="1">
        <f ca="1">LOOKUP(B597,geomorph!$A:$A,geomorph!$G:$G)</f>
        <v>105.290671</v>
      </c>
      <c r="Q597" s="1">
        <f t="shared" ca="1" si="99"/>
        <v>119.36342767525281</v>
      </c>
    </row>
    <row r="598" spans="2:17" x14ac:dyDescent="0.3">
      <c r="B598" s="6">
        <f ca="1">RANDBETWEEN(ranges!B$2,ranges!B$3)</f>
        <v>14870</v>
      </c>
      <c r="C598" s="9">
        <f ca="1">LOOKUP(B598,geomorph!A:A,geomorph!B:B)</f>
        <v>1502.9</v>
      </c>
      <c r="D598">
        <f t="shared" si="92"/>
        <v>1.13E-4</v>
      </c>
      <c r="E598" s="9">
        <f ca="1">'[2]Q_GEV(random)'!$J598</f>
        <v>9521.9926005645102</v>
      </c>
      <c r="F598" s="26">
        <f ca="1">RANDBETWEEN(ranges!F$2*1000,ranges!F$3*1000)/1000</f>
        <v>0.104</v>
      </c>
      <c r="G598" s="3">
        <f t="shared" ca="1" si="93"/>
        <v>6.3357459581905049</v>
      </c>
      <c r="H598" s="4">
        <f t="shared" ca="1" si="94"/>
        <v>9.8020763247807317</v>
      </c>
      <c r="I598" s="4">
        <f t="shared" ca="1" si="95"/>
        <v>194.82817807886099</v>
      </c>
      <c r="J598" s="26">
        <f ca="1">RANDBETWEEN(ranges!J$2*1000,ranges!J$3*1000)/1000</f>
        <v>0.73199999999999998</v>
      </c>
      <c r="K598" s="26">
        <f ca="1">RANDBETWEEN(ranges!K$2*1000,ranges!K$3*1000)/1000</f>
        <v>0.85099999999999998</v>
      </c>
      <c r="L598">
        <f t="shared" ca="1" si="96"/>
        <v>86.768305609638148</v>
      </c>
      <c r="M598">
        <f t="shared" ca="1" si="97"/>
        <v>14.735661774581946</v>
      </c>
      <c r="N598" s="4">
        <f t="shared" ca="1" si="98"/>
        <v>5.3625928802187106</v>
      </c>
      <c r="O598" s="4"/>
      <c r="P598" s="1">
        <f ca="1">LOOKUP(B598,geomorph!$A:$A,geomorph!$G:$G)</f>
        <v>104.845451</v>
      </c>
      <c r="Q598" s="1">
        <f t="shared" ca="1" si="99"/>
        <v>119.58111277458194</v>
      </c>
    </row>
    <row r="599" spans="2:17" x14ac:dyDescent="0.3">
      <c r="B599" s="6">
        <f ca="1">RANDBETWEEN(ranges!B$2,ranges!B$3)</f>
        <v>11103</v>
      </c>
      <c r="C599" s="9">
        <f ca="1">LOOKUP(B599,geomorph!A:A,geomorph!B:B)</f>
        <v>1684.1</v>
      </c>
      <c r="D599">
        <f t="shared" si="92"/>
        <v>1.13E-4</v>
      </c>
      <c r="E599" s="9">
        <f ca="1">'[2]Q_GEV(random)'!$J599</f>
        <v>9517.1931329872768</v>
      </c>
      <c r="F599" s="26">
        <f ca="1">RANDBETWEEN(ranges!F$2*1000,ranges!F$3*1000)/1000</f>
        <v>9.8000000000000004E-2</v>
      </c>
      <c r="G599" s="3">
        <f t="shared" ca="1" si="93"/>
        <v>5.6512042829922677</v>
      </c>
      <c r="H599" s="4">
        <f t="shared" ca="1" si="94"/>
        <v>8.904533244610235</v>
      </c>
      <c r="I599" s="4">
        <f t="shared" ca="1" si="95"/>
        <v>161.10517050254984</v>
      </c>
      <c r="J599" s="26">
        <f ca="1">RANDBETWEEN(ranges!J$2*1000,ranges!J$3*1000)/1000</f>
        <v>0.66400000000000003</v>
      </c>
      <c r="K599" s="26">
        <f ca="1">RANDBETWEEN(ranges!K$2*1000,ranges!K$3*1000)/1000</f>
        <v>0.83</v>
      </c>
      <c r="L599">
        <f t="shared" ca="1" si="96"/>
        <v>75.767810241497187</v>
      </c>
      <c r="M599">
        <f t="shared" ca="1" si="97"/>
        <v>14.418864322730711</v>
      </c>
      <c r="N599" s="4">
        <f t="shared" ca="1" si="98"/>
        <v>5.993838128391821</v>
      </c>
      <c r="O599" s="4"/>
      <c r="P599" s="1">
        <f ca="1">LOOKUP(B599,geomorph!$A:$A,geomorph!$G:$G)</f>
        <v>105.271461</v>
      </c>
      <c r="Q599" s="1">
        <f t="shared" ca="1" si="99"/>
        <v>119.69032532273071</v>
      </c>
    </row>
    <row r="600" spans="2:17" x14ac:dyDescent="0.3">
      <c r="B600" s="6">
        <f ca="1">RANDBETWEEN(ranges!B$2,ranges!B$3)</f>
        <v>14313</v>
      </c>
      <c r="C600" s="9">
        <f ca="1">LOOKUP(B600,geomorph!A:A,geomorph!B:B)</f>
        <v>1349.6</v>
      </c>
      <c r="D600">
        <f t="shared" si="92"/>
        <v>1.13E-4</v>
      </c>
      <c r="E600" s="9">
        <f ca="1">'[2]Q_GEV(random)'!$J600</f>
        <v>9504.9570411004097</v>
      </c>
      <c r="F600" s="26">
        <f ca="1">RANDBETWEEN(ranges!F$2*1000,ranges!F$3*1000)/1000</f>
        <v>0.104</v>
      </c>
      <c r="G600" s="3">
        <f t="shared" ca="1" si="93"/>
        <v>7.0427956736072987</v>
      </c>
      <c r="H600" s="4">
        <f t="shared" ca="1" si="94"/>
        <v>10.518398865967688</v>
      </c>
      <c r="I600" s="4">
        <f t="shared" ca="1" si="95"/>
        <v>232.81359649671566</v>
      </c>
      <c r="J600" s="26">
        <f ca="1">RANDBETWEEN(ranges!J$2*1000,ranges!J$3*1000)/1000</f>
        <v>0.73</v>
      </c>
      <c r="K600" s="26">
        <f ca="1">RANDBETWEEN(ranges!K$2*1000,ranges!K$3*1000)/1000</f>
        <v>0.88600000000000001</v>
      </c>
      <c r="L600">
        <f t="shared" ca="1" si="96"/>
        <v>100.20395195305103</v>
      </c>
      <c r="M600">
        <f t="shared" ca="1" si="97"/>
        <v>15.281583651809656</v>
      </c>
      <c r="N600" s="4">
        <f t="shared" ca="1" si="98"/>
        <v>5.17737476721953</v>
      </c>
      <c r="O600" s="4"/>
      <c r="P600" s="1">
        <f ca="1">LOOKUP(B600,geomorph!$A:$A,geomorph!$G:$G)</f>
        <v>104.908731</v>
      </c>
      <c r="Q600" s="1">
        <f t="shared" ca="1" si="99"/>
        <v>120.19031465180966</v>
      </c>
    </row>
    <row r="601" spans="2:17" x14ac:dyDescent="0.3">
      <c r="B601" s="6">
        <f ca="1">RANDBETWEEN(ranges!B$2,ranges!B$3)</f>
        <v>11788</v>
      </c>
      <c r="C601" s="9">
        <f ca="1">LOOKUP(B601,geomorph!A:A,geomorph!B:B)</f>
        <v>1416.6</v>
      </c>
      <c r="D601">
        <f t="shared" si="92"/>
        <v>1.13E-4</v>
      </c>
      <c r="E601" s="9">
        <f ca="1">'[2]Q_GEV(random)'!$J601</f>
        <v>9499.2601662905599</v>
      </c>
      <c r="F601" s="26">
        <f ca="1">RANDBETWEEN(ranges!F$2*1000,ranges!F$3*1000)/1000</f>
        <v>9.2999999999999999E-2</v>
      </c>
      <c r="G601" s="3">
        <f t="shared" ca="1" si="93"/>
        <v>6.7056756785899765</v>
      </c>
      <c r="H601" s="4">
        <f t="shared" ca="1" si="94"/>
        <v>9.8076390929002759</v>
      </c>
      <c r="I601" s="4">
        <f t="shared" ca="1" si="95"/>
        <v>214.66659914242922</v>
      </c>
      <c r="J601" s="26">
        <f ca="1">RANDBETWEEN(ranges!J$2*1000,ranges!J$3*1000)/1000</f>
        <v>0.63300000000000001</v>
      </c>
      <c r="K601" s="26">
        <f ca="1">RANDBETWEEN(ranges!K$2*1000,ranges!K$3*1000)/1000</f>
        <v>0.81399999999999995</v>
      </c>
      <c r="L601">
        <f t="shared" ca="1" si="96"/>
        <v>93.537544376242636</v>
      </c>
      <c r="M601">
        <f t="shared" ca="1" si="97"/>
        <v>14.973097246062538</v>
      </c>
      <c r="N601" s="4">
        <f t="shared" ca="1" si="98"/>
        <v>5.6146284273502856</v>
      </c>
      <c r="O601" s="4"/>
      <c r="P601" s="1">
        <f ca="1">LOOKUP(B601,geomorph!$A:$A,geomorph!$G:$G)</f>
        <v>105.194621</v>
      </c>
      <c r="Q601" s="1">
        <f t="shared" ca="1" si="99"/>
        <v>120.16771824606253</v>
      </c>
    </row>
    <row r="602" spans="2:17" x14ac:dyDescent="0.3">
      <c r="B602" s="6">
        <f ca="1">RANDBETWEEN(ranges!B$2,ranges!B$3)</f>
        <v>12060</v>
      </c>
      <c r="C602" s="9">
        <f ca="1">LOOKUP(B602,geomorph!A:A,geomorph!B:B)</f>
        <v>1331.7</v>
      </c>
      <c r="D602">
        <f t="shared" si="92"/>
        <v>1.13E-4</v>
      </c>
      <c r="E602" s="9">
        <f ca="1">'[2]Q_GEV(random)'!$J602</f>
        <v>9499.0498046622743</v>
      </c>
      <c r="F602" s="26">
        <f ca="1">RANDBETWEEN(ranges!F$2*1000,ranges!F$3*1000)/1000</f>
        <v>9.7000000000000003E-2</v>
      </c>
      <c r="G602" s="3">
        <f t="shared" ca="1" si="93"/>
        <v>7.1330253095008436</v>
      </c>
      <c r="H602" s="4">
        <f t="shared" ca="1" si="94"/>
        <v>10.364496710665357</v>
      </c>
      <c r="I602" s="4">
        <f t="shared" ca="1" si="95"/>
        <v>237.953881742091</v>
      </c>
      <c r="J602" s="26">
        <f ca="1">RANDBETWEEN(ranges!J$2*1000,ranges!J$3*1000)/1000</f>
        <v>0.69099999999999995</v>
      </c>
      <c r="K602" s="26">
        <f ca="1">RANDBETWEEN(ranges!K$2*1000,ranges!K$3*1000)/1000</f>
        <v>0.82699999999999996</v>
      </c>
      <c r="L602">
        <f t="shared" ca="1" si="96"/>
        <v>100.54894863875705</v>
      </c>
      <c r="M602">
        <f t="shared" ca="1" si="97"/>
        <v>15.130816943952304</v>
      </c>
      <c r="N602" s="4">
        <f t="shared" ca="1" si="98"/>
        <v>5.1807828622684209</v>
      </c>
      <c r="O602" s="4"/>
      <c r="P602" s="1">
        <f ca="1">LOOKUP(B602,geomorph!$A:$A,geomorph!$G:$G)</f>
        <v>105.162981</v>
      </c>
      <c r="Q602" s="1">
        <f t="shared" ca="1" si="99"/>
        <v>120.29379794395231</v>
      </c>
    </row>
    <row r="603" spans="2:17" x14ac:dyDescent="0.3">
      <c r="B603" s="6">
        <f ca="1">RANDBETWEEN(ranges!B$2,ranges!B$3)</f>
        <v>10597</v>
      </c>
      <c r="C603" s="9">
        <f ca="1">LOOKUP(B603,geomorph!A:A,geomorph!B:B)</f>
        <v>1743.3</v>
      </c>
      <c r="D603">
        <f t="shared" si="92"/>
        <v>1.13E-4</v>
      </c>
      <c r="E603" s="9">
        <f ca="1">'[2]Q_GEV(random)'!$J603</f>
        <v>9498.8343189444822</v>
      </c>
      <c r="F603" s="26">
        <f ca="1">RANDBETWEEN(ranges!F$2*1000,ranges!F$3*1000)/1000</f>
        <v>0.107</v>
      </c>
      <c r="G603" s="3">
        <f t="shared" ca="1" si="93"/>
        <v>5.4487663161501079</v>
      </c>
      <c r="H603" s="4">
        <f t="shared" ca="1" si="94"/>
        <v>8.9488764231668227</v>
      </c>
      <c r="I603" s="4">
        <f t="shared" ca="1" si="95"/>
        <v>151.89495227615882</v>
      </c>
      <c r="J603" s="26">
        <f ca="1">RANDBETWEEN(ranges!J$2*1000,ranges!J$3*1000)/1000</f>
        <v>0.78400000000000003</v>
      </c>
      <c r="K603" s="26">
        <f ca="1">RANDBETWEEN(ranges!K$2*1000,ranges!K$3*1000)/1000</f>
        <v>0.84199999999999997</v>
      </c>
      <c r="L603">
        <f t="shared" ca="1" si="96"/>
        <v>71.079804940536263</v>
      </c>
      <c r="M603">
        <f t="shared" ca="1" si="97"/>
        <v>14.002216906670565</v>
      </c>
      <c r="N603" s="4">
        <f t="shared" ca="1" si="98"/>
        <v>5.4927613951127627</v>
      </c>
      <c r="O603" s="4"/>
      <c r="P603" s="1">
        <f ca="1">LOOKUP(B603,geomorph!$A:$A,geomorph!$G:$G)</f>
        <v>105.32909100000001</v>
      </c>
      <c r="Q603" s="1">
        <f t="shared" ca="1" si="99"/>
        <v>119.33130790667057</v>
      </c>
    </row>
    <row r="604" spans="2:17" x14ac:dyDescent="0.3">
      <c r="B604" s="6">
        <f ca="1">RANDBETWEEN(ranges!B$2,ranges!B$3)</f>
        <v>10846</v>
      </c>
      <c r="C604" s="9">
        <f ca="1">LOOKUP(B604,geomorph!A:A,geomorph!B:B)</f>
        <v>1663</v>
      </c>
      <c r="D604">
        <f t="shared" si="92"/>
        <v>1.13E-4</v>
      </c>
      <c r="E604" s="9">
        <f ca="1">'[2]Q_GEV(random)'!$J604</f>
        <v>9493.2143909303577</v>
      </c>
      <c r="F604" s="26">
        <f ca="1">RANDBETWEEN(ranges!F$2*1000,ranges!F$3*1000)/1000</f>
        <v>9.4E-2</v>
      </c>
      <c r="G604" s="3">
        <f t="shared" ca="1" si="93"/>
        <v>5.708487306632807</v>
      </c>
      <c r="H604" s="4">
        <f t="shared" ca="1" si="94"/>
        <v>8.8409399545513345</v>
      </c>
      <c r="I604" s="4">
        <f t="shared" ca="1" si="95"/>
        <v>164.24990517340328</v>
      </c>
      <c r="J604" s="26">
        <f ca="1">RANDBETWEEN(ranges!J$2*1000,ranges!J$3*1000)/1000</f>
        <v>0.77800000000000002</v>
      </c>
      <c r="K604" s="26">
        <f ca="1">RANDBETWEEN(ranges!K$2*1000,ranges!K$3*1000)/1000</f>
        <v>0.99299999999999999</v>
      </c>
      <c r="L604">
        <f t="shared" ca="1" si="96"/>
        <v>74.472465710495825</v>
      </c>
      <c r="M604">
        <f t="shared" ca="1" si="97"/>
        <v>13.994791283850663</v>
      </c>
      <c r="N604" s="4">
        <f t="shared" ca="1" si="98"/>
        <v>5.6020123144557914</v>
      </c>
      <c r="O604" s="4"/>
      <c r="P604" s="1">
        <f ca="1">LOOKUP(B604,geomorph!$A:$A,geomorph!$G:$G)</f>
        <v>105.30084100000001</v>
      </c>
      <c r="Q604" s="1">
        <f t="shared" ca="1" si="99"/>
        <v>119.29563228385067</v>
      </c>
    </row>
    <row r="605" spans="2:17" x14ac:dyDescent="0.3">
      <c r="B605" s="6">
        <f ca="1">RANDBETWEEN(ranges!B$2,ranges!B$3)</f>
        <v>13061</v>
      </c>
      <c r="C605" s="9">
        <f ca="1">LOOKUP(B605,geomorph!A:A,geomorph!B:B)</f>
        <v>1148.7</v>
      </c>
      <c r="D605">
        <f t="shared" si="92"/>
        <v>1.13E-4</v>
      </c>
      <c r="E605" s="9">
        <f ca="1">'[2]Q_GEV(random)'!$J605</f>
        <v>9493.1674437849306</v>
      </c>
      <c r="F605" s="26">
        <f ca="1">RANDBETWEEN(ranges!F$2*1000,ranges!F$3*1000)/1000</f>
        <v>0.105</v>
      </c>
      <c r="G605" s="3">
        <f t="shared" ca="1" si="93"/>
        <v>8.2642704307346833</v>
      </c>
      <c r="H605" s="4">
        <f t="shared" ca="1" si="94"/>
        <v>11.739274099751514</v>
      </c>
      <c r="I605" s="4">
        <f t="shared" ca="1" si="95"/>
        <v>304.30779412571525</v>
      </c>
      <c r="J605" s="26">
        <f ca="1">RANDBETWEEN(ranges!J$2*1000,ranges!J$3*1000)/1000</f>
        <v>0.71599999999999997</v>
      </c>
      <c r="K605" s="26">
        <f ca="1">RANDBETWEEN(ranges!K$2*1000,ranges!K$3*1000)/1000</f>
        <v>0.91500000000000004</v>
      </c>
      <c r="L605">
        <f t="shared" ca="1" si="96"/>
        <v>125.52595893099485</v>
      </c>
      <c r="M605">
        <f t="shared" ca="1" si="97"/>
        <v>16.293658599715819</v>
      </c>
      <c r="N605" s="4">
        <f t="shared" ca="1" si="98"/>
        <v>4.9504179347438102</v>
      </c>
      <c r="O605" s="4"/>
      <c r="P605" s="1">
        <f ca="1">LOOKUP(B605,geomorph!$A:$A,geomorph!$G:$G)</f>
        <v>105.049981</v>
      </c>
      <c r="Q605" s="1">
        <f t="shared" ca="1" si="99"/>
        <v>121.34363959971583</v>
      </c>
    </row>
    <row r="606" spans="2:17" x14ac:dyDescent="0.3">
      <c r="B606" s="6">
        <f ca="1">RANDBETWEEN(ranges!B$2,ranges!B$3)</f>
        <v>13583</v>
      </c>
      <c r="C606" s="9">
        <f ca="1">LOOKUP(B606,geomorph!A:A,geomorph!B:B)</f>
        <v>1222.8</v>
      </c>
      <c r="D606">
        <f t="shared" si="92"/>
        <v>1.13E-4</v>
      </c>
      <c r="E606" s="9">
        <f ca="1">'[2]Q_GEV(random)'!$J606</f>
        <v>9485.6462753511514</v>
      </c>
      <c r="F606" s="26">
        <f ca="1">RANDBETWEEN(ranges!F$2*1000,ranges!F$3*1000)/1000</f>
        <v>0.107</v>
      </c>
      <c r="G606" s="3">
        <f t="shared" ca="1" si="93"/>
        <v>7.7573162212554401</v>
      </c>
      <c r="H606" s="4">
        <f t="shared" ca="1" si="94"/>
        <v>11.325152346033018</v>
      </c>
      <c r="I606" s="4">
        <f t="shared" ca="1" si="95"/>
        <v>274.0536457361008</v>
      </c>
      <c r="J606" s="26">
        <f ca="1">RANDBETWEEN(ranges!J$2*1000,ranges!J$3*1000)/1000</f>
        <v>0.78800000000000003</v>
      </c>
      <c r="K606" s="26">
        <f ca="1">RANDBETWEEN(ranges!K$2*1000,ranges!K$3*1000)/1000</f>
        <v>0.95499999999999996</v>
      </c>
      <c r="L606">
        <f t="shared" ca="1" si="96"/>
        <v>114.2977109506559</v>
      </c>
      <c r="M606">
        <f t="shared" ca="1" si="97"/>
        <v>15.793246227402209</v>
      </c>
      <c r="N606" s="4">
        <f t="shared" ca="1" si="98"/>
        <v>4.8566237840969464</v>
      </c>
      <c r="O606" s="4"/>
      <c r="P606" s="1">
        <f ca="1">LOOKUP(B606,geomorph!$A:$A,geomorph!$G:$G)</f>
        <v>104.991221</v>
      </c>
      <c r="Q606" s="1">
        <f t="shared" ca="1" si="99"/>
        <v>120.7844672274022</v>
      </c>
    </row>
    <row r="607" spans="2:17" x14ac:dyDescent="0.3">
      <c r="B607" s="6">
        <f ca="1">RANDBETWEEN(ranges!B$2,ranges!B$3)</f>
        <v>12148</v>
      </c>
      <c r="C607" s="9">
        <f ca="1">LOOKUP(B607,geomorph!A:A,geomorph!B:B)</f>
        <v>1305.8</v>
      </c>
      <c r="D607">
        <f t="shared" si="92"/>
        <v>1.13E-4</v>
      </c>
      <c r="E607" s="9">
        <f ca="1">'[2]Q_GEV(random)'!$J607</f>
        <v>9482.3898994605734</v>
      </c>
      <c r="F607" s="26">
        <f ca="1">RANDBETWEEN(ranges!F$2*1000,ranges!F$3*1000)/1000</f>
        <v>9.7000000000000003E-2</v>
      </c>
      <c r="G607" s="3">
        <f t="shared" ca="1" si="93"/>
        <v>7.2617475106912037</v>
      </c>
      <c r="H607" s="4">
        <f t="shared" ca="1" si="94"/>
        <v>10.488816101306881</v>
      </c>
      <c r="I607" s="4">
        <f t="shared" ca="1" si="95"/>
        <v>245.584403517357</v>
      </c>
      <c r="J607" s="26">
        <f ca="1">RANDBETWEEN(ranges!J$2*1000,ranges!J$3*1000)/1000</f>
        <v>0.61399999999999999</v>
      </c>
      <c r="K607" s="26">
        <f ca="1">RANDBETWEEN(ranges!K$2*1000,ranges!K$3*1000)/1000</f>
        <v>0.92200000000000004</v>
      </c>
      <c r="L607">
        <f t="shared" ca="1" si="96"/>
        <v>106.98503437257776</v>
      </c>
      <c r="M607">
        <f t="shared" ca="1" si="97"/>
        <v>15.786219540859458</v>
      </c>
      <c r="N607" s="4">
        <f t="shared" ca="1" si="98"/>
        <v>5.7580472169049743</v>
      </c>
      <c r="O607" s="4"/>
      <c r="P607" s="1">
        <f ca="1">LOOKUP(B607,geomorph!$A:$A,geomorph!$G:$G)</f>
        <v>105.153941</v>
      </c>
      <c r="Q607" s="1">
        <f t="shared" ca="1" si="99"/>
        <v>120.94016054085947</v>
      </c>
    </row>
    <row r="608" spans="2:17" x14ac:dyDescent="0.3">
      <c r="B608" s="6">
        <f ca="1">RANDBETWEEN(ranges!B$2,ranges!B$3)</f>
        <v>11424</v>
      </c>
      <c r="C608" s="9">
        <f ca="1">LOOKUP(B608,geomorph!A:A,geomorph!B:B)</f>
        <v>1523.4</v>
      </c>
      <c r="D608">
        <f t="shared" si="92"/>
        <v>1.13E-4</v>
      </c>
      <c r="E608" s="9">
        <f ca="1">'[2]Q_GEV(random)'!$J608</f>
        <v>9458.2975240038577</v>
      </c>
      <c r="F608" s="26">
        <f ca="1">RANDBETWEEN(ranges!F$2*1000,ranges!F$3*1000)/1000</f>
        <v>0.109</v>
      </c>
      <c r="G608" s="3">
        <f t="shared" ca="1" si="93"/>
        <v>6.2086763318917271</v>
      </c>
      <c r="H608" s="4">
        <f t="shared" ca="1" si="94"/>
        <v>9.823131908102539</v>
      </c>
      <c r="I608" s="4">
        <f t="shared" ca="1" si="95"/>
        <v>189.62783163425752</v>
      </c>
      <c r="J608" s="26">
        <f ca="1">RANDBETWEEN(ranges!J$2*1000,ranges!J$3*1000)/1000</f>
        <v>0.74099999999999999</v>
      </c>
      <c r="K608" s="26">
        <f ca="1">RANDBETWEEN(ranges!K$2*1000,ranges!K$3*1000)/1000</f>
        <v>0.92900000000000005</v>
      </c>
      <c r="L608">
        <f t="shared" ca="1" si="96"/>
        <v>86.580678470038123</v>
      </c>
      <c r="M608">
        <f t="shared" ca="1" si="97"/>
        <v>14.904361630681937</v>
      </c>
      <c r="N608" s="4">
        <f t="shared" ca="1" si="98"/>
        <v>5.5230757854123889</v>
      </c>
      <c r="O608" s="4"/>
      <c r="P608" s="1">
        <f ca="1">LOOKUP(B608,geomorph!$A:$A,geomorph!$G:$G)</f>
        <v>105.23530100000001</v>
      </c>
      <c r="Q608" s="1">
        <f t="shared" ca="1" si="99"/>
        <v>120.13966263068194</v>
      </c>
    </row>
    <row r="609" spans="2:17" x14ac:dyDescent="0.3">
      <c r="B609" s="6">
        <f ca="1">RANDBETWEEN(ranges!B$2,ranges!B$3)</f>
        <v>10197</v>
      </c>
      <c r="C609" s="9">
        <f ca="1">LOOKUP(B609,geomorph!A:A,geomorph!B:B)</f>
        <v>1590.7</v>
      </c>
      <c r="D609">
        <f t="shared" si="92"/>
        <v>1.13E-4</v>
      </c>
      <c r="E609" s="9">
        <f ca="1">'[2]Q_GEV(random)'!$J609</f>
        <v>9455.1665409880279</v>
      </c>
      <c r="F609" s="26">
        <f ca="1">RANDBETWEEN(ranges!F$2*1000,ranges!F$3*1000)/1000</f>
        <v>9.9000000000000005E-2</v>
      </c>
      <c r="G609" s="3">
        <f t="shared" ca="1" si="93"/>
        <v>5.9440287552574516</v>
      </c>
      <c r="H609" s="4">
        <f t="shared" ca="1" si="94"/>
        <v>9.240755142475809</v>
      </c>
      <c r="I609" s="4">
        <f t="shared" ca="1" si="95"/>
        <v>176.40694149794717</v>
      </c>
      <c r="J609" s="26">
        <f ca="1">RANDBETWEEN(ranges!J$2*1000,ranges!J$3*1000)/1000</f>
        <v>0.63300000000000001</v>
      </c>
      <c r="K609" s="26">
        <f ca="1">RANDBETWEEN(ranges!K$2*1000,ranges!K$3*1000)/1000</f>
        <v>0.95799999999999996</v>
      </c>
      <c r="L609">
        <f t="shared" ca="1" si="96"/>
        <v>83.554566827833355</v>
      </c>
      <c r="M609">
        <f t="shared" ca="1" si="97"/>
        <v>15.018858188192899</v>
      </c>
      <c r="N609" s="4">
        <f t="shared" ca="1" si="98"/>
        <v>6.2805467888229236</v>
      </c>
      <c r="O609" s="4"/>
      <c r="P609" s="1">
        <f ca="1">LOOKUP(B609,geomorph!$A:$A,geomorph!$G:$G)</f>
        <v>105.374291</v>
      </c>
      <c r="Q609" s="1">
        <f t="shared" ca="1" si="99"/>
        <v>120.39314918819289</v>
      </c>
    </row>
    <row r="610" spans="2:17" x14ac:dyDescent="0.3">
      <c r="B610" s="6">
        <f ca="1">RANDBETWEEN(ranges!B$2,ranges!B$3)</f>
        <v>13236</v>
      </c>
      <c r="C610" s="9">
        <f ca="1">LOOKUP(B610,geomorph!A:A,geomorph!B:B)</f>
        <v>1166.5</v>
      </c>
      <c r="D610">
        <f t="shared" si="92"/>
        <v>1.13E-4</v>
      </c>
      <c r="E610" s="9">
        <f ca="1">'[2]Q_GEV(random)'!$J610</f>
        <v>9445.8337472709136</v>
      </c>
      <c r="F610" s="26">
        <f ca="1">RANDBETWEEN(ranges!F$2*1000,ranges!F$3*1000)/1000</f>
        <v>0.10199999999999999</v>
      </c>
      <c r="G610" s="3">
        <f t="shared" ca="1" si="93"/>
        <v>8.0975857241928111</v>
      </c>
      <c r="H610" s="4">
        <f t="shared" ca="1" si="94"/>
        <v>11.469528285369176</v>
      </c>
      <c r="I610" s="4">
        <f t="shared" ca="1" si="95"/>
        <v>295.6212461274618</v>
      </c>
      <c r="J610" s="26">
        <f ca="1">RANDBETWEEN(ranges!J$2*1000,ranges!J$3*1000)/1000</f>
        <v>0.60099999999999998</v>
      </c>
      <c r="K610" s="26">
        <f ca="1">RANDBETWEEN(ranges!K$2*1000,ranges!K$3*1000)/1000</f>
        <v>0.86199999999999999</v>
      </c>
      <c r="L610">
        <f t="shared" ca="1" si="96"/>
        <v>125.0816011448093</v>
      </c>
      <c r="M610">
        <f t="shared" ca="1" si="97"/>
        <v>16.487568714102466</v>
      </c>
      <c r="N610" s="4">
        <f t="shared" ca="1" si="98"/>
        <v>5.4543917703622711</v>
      </c>
      <c r="O610" s="4"/>
      <c r="P610" s="1">
        <f ca="1">LOOKUP(B610,geomorph!$A:$A,geomorph!$G:$G)</f>
        <v>105.030771</v>
      </c>
      <c r="Q610" s="1">
        <f t="shared" ca="1" si="99"/>
        <v>121.51833971410247</v>
      </c>
    </row>
    <row r="611" spans="2:17" x14ac:dyDescent="0.3">
      <c r="B611" s="6">
        <f ca="1">RANDBETWEEN(ranges!B$2,ranges!B$3)</f>
        <v>11861</v>
      </c>
      <c r="C611" s="9">
        <f ca="1">LOOKUP(B611,geomorph!A:A,geomorph!B:B)</f>
        <v>1393.2</v>
      </c>
      <c r="D611">
        <f t="shared" si="92"/>
        <v>1.13E-4</v>
      </c>
      <c r="E611" s="9">
        <f ca="1">'[2]Q_GEV(random)'!$J611</f>
        <v>9444.4692299589042</v>
      </c>
      <c r="F611" s="26">
        <f ca="1">RANDBETWEEN(ranges!F$2*1000,ranges!F$3*1000)/1000</f>
        <v>0.107</v>
      </c>
      <c r="G611" s="3">
        <f t="shared" ca="1" si="93"/>
        <v>6.7789759043632669</v>
      </c>
      <c r="H611" s="4">
        <f t="shared" ca="1" si="94"/>
        <v>10.351718401497205</v>
      </c>
      <c r="I611" s="4">
        <f t="shared" ca="1" si="95"/>
        <v>219.85985875090981</v>
      </c>
      <c r="J611" s="26">
        <f ca="1">RANDBETWEEN(ranges!J$2*1000,ranges!J$3*1000)/1000</f>
        <v>0.66400000000000003</v>
      </c>
      <c r="K611" s="26">
        <f ca="1">RANDBETWEEN(ranges!K$2*1000,ranges!K$3*1000)/1000</f>
        <v>0.84099999999999997</v>
      </c>
      <c r="L611">
        <f t="shared" ca="1" si="96"/>
        <v>97.992673173512429</v>
      </c>
      <c r="M611">
        <f t="shared" ca="1" si="97"/>
        <v>15.427143325983138</v>
      </c>
      <c r="N611" s="4">
        <f t="shared" ca="1" si="98"/>
        <v>5.5167662222673179</v>
      </c>
      <c r="O611" s="4"/>
      <c r="P611" s="1">
        <f ca="1">LOOKUP(B611,geomorph!$A:$A,geomorph!$G:$G)</f>
        <v>105.185581</v>
      </c>
      <c r="Q611" s="1">
        <f t="shared" ca="1" si="99"/>
        <v>120.61272432598314</v>
      </c>
    </row>
    <row r="612" spans="2:17" x14ac:dyDescent="0.3">
      <c r="B612" s="6">
        <f ca="1">RANDBETWEEN(ranges!B$2,ranges!B$3)</f>
        <v>12978</v>
      </c>
      <c r="C612" s="9">
        <f ca="1">LOOKUP(B612,geomorph!A:A,geomorph!B:B)</f>
        <v>1142</v>
      </c>
      <c r="D612">
        <f t="shared" si="92"/>
        <v>1.13E-4</v>
      </c>
      <c r="E612" s="9">
        <f ca="1">'[2]Q_GEV(random)'!$J612</f>
        <v>9444.1820652943279</v>
      </c>
      <c r="F612" s="26">
        <f ca="1">RANDBETWEEN(ranges!F$2*1000,ranges!F$3*1000)/1000</f>
        <v>9.6000000000000002E-2</v>
      </c>
      <c r="G612" s="3">
        <f t="shared" ca="1" si="93"/>
        <v>8.2698617034100952</v>
      </c>
      <c r="H612" s="4">
        <f t="shared" ca="1" si="94"/>
        <v>11.398937495156266</v>
      </c>
      <c r="I612" s="4">
        <f t="shared" ca="1" si="95"/>
        <v>306.23118220962999</v>
      </c>
      <c r="J612" s="26">
        <f ca="1">RANDBETWEEN(ranges!J$2*1000,ranges!J$3*1000)/1000</f>
        <v>0.79</v>
      </c>
      <c r="K612" s="26">
        <f ca="1">RANDBETWEEN(ranges!K$2*1000,ranges!K$3*1000)/1000</f>
        <v>0.90500000000000003</v>
      </c>
      <c r="L612">
        <f t="shared" ca="1" si="96"/>
        <v>120.8585867928424</v>
      </c>
      <c r="M612">
        <f t="shared" ca="1" si="97"/>
        <v>15.596317191269142</v>
      </c>
      <c r="N612" s="4">
        <f t="shared" ca="1" si="98"/>
        <v>4.5623692349052991</v>
      </c>
      <c r="O612" s="4"/>
      <c r="P612" s="1">
        <f ca="1">LOOKUP(B612,geomorph!$A:$A,geomorph!$G:$G)</f>
        <v>105.060151</v>
      </c>
      <c r="Q612" s="1">
        <f t="shared" ca="1" si="99"/>
        <v>120.65646819126914</v>
      </c>
    </row>
    <row r="613" spans="2:17" x14ac:dyDescent="0.3">
      <c r="B613" s="6">
        <f ca="1">RANDBETWEEN(ranges!B$2,ranges!B$3)</f>
        <v>12572</v>
      </c>
      <c r="C613" s="9">
        <f ca="1">LOOKUP(B613,geomorph!A:A,geomorph!B:B)</f>
        <v>1191.5</v>
      </c>
      <c r="D613">
        <f t="shared" si="92"/>
        <v>1.13E-4</v>
      </c>
      <c r="E613" s="9">
        <f ca="1">'[2]Q_GEV(random)'!$J613</f>
        <v>9440.1652722843301</v>
      </c>
      <c r="F613" s="26">
        <f ca="1">RANDBETWEEN(ranges!F$2*1000,ranges!F$3*1000)/1000</f>
        <v>0.107</v>
      </c>
      <c r="G613" s="3">
        <f t="shared" ca="1" si="93"/>
        <v>7.9229251131215523</v>
      </c>
      <c r="H613" s="4">
        <f t="shared" ca="1" si="94"/>
        <v>11.485769325474273</v>
      </c>
      <c r="I613" s="4">
        <f t="shared" ca="1" si="95"/>
        <v>285.24169221131609</v>
      </c>
      <c r="J613" s="26">
        <f ca="1">RANDBETWEEN(ranges!J$2*1000,ranges!J$3*1000)/1000</f>
        <v>0.78500000000000003</v>
      </c>
      <c r="K613" s="26">
        <f ca="1">RANDBETWEEN(ranges!K$2*1000,ranges!K$3*1000)/1000</f>
        <v>0.97899999999999998</v>
      </c>
      <c r="L613">
        <f t="shared" ca="1" si="96"/>
        <v>118.48078000915777</v>
      </c>
      <c r="M613">
        <f t="shared" ca="1" si="97"/>
        <v>15.952192980042996</v>
      </c>
      <c r="N613" s="4">
        <f t="shared" ca="1" si="98"/>
        <v>4.8548083201833947</v>
      </c>
      <c r="O613" s="4"/>
      <c r="P613" s="1">
        <f ca="1">LOOKUP(B613,geomorph!$A:$A,geomorph!$G:$G)</f>
        <v>105.105351</v>
      </c>
      <c r="Q613" s="1">
        <f t="shared" ca="1" si="99"/>
        <v>121.05754398004299</v>
      </c>
    </row>
    <row r="614" spans="2:17" x14ac:dyDescent="0.3">
      <c r="B614" s="6">
        <f ca="1">RANDBETWEEN(ranges!B$2,ranges!B$3)</f>
        <v>12539</v>
      </c>
      <c r="C614" s="9">
        <f ca="1">LOOKUP(B614,geomorph!A:A,geomorph!B:B)</f>
        <v>1201.9000000000001</v>
      </c>
      <c r="D614">
        <f t="shared" si="92"/>
        <v>1.13E-4</v>
      </c>
      <c r="E614" s="9">
        <f ca="1">'[2]Q_GEV(random)'!$J614</f>
        <v>9434.6436471845736</v>
      </c>
      <c r="F614" s="26">
        <f ca="1">RANDBETWEEN(ranges!F$2*1000,ranges!F$3*1000)/1000</f>
        <v>0.1</v>
      </c>
      <c r="G614" s="3">
        <f t="shared" ca="1" si="93"/>
        <v>7.8497742301227831</v>
      </c>
      <c r="H614" s="4">
        <f t="shared" ca="1" si="94"/>
        <v>11.160403774772252</v>
      </c>
      <c r="I614" s="4">
        <f t="shared" ca="1" si="95"/>
        <v>281.03028626592516</v>
      </c>
      <c r="J614" s="26">
        <f ca="1">RANDBETWEEN(ranges!J$2*1000,ranges!J$3*1000)/1000</f>
        <v>0.63600000000000001</v>
      </c>
      <c r="K614" s="26">
        <f ca="1">RANDBETWEEN(ranges!K$2*1000,ranges!K$3*1000)/1000</f>
        <v>0.876</v>
      </c>
      <c r="L614">
        <f t="shared" ca="1" si="96"/>
        <v>118.33364817739147</v>
      </c>
      <c r="M614">
        <f t="shared" ca="1" si="97"/>
        <v>16.07144892711797</v>
      </c>
      <c r="N614" s="4">
        <f t="shared" ca="1" si="98"/>
        <v>5.3380925568975188</v>
      </c>
      <c r="O614" s="4"/>
      <c r="P614" s="1">
        <f ca="1">LOOKUP(B614,geomorph!$A:$A,geomorph!$G:$G)</f>
        <v>105.109871</v>
      </c>
      <c r="Q614" s="1">
        <f t="shared" ca="1" si="99"/>
        <v>121.18131992711797</v>
      </c>
    </row>
    <row r="615" spans="2:17" x14ac:dyDescent="0.3">
      <c r="B615" s="6">
        <f ca="1">RANDBETWEEN(ranges!B$2,ranges!B$3)</f>
        <v>14727</v>
      </c>
      <c r="C615" s="9">
        <f ca="1">LOOKUP(B615,geomorph!A:A,geomorph!B:B)</f>
        <v>1466.2</v>
      </c>
      <c r="D615">
        <f t="shared" si="92"/>
        <v>1.13E-4</v>
      </c>
      <c r="E615" s="9">
        <f ca="1">'[2]Q_GEV(random)'!$J615</f>
        <v>9417.0626792230141</v>
      </c>
      <c r="F615" s="26">
        <f ca="1">RANDBETWEEN(ranges!F$2*1000,ranges!F$3*1000)/1000</f>
        <v>0.10199999999999999</v>
      </c>
      <c r="G615" s="3">
        <f t="shared" ca="1" si="93"/>
        <v>6.4227681620672579</v>
      </c>
      <c r="H615" s="4">
        <f t="shared" ca="1" si="94"/>
        <v>9.8278084783039557</v>
      </c>
      <c r="I615" s="4">
        <f t="shared" ca="1" si="95"/>
        <v>201.52934761605866</v>
      </c>
      <c r="J615" s="26">
        <f ca="1">RANDBETWEEN(ranges!J$2*1000,ranges!J$3*1000)/1000</f>
        <v>0.68400000000000005</v>
      </c>
      <c r="K615" s="26">
        <f ca="1">RANDBETWEEN(ranges!K$2*1000,ranges!K$3*1000)/1000</f>
        <v>0.83299999999999996</v>
      </c>
      <c r="L615">
        <f t="shared" ca="1" si="96"/>
        <v>89.812307551660979</v>
      </c>
      <c r="M615">
        <f t="shared" ca="1" si="97"/>
        <v>14.880157002543722</v>
      </c>
      <c r="N615" s="4">
        <f t="shared" ca="1" si="98"/>
        <v>5.4916831785214848</v>
      </c>
      <c r="O615" s="4"/>
      <c r="P615" s="1">
        <f ca="1">LOOKUP(B615,geomorph!$A:$A,geomorph!$G:$G)</f>
        <v>104.86240100000001</v>
      </c>
      <c r="Q615" s="1">
        <f t="shared" ca="1" si="99"/>
        <v>119.74255800254373</v>
      </c>
    </row>
    <row r="616" spans="2:17" x14ac:dyDescent="0.3">
      <c r="B616" s="6">
        <f ca="1">RANDBETWEEN(ranges!B$2,ranges!B$3)</f>
        <v>13050</v>
      </c>
      <c r="C616" s="9">
        <f ca="1">LOOKUP(B616,geomorph!A:A,geomorph!B:B)</f>
        <v>1147.9000000000001</v>
      </c>
      <c r="D616">
        <f t="shared" si="92"/>
        <v>1.13E-4</v>
      </c>
      <c r="E616" s="9">
        <f ca="1">'[2]Q_GEV(random)'!$J616</f>
        <v>9416.4783455191373</v>
      </c>
      <c r="F616" s="26">
        <f ca="1">RANDBETWEEN(ranges!F$2*1000,ranges!F$3*1000)/1000</f>
        <v>0.1</v>
      </c>
      <c r="G616" s="3">
        <f t="shared" ca="1" si="93"/>
        <v>8.2032218359779918</v>
      </c>
      <c r="H616" s="4">
        <f t="shared" ca="1" si="94"/>
        <v>11.492947796714265</v>
      </c>
      <c r="I616" s="4">
        <f t="shared" ca="1" si="95"/>
        <v>303.01835192378746</v>
      </c>
      <c r="J616" s="26">
        <f ca="1">RANDBETWEEN(ranges!J$2*1000,ranges!J$3*1000)/1000</f>
        <v>0.68899999999999995</v>
      </c>
      <c r="K616" s="26">
        <f ca="1">RANDBETWEEN(ranges!K$2*1000,ranges!K$3*1000)/1000</f>
        <v>0.998</v>
      </c>
      <c r="L616">
        <f t="shared" ca="1" si="96"/>
        <v>125.42464676641835</v>
      </c>
      <c r="M616">
        <f t="shared" ca="1" si="97"/>
        <v>16.269169578618396</v>
      </c>
      <c r="N616" s="4">
        <f t="shared" ca="1" si="98"/>
        <v>5.1915454151131852</v>
      </c>
      <c r="O616" s="4"/>
      <c r="P616" s="1">
        <f ca="1">LOOKUP(B616,geomorph!$A:$A,geomorph!$G:$G)</f>
        <v>105.05111100000001</v>
      </c>
      <c r="Q616" s="1">
        <f t="shared" ca="1" si="99"/>
        <v>121.32028057861839</v>
      </c>
    </row>
    <row r="617" spans="2:17" x14ac:dyDescent="0.3">
      <c r="B617" s="6">
        <f ca="1">RANDBETWEEN(ranges!B$2,ranges!B$3)</f>
        <v>11207</v>
      </c>
      <c r="C617" s="9">
        <f ca="1">LOOKUP(B617,geomorph!A:A,geomorph!B:B)</f>
        <v>1660.7</v>
      </c>
      <c r="D617">
        <f t="shared" si="92"/>
        <v>1.13E-4</v>
      </c>
      <c r="E617" s="9">
        <f ca="1">'[2]Q_GEV(random)'!$J617</f>
        <v>9414.9055494315799</v>
      </c>
      <c r="F617" s="26">
        <f ca="1">RANDBETWEEN(ranges!F$2*1000,ranges!F$3*1000)/1000</f>
        <v>9.6000000000000002E-2</v>
      </c>
      <c r="G617" s="3">
        <f t="shared" ca="1" si="93"/>
        <v>5.6692392060164867</v>
      </c>
      <c r="H617" s="4">
        <f t="shared" ca="1" si="94"/>
        <v>8.8623465573044502</v>
      </c>
      <c r="I617" s="4">
        <f t="shared" ca="1" si="95"/>
        <v>163.72261997178859</v>
      </c>
      <c r="J617" s="26">
        <f ca="1">RANDBETWEEN(ranges!J$2*1000,ranges!J$3*1000)/1000</f>
        <v>0.626</v>
      </c>
      <c r="K617" s="26">
        <f ca="1">RANDBETWEEN(ranges!K$2*1000,ranges!K$3*1000)/1000</f>
        <v>0.80900000000000005</v>
      </c>
      <c r="L617">
        <f t="shared" ca="1" si="96"/>
        <v>77.311764995203632</v>
      </c>
      <c r="M617">
        <f t="shared" ca="1" si="97"/>
        <v>14.508256238411418</v>
      </c>
      <c r="N617" s="4">
        <f t="shared" ca="1" si="98"/>
        <v>6.1368583490293123</v>
      </c>
      <c r="O617" s="4"/>
      <c r="P617" s="1">
        <f ca="1">LOOKUP(B617,geomorph!$A:$A,geomorph!$G:$G)</f>
        <v>105.260161</v>
      </c>
      <c r="Q617" s="1">
        <f t="shared" ca="1" si="99"/>
        <v>119.76841723841142</v>
      </c>
    </row>
    <row r="618" spans="2:17" x14ac:dyDescent="0.3">
      <c r="B618" s="6">
        <f ca="1">RANDBETWEEN(ranges!B$2,ranges!B$3)</f>
        <v>11826</v>
      </c>
      <c r="C618" s="9">
        <f ca="1">LOOKUP(B618,geomorph!A:A,geomorph!B:B)</f>
        <v>1405</v>
      </c>
      <c r="D618">
        <f t="shared" si="92"/>
        <v>1.13E-4</v>
      </c>
      <c r="E618" s="9">
        <f ca="1">'[2]Q_GEV(random)'!$J618</f>
        <v>9409.874480122673</v>
      </c>
      <c r="F618" s="26">
        <f ca="1">RANDBETWEEN(ranges!F$2*1000,ranges!F$3*1000)/1000</f>
        <v>9.7000000000000003E-2</v>
      </c>
      <c r="G618" s="3">
        <f t="shared" ca="1" si="93"/>
        <v>6.6974195588061729</v>
      </c>
      <c r="H618" s="4">
        <f t="shared" ca="1" si="94"/>
        <v>9.9381156298721081</v>
      </c>
      <c r="I618" s="4">
        <f t="shared" ca="1" si="95"/>
        <v>216.26124394630892</v>
      </c>
      <c r="J618" s="26">
        <f ca="1">RANDBETWEEN(ranges!J$2*1000,ranges!J$3*1000)/1000</f>
        <v>0.72299999999999998</v>
      </c>
      <c r="K618" s="26">
        <f ca="1">RANDBETWEEN(ranges!K$2*1000,ranges!K$3*1000)/1000</f>
        <v>0.81200000000000006</v>
      </c>
      <c r="L618">
        <f t="shared" ca="1" si="96"/>
        <v>92.212352323011515</v>
      </c>
      <c r="M618">
        <f t="shared" ca="1" si="97"/>
        <v>14.640094116562922</v>
      </c>
      <c r="N618" s="4">
        <f t="shared" ca="1" si="98"/>
        <v>5.1108461811856678</v>
      </c>
      <c r="O618" s="4"/>
      <c r="P618" s="1">
        <f ca="1">LOOKUP(B618,geomorph!$A:$A,geomorph!$G:$G)</f>
        <v>105.190101</v>
      </c>
      <c r="Q618" s="1">
        <f t="shared" ca="1" si="99"/>
        <v>119.83019511656292</v>
      </c>
    </row>
    <row r="619" spans="2:17" x14ac:dyDescent="0.3">
      <c r="B619" s="6">
        <f ca="1">RANDBETWEEN(ranges!B$2,ranges!B$3)</f>
        <v>11009</v>
      </c>
      <c r="C619" s="9">
        <f ca="1">LOOKUP(B619,geomorph!A:A,geomorph!B:B)</f>
        <v>1687</v>
      </c>
      <c r="D619">
        <f t="shared" si="92"/>
        <v>1.13E-4</v>
      </c>
      <c r="E619" s="9">
        <f ca="1">'[2]Q_GEV(random)'!$J619</f>
        <v>9402.6587167738762</v>
      </c>
      <c r="F619" s="26">
        <f ca="1">RANDBETWEEN(ranges!F$2*1000,ranges!F$3*1000)/1000</f>
        <v>0.11</v>
      </c>
      <c r="G619" s="3">
        <f t="shared" ca="1" si="93"/>
        <v>5.5735973424859964</v>
      </c>
      <c r="H619" s="4">
        <f t="shared" ca="1" si="94"/>
        <v>9.1691642402312361</v>
      </c>
      <c r="I619" s="4">
        <f t="shared" ca="1" si="95"/>
        <v>159.35241928223931</v>
      </c>
      <c r="J619" s="26">
        <f ca="1">RANDBETWEEN(ranges!J$2*1000,ranges!J$3*1000)/1000</f>
        <v>0.68700000000000006</v>
      </c>
      <c r="K619" s="26">
        <f ca="1">RANDBETWEEN(ranges!K$2*1000,ranges!K$3*1000)/1000</f>
        <v>0.95499999999999996</v>
      </c>
      <c r="L619">
        <f t="shared" ca="1" si="96"/>
        <v>77.827358056992963</v>
      </c>
      <c r="M619">
        <f t="shared" ca="1" si="97"/>
        <v>14.836307093762624</v>
      </c>
      <c r="N619" s="4">
        <f t="shared" ca="1" si="98"/>
        <v>6.1599378842732477</v>
      </c>
      <c r="O619" s="4"/>
      <c r="P619" s="1">
        <f ca="1">LOOKUP(B619,geomorph!$A:$A,geomorph!$G:$G)</f>
        <v>105.28276100000001</v>
      </c>
      <c r="Q619" s="1">
        <f t="shared" ca="1" si="99"/>
        <v>120.11906809376264</v>
      </c>
    </row>
    <row r="620" spans="2:17" x14ac:dyDescent="0.3">
      <c r="B620" s="6">
        <f ca="1">RANDBETWEEN(ranges!B$2,ranges!B$3)</f>
        <v>14597</v>
      </c>
      <c r="C620" s="9">
        <f ca="1">LOOKUP(B620,geomorph!A:A,geomorph!B:B)</f>
        <v>1423.8</v>
      </c>
      <c r="D620">
        <f t="shared" si="92"/>
        <v>1.13E-4</v>
      </c>
      <c r="E620" s="9">
        <f ca="1">'[2]Q_GEV(random)'!$J620</f>
        <v>9387.0525532987322</v>
      </c>
      <c r="F620" s="26">
        <f ca="1">RANDBETWEEN(ranges!F$2*1000,ranges!F$3*1000)/1000</f>
        <v>0.10100000000000001</v>
      </c>
      <c r="G620" s="3">
        <f t="shared" ca="1" si="93"/>
        <v>6.5929572645727861</v>
      </c>
      <c r="H620" s="4">
        <f t="shared" ca="1" si="94"/>
        <v>9.9678714461478108</v>
      </c>
      <c r="I620" s="4">
        <f t="shared" ca="1" si="95"/>
        <v>211.18085090185537</v>
      </c>
      <c r="J620" s="26">
        <f ca="1">RANDBETWEEN(ranges!J$2*1000,ranges!J$3*1000)/1000</f>
        <v>0.68</v>
      </c>
      <c r="K620" s="26">
        <f ca="1">RANDBETWEEN(ranges!K$2*1000,ranges!K$3*1000)/1000</f>
        <v>0.81200000000000006</v>
      </c>
      <c r="L620">
        <f t="shared" ca="1" si="96"/>
        <v>92.744133250896482</v>
      </c>
      <c r="M620">
        <f t="shared" ca="1" si="97"/>
        <v>14.921547952256782</v>
      </c>
      <c r="N620" s="4">
        <f t="shared" ca="1" si="98"/>
        <v>5.3844309849010559</v>
      </c>
      <c r="O620" s="4"/>
      <c r="P620" s="1">
        <f ca="1">LOOKUP(B620,geomorph!$A:$A,geomorph!$G:$G)</f>
        <v>104.87709100000001</v>
      </c>
      <c r="Q620" s="1">
        <f t="shared" ca="1" si="99"/>
        <v>119.79863895225679</v>
      </c>
    </row>
    <row r="621" spans="2:17" x14ac:dyDescent="0.3">
      <c r="B621" s="6">
        <f ca="1">RANDBETWEEN(ranges!B$2,ranges!B$3)</f>
        <v>12163</v>
      </c>
      <c r="C621" s="9">
        <f ca="1">LOOKUP(B621,geomorph!A:A,geomorph!B:B)</f>
        <v>1300.8</v>
      </c>
      <c r="D621">
        <f t="shared" si="92"/>
        <v>1.13E-4</v>
      </c>
      <c r="E621" s="9">
        <f ca="1">'[2]Q_GEV(random)'!$J621</f>
        <v>9373.3499935896052</v>
      </c>
      <c r="F621" s="26">
        <f ca="1">RANDBETWEEN(ranges!F$2*1000,ranges!F$3*1000)/1000</f>
        <v>0.10100000000000001</v>
      </c>
      <c r="G621" s="3">
        <f t="shared" ca="1" si="93"/>
        <v>7.2058348659206688</v>
      </c>
      <c r="H621" s="4">
        <f t="shared" ca="1" si="94"/>
        <v>10.576414382833333</v>
      </c>
      <c r="I621" s="4">
        <f t="shared" ca="1" si="95"/>
        <v>245.26129979625529</v>
      </c>
      <c r="J621" s="26">
        <f ca="1">RANDBETWEEN(ranges!J$2*1000,ranges!J$3*1000)/1000</f>
        <v>0.69</v>
      </c>
      <c r="K621" s="26">
        <f ca="1">RANDBETWEEN(ranges!K$2*1000,ranges!K$3*1000)/1000</f>
        <v>0.94499999999999995</v>
      </c>
      <c r="L621">
        <f t="shared" ca="1" si="96"/>
        <v>105.55671071779275</v>
      </c>
      <c r="M621">
        <f t="shared" ca="1" si="97"/>
        <v>15.515823131092645</v>
      </c>
      <c r="N621" s="4">
        <f t="shared" ca="1" si="98"/>
        <v>5.368922552455774</v>
      </c>
      <c r="O621" s="4"/>
      <c r="P621" s="1">
        <f ca="1">LOOKUP(B621,geomorph!$A:$A,geomorph!$G:$G)</f>
        <v>105.151681</v>
      </c>
      <c r="Q621" s="1">
        <f t="shared" ca="1" si="99"/>
        <v>120.66750413109264</v>
      </c>
    </row>
    <row r="622" spans="2:17" x14ac:dyDescent="0.3">
      <c r="B622" s="6">
        <f ca="1">RANDBETWEEN(ranges!B$2,ranges!B$3)</f>
        <v>13586</v>
      </c>
      <c r="C622" s="9">
        <f ca="1">LOOKUP(B622,geomorph!A:A,geomorph!B:B)</f>
        <v>1222.8</v>
      </c>
      <c r="D622">
        <f t="shared" si="92"/>
        <v>1.13E-4</v>
      </c>
      <c r="E622" s="9">
        <f ca="1">'[2]Q_GEV(random)'!$J622</f>
        <v>9366.5541958314152</v>
      </c>
      <c r="F622" s="26">
        <f ca="1">RANDBETWEEN(ranges!F$2*1000,ranges!F$3*1000)/1000</f>
        <v>0.106</v>
      </c>
      <c r="G622" s="3">
        <f t="shared" ca="1" si="93"/>
        <v>7.6599232873989331</v>
      </c>
      <c r="H622" s="4">
        <f t="shared" ca="1" si="94"/>
        <v>11.195067038489992</v>
      </c>
      <c r="I622" s="4">
        <f t="shared" ca="1" si="95"/>
        <v>271.75499395473838</v>
      </c>
      <c r="J622" s="26">
        <f ca="1">RANDBETWEEN(ranges!J$2*1000,ranges!J$3*1000)/1000</f>
        <v>0.745</v>
      </c>
      <c r="K622" s="26">
        <f ca="1">RANDBETWEEN(ranges!K$2*1000,ranges!K$3*1000)/1000</f>
        <v>0.92700000000000005</v>
      </c>
      <c r="L622">
        <f t="shared" ca="1" si="96"/>
        <v>114.07274779006346</v>
      </c>
      <c r="M622">
        <f t="shared" ca="1" si="97"/>
        <v>15.762161627738921</v>
      </c>
      <c r="N622" s="4">
        <f t="shared" ca="1" si="98"/>
        <v>4.9642332491836187</v>
      </c>
      <c r="O622" s="4"/>
      <c r="P622" s="1">
        <f ca="1">LOOKUP(B622,geomorph!$A:$A,geomorph!$G:$G)</f>
        <v>104.991221</v>
      </c>
      <c r="Q622" s="1">
        <f t="shared" ca="1" si="99"/>
        <v>120.75338262773892</v>
      </c>
    </row>
    <row r="623" spans="2:17" x14ac:dyDescent="0.3">
      <c r="B623" s="6">
        <f ca="1">RANDBETWEEN(ranges!B$2,ranges!B$3)</f>
        <v>14076</v>
      </c>
      <c r="C623" s="9">
        <f ca="1">LOOKUP(B623,geomorph!A:A,geomorph!B:B)</f>
        <v>1344.6</v>
      </c>
      <c r="D623">
        <f t="shared" si="92"/>
        <v>1.13E-4</v>
      </c>
      <c r="E623" s="9">
        <f ca="1">'[2]Q_GEV(random)'!$J623</f>
        <v>9336.6342031306267</v>
      </c>
      <c r="F623" s="26">
        <f ca="1">RANDBETWEEN(ranges!F$2*1000,ranges!F$3*1000)/1000</f>
        <v>0.108</v>
      </c>
      <c r="G623" s="3">
        <f t="shared" ca="1" si="93"/>
        <v>6.943800537803531</v>
      </c>
      <c r="H623" s="4">
        <f t="shared" ca="1" si="94"/>
        <v>10.551508178241978</v>
      </c>
      <c r="I623" s="4">
        <f t="shared" ca="1" si="95"/>
        <v>231.48440321412335</v>
      </c>
      <c r="J623" s="26">
        <f ca="1">RANDBETWEEN(ranges!J$2*1000,ranges!J$3*1000)/1000</f>
        <v>0.78</v>
      </c>
      <c r="K623" s="26">
        <f ca="1">RANDBETWEEN(ranges!K$2*1000,ranges!K$3*1000)/1000</f>
        <v>0.93100000000000005</v>
      </c>
      <c r="L623">
        <f t="shared" ca="1" si="96"/>
        <v>99.905611312315088</v>
      </c>
      <c r="M623">
        <f t="shared" ca="1" si="97"/>
        <v>15.17963860167089</v>
      </c>
      <c r="N623" s="4">
        <f t="shared" ca="1" si="98"/>
        <v>5.0305765472053388</v>
      </c>
      <c r="O623" s="4"/>
      <c r="P623" s="1">
        <f ca="1">LOOKUP(B623,geomorph!$A:$A,geomorph!$G:$G)</f>
        <v>104.935851</v>
      </c>
      <c r="Q623" s="1">
        <f t="shared" ca="1" si="99"/>
        <v>120.11548960167089</v>
      </c>
    </row>
    <row r="624" spans="2:17" x14ac:dyDescent="0.3">
      <c r="B624" s="6">
        <f ca="1">RANDBETWEEN(ranges!B$2,ranges!B$3)</f>
        <v>10525</v>
      </c>
      <c r="C624" s="9">
        <f ca="1">LOOKUP(B624,geomorph!A:A,geomorph!B:B)</f>
        <v>1760.5</v>
      </c>
      <c r="D624">
        <f t="shared" si="92"/>
        <v>1.13E-4</v>
      </c>
      <c r="E624" s="9">
        <f ca="1">'[2]Q_GEV(random)'!$J624</f>
        <v>9334.9465713489135</v>
      </c>
      <c r="F624" s="26">
        <f ca="1">RANDBETWEEN(ranges!F$2*1000,ranges!F$3*1000)/1000</f>
        <v>9.1999999999999998E-2</v>
      </c>
      <c r="G624" s="3">
        <f t="shared" ca="1" si="93"/>
        <v>5.3024405403856365</v>
      </c>
      <c r="H624" s="4">
        <f t="shared" ca="1" si="94"/>
        <v>8.3564459896759029</v>
      </c>
      <c r="I624" s="4">
        <f t="shared" ca="1" si="95"/>
        <v>147.70590535981958</v>
      </c>
      <c r="J624" s="26">
        <f ca="1">RANDBETWEEN(ranges!J$2*1000,ranges!J$3*1000)/1000</f>
        <v>0.78800000000000003</v>
      </c>
      <c r="K624" s="26">
        <f ca="1">RANDBETWEEN(ranges!K$2*1000,ranges!K$3*1000)/1000</f>
        <v>0.81399999999999995</v>
      </c>
      <c r="L624">
        <f t="shared" ca="1" si="96"/>
        <v>66.7336874212738</v>
      </c>
      <c r="M624">
        <f t="shared" ca="1" si="97"/>
        <v>13.275766207682235</v>
      </c>
      <c r="N624" s="4">
        <f t="shared" ca="1" si="98"/>
        <v>5.3470871934851436</v>
      </c>
      <c r="O624" s="4"/>
      <c r="P624" s="1">
        <f ca="1">LOOKUP(B624,geomorph!$A:$A,geomorph!$G:$G)</f>
        <v>105.337001</v>
      </c>
      <c r="Q624" s="1">
        <f t="shared" ca="1" si="99"/>
        <v>118.61276720768224</v>
      </c>
    </row>
    <row r="625" spans="2:17" x14ac:dyDescent="0.3">
      <c r="B625" s="6">
        <f ca="1">RANDBETWEEN(ranges!B$2,ranges!B$3)</f>
        <v>12332</v>
      </c>
      <c r="C625" s="9">
        <f ca="1">LOOKUP(B625,geomorph!A:A,geomorph!B:B)</f>
        <v>1254.9000000000001</v>
      </c>
      <c r="D625">
        <f t="shared" si="92"/>
        <v>1.13E-4</v>
      </c>
      <c r="E625" s="9">
        <f ca="1">'[2]Q_GEV(random)'!$J625</f>
        <v>9332.5754632287062</v>
      </c>
      <c r="F625" s="26">
        <f ca="1">RANDBETWEEN(ranges!F$2*1000,ranges!F$3*1000)/1000</f>
        <v>0.10199999999999999</v>
      </c>
      <c r="G625" s="3">
        <f t="shared" ca="1" si="93"/>
        <v>7.4369076924286439</v>
      </c>
      <c r="H625" s="4">
        <f t="shared" ca="1" si="94"/>
        <v>10.836859627863864</v>
      </c>
      <c r="I625" s="4">
        <f t="shared" ca="1" si="95"/>
        <v>259.63853997640723</v>
      </c>
      <c r="J625" s="26">
        <f ca="1">RANDBETWEEN(ranges!J$2*1000,ranges!J$3*1000)/1000</f>
        <v>0.60299999999999998</v>
      </c>
      <c r="K625" s="26">
        <f ca="1">RANDBETWEEN(ranges!K$2*1000,ranges!K$3*1000)/1000</f>
        <v>1</v>
      </c>
      <c r="L625">
        <f t="shared" ca="1" si="96"/>
        <v>114.64293516890368</v>
      </c>
      <c r="M625">
        <f t="shared" ca="1" si="97"/>
        <v>16.256792385810666</v>
      </c>
      <c r="N625" s="4">
        <f t="shared" ca="1" si="98"/>
        <v>5.891231258637827</v>
      </c>
      <c r="O625" s="4"/>
      <c r="P625" s="1">
        <f ca="1">LOOKUP(B625,geomorph!$A:$A,geomorph!$G:$G)</f>
        <v>105.13247100000001</v>
      </c>
      <c r="Q625" s="1">
        <f t="shared" ca="1" si="99"/>
        <v>121.38926338581068</v>
      </c>
    </row>
    <row r="626" spans="2:17" x14ac:dyDescent="0.3">
      <c r="B626" s="6">
        <f ca="1">RANDBETWEEN(ranges!B$2,ranges!B$3)</f>
        <v>14829</v>
      </c>
      <c r="C626" s="9">
        <f ca="1">LOOKUP(B626,geomorph!A:A,geomorph!B:B)</f>
        <v>1495.9</v>
      </c>
      <c r="D626">
        <f t="shared" si="92"/>
        <v>1.13E-4</v>
      </c>
      <c r="E626" s="9">
        <f ca="1">'[2]Q_GEV(random)'!$J626</f>
        <v>9331.3488156551848</v>
      </c>
      <c r="F626" s="26">
        <f ca="1">RANDBETWEEN(ranges!F$2*1000,ranges!F$3*1000)/1000</f>
        <v>0.105</v>
      </c>
      <c r="G626" s="3">
        <f t="shared" ca="1" si="93"/>
        <v>6.2379496060265955</v>
      </c>
      <c r="H626" s="4">
        <f t="shared" ca="1" si="94"/>
        <v>9.7319410805296513</v>
      </c>
      <c r="I626" s="4">
        <f t="shared" ca="1" si="95"/>
        <v>193.72040249014202</v>
      </c>
      <c r="J626" s="26">
        <f ca="1">RANDBETWEEN(ranges!J$2*1000,ranges!J$3*1000)/1000</f>
        <v>0.74099999999999999</v>
      </c>
      <c r="K626" s="26">
        <f ca="1">RANDBETWEEN(ranges!K$2*1000,ranges!K$3*1000)/1000</f>
        <v>0.89400000000000002</v>
      </c>
      <c r="L626">
        <f t="shared" ca="1" si="96"/>
        <v>86.812420138834952</v>
      </c>
      <c r="M626">
        <f t="shared" ca="1" si="97"/>
        <v>14.674485019282201</v>
      </c>
      <c r="N626" s="4">
        <f t="shared" ca="1" si="98"/>
        <v>5.3723303682092931</v>
      </c>
      <c r="O626" s="4"/>
      <c r="P626" s="1">
        <f ca="1">LOOKUP(B626,geomorph!$A:$A,geomorph!$G:$G)</f>
        <v>104.851101</v>
      </c>
      <c r="Q626" s="1">
        <f t="shared" ca="1" si="99"/>
        <v>119.5255860192822</v>
      </c>
    </row>
    <row r="627" spans="2:17" x14ac:dyDescent="0.3">
      <c r="B627" s="6">
        <f ca="1">RANDBETWEEN(ranges!B$2,ranges!B$3)</f>
        <v>14469</v>
      </c>
      <c r="C627" s="9">
        <f ca="1">LOOKUP(B627,geomorph!A:A,geomorph!B:B)</f>
        <v>1391.7</v>
      </c>
      <c r="D627">
        <f t="shared" si="92"/>
        <v>1.13E-4</v>
      </c>
      <c r="E627" s="9">
        <f ca="1">'[2]Q_GEV(random)'!$J627</f>
        <v>9302.5384484987499</v>
      </c>
      <c r="F627" s="26">
        <f ca="1">RANDBETWEEN(ranges!F$2*1000,ranges!F$3*1000)/1000</f>
        <v>9.0999999999999998E-2</v>
      </c>
      <c r="G627" s="3">
        <f t="shared" ca="1" si="93"/>
        <v>6.6842986624263485</v>
      </c>
      <c r="H627" s="4">
        <f t="shared" ca="1" si="94"/>
        <v>9.71611899478909</v>
      </c>
      <c r="I627" s="4">
        <f t="shared" ca="1" si="95"/>
        <v>218.04273486212657</v>
      </c>
      <c r="J627" s="26">
        <f ca="1">RANDBETWEEN(ranges!J$2*1000,ranges!J$3*1000)/1000</f>
        <v>0.71299999999999997</v>
      </c>
      <c r="K627" s="26">
        <f ca="1">RANDBETWEEN(ranges!K$2*1000,ranges!K$3*1000)/1000</f>
        <v>0.95899999999999996</v>
      </c>
      <c r="L627">
        <f t="shared" ca="1" si="96"/>
        <v>93.191963955886266</v>
      </c>
      <c r="M627">
        <f t="shared" ca="1" si="97"/>
        <v>14.655563954826981</v>
      </c>
      <c r="N627" s="4">
        <f t="shared" ca="1" si="98"/>
        <v>5.3689619130846635</v>
      </c>
      <c r="O627" s="4"/>
      <c r="P627" s="1">
        <f ca="1">LOOKUP(B627,geomorph!$A:$A,geomorph!$G:$G)</f>
        <v>104.89178100000001</v>
      </c>
      <c r="Q627" s="1">
        <f t="shared" ca="1" si="99"/>
        <v>119.547344954827</v>
      </c>
    </row>
    <row r="628" spans="2:17" x14ac:dyDescent="0.3">
      <c r="B628" s="6">
        <f ca="1">RANDBETWEEN(ranges!B$2,ranges!B$3)</f>
        <v>12682</v>
      </c>
      <c r="C628" s="9">
        <f ca="1">LOOKUP(B628,geomorph!A:A,geomorph!B:B)</f>
        <v>1163.0999999999999</v>
      </c>
      <c r="D628">
        <f t="shared" si="92"/>
        <v>1.13E-4</v>
      </c>
      <c r="E628" s="9">
        <f ca="1">'[2]Q_GEV(random)'!$J628</f>
        <v>9286.7817130066251</v>
      </c>
      <c r="F628" s="26">
        <f ca="1">RANDBETWEEN(ranges!F$2*1000,ranges!F$3*1000)/1000</f>
        <v>0.10100000000000001</v>
      </c>
      <c r="G628" s="3">
        <f t="shared" ca="1" si="93"/>
        <v>7.9845083939529067</v>
      </c>
      <c r="H628" s="4">
        <f t="shared" ca="1" si="94"/>
        <v>11.325247690394747</v>
      </c>
      <c r="I628" s="4">
        <f t="shared" ca="1" si="95"/>
        <v>293.71880260104331</v>
      </c>
      <c r="J628" s="26">
        <f ca="1">RANDBETWEEN(ranges!J$2*1000,ranges!J$3*1000)/1000</f>
        <v>0.67300000000000004</v>
      </c>
      <c r="K628" s="26">
        <f ca="1">RANDBETWEEN(ranges!K$2*1000,ranges!K$3*1000)/1000</f>
        <v>0.88600000000000001</v>
      </c>
      <c r="L628">
        <f t="shared" ca="1" si="96"/>
        <v>121.69833583054913</v>
      </c>
      <c r="M628">
        <f t="shared" ca="1" si="97"/>
        <v>15.994848787709818</v>
      </c>
      <c r="N628" s="4">
        <f t="shared" ca="1" si="98"/>
        <v>5.0756533666468169</v>
      </c>
      <c r="O628" s="4"/>
      <c r="P628" s="1">
        <f ca="1">LOOKUP(B628,geomorph!$A:$A,geomorph!$G:$G)</f>
        <v>105.092921</v>
      </c>
      <c r="Q628" s="1">
        <f t="shared" ca="1" si="99"/>
        <v>121.08776978770982</v>
      </c>
    </row>
    <row r="629" spans="2:17" x14ac:dyDescent="0.3">
      <c r="B629" s="6">
        <f ca="1">RANDBETWEEN(ranges!B$2,ranges!B$3)</f>
        <v>11989</v>
      </c>
      <c r="C629" s="9">
        <f ca="1">LOOKUP(B629,geomorph!A:A,geomorph!B:B)</f>
        <v>1356.6</v>
      </c>
      <c r="D629">
        <f t="shared" si="92"/>
        <v>1.13E-4</v>
      </c>
      <c r="E629" s="9">
        <f ca="1">'[2]Q_GEV(random)'!$J629</f>
        <v>9253.6061363263234</v>
      </c>
      <c r="F629" s="26">
        <f ca="1">RANDBETWEEN(ranges!F$2*1000,ranges!F$3*1000)/1000</f>
        <v>9.2999999999999999E-2</v>
      </c>
      <c r="G629" s="3">
        <f t="shared" ca="1" si="93"/>
        <v>6.8211750968054874</v>
      </c>
      <c r="H629" s="4">
        <f t="shared" ca="1" si="94"/>
        <v>9.9199369394142085</v>
      </c>
      <c r="I629" s="4">
        <f t="shared" ca="1" si="95"/>
        <v>226.72757139771363</v>
      </c>
      <c r="J629" s="26">
        <f ca="1">RANDBETWEEN(ranges!J$2*1000,ranges!J$3*1000)/1000</f>
        <v>0.60499999999999998</v>
      </c>
      <c r="K629" s="26">
        <f ca="1">RANDBETWEEN(ranges!K$2*1000,ranges!K$3*1000)/1000</f>
        <v>0.89400000000000002</v>
      </c>
      <c r="L629">
        <f t="shared" ca="1" si="96"/>
        <v>99.564391150508925</v>
      </c>
      <c r="M629">
        <f t="shared" ca="1" si="97"/>
        <v>15.262802992930185</v>
      </c>
      <c r="N629" s="4">
        <f t="shared" ca="1" si="98"/>
        <v>5.8074631016477998</v>
      </c>
      <c r="O629" s="4"/>
      <c r="P629" s="1">
        <f ca="1">LOOKUP(B629,geomorph!$A:$A,geomorph!$G:$G)</f>
        <v>105.172021</v>
      </c>
      <c r="Q629" s="1">
        <f t="shared" ca="1" si="99"/>
        <v>120.43482399293019</v>
      </c>
    </row>
    <row r="630" spans="2:17" x14ac:dyDescent="0.3">
      <c r="B630" s="6">
        <f ca="1">RANDBETWEEN(ranges!B$2,ranges!B$3)</f>
        <v>11987</v>
      </c>
      <c r="C630" s="9">
        <f ca="1">LOOKUP(B630,geomorph!A:A,geomorph!B:B)</f>
        <v>1356.6</v>
      </c>
      <c r="D630">
        <f t="shared" si="92"/>
        <v>1.13E-4</v>
      </c>
      <c r="E630" s="9">
        <f ca="1">'[2]Q_GEV(random)'!$J630</f>
        <v>9251.5456507146791</v>
      </c>
      <c r="F630" s="26">
        <f ca="1">RANDBETWEEN(ranges!F$2*1000,ranges!F$3*1000)/1000</f>
        <v>0.104</v>
      </c>
      <c r="G630" s="3">
        <f t="shared" ca="1" si="93"/>
        <v>6.8196562367054989</v>
      </c>
      <c r="H630" s="4">
        <f t="shared" ca="1" si="94"/>
        <v>10.29503668891115</v>
      </c>
      <c r="I630" s="4">
        <f t="shared" ca="1" si="95"/>
        <v>226.6939134391655</v>
      </c>
      <c r="J630" s="26">
        <f ca="1">RANDBETWEEN(ranges!J$2*1000,ranges!J$3*1000)/1000</f>
        <v>0.79700000000000004</v>
      </c>
      <c r="K630" s="26">
        <f ca="1">RANDBETWEEN(ranges!K$2*1000,ranges!K$3*1000)/1000</f>
        <v>0.98199999999999998</v>
      </c>
      <c r="L630">
        <f t="shared" ca="1" si="96"/>
        <v>97.393293220838942</v>
      </c>
      <c r="M630">
        <f t="shared" ca="1" si="97"/>
        <v>14.929982798923081</v>
      </c>
      <c r="N630" s="4">
        <f t="shared" ca="1" si="98"/>
        <v>5.0379849021868814</v>
      </c>
      <c r="O630" s="4"/>
      <c r="P630" s="1">
        <f ca="1">LOOKUP(B630,geomorph!$A:$A,geomorph!$G:$G)</f>
        <v>105.172021</v>
      </c>
      <c r="Q630" s="1">
        <f t="shared" ca="1" si="99"/>
        <v>120.10200379892308</v>
      </c>
    </row>
    <row r="631" spans="2:17" x14ac:dyDescent="0.3">
      <c r="B631" s="6">
        <f ca="1">RANDBETWEEN(ranges!B$2,ranges!B$3)</f>
        <v>10973</v>
      </c>
      <c r="C631" s="9">
        <f ca="1">LOOKUP(B631,geomorph!A:A,geomorph!B:B)</f>
        <v>1685</v>
      </c>
      <c r="D631">
        <f t="shared" si="92"/>
        <v>1.13E-4</v>
      </c>
      <c r="E631" s="9">
        <f ca="1">'[2]Q_GEV(random)'!$J631</f>
        <v>9246.5827084968842</v>
      </c>
      <c r="F631" s="26">
        <f ca="1">RANDBETWEEN(ranges!F$2*1000,ranges!F$3*1000)/1000</f>
        <v>9.5000000000000001E-2</v>
      </c>
      <c r="G631" s="3">
        <f t="shared" ca="1" si="93"/>
        <v>5.4875861771494865</v>
      </c>
      <c r="H631" s="4">
        <f t="shared" ca="1" si="94"/>
        <v>8.6417938242024643</v>
      </c>
      <c r="I631" s="4">
        <f t="shared" ca="1" si="95"/>
        <v>157.89595852425202</v>
      </c>
      <c r="J631" s="26">
        <f ca="1">RANDBETWEEN(ranges!J$2*1000,ranges!J$3*1000)/1000</f>
        <v>0.749</v>
      </c>
      <c r="K631" s="26">
        <f ca="1">RANDBETWEEN(ranges!K$2*1000,ranges!K$3*1000)/1000</f>
        <v>0.89900000000000002</v>
      </c>
      <c r="L631">
        <f t="shared" ca="1" si="96"/>
        <v>72.390548385612647</v>
      </c>
      <c r="M631">
        <f t="shared" ca="1" si="97"/>
        <v>13.783522365362575</v>
      </c>
      <c r="N631" s="4">
        <f t="shared" ca="1" si="98"/>
        <v>5.5888353708262075</v>
      </c>
      <c r="O631" s="4"/>
      <c r="P631" s="1">
        <f ca="1">LOOKUP(B631,geomorph!$A:$A,geomorph!$G:$G)</f>
        <v>105.286151</v>
      </c>
      <c r="Q631" s="1">
        <f t="shared" ca="1" si="99"/>
        <v>119.06967336536258</v>
      </c>
    </row>
    <row r="632" spans="2:17" x14ac:dyDescent="0.3">
      <c r="B632" s="6">
        <f ca="1">RANDBETWEEN(ranges!B$2,ranges!B$3)</f>
        <v>10691</v>
      </c>
      <c r="C632" s="9">
        <f ca="1">LOOKUP(B632,geomorph!A:A,geomorph!B:B)</f>
        <v>1714.6</v>
      </c>
      <c r="D632">
        <f t="shared" si="92"/>
        <v>1.13E-4</v>
      </c>
      <c r="E632" s="9">
        <f ca="1">'[2]Q_GEV(random)'!$J632</f>
        <v>9245.8021123686849</v>
      </c>
      <c r="F632" s="26">
        <f ca="1">RANDBETWEEN(ranges!F$2*1000,ranges!F$3*1000)/1000</f>
        <v>9.5000000000000001E-2</v>
      </c>
      <c r="G632" s="3">
        <f t="shared" ca="1" si="93"/>
        <v>5.3923959596224691</v>
      </c>
      <c r="H632" s="4">
        <f t="shared" ca="1" si="94"/>
        <v>8.5415662716177501</v>
      </c>
      <c r="I632" s="4">
        <f t="shared" ca="1" si="95"/>
        <v>153.37045781009829</v>
      </c>
      <c r="J632" s="26">
        <f ca="1">RANDBETWEEN(ranges!J$2*1000,ranges!J$3*1000)/1000</f>
        <v>0.749</v>
      </c>
      <c r="K632" s="26">
        <f ca="1">RANDBETWEEN(ranges!K$2*1000,ranges!K$3*1000)/1000</f>
        <v>0.80600000000000005</v>
      </c>
      <c r="L632">
        <f t="shared" ca="1" si="96"/>
        <v>70.008499741122222</v>
      </c>
      <c r="M632">
        <f t="shared" ca="1" si="97"/>
        <v>13.564132823142481</v>
      </c>
      <c r="N632" s="4">
        <f t="shared" ca="1" si="98"/>
        <v>5.4593114690486209</v>
      </c>
      <c r="O632" s="4"/>
      <c r="P632" s="1">
        <f ca="1">LOOKUP(B632,geomorph!$A:$A,geomorph!$G:$G)</f>
        <v>105.317791</v>
      </c>
      <c r="Q632" s="1">
        <f t="shared" ca="1" si="99"/>
        <v>118.88192382314249</v>
      </c>
    </row>
    <row r="633" spans="2:17" x14ac:dyDescent="0.3">
      <c r="B633" s="6">
        <f ca="1">RANDBETWEEN(ranges!B$2,ranges!B$3)</f>
        <v>12695</v>
      </c>
      <c r="C633" s="9">
        <f ca="1">LOOKUP(B633,geomorph!A:A,geomorph!B:B)</f>
        <v>1160.5999999999999</v>
      </c>
      <c r="D633">
        <f t="shared" si="92"/>
        <v>1.13E-4</v>
      </c>
      <c r="E633" s="9">
        <f ca="1">'[2]Q_GEV(random)'!$J633</f>
        <v>9243.2390391548925</v>
      </c>
      <c r="F633" s="26">
        <f ca="1">RANDBETWEEN(ranges!F$2*1000,ranges!F$3*1000)/1000</f>
        <v>0.104</v>
      </c>
      <c r="G633" s="3">
        <f t="shared" ca="1" si="93"/>
        <v>7.9641901078363722</v>
      </c>
      <c r="H633" s="4">
        <f t="shared" ca="1" si="94"/>
        <v>11.416876991734641</v>
      </c>
      <c r="I633" s="4">
        <f t="shared" ca="1" si="95"/>
        <v>293.85191784603438</v>
      </c>
      <c r="J633" s="26">
        <f ca="1">RANDBETWEEN(ranges!J$2*1000,ranges!J$3*1000)/1000</f>
        <v>0.751</v>
      </c>
      <c r="K633" s="26">
        <f ca="1">RANDBETWEEN(ranges!K$2*1000,ranges!K$3*1000)/1000</f>
        <v>0.85799999999999998</v>
      </c>
      <c r="L633">
        <f t="shared" ca="1" si="96"/>
        <v>119.87098815299501</v>
      </c>
      <c r="M633">
        <f t="shared" ca="1" si="97"/>
        <v>15.720816380091359</v>
      </c>
      <c r="N633" s="4">
        <f t="shared" ca="1" si="98"/>
        <v>4.6781949873442574</v>
      </c>
      <c r="O633" s="4"/>
      <c r="P633" s="1">
        <f ca="1">LOOKUP(B633,geomorph!$A:$A,geomorph!$G:$G)</f>
        <v>105.091791</v>
      </c>
      <c r="Q633" s="1">
        <f t="shared" ca="1" si="99"/>
        <v>120.81260738009136</v>
      </c>
    </row>
    <row r="634" spans="2:17" x14ac:dyDescent="0.3">
      <c r="B634" s="6">
        <f ca="1">RANDBETWEEN(ranges!B$2,ranges!B$3)</f>
        <v>13407</v>
      </c>
      <c r="C634" s="9">
        <f ca="1">LOOKUP(B634,geomorph!A:A,geomorph!B:B)</f>
        <v>1186.2</v>
      </c>
      <c r="D634">
        <f t="shared" si="92"/>
        <v>1.13E-4</v>
      </c>
      <c r="E634" s="9">
        <f ca="1">'[2]Q_GEV(random)'!$J634</f>
        <v>9223.4182665606513</v>
      </c>
      <c r="F634" s="26">
        <f ca="1">RANDBETWEEN(ranges!F$2*1000,ranges!F$3*1000)/1000</f>
        <v>0.107</v>
      </c>
      <c r="G634" s="3">
        <f t="shared" ca="1" si="93"/>
        <v>7.7756013037941756</v>
      </c>
      <c r="H634" s="4">
        <f t="shared" ca="1" si="94"/>
        <v>11.342942010337897</v>
      </c>
      <c r="I634" s="4">
        <f t="shared" ca="1" si="95"/>
        <v>282.95329336711319</v>
      </c>
      <c r="J634" s="26">
        <f ca="1">RANDBETWEEN(ranges!J$2*1000,ranges!J$3*1000)/1000</f>
        <v>0.79700000000000004</v>
      </c>
      <c r="K634" s="26">
        <f ca="1">RANDBETWEEN(ranges!K$2*1000,ranges!K$3*1000)/1000</f>
        <v>0.86599999999999999</v>
      </c>
      <c r="L634">
        <f t="shared" ca="1" si="96"/>
        <v>115.98615751032722</v>
      </c>
      <c r="M634">
        <f t="shared" ca="1" si="97"/>
        <v>15.546854144378766</v>
      </c>
      <c r="N634" s="4">
        <f t="shared" ca="1" si="98"/>
        <v>4.5694697109139888</v>
      </c>
      <c r="O634" s="4"/>
      <c r="P634" s="1">
        <f ca="1">LOOKUP(B634,geomorph!$A:$A,geomorph!$G:$G)</f>
        <v>105.011561</v>
      </c>
      <c r="Q634" s="1">
        <f t="shared" ca="1" si="99"/>
        <v>120.55841514437877</v>
      </c>
    </row>
    <row r="635" spans="2:17" x14ac:dyDescent="0.3">
      <c r="B635" s="6">
        <f ca="1">RANDBETWEEN(ranges!B$2,ranges!B$3)</f>
        <v>12933</v>
      </c>
      <c r="C635" s="9">
        <f ca="1">LOOKUP(B635,geomorph!A:A,geomorph!B:B)</f>
        <v>1139.3</v>
      </c>
      <c r="D635">
        <f t="shared" si="92"/>
        <v>1.13E-4</v>
      </c>
      <c r="E635" s="9">
        <f ca="1">'[2]Q_GEV(random)'!$J635</f>
        <v>9218.7958342246911</v>
      </c>
      <c r="F635" s="26">
        <f ca="1">RANDBETWEEN(ranges!F$2*1000,ranges!F$3*1000)/1000</f>
        <v>0.105</v>
      </c>
      <c r="G635" s="3">
        <f t="shared" ca="1" si="93"/>
        <v>8.0916315581714144</v>
      </c>
      <c r="H635" s="4">
        <f t="shared" ca="1" si="94"/>
        <v>11.575212234540842</v>
      </c>
      <c r="I635" s="4">
        <f t="shared" ca="1" si="95"/>
        <v>302.53060732670201</v>
      </c>
      <c r="J635" s="26">
        <f ca="1">RANDBETWEEN(ranges!J$2*1000,ranges!J$3*1000)/1000</f>
        <v>0.754</v>
      </c>
      <c r="K635" s="26">
        <f ca="1">RANDBETWEEN(ranges!K$2*1000,ranges!K$3*1000)/1000</f>
        <v>0.90500000000000003</v>
      </c>
      <c r="L635">
        <f t="shared" ca="1" si="96"/>
        <v>123.6419637381608</v>
      </c>
      <c r="M635">
        <f t="shared" ca="1" si="97"/>
        <v>15.917777689418186</v>
      </c>
      <c r="N635" s="4">
        <f t="shared" ca="1" si="98"/>
        <v>4.7201798422579815</v>
      </c>
      <c r="O635" s="4"/>
      <c r="P635" s="1">
        <f ca="1">LOOKUP(B635,geomorph!$A:$A,geomorph!$G:$G)</f>
        <v>105.064671</v>
      </c>
      <c r="Q635" s="1">
        <f t="shared" ca="1" si="99"/>
        <v>120.98244868941819</v>
      </c>
    </row>
    <row r="636" spans="2:17" x14ac:dyDescent="0.3">
      <c r="B636" s="6">
        <f ca="1">RANDBETWEEN(ranges!B$2,ranges!B$3)</f>
        <v>12027</v>
      </c>
      <c r="C636" s="9">
        <f ca="1">LOOKUP(B636,geomorph!A:A,geomorph!B:B)</f>
        <v>1344.1</v>
      </c>
      <c r="D636">
        <f t="shared" si="92"/>
        <v>1.13E-4</v>
      </c>
      <c r="E636" s="9">
        <f ca="1">'[2]Q_GEV(random)'!$J636</f>
        <v>9218.2575987907767</v>
      </c>
      <c r="F636" s="26">
        <f ca="1">RANDBETWEEN(ranges!F$2*1000,ranges!F$3*1000)/1000</f>
        <v>9.8000000000000004E-2</v>
      </c>
      <c r="G636" s="3">
        <f t="shared" ca="1" si="93"/>
        <v>6.8583123270521371</v>
      </c>
      <c r="H636" s="4">
        <f t="shared" ca="1" si="94"/>
        <v>10.131225792814945</v>
      </c>
      <c r="I636" s="4">
        <f t="shared" ca="1" si="95"/>
        <v>229.66594814350893</v>
      </c>
      <c r="J636" s="26">
        <f ca="1">RANDBETWEEN(ranges!J$2*1000,ranges!J$3*1000)/1000</f>
        <v>0.75800000000000001</v>
      </c>
      <c r="K636" s="26">
        <f ca="1">RANDBETWEEN(ranges!K$2*1000,ranges!K$3*1000)/1000</f>
        <v>0.90300000000000002</v>
      </c>
      <c r="L636">
        <f t="shared" ca="1" si="96"/>
        <v>97.016261945088118</v>
      </c>
      <c r="M636">
        <f t="shared" ca="1" si="97"/>
        <v>14.735150017884401</v>
      </c>
      <c r="N636" s="4">
        <f t="shared" ca="1" si="98"/>
        <v>5.0042654620320164</v>
      </c>
      <c r="O636" s="4"/>
      <c r="P636" s="1">
        <f ca="1">LOOKUP(B636,geomorph!$A:$A,geomorph!$G:$G)</f>
        <v>105.167501</v>
      </c>
      <c r="Q636" s="1">
        <f t="shared" ca="1" si="99"/>
        <v>119.90265101788441</v>
      </c>
    </row>
    <row r="637" spans="2:17" x14ac:dyDescent="0.3">
      <c r="B637" s="6">
        <f ca="1">RANDBETWEEN(ranges!B$2,ranges!B$3)</f>
        <v>13083</v>
      </c>
      <c r="C637" s="9">
        <f ca="1">LOOKUP(B637,geomorph!A:A,geomorph!B:B)</f>
        <v>1150.5</v>
      </c>
      <c r="D637">
        <f t="shared" si="92"/>
        <v>1.13E-4</v>
      </c>
      <c r="E637" s="9">
        <f ca="1">'[2]Q_GEV(random)'!$J637</f>
        <v>9212.2879523279898</v>
      </c>
      <c r="F637" s="26">
        <f ca="1">RANDBETWEEN(ranges!F$2*1000,ranges!F$3*1000)/1000</f>
        <v>0.10199999999999999</v>
      </c>
      <c r="G637" s="3">
        <f t="shared" ca="1" si="93"/>
        <v>8.0072037829882579</v>
      </c>
      <c r="H637" s="4">
        <f t="shared" ca="1" si="94"/>
        <v>11.384023270449479</v>
      </c>
      <c r="I637" s="4">
        <f t="shared" ca="1" si="95"/>
        <v>297.49795280601512</v>
      </c>
      <c r="J637" s="26">
        <f ca="1">RANDBETWEEN(ranges!J$2*1000,ranges!J$3*1000)/1000</f>
        <v>0.61199999999999999</v>
      </c>
      <c r="K637" s="26">
        <f ca="1">RANDBETWEEN(ranges!K$2*1000,ranges!K$3*1000)/1000</f>
        <v>0.96899999999999997</v>
      </c>
      <c r="L637">
        <f t="shared" ca="1" si="96"/>
        <v>126.77691993796466</v>
      </c>
      <c r="M637">
        <f t="shared" ca="1" si="97"/>
        <v>16.481823641915003</v>
      </c>
      <c r="N637" s="4">
        <f t="shared" ca="1" si="98"/>
        <v>5.5410873602886133</v>
      </c>
      <c r="O637" s="4"/>
      <c r="P637" s="1">
        <f ca="1">LOOKUP(B637,geomorph!$A:$A,geomorph!$G:$G)</f>
        <v>105.047721</v>
      </c>
      <c r="Q637" s="1">
        <f t="shared" ca="1" si="99"/>
        <v>121.529544641915</v>
      </c>
    </row>
    <row r="638" spans="2:17" x14ac:dyDescent="0.3">
      <c r="B638" s="6">
        <f ca="1">RANDBETWEEN(ranges!B$2,ranges!B$3)</f>
        <v>12265</v>
      </c>
      <c r="C638" s="9">
        <f ca="1">LOOKUP(B638,geomorph!A:A,geomorph!B:B)</f>
        <v>1274</v>
      </c>
      <c r="D638">
        <f t="shared" si="92"/>
        <v>1.13E-4</v>
      </c>
      <c r="E638" s="9">
        <f ca="1">'[2]Q_GEV(random)'!$J638</f>
        <v>9200.0953029266784</v>
      </c>
      <c r="F638" s="26">
        <f ca="1">RANDBETWEEN(ranges!F$2*1000,ranges!F$3*1000)/1000</f>
        <v>9.2999999999999999E-2</v>
      </c>
      <c r="G638" s="3">
        <f t="shared" ca="1" si="93"/>
        <v>7.2214248845578322</v>
      </c>
      <c r="H638" s="4">
        <f t="shared" ca="1" si="94"/>
        <v>10.30428933879292</v>
      </c>
      <c r="I638" s="4">
        <f t="shared" ca="1" si="95"/>
        <v>250.78170711913171</v>
      </c>
      <c r="J638" s="26">
        <f ca="1">RANDBETWEEN(ranges!J$2*1000,ranges!J$3*1000)/1000</f>
        <v>0.622</v>
      </c>
      <c r="K638" s="26">
        <f ca="1">RANDBETWEEN(ranges!K$2*1000,ranges!K$3*1000)/1000</f>
        <v>0.95699999999999996</v>
      </c>
      <c r="L638">
        <f t="shared" ca="1" si="96"/>
        <v>107.68119123521012</v>
      </c>
      <c r="M638">
        <f t="shared" ca="1" si="97"/>
        <v>15.50199965260332</v>
      </c>
      <c r="N638" s="4">
        <f t="shared" ca="1" si="98"/>
        <v>5.6496851237069565</v>
      </c>
      <c r="O638" s="4"/>
      <c r="P638" s="1">
        <f ca="1">LOOKUP(B638,geomorph!$A:$A,geomorph!$G:$G)</f>
        <v>105.140381</v>
      </c>
      <c r="Q638" s="1">
        <f t="shared" ca="1" si="99"/>
        <v>120.64238065260332</v>
      </c>
    </row>
    <row r="639" spans="2:17" x14ac:dyDescent="0.3">
      <c r="B639" s="6">
        <f ca="1">RANDBETWEEN(ranges!B$2,ranges!B$3)</f>
        <v>14283</v>
      </c>
      <c r="C639" s="9">
        <f ca="1">LOOKUP(B639,geomorph!A:A,geomorph!B:B)</f>
        <v>1339.9</v>
      </c>
      <c r="D639">
        <f t="shared" si="92"/>
        <v>1.13E-4</v>
      </c>
      <c r="E639" s="9">
        <f ca="1">'[2]Q_GEV(random)'!$J639</f>
        <v>9196.5531889577705</v>
      </c>
      <c r="F639" s="26">
        <f ca="1">RANDBETWEEN(ranges!F$2*1000,ranges!F$3*1000)/1000</f>
        <v>9.9000000000000005E-2</v>
      </c>
      <c r="G639" s="3">
        <f t="shared" ca="1" si="93"/>
        <v>6.8636116045658406</v>
      </c>
      <c r="H639" s="4">
        <f t="shared" ca="1" si="94"/>
        <v>10.170805004408361</v>
      </c>
      <c r="I639" s="4">
        <f t="shared" ca="1" si="95"/>
        <v>230.50451137019914</v>
      </c>
      <c r="J639" s="26">
        <f ca="1">RANDBETWEEN(ranges!J$2*1000,ranges!J$3*1000)/1000</f>
        <v>0.78300000000000003</v>
      </c>
      <c r="K639" s="26">
        <f ca="1">RANDBETWEEN(ranges!K$2*1000,ranges!K$3*1000)/1000</f>
        <v>0.93600000000000005</v>
      </c>
      <c r="L639">
        <f t="shared" ca="1" si="96"/>
        <v>97.271274123672157</v>
      </c>
      <c r="M639">
        <f t="shared" ca="1" si="97"/>
        <v>14.72771716240884</v>
      </c>
      <c r="N639" s="4">
        <f t="shared" ca="1" si="98"/>
        <v>4.9531653891309553</v>
      </c>
      <c r="O639" s="4"/>
      <c r="P639" s="1">
        <f ca="1">LOOKUP(B639,geomorph!$A:$A,geomorph!$G:$G)</f>
        <v>104.912121</v>
      </c>
      <c r="Q639" s="1">
        <f t="shared" ca="1" si="99"/>
        <v>119.63983816240884</v>
      </c>
    </row>
    <row r="640" spans="2:17" x14ac:dyDescent="0.3">
      <c r="B640" s="6">
        <f ca="1">RANDBETWEEN(ranges!B$2,ranges!B$3)</f>
        <v>13993</v>
      </c>
      <c r="C640" s="9">
        <f ca="1">LOOKUP(B640,geomorph!A:A,geomorph!B:B)</f>
        <v>1324.9</v>
      </c>
      <c r="D640">
        <f t="shared" si="92"/>
        <v>1.13E-4</v>
      </c>
      <c r="E640" s="9">
        <f ca="1">'[2]Q_GEV(random)'!$J640</f>
        <v>9184.5041241180807</v>
      </c>
      <c r="F640" s="26">
        <f ca="1">RANDBETWEEN(ranges!F$2*1000,ranges!F$3*1000)/1000</f>
        <v>0.109</v>
      </c>
      <c r="G640" s="3">
        <f t="shared" ca="1" si="93"/>
        <v>6.9322244124976073</v>
      </c>
      <c r="H640" s="4">
        <f t="shared" ca="1" si="94"/>
        <v>10.572208144385151</v>
      </c>
      <c r="I640" s="4">
        <f t="shared" ca="1" si="95"/>
        <v>234.66518326433868</v>
      </c>
      <c r="J640" s="26">
        <f ca="1">RANDBETWEEN(ranges!J$2*1000,ranges!J$3*1000)/1000</f>
        <v>0.622</v>
      </c>
      <c r="K640" s="26">
        <f ca="1">RANDBETWEEN(ranges!K$2*1000,ranges!K$3*1000)/1000</f>
        <v>0.82199999999999995</v>
      </c>
      <c r="L640">
        <f t="shared" ca="1" si="96"/>
        <v>104.84946339034775</v>
      </c>
      <c r="M640">
        <f t="shared" ca="1" si="97"/>
        <v>15.697401107183506</v>
      </c>
      <c r="N640" s="4">
        <f t="shared" ca="1" si="98"/>
        <v>5.5708619160851685</v>
      </c>
      <c r="O640" s="4"/>
      <c r="P640" s="1">
        <f ca="1">LOOKUP(B640,geomorph!$A:$A,geomorph!$G:$G)</f>
        <v>104.944891</v>
      </c>
      <c r="Q640" s="1">
        <f t="shared" ca="1" si="99"/>
        <v>120.64229210718351</v>
      </c>
    </row>
    <row r="641" spans="2:17" x14ac:dyDescent="0.3">
      <c r="B641" s="6">
        <f ca="1">RANDBETWEEN(ranges!B$2,ranges!B$3)</f>
        <v>14324</v>
      </c>
      <c r="C641" s="9">
        <f ca="1">LOOKUP(B641,geomorph!A:A,geomorph!B:B)</f>
        <v>1352.7</v>
      </c>
      <c r="D641">
        <f t="shared" si="92"/>
        <v>1.13E-4</v>
      </c>
      <c r="E641" s="9">
        <f ca="1">'[2]Q_GEV(random)'!$J641</f>
        <v>9179.3807804690387</v>
      </c>
      <c r="F641" s="26">
        <f ca="1">RANDBETWEEN(ranges!F$2*1000,ranges!F$3*1000)/1000</f>
        <v>0.104</v>
      </c>
      <c r="G641" s="3">
        <f t="shared" ca="1" si="93"/>
        <v>6.785969380105743</v>
      </c>
      <c r="H641" s="4">
        <f t="shared" ca="1" si="94"/>
        <v>10.261105988173181</v>
      </c>
      <c r="I641" s="4">
        <f t="shared" ca="1" si="95"/>
        <v>226.59820086380626</v>
      </c>
      <c r="J641" s="26">
        <f ca="1">RANDBETWEEN(ranges!J$2*1000,ranges!J$3*1000)/1000</f>
        <v>0.67700000000000005</v>
      </c>
      <c r="K641" s="26">
        <f ca="1">RANDBETWEEN(ranges!K$2*1000,ranges!K$3*1000)/1000</f>
        <v>0.84599999999999997</v>
      </c>
      <c r="L641">
        <f t="shared" ca="1" si="96"/>
        <v>99.216022684469038</v>
      </c>
      <c r="M641">
        <f t="shared" ca="1" si="97"/>
        <v>15.165675069036784</v>
      </c>
      <c r="N641" s="4">
        <f t="shared" ca="1" si="98"/>
        <v>5.3310533487647849</v>
      </c>
      <c r="O641" s="4"/>
      <c r="P641" s="1">
        <f ca="1">LOOKUP(B641,geomorph!$A:$A,geomorph!$G:$G)</f>
        <v>104.907601</v>
      </c>
      <c r="Q641" s="1">
        <f t="shared" ca="1" si="99"/>
        <v>120.07327606903678</v>
      </c>
    </row>
    <row r="642" spans="2:17" x14ac:dyDescent="0.3">
      <c r="B642" s="6">
        <f ca="1">RANDBETWEEN(ranges!B$2,ranges!B$3)</f>
        <v>11660</v>
      </c>
      <c r="C642" s="9">
        <f ca="1">LOOKUP(B642,geomorph!A:A,geomorph!B:B)</f>
        <v>1449.8</v>
      </c>
      <c r="D642">
        <f t="shared" si="92"/>
        <v>1.13E-4</v>
      </c>
      <c r="E642" s="9">
        <f ca="1">'[2]Q_GEV(random)'!$J642</f>
        <v>9158.744364878894</v>
      </c>
      <c r="F642" s="26">
        <f ca="1">RANDBETWEEN(ranges!F$2*1000,ranges!F$3*1000)/1000</f>
        <v>0.104</v>
      </c>
      <c r="G642" s="3">
        <f t="shared" ca="1" si="93"/>
        <v>6.317246768436263</v>
      </c>
      <c r="H642" s="4">
        <f t="shared" ca="1" si="94"/>
        <v>9.7829868781554339</v>
      </c>
      <c r="I642" s="4">
        <f t="shared" ca="1" si="95"/>
        <v>201.57058185733155</v>
      </c>
      <c r="J642" s="26">
        <f ca="1">RANDBETWEEN(ranges!J$2*1000,ranges!J$3*1000)/1000</f>
        <v>0.76200000000000001</v>
      </c>
      <c r="K642" s="26">
        <f ca="1">RANDBETWEEN(ranges!K$2*1000,ranges!K$3*1000)/1000</f>
        <v>0.99199999999999999</v>
      </c>
      <c r="L642">
        <f t="shared" ca="1" si="96"/>
        <v>89.75365509878381</v>
      </c>
      <c r="M642">
        <f t="shared" ca="1" si="97"/>
        <v>14.704107955330494</v>
      </c>
      <c r="N642" s="4">
        <f t="shared" ca="1" si="98"/>
        <v>5.3490446491033259</v>
      </c>
      <c r="O642" s="4"/>
      <c r="P642" s="1">
        <f ca="1">LOOKUP(B642,geomorph!$A:$A,geomorph!$G:$G)</f>
        <v>105.208181</v>
      </c>
      <c r="Q642" s="1">
        <f t="shared" ca="1" si="99"/>
        <v>119.9122889553305</v>
      </c>
    </row>
    <row r="643" spans="2:17" x14ac:dyDescent="0.3">
      <c r="B643" s="6">
        <f ca="1">RANDBETWEEN(ranges!B$2,ranges!B$3)</f>
        <v>13964</v>
      </c>
      <c r="C643" s="9">
        <f ca="1">LOOKUP(B643,geomorph!A:A,geomorph!B:B)</f>
        <v>1317.5</v>
      </c>
      <c r="D643">
        <f t="shared" si="92"/>
        <v>1.13E-4</v>
      </c>
      <c r="E643" s="9">
        <f ca="1">'[2]Q_GEV(random)'!$J643</f>
        <v>9150.3621296486799</v>
      </c>
      <c r="F643" s="26">
        <f ca="1">RANDBETWEEN(ranges!F$2*1000,ranges!F$3*1000)/1000</f>
        <v>9.8000000000000004E-2</v>
      </c>
      <c r="G643" s="3">
        <f t="shared" ca="1" si="93"/>
        <v>6.9452463982153168</v>
      </c>
      <c r="H643" s="4">
        <f t="shared" ca="1" si="94"/>
        <v>10.21665967993798</v>
      </c>
      <c r="I643" s="4">
        <f t="shared" ca="1" si="95"/>
        <v>236.27865952413907</v>
      </c>
      <c r="J643" s="26">
        <f ca="1">RANDBETWEEN(ranges!J$2*1000,ranges!J$3*1000)/1000</f>
        <v>0.73099999999999998</v>
      </c>
      <c r="K643" s="26">
        <f ca="1">RANDBETWEEN(ranges!K$2*1000,ranges!K$3*1000)/1000</f>
        <v>0.81399999999999995</v>
      </c>
      <c r="L643">
        <f t="shared" ca="1" si="96"/>
        <v>98.923370327868938</v>
      </c>
      <c r="M643">
        <f t="shared" ca="1" si="97"/>
        <v>14.727464065987308</v>
      </c>
      <c r="N643" s="4">
        <f t="shared" ca="1" si="98"/>
        <v>4.9030482457057909</v>
      </c>
      <c r="O643" s="4"/>
      <c r="P643" s="1">
        <f ca="1">LOOKUP(B643,geomorph!$A:$A,geomorph!$G:$G)</f>
        <v>104.94828100000001</v>
      </c>
      <c r="Q643" s="1">
        <f t="shared" ca="1" si="99"/>
        <v>119.67574506598731</v>
      </c>
    </row>
    <row r="644" spans="2:17" x14ac:dyDescent="0.3">
      <c r="B644" s="6">
        <f ca="1">RANDBETWEEN(ranges!B$2,ranges!B$3)</f>
        <v>12828</v>
      </c>
      <c r="C644" s="9">
        <f ca="1">LOOKUP(B644,geomorph!A:A,geomorph!B:B)</f>
        <v>1132.3</v>
      </c>
      <c r="D644">
        <f t="shared" si="92"/>
        <v>1.13E-4</v>
      </c>
      <c r="E644" s="9">
        <f ca="1">'[2]Q_GEV(random)'!$J644</f>
        <v>9137.0626827864162</v>
      </c>
      <c r="F644" s="26">
        <f ca="1">RANDBETWEEN(ranges!F$2*1000,ranges!F$3*1000)/1000</f>
        <v>9.1999999999999998E-2</v>
      </c>
      <c r="G644" s="3">
        <f t="shared" ca="1" si="93"/>
        <v>8.0694715912624009</v>
      </c>
      <c r="H644" s="4">
        <f t="shared" ca="1" si="94"/>
        <v>11.0560790973847</v>
      </c>
      <c r="I644" s="4">
        <f t="shared" ca="1" si="95"/>
        <v>303.84486952117419</v>
      </c>
      <c r="J644" s="26">
        <f ca="1">RANDBETWEEN(ranges!J$2*1000,ranges!J$3*1000)/1000</f>
        <v>0.72899999999999998</v>
      </c>
      <c r="K644" s="26">
        <f ca="1">RANDBETWEEN(ranges!K$2*1000,ranges!K$3*1000)/1000</f>
        <v>0.85899999999999999</v>
      </c>
      <c r="L644">
        <f t="shared" ca="1" si="96"/>
        <v>119.79804793309776</v>
      </c>
      <c r="M644">
        <f t="shared" ca="1" si="97"/>
        <v>15.328148253235062</v>
      </c>
      <c r="N644" s="4">
        <f t="shared" ca="1" si="98"/>
        <v>4.6435534302721324</v>
      </c>
      <c r="O644" s="4"/>
      <c r="P644" s="1">
        <f ca="1">LOOKUP(B644,geomorph!$A:$A,geomorph!$G:$G)</f>
        <v>105.077101</v>
      </c>
      <c r="Q644" s="1">
        <f t="shared" ca="1" si="99"/>
        <v>120.40524925323506</v>
      </c>
    </row>
    <row r="645" spans="2:17" x14ac:dyDescent="0.3">
      <c r="B645" s="6">
        <f ca="1">RANDBETWEEN(ranges!B$2,ranges!B$3)</f>
        <v>12043</v>
      </c>
      <c r="C645" s="9">
        <f ca="1">LOOKUP(B645,geomorph!A:A,geomorph!B:B)</f>
        <v>1337.9</v>
      </c>
      <c r="D645">
        <f t="shared" si="92"/>
        <v>1.13E-4</v>
      </c>
      <c r="E645" s="9">
        <f ca="1">'[2]Q_GEV(random)'!$J645</f>
        <v>9122.767636201017</v>
      </c>
      <c r="F645" s="26">
        <f ca="1">RANDBETWEEN(ranges!F$2*1000,ranges!F$3*1000)/1000</f>
        <v>9.8000000000000004E-2</v>
      </c>
      <c r="G645" s="3">
        <f t="shared" ca="1" si="93"/>
        <v>6.8187216056514064</v>
      </c>
      <c r="H645" s="4">
        <f t="shared" ca="1" si="94"/>
        <v>10.092198753603661</v>
      </c>
      <c r="I645" s="4">
        <f t="shared" ca="1" si="95"/>
        <v>229.84144117884961</v>
      </c>
      <c r="J645" s="26">
        <f ca="1">RANDBETWEEN(ranges!J$2*1000,ranges!J$3*1000)/1000</f>
        <v>0.76200000000000001</v>
      </c>
      <c r="K645" s="26">
        <f ca="1">RANDBETWEEN(ranges!K$2*1000,ranges!K$3*1000)/1000</f>
        <v>0.99099999999999999</v>
      </c>
      <c r="L645">
        <f t="shared" ca="1" si="96"/>
        <v>97.930264053344402</v>
      </c>
      <c r="M645">
        <f t="shared" ca="1" si="97"/>
        <v>14.80536173129755</v>
      </c>
      <c r="N645" s="4">
        <f t="shared" ca="1" si="98"/>
        <v>5.1230032366237923</v>
      </c>
      <c r="O645" s="4"/>
      <c r="P645" s="1">
        <f ca="1">LOOKUP(B645,geomorph!$A:$A,geomorph!$G:$G)</f>
        <v>105.16524100000001</v>
      </c>
      <c r="Q645" s="1">
        <f t="shared" ca="1" si="99"/>
        <v>119.97060273129756</v>
      </c>
    </row>
    <row r="646" spans="2:17" x14ac:dyDescent="0.3">
      <c r="B646" s="6">
        <f ca="1">RANDBETWEEN(ranges!B$2,ranges!B$3)</f>
        <v>13114</v>
      </c>
      <c r="C646" s="9">
        <f ca="1">LOOKUP(B646,geomorph!A:A,geomorph!B:B)</f>
        <v>1153.2</v>
      </c>
      <c r="D646">
        <f t="shared" si="92"/>
        <v>1.13E-4</v>
      </c>
      <c r="E646" s="9">
        <f ca="1">'[2]Q_GEV(random)'!$J646</f>
        <v>9120.7908763240066</v>
      </c>
      <c r="F646" s="26">
        <f ca="1">RANDBETWEEN(ranges!F$2*1000,ranges!F$3*1000)/1000</f>
        <v>0.10199999999999999</v>
      </c>
      <c r="G646" s="3">
        <f t="shared" ca="1" si="93"/>
        <v>7.9091145302844312</v>
      </c>
      <c r="H646" s="4">
        <f t="shared" ca="1" si="94"/>
        <v>11.290861935654268</v>
      </c>
      <c r="I646" s="4">
        <f t="shared" ca="1" si="95"/>
        <v>294.3725384339466</v>
      </c>
      <c r="J646" s="26">
        <f ca="1">RANDBETWEEN(ranges!J$2*1000,ranges!J$3*1000)/1000</f>
        <v>0.79800000000000004</v>
      </c>
      <c r="K646" s="26">
        <f ca="1">RANDBETWEEN(ranges!K$2*1000,ranges!K$3*1000)/1000</f>
        <v>0.88800000000000001</v>
      </c>
      <c r="L646">
        <f t="shared" ca="1" si="96"/>
        <v>118.52490586382692</v>
      </c>
      <c r="M646">
        <f t="shared" ca="1" si="97"/>
        <v>15.445170122964669</v>
      </c>
      <c r="N646" s="4">
        <f t="shared" ca="1" si="98"/>
        <v>4.5155523775113044</v>
      </c>
      <c r="O646" s="4"/>
      <c r="P646" s="1">
        <f ca="1">LOOKUP(B646,geomorph!$A:$A,geomorph!$G:$G)</f>
        <v>105.044331</v>
      </c>
      <c r="Q646" s="1">
        <f t="shared" ca="1" si="99"/>
        <v>120.48950112296467</v>
      </c>
    </row>
    <row r="647" spans="2:17" x14ac:dyDescent="0.3">
      <c r="B647" s="6">
        <f ca="1">RANDBETWEEN(ranges!B$2,ranges!B$3)</f>
        <v>11807</v>
      </c>
      <c r="C647" s="9">
        <f ca="1">LOOKUP(B647,geomorph!A:A,geomorph!B:B)</f>
        <v>1410.8</v>
      </c>
      <c r="D647">
        <f t="shared" si="92"/>
        <v>1.13E-4</v>
      </c>
      <c r="E647" s="9">
        <f ca="1">'[2]Q_GEV(random)'!$J647</f>
        <v>9119.8017042753308</v>
      </c>
      <c r="F647" s="26">
        <f ca="1">RANDBETWEEN(ranges!F$2*1000,ranges!F$3*1000)/1000</f>
        <v>0.109</v>
      </c>
      <c r="G647" s="3">
        <f t="shared" ca="1" si="93"/>
        <v>6.4642767963391909</v>
      </c>
      <c r="H647" s="4">
        <f t="shared" ca="1" si="94"/>
        <v>10.090916028285809</v>
      </c>
      <c r="I647" s="4">
        <f t="shared" ca="1" si="95"/>
        <v>210.34451683860547</v>
      </c>
      <c r="J647" s="26">
        <f ca="1">RANDBETWEEN(ranges!J$2*1000,ranges!J$3*1000)/1000</f>
        <v>0.73499999999999999</v>
      </c>
      <c r="K647" s="26">
        <f ca="1">RANDBETWEEN(ranges!K$2*1000,ranges!K$3*1000)/1000</f>
        <v>0.8</v>
      </c>
      <c r="L647">
        <f t="shared" ca="1" si="96"/>
        <v>92.547641914314951</v>
      </c>
      <c r="M647">
        <f t="shared" ca="1" si="97"/>
        <v>14.753982093036855</v>
      </c>
      <c r="N647" s="4">
        <f t="shared" ca="1" si="98"/>
        <v>5.0685500703815718</v>
      </c>
      <c r="O647" s="4"/>
      <c r="P647" s="1">
        <f ca="1">LOOKUP(B647,geomorph!$A:$A,geomorph!$G:$G)</f>
        <v>105.19236100000001</v>
      </c>
      <c r="Q647" s="1">
        <f t="shared" ca="1" si="99"/>
        <v>119.94634309303686</v>
      </c>
    </row>
    <row r="648" spans="2:17" x14ac:dyDescent="0.3">
      <c r="B648" s="6">
        <f ca="1">RANDBETWEEN(ranges!B$2,ranges!B$3)</f>
        <v>11565</v>
      </c>
      <c r="C648" s="9">
        <f ca="1">LOOKUP(B648,geomorph!A:A,geomorph!B:B)</f>
        <v>1474.6</v>
      </c>
      <c r="D648">
        <f t="shared" si="92"/>
        <v>1.13E-4</v>
      </c>
      <c r="E648" s="9">
        <f ca="1">'[2]Q_GEV(random)'!$J648</f>
        <v>9106.6705484753347</v>
      </c>
      <c r="F648" s="26">
        <f ca="1">RANDBETWEEN(ranges!F$2*1000,ranges!F$3*1000)/1000</f>
        <v>0.1</v>
      </c>
      <c r="G648" s="3">
        <f t="shared" ca="1" si="93"/>
        <v>6.1756886942054354</v>
      </c>
      <c r="H648" s="4">
        <f t="shared" ca="1" si="94"/>
        <v>9.5111287470593915</v>
      </c>
      <c r="I648" s="4">
        <f t="shared" ca="1" si="95"/>
        <v>195.20879678445078</v>
      </c>
      <c r="J648" s="26">
        <f ca="1">RANDBETWEEN(ranges!J$2*1000,ranges!J$3*1000)/1000</f>
        <v>0.65600000000000003</v>
      </c>
      <c r="K648" s="26">
        <f ca="1">RANDBETWEEN(ranges!K$2*1000,ranges!K$3*1000)/1000</f>
        <v>0.83</v>
      </c>
      <c r="L648">
        <f t="shared" ca="1" si="96"/>
        <v>88.069038448632483</v>
      </c>
      <c r="M648">
        <f t="shared" ca="1" si="97"/>
        <v>14.674926262887938</v>
      </c>
      <c r="N648" s="4">
        <f t="shared" ca="1" si="98"/>
        <v>5.6128233867701596</v>
      </c>
      <c r="O648" s="4"/>
      <c r="P648" s="1">
        <f ca="1">LOOKUP(B648,geomorph!$A:$A,geomorph!$G:$G)</f>
        <v>105.219481</v>
      </c>
      <c r="Q648" s="1">
        <f t="shared" ca="1" si="99"/>
        <v>119.89440726288794</v>
      </c>
    </row>
    <row r="649" spans="2:17" x14ac:dyDescent="0.3">
      <c r="B649" s="6">
        <f ca="1">RANDBETWEEN(ranges!B$2,ranges!B$3)</f>
        <v>14084</v>
      </c>
      <c r="C649" s="9">
        <f ca="1">LOOKUP(B649,geomorph!A:A,geomorph!B:B)</f>
        <v>1347</v>
      </c>
      <c r="D649">
        <f t="shared" si="92"/>
        <v>1.13E-4</v>
      </c>
      <c r="E649" s="9">
        <f ca="1">'[2]Q_GEV(random)'!$J649</f>
        <v>9097.4597418171106</v>
      </c>
      <c r="F649" s="26">
        <f ca="1">RANDBETWEEN(ranges!F$2*1000,ranges!F$3*1000)/1000</f>
        <v>9.6000000000000002E-2</v>
      </c>
      <c r="G649" s="3">
        <f t="shared" ca="1" si="93"/>
        <v>6.7538676628189389</v>
      </c>
      <c r="H649" s="4">
        <f t="shared" ca="1" si="94"/>
        <v>9.9594167434316638</v>
      </c>
      <c r="I649" s="4">
        <f t="shared" ca="1" si="95"/>
        <v>226.83885806593582</v>
      </c>
      <c r="J649" s="26">
        <f ca="1">RANDBETWEEN(ranges!J$2*1000,ranges!J$3*1000)/1000</f>
        <v>0.78400000000000003</v>
      </c>
      <c r="K649" s="26">
        <f ca="1">RANDBETWEEN(ranges!K$2*1000,ranges!K$3*1000)/1000</f>
        <v>0.84299999999999997</v>
      </c>
      <c r="L649">
        <f t="shared" ca="1" si="96"/>
        <v>94.216760140171644</v>
      </c>
      <c r="M649">
        <f t="shared" ca="1" si="97"/>
        <v>14.340827277695665</v>
      </c>
      <c r="N649" s="4">
        <f t="shared" ca="1" si="98"/>
        <v>4.7624027546347829</v>
      </c>
      <c r="O649" s="4"/>
      <c r="P649" s="1">
        <f ca="1">LOOKUP(B649,geomorph!$A:$A,geomorph!$G:$G)</f>
        <v>104.934721</v>
      </c>
      <c r="Q649" s="1">
        <f t="shared" ca="1" si="99"/>
        <v>119.27554827769566</v>
      </c>
    </row>
    <row r="650" spans="2:17" x14ac:dyDescent="0.3">
      <c r="B650" s="6">
        <f ca="1">RANDBETWEEN(ranges!B$2,ranges!B$3)</f>
        <v>14166</v>
      </c>
      <c r="C650" s="9">
        <f ca="1">LOOKUP(B650,geomorph!A:A,geomorph!B:B)</f>
        <v>1297.5999999999999</v>
      </c>
      <c r="D650">
        <f t="shared" si="92"/>
        <v>1.13E-4</v>
      </c>
      <c r="E650" s="9">
        <f ca="1">'[2]Q_GEV(random)'!$J650</f>
        <v>9097.0491210749205</v>
      </c>
      <c r="F650" s="26">
        <f ca="1">RANDBETWEEN(ranges!F$2*1000,ranges!F$3*1000)/1000</f>
        <v>9.6000000000000002E-2</v>
      </c>
      <c r="G650" s="3">
        <f t="shared" ca="1" si="93"/>
        <v>7.0106728738246931</v>
      </c>
      <c r="H650" s="4">
        <f t="shared" ca="1" si="94"/>
        <v>10.210304078650642</v>
      </c>
      <c r="I650" s="4">
        <f t="shared" ca="1" si="95"/>
        <v>241.40651248188254</v>
      </c>
      <c r="J650" s="26">
        <f ca="1">RANDBETWEEN(ranges!J$2*1000,ranges!J$3*1000)/1000</f>
        <v>0.78800000000000003</v>
      </c>
      <c r="K650" s="26">
        <f ca="1">RANDBETWEEN(ranges!K$2*1000,ranges!K$3*1000)/1000</f>
        <v>0.85699999999999998</v>
      </c>
      <c r="L650">
        <f t="shared" ca="1" si="96"/>
        <v>99.081212592192855</v>
      </c>
      <c r="M650">
        <f t="shared" ca="1" si="97"/>
        <v>14.528159304938125</v>
      </c>
      <c r="N650" s="4">
        <f t="shared" ca="1" si="98"/>
        <v>4.6933208981385679</v>
      </c>
      <c r="O650" s="4"/>
      <c r="P650" s="1">
        <f ca="1">LOOKUP(B650,geomorph!$A:$A,geomorph!$G:$G)</f>
        <v>104.925681</v>
      </c>
      <c r="Q650" s="1">
        <f t="shared" ca="1" si="99"/>
        <v>119.45384030493813</v>
      </c>
    </row>
    <row r="651" spans="2:17" x14ac:dyDescent="0.3">
      <c r="B651" s="6">
        <f ca="1">RANDBETWEEN(ranges!B$2,ranges!B$3)</f>
        <v>13911</v>
      </c>
      <c r="C651" s="9">
        <f ca="1">LOOKUP(B651,geomorph!A:A,geomorph!B:B)</f>
        <v>1305.2</v>
      </c>
      <c r="D651">
        <f t="shared" ref="D651:D714" si="100">D650</f>
        <v>1.13E-4</v>
      </c>
      <c r="E651" s="9">
        <f ca="1">'[2]Q_GEV(random)'!$J651</f>
        <v>9093.747809513683</v>
      </c>
      <c r="F651" s="26">
        <f ca="1">RANDBETWEEN(ranges!F$2*1000,ranges!F$3*1000)/1000</f>
        <v>0.10299999999999999</v>
      </c>
      <c r="G651" s="3">
        <f t="shared" ref="G651:G714" ca="1" si="101">E651/C651</f>
        <v>6.9673213373534191</v>
      </c>
      <c r="H651" s="4">
        <f t="shared" ref="H651:H714" ca="1" si="102">POWER(G651/SQRT(4*9.807*D651/F651),2/3)</f>
        <v>10.40953745442431</v>
      </c>
      <c r="I651" s="4">
        <f t="shared" ref="I651:I714" ca="1" si="103">POWER(G651*G651/9.807/D651,1/3)/C651/D651</f>
        <v>239.01042589802483</v>
      </c>
      <c r="J651" s="26">
        <f ca="1">RANDBETWEEN(ranges!J$2*1000,ranges!J$3*1000)/1000</f>
        <v>0.73899999999999999</v>
      </c>
      <c r="K651" s="26">
        <f ca="1">RANDBETWEEN(ranges!K$2*1000,ranges!K$3*1000)/1000</f>
        <v>0.94699999999999995</v>
      </c>
      <c r="L651">
        <f t="shared" ref="L651:L714" ca="1" si="104">0.63*POWER(F651,1/3)*I651+5.75*(1+SQRT(1+0.11*J651*POWER(F651,1/3)*K651*I651))/J651</f>
        <v>102.50329194978967</v>
      </c>
      <c r="M651">
        <f t="shared" ref="M651:M714" ca="1" si="105">L651*C651*D651</f>
        <v>15.117964521773798</v>
      </c>
      <c r="N651" s="4">
        <f t="shared" ref="N651:N714" ca="1" si="106">(M651-H651)/0.92</f>
        <v>5.1178555079885735</v>
      </c>
      <c r="O651" s="4"/>
      <c r="P651" s="1">
        <f ca="1">LOOKUP(B651,geomorph!$A:$A,geomorph!$G:$G)</f>
        <v>104.953931</v>
      </c>
      <c r="Q651" s="1">
        <f t="shared" ref="Q651:Q714" ca="1" si="107">M651+P651</f>
        <v>120.0718955217738</v>
      </c>
    </row>
    <row r="652" spans="2:17" x14ac:dyDescent="0.3">
      <c r="B652" s="6">
        <f ca="1">RANDBETWEEN(ranges!B$2,ranges!B$3)</f>
        <v>14552</v>
      </c>
      <c r="C652" s="9">
        <f ca="1">LOOKUP(B652,geomorph!A:A,geomorph!B:B)</f>
        <v>1413.3</v>
      </c>
      <c r="D652">
        <f t="shared" si="100"/>
        <v>1.13E-4</v>
      </c>
      <c r="E652" s="9">
        <f ca="1">'[2]Q_GEV(random)'!$J652</f>
        <v>9090.146736601384</v>
      </c>
      <c r="F652" s="26">
        <f ca="1">RANDBETWEEN(ranges!F$2*1000,ranges!F$3*1000)/1000</f>
        <v>9.1999999999999998E-2</v>
      </c>
      <c r="G652" s="3">
        <f t="shared" ca="1" si="101"/>
        <v>6.431859291446532</v>
      </c>
      <c r="H652" s="4">
        <f t="shared" ca="1" si="102"/>
        <v>9.5044887796644257</v>
      </c>
      <c r="I652" s="4">
        <f t="shared" ca="1" si="103"/>
        <v>209.26985876599807</v>
      </c>
      <c r="J652" s="26">
        <f ca="1">RANDBETWEEN(ranges!J$2*1000,ranges!J$3*1000)/1000</f>
        <v>0.66</v>
      </c>
      <c r="K652" s="26">
        <f ca="1">RANDBETWEEN(ranges!K$2*1000,ranges!K$3*1000)/1000</f>
        <v>0.80600000000000005</v>
      </c>
      <c r="L652">
        <f t="shared" ca="1" si="104"/>
        <v>90.488977364664493</v>
      </c>
      <c r="M652">
        <f t="shared" ca="1" si="105"/>
        <v>14.451352103171276</v>
      </c>
      <c r="N652" s="4">
        <f t="shared" ca="1" si="106"/>
        <v>5.3770253516378803</v>
      </c>
      <c r="O652" s="4"/>
      <c r="P652" s="1">
        <f ca="1">LOOKUP(B652,geomorph!$A:$A,geomorph!$G:$G)</f>
        <v>104.88161100000001</v>
      </c>
      <c r="Q652" s="1">
        <f t="shared" ca="1" si="107"/>
        <v>119.33296310317128</v>
      </c>
    </row>
    <row r="653" spans="2:17" x14ac:dyDescent="0.3">
      <c r="B653" s="6">
        <f ca="1">RANDBETWEEN(ranges!B$2,ranges!B$3)</f>
        <v>13765</v>
      </c>
      <c r="C653" s="9">
        <f ca="1">LOOKUP(B653,geomorph!A:A,geomorph!B:B)</f>
        <v>1268.2</v>
      </c>
      <c r="D653">
        <f t="shared" si="100"/>
        <v>1.13E-4</v>
      </c>
      <c r="E653" s="9">
        <f ca="1">'[2]Q_GEV(random)'!$J653</f>
        <v>9077.5930023325836</v>
      </c>
      <c r="F653" s="26">
        <f ca="1">RANDBETWEEN(ranges!F$2*1000,ranges!F$3*1000)/1000</f>
        <v>9.6000000000000002E-2</v>
      </c>
      <c r="G653" s="3">
        <f t="shared" ca="1" si="101"/>
        <v>7.1578560182404853</v>
      </c>
      <c r="H653" s="4">
        <f t="shared" ca="1" si="102"/>
        <v>10.352713124183307</v>
      </c>
      <c r="I653" s="4">
        <f t="shared" ca="1" si="103"/>
        <v>250.44800325910595</v>
      </c>
      <c r="J653" s="26">
        <f ca="1">RANDBETWEEN(ranges!J$2*1000,ranges!J$3*1000)/1000</f>
        <v>0.72399999999999998</v>
      </c>
      <c r="K653" s="26">
        <f ca="1">RANDBETWEEN(ranges!K$2*1000,ranges!K$3*1000)/1000</f>
        <v>0.98299999999999998</v>
      </c>
      <c r="L653">
        <f t="shared" ca="1" si="104"/>
        <v>105.27482915439759</v>
      </c>
      <c r="M653">
        <f t="shared" ca="1" si="105"/>
        <v>15.086577831697593</v>
      </c>
      <c r="N653" s="4">
        <f t="shared" ca="1" si="106"/>
        <v>5.1455051168633537</v>
      </c>
      <c r="O653" s="4"/>
      <c r="P653" s="1">
        <f ca="1">LOOKUP(B653,geomorph!$A:$A,geomorph!$G:$G)</f>
        <v>104.97088100000001</v>
      </c>
      <c r="Q653" s="1">
        <f t="shared" ca="1" si="107"/>
        <v>120.0574588316976</v>
      </c>
    </row>
    <row r="654" spans="2:17" x14ac:dyDescent="0.3">
      <c r="B654" s="6">
        <f ca="1">RANDBETWEEN(ranges!B$2,ranges!B$3)</f>
        <v>12018</v>
      </c>
      <c r="C654" s="9">
        <f ca="1">LOOKUP(B654,geomorph!A:A,geomorph!B:B)</f>
        <v>1347.3</v>
      </c>
      <c r="D654">
        <f t="shared" si="100"/>
        <v>1.13E-4</v>
      </c>
      <c r="E654" s="9">
        <f ca="1">'[2]Q_GEV(random)'!$J654</f>
        <v>9077.3306272746377</v>
      </c>
      <c r="F654" s="26">
        <f ca="1">RANDBETWEEN(ranges!F$2*1000,ranges!F$3*1000)/1000</f>
        <v>0.108</v>
      </c>
      <c r="G654" s="3">
        <f t="shared" ca="1" si="101"/>
        <v>6.7374234597154592</v>
      </c>
      <c r="H654" s="4">
        <f t="shared" ca="1" si="102"/>
        <v>10.341390665949051</v>
      </c>
      <c r="I654" s="4">
        <f t="shared" ca="1" si="103"/>
        <v>226.42007856966092</v>
      </c>
      <c r="J654" s="26">
        <f ca="1">RANDBETWEEN(ranges!J$2*1000,ranges!J$3*1000)/1000</f>
        <v>0.70699999999999996</v>
      </c>
      <c r="K654" s="26">
        <f ca="1">RANDBETWEEN(ranges!K$2*1000,ranges!K$3*1000)/1000</f>
        <v>0.90900000000000003</v>
      </c>
      <c r="L654">
        <f t="shared" ca="1" si="104"/>
        <v>99.944958958914327</v>
      </c>
      <c r="M654">
        <f t="shared" ca="1" si="105"/>
        <v>15.216110282204015</v>
      </c>
      <c r="N654" s="4">
        <f t="shared" ca="1" si="106"/>
        <v>5.298608278538004</v>
      </c>
      <c r="O654" s="4"/>
      <c r="P654" s="1">
        <f ca="1">LOOKUP(B654,geomorph!$A:$A,geomorph!$G:$G)</f>
        <v>105.168631</v>
      </c>
      <c r="Q654" s="1">
        <f t="shared" ca="1" si="107"/>
        <v>120.38474128220402</v>
      </c>
    </row>
    <row r="655" spans="2:17" x14ac:dyDescent="0.3">
      <c r="B655" s="6">
        <f ca="1">RANDBETWEEN(ranges!B$2,ranges!B$3)</f>
        <v>10191</v>
      </c>
      <c r="C655" s="9">
        <f ca="1">LOOKUP(B655,geomorph!A:A,geomorph!B:B)</f>
        <v>1590.7</v>
      </c>
      <c r="D655">
        <f t="shared" si="100"/>
        <v>1.13E-4</v>
      </c>
      <c r="E655" s="9">
        <f ca="1">'[2]Q_GEV(random)'!$J655</f>
        <v>9060.8261113591961</v>
      </c>
      <c r="F655" s="26">
        <f ca="1">RANDBETWEEN(ranges!F$2*1000,ranges!F$3*1000)/1000</f>
        <v>9.9000000000000005E-2</v>
      </c>
      <c r="G655" s="3">
        <f t="shared" ca="1" si="101"/>
        <v>5.6961250464318827</v>
      </c>
      <c r="H655" s="4">
        <f t="shared" ca="1" si="102"/>
        <v>8.9820031837239007</v>
      </c>
      <c r="I655" s="4">
        <f t="shared" ca="1" si="103"/>
        <v>171.46734068110337</v>
      </c>
      <c r="J655" s="26">
        <f ca="1">RANDBETWEEN(ranges!J$2*1000,ranges!J$3*1000)/1000</f>
        <v>0.61799999999999999</v>
      </c>
      <c r="K655" s="26">
        <f ca="1">RANDBETWEEN(ranges!K$2*1000,ranges!K$3*1000)/1000</f>
        <v>0.95899999999999996</v>
      </c>
      <c r="L655">
        <f t="shared" ca="1" si="104"/>
        <v>82.390461732374746</v>
      </c>
      <c r="M655">
        <f t="shared" ca="1" si="105"/>
        <v>14.809611344978801</v>
      </c>
      <c r="N655" s="4">
        <f t="shared" ca="1" si="106"/>
        <v>6.3343566970161964</v>
      </c>
      <c r="O655" s="4"/>
      <c r="P655" s="1">
        <f ca="1">LOOKUP(B655,geomorph!$A:$A,geomorph!$G:$G)</f>
        <v>105.374291</v>
      </c>
      <c r="Q655" s="1">
        <f t="shared" ca="1" si="107"/>
        <v>120.1839023449788</v>
      </c>
    </row>
    <row r="656" spans="2:17" x14ac:dyDescent="0.3">
      <c r="B656" s="6">
        <f ca="1">RANDBETWEEN(ranges!B$2,ranges!B$3)</f>
        <v>11258</v>
      </c>
      <c r="C656" s="9">
        <f ca="1">LOOKUP(B656,geomorph!A:A,geomorph!B:B)</f>
        <v>1634.6</v>
      </c>
      <c r="D656">
        <f t="shared" si="100"/>
        <v>1.13E-4</v>
      </c>
      <c r="E656" s="9">
        <f ca="1">'[2]Q_GEV(random)'!$J656</f>
        <v>9060.0099193258357</v>
      </c>
      <c r="F656" s="26">
        <f ca="1">RANDBETWEEN(ranges!F$2*1000,ranges!F$3*1000)/1000</f>
        <v>0.10199999999999999</v>
      </c>
      <c r="G656" s="3">
        <f t="shared" ca="1" si="101"/>
        <v>5.5426464696719906</v>
      </c>
      <c r="H656" s="4">
        <f t="shared" ca="1" si="102"/>
        <v>8.9081319149286653</v>
      </c>
      <c r="I656" s="4">
        <f t="shared" ca="1" si="103"/>
        <v>163.85133142442655</v>
      </c>
      <c r="J656" s="26">
        <f ca="1">RANDBETWEEN(ranges!J$2*1000,ranges!J$3*1000)/1000</f>
        <v>0.63400000000000001</v>
      </c>
      <c r="K656" s="26">
        <f ca="1">RANDBETWEEN(ranges!K$2*1000,ranges!K$3*1000)/1000</f>
        <v>0.81200000000000006</v>
      </c>
      <c r="L656">
        <f t="shared" ca="1" si="104"/>
        <v>78.248927158095199</v>
      </c>
      <c r="M656">
        <f t="shared" ca="1" si="105"/>
        <v>14.453343685586331</v>
      </c>
      <c r="N656" s="4">
        <f t="shared" ca="1" si="106"/>
        <v>6.0274040985409405</v>
      </c>
      <c r="O656" s="4"/>
      <c r="P656" s="1">
        <f ca="1">LOOKUP(B656,geomorph!$A:$A,geomorph!$G:$G)</f>
        <v>105.25451100000001</v>
      </c>
      <c r="Q656" s="1">
        <f t="shared" ca="1" si="107"/>
        <v>119.70785468558634</v>
      </c>
    </row>
    <row r="657" spans="2:17" x14ac:dyDescent="0.3">
      <c r="B657" s="6">
        <f ca="1">RANDBETWEEN(ranges!B$2,ranges!B$3)</f>
        <v>12261</v>
      </c>
      <c r="C657" s="9">
        <f ca="1">LOOKUP(B657,geomorph!A:A,geomorph!B:B)</f>
        <v>1274</v>
      </c>
      <c r="D657">
        <f t="shared" si="100"/>
        <v>1.13E-4</v>
      </c>
      <c r="E657" s="9">
        <f ca="1">'[2]Q_GEV(random)'!$J657</f>
        <v>9050.7930710203145</v>
      </c>
      <c r="F657" s="26">
        <f ca="1">RANDBETWEEN(ranges!F$2*1000,ranges!F$3*1000)/1000</f>
        <v>0.108</v>
      </c>
      <c r="G657" s="3">
        <f t="shared" ca="1" si="101"/>
        <v>7.1042331797647682</v>
      </c>
      <c r="H657" s="4">
        <f t="shared" ca="1" si="102"/>
        <v>10.713413157601881</v>
      </c>
      <c r="I657" s="4">
        <f t="shared" ca="1" si="103"/>
        <v>248.06113552191735</v>
      </c>
      <c r="J657" s="26">
        <f ca="1">RANDBETWEEN(ranges!J$2*1000,ranges!J$3*1000)/1000</f>
        <v>0.629</v>
      </c>
      <c r="K657" s="26">
        <f ca="1">RANDBETWEEN(ranges!K$2*1000,ranges!K$3*1000)/1000</f>
        <v>0.94699999999999995</v>
      </c>
      <c r="L657">
        <f t="shared" ca="1" si="104"/>
        <v>110.59047058858957</v>
      </c>
      <c r="M657">
        <f t="shared" ca="1" si="105"/>
        <v>15.92082532687453</v>
      </c>
      <c r="N657" s="4">
        <f t="shared" ca="1" si="106"/>
        <v>5.6602306187746185</v>
      </c>
      <c r="O657" s="4"/>
      <c r="P657" s="1">
        <f ca="1">LOOKUP(B657,geomorph!$A:$A,geomorph!$G:$G)</f>
        <v>105.140381</v>
      </c>
      <c r="Q657" s="1">
        <f t="shared" ca="1" si="107"/>
        <v>121.06120632687454</v>
      </c>
    </row>
    <row r="658" spans="2:17" x14ac:dyDescent="0.3">
      <c r="B658" s="6">
        <f ca="1">RANDBETWEEN(ranges!B$2,ranges!B$3)</f>
        <v>11337</v>
      </c>
      <c r="C658" s="9">
        <f ca="1">LOOKUP(B658,geomorph!A:A,geomorph!B:B)</f>
        <v>1586.1</v>
      </c>
      <c r="D658">
        <f t="shared" si="100"/>
        <v>1.13E-4</v>
      </c>
      <c r="E658" s="9">
        <f ca="1">'[2]Q_GEV(random)'!$J658</f>
        <v>9047.9295152481809</v>
      </c>
      <c r="F658" s="26">
        <f ca="1">RANDBETWEEN(ranges!F$2*1000,ranges!F$3*1000)/1000</f>
        <v>9.8000000000000004E-2</v>
      </c>
      <c r="G658" s="3">
        <f t="shared" ca="1" si="101"/>
        <v>5.7045139116374637</v>
      </c>
      <c r="H658" s="4">
        <f t="shared" ca="1" si="102"/>
        <v>8.960445119897372</v>
      </c>
      <c r="I658" s="4">
        <f t="shared" ca="1" si="103"/>
        <v>172.13342660003016</v>
      </c>
      <c r="J658" s="26">
        <f ca="1">RANDBETWEEN(ranges!J$2*1000,ranges!J$3*1000)/1000</f>
        <v>0.72899999999999998</v>
      </c>
      <c r="K658" s="26">
        <f ca="1">RANDBETWEEN(ranges!K$2*1000,ranges!K$3*1000)/1000</f>
        <v>0.90900000000000003</v>
      </c>
      <c r="L658">
        <f t="shared" ca="1" si="104"/>
        <v>78.43014734695106</v>
      </c>
      <c r="M658">
        <f t="shared" ca="1" si="105"/>
        <v>14.056980407890894</v>
      </c>
      <c r="N658" s="4">
        <f t="shared" ca="1" si="106"/>
        <v>5.5397122695581755</v>
      </c>
      <c r="O658" s="4"/>
      <c r="P658" s="1">
        <f ca="1">LOOKUP(B658,geomorph!$A:$A,geomorph!$G:$G)</f>
        <v>105.24547100000001</v>
      </c>
      <c r="Q658" s="1">
        <f t="shared" ca="1" si="107"/>
        <v>119.3024514078909</v>
      </c>
    </row>
    <row r="659" spans="2:17" x14ac:dyDescent="0.3">
      <c r="B659" s="6">
        <f ca="1">RANDBETWEEN(ranges!B$2,ranges!B$3)</f>
        <v>14245</v>
      </c>
      <c r="C659" s="9">
        <f ca="1">LOOKUP(B659,geomorph!A:A,geomorph!B:B)</f>
        <v>1326.5</v>
      </c>
      <c r="D659">
        <f t="shared" si="100"/>
        <v>1.13E-4</v>
      </c>
      <c r="E659" s="9">
        <f ca="1">'[2]Q_GEV(random)'!$J659</f>
        <v>9040.6604554453806</v>
      </c>
      <c r="F659" s="26">
        <f ca="1">RANDBETWEEN(ranges!F$2*1000,ranges!F$3*1000)/1000</f>
        <v>9.9000000000000005E-2</v>
      </c>
      <c r="G659" s="3">
        <f t="shared" ca="1" si="101"/>
        <v>6.8154243915909394</v>
      </c>
      <c r="H659" s="4">
        <f t="shared" ca="1" si="102"/>
        <v>10.123145157320099</v>
      </c>
      <c r="I659" s="4">
        <f t="shared" ca="1" si="103"/>
        <v>231.74197226242606</v>
      </c>
      <c r="J659" s="26">
        <f ca="1">RANDBETWEEN(ranges!J$2*1000,ranges!J$3*1000)/1000</f>
        <v>0.69699999999999995</v>
      </c>
      <c r="K659" s="26">
        <f ca="1">RANDBETWEEN(ranges!K$2*1000,ranges!K$3*1000)/1000</f>
        <v>0.90300000000000002</v>
      </c>
      <c r="L659">
        <f t="shared" ca="1" si="104"/>
        <v>99.730240494381121</v>
      </c>
      <c r="M659">
        <f t="shared" ca="1" si="105"/>
        <v>14.949014533785011</v>
      </c>
      <c r="N659" s="4">
        <f t="shared" ca="1" si="106"/>
        <v>5.2455101918096867</v>
      </c>
      <c r="O659" s="4"/>
      <c r="P659" s="1">
        <f ca="1">LOOKUP(B659,geomorph!$A:$A,geomorph!$G:$G)</f>
        <v>104.916641</v>
      </c>
      <c r="Q659" s="1">
        <f t="shared" ca="1" si="107"/>
        <v>119.865655533785</v>
      </c>
    </row>
    <row r="660" spans="2:17" x14ac:dyDescent="0.3">
      <c r="B660" s="6">
        <f ca="1">RANDBETWEEN(ranges!B$2,ranges!B$3)</f>
        <v>14027</v>
      </c>
      <c r="C660" s="9">
        <f ca="1">LOOKUP(B660,geomorph!A:A,geomorph!B:B)</f>
        <v>1332.3</v>
      </c>
      <c r="D660">
        <f t="shared" si="100"/>
        <v>1.13E-4</v>
      </c>
      <c r="E660" s="9">
        <f ca="1">'[2]Q_GEV(random)'!$J660</f>
        <v>9028.4199557865632</v>
      </c>
      <c r="F660" s="26">
        <f ca="1">RANDBETWEEN(ranges!F$2*1000,ranges!F$3*1000)/1000</f>
        <v>0.11</v>
      </c>
      <c r="G660" s="3">
        <f t="shared" ca="1" si="101"/>
        <v>6.7765668061146611</v>
      </c>
      <c r="H660" s="4">
        <f t="shared" ca="1" si="102"/>
        <v>10.445097728591731</v>
      </c>
      <c r="I660" s="4">
        <f t="shared" ca="1" si="103"/>
        <v>229.85527333970998</v>
      </c>
      <c r="J660" s="26">
        <f ca="1">RANDBETWEEN(ranges!J$2*1000,ranges!J$3*1000)/1000</f>
        <v>0.64700000000000002</v>
      </c>
      <c r="K660" s="26">
        <f ca="1">RANDBETWEEN(ranges!K$2*1000,ranges!K$3*1000)/1000</f>
        <v>0.97099999999999997</v>
      </c>
      <c r="L660">
        <f t="shared" ca="1" si="104"/>
        <v>104.34994246204425</v>
      </c>
      <c r="M660">
        <f t="shared" ca="1" si="105"/>
        <v>15.709873402666515</v>
      </c>
      <c r="N660" s="4">
        <f t="shared" ca="1" si="106"/>
        <v>5.7225822544291125</v>
      </c>
      <c r="O660" s="4"/>
      <c r="P660" s="1">
        <f ca="1">LOOKUP(B660,geomorph!$A:$A,geomorph!$G:$G)</f>
        <v>104.941501</v>
      </c>
      <c r="Q660" s="1">
        <f t="shared" ca="1" si="107"/>
        <v>120.65137440266652</v>
      </c>
    </row>
    <row r="661" spans="2:17" x14ac:dyDescent="0.3">
      <c r="B661" s="6">
        <f ca="1">RANDBETWEEN(ranges!B$2,ranges!B$3)</f>
        <v>14245</v>
      </c>
      <c r="C661" s="9">
        <f ca="1">LOOKUP(B661,geomorph!A:A,geomorph!B:B)</f>
        <v>1326.5</v>
      </c>
      <c r="D661">
        <f t="shared" si="100"/>
        <v>1.13E-4</v>
      </c>
      <c r="E661" s="9">
        <f ca="1">'[2]Q_GEV(random)'!$J661</f>
        <v>9024.0599046745174</v>
      </c>
      <c r="F661" s="26">
        <f ca="1">RANDBETWEEN(ranges!F$2*1000,ranges!F$3*1000)/1000</f>
        <v>0.10100000000000001</v>
      </c>
      <c r="G661" s="3">
        <f t="shared" ca="1" si="101"/>
        <v>6.8029098414432845</v>
      </c>
      <c r="H661" s="4">
        <f t="shared" ca="1" si="102"/>
        <v>10.178381655361303</v>
      </c>
      <c r="I661" s="4">
        <f t="shared" ca="1" si="103"/>
        <v>231.45820076237624</v>
      </c>
      <c r="J661" s="26">
        <f ca="1">RANDBETWEEN(ranges!J$2*1000,ranges!J$3*1000)/1000</f>
        <v>0.61099999999999999</v>
      </c>
      <c r="K661" s="26">
        <f ca="1">RANDBETWEEN(ranges!K$2*1000,ranges!K$3*1000)/1000</f>
        <v>0.97699999999999998</v>
      </c>
      <c r="L661">
        <f t="shared" ca="1" si="104"/>
        <v>104.06584317738728</v>
      </c>
      <c r="M661">
        <f t="shared" ca="1" si="105"/>
        <v>15.598897530152875</v>
      </c>
      <c r="N661" s="4">
        <f t="shared" ca="1" si="106"/>
        <v>5.8918650812951876</v>
      </c>
      <c r="O661" s="4"/>
      <c r="P661" s="1">
        <f ca="1">LOOKUP(B661,geomorph!$A:$A,geomorph!$G:$G)</f>
        <v>104.916641</v>
      </c>
      <c r="Q661" s="1">
        <f t="shared" ca="1" si="107"/>
        <v>120.51553853015287</v>
      </c>
    </row>
    <row r="662" spans="2:17" x14ac:dyDescent="0.3">
      <c r="B662" s="6">
        <f ca="1">RANDBETWEEN(ranges!B$2,ranges!B$3)</f>
        <v>10087</v>
      </c>
      <c r="C662" s="9">
        <f ca="1">LOOKUP(B662,geomorph!A:A,geomorph!B:B)</f>
        <v>1606.9</v>
      </c>
      <c r="D662">
        <f t="shared" si="100"/>
        <v>1.13E-4</v>
      </c>
      <c r="E662" s="9">
        <f ca="1">'[2]Q_GEV(random)'!$J662</f>
        <v>9011.7861680663536</v>
      </c>
      <c r="F662" s="26">
        <f ca="1">RANDBETWEEN(ranges!F$2*1000,ranges!F$3*1000)/1000</f>
        <v>0.107</v>
      </c>
      <c r="G662" s="3">
        <f t="shared" ca="1" si="101"/>
        <v>5.6081810741591589</v>
      </c>
      <c r="H662" s="4">
        <f t="shared" ca="1" si="102"/>
        <v>9.1225812658052465</v>
      </c>
      <c r="I662" s="4">
        <f t="shared" ca="1" si="103"/>
        <v>167.98706840407371</v>
      </c>
      <c r="J662" s="26">
        <f ca="1">RANDBETWEEN(ranges!J$2*1000,ranges!J$3*1000)/1000</f>
        <v>0.64800000000000002</v>
      </c>
      <c r="K662" s="26">
        <f ca="1">RANDBETWEEN(ranges!K$2*1000,ranges!K$3*1000)/1000</f>
        <v>0.83799999999999997</v>
      </c>
      <c r="L662">
        <f t="shared" ca="1" si="104"/>
        <v>80.419924036995596</v>
      </c>
      <c r="M662">
        <f t="shared" ca="1" si="105"/>
        <v>14.60262568066045</v>
      </c>
      <c r="N662" s="4">
        <f t="shared" ca="1" si="106"/>
        <v>5.9565700161469604</v>
      </c>
      <c r="O662" s="4"/>
      <c r="P662" s="1">
        <f ca="1">LOOKUP(B662,geomorph!$A:$A,geomorph!$G:$G)</f>
        <v>105.38672100000001</v>
      </c>
      <c r="Q662" s="1">
        <f t="shared" ca="1" si="107"/>
        <v>119.98934668066046</v>
      </c>
    </row>
    <row r="663" spans="2:17" x14ac:dyDescent="0.3">
      <c r="B663" s="6">
        <f ca="1">RANDBETWEEN(ranges!B$2,ranges!B$3)</f>
        <v>14060</v>
      </c>
      <c r="C663" s="9">
        <f ca="1">LOOKUP(B663,geomorph!A:A,geomorph!B:B)</f>
        <v>1342.1</v>
      </c>
      <c r="D663">
        <f t="shared" si="100"/>
        <v>1.13E-4</v>
      </c>
      <c r="E663" s="9">
        <f ca="1">'[2]Q_GEV(random)'!$J663</f>
        <v>9007.1391666401578</v>
      </c>
      <c r="F663" s="26">
        <f ca="1">RANDBETWEEN(ranges!F$2*1000,ranges!F$3*1000)/1000</f>
        <v>9.4E-2</v>
      </c>
      <c r="G663" s="3">
        <f t="shared" ca="1" si="101"/>
        <v>6.7112280505477671</v>
      </c>
      <c r="H663" s="4">
        <f t="shared" ca="1" si="102"/>
        <v>9.8480991461245502</v>
      </c>
      <c r="I663" s="4">
        <f t="shared" ca="1" si="103"/>
        <v>226.7078047543115</v>
      </c>
      <c r="J663" s="26">
        <f ca="1">RANDBETWEEN(ranges!J$2*1000,ranges!J$3*1000)/1000</f>
        <v>0.8</v>
      </c>
      <c r="K663" s="26">
        <f ca="1">RANDBETWEEN(ranges!K$2*1000,ranges!K$3*1000)/1000</f>
        <v>0.91200000000000003</v>
      </c>
      <c r="L663">
        <f t="shared" ca="1" si="104"/>
        <v>94.014970125724133</v>
      </c>
      <c r="M663">
        <f t="shared" ca="1" si="105"/>
        <v>14.258056528847982</v>
      </c>
      <c r="N663" s="4">
        <f t="shared" ca="1" si="106"/>
        <v>4.7934319377428602</v>
      </c>
      <c r="O663" s="4"/>
      <c r="P663" s="1">
        <f ca="1">LOOKUP(B663,geomorph!$A:$A,geomorph!$G:$G)</f>
        <v>104.936981</v>
      </c>
      <c r="Q663" s="1">
        <f t="shared" ca="1" si="107"/>
        <v>119.19503752884799</v>
      </c>
    </row>
    <row r="664" spans="2:17" x14ac:dyDescent="0.3">
      <c r="B664" s="6">
        <f ca="1">RANDBETWEEN(ranges!B$2,ranges!B$3)</f>
        <v>10392</v>
      </c>
      <c r="C664" s="9">
        <f ca="1">LOOKUP(B664,geomorph!A:A,geomorph!B:B)</f>
        <v>1726.3</v>
      </c>
      <c r="D664">
        <f t="shared" si="100"/>
        <v>1.13E-4</v>
      </c>
      <c r="E664" s="9">
        <f ca="1">'[2]Q_GEV(random)'!$J664</f>
        <v>8969.560875750145</v>
      </c>
      <c r="F664" s="26">
        <f ca="1">RANDBETWEEN(ranges!F$2*1000,ranges!F$3*1000)/1000</f>
        <v>9.8000000000000004E-2</v>
      </c>
      <c r="G664" s="3">
        <f t="shared" ca="1" si="101"/>
        <v>5.1958297374443294</v>
      </c>
      <c r="H664" s="4">
        <f t="shared" ca="1" si="102"/>
        <v>8.4195154069635247</v>
      </c>
      <c r="I664" s="4">
        <f t="shared" ca="1" si="103"/>
        <v>148.60623131556912</v>
      </c>
      <c r="J664" s="26">
        <f ca="1">RANDBETWEEN(ranges!J$2*1000,ranges!J$3*1000)/1000</f>
        <v>0.629</v>
      </c>
      <c r="K664" s="26">
        <f ca="1">RANDBETWEEN(ranges!K$2*1000,ranges!K$3*1000)/1000</f>
        <v>0.81299999999999994</v>
      </c>
      <c r="L664">
        <f t="shared" ca="1" si="104"/>
        <v>72.445662481823859</v>
      </c>
      <c r="M664">
        <f t="shared" ca="1" si="105"/>
        <v>14.132113027088094</v>
      </c>
      <c r="N664" s="4">
        <f t="shared" ca="1" si="106"/>
        <v>6.2093452392658355</v>
      </c>
      <c r="O664" s="4"/>
      <c r="P664" s="1">
        <f ca="1">LOOKUP(B664,geomorph!$A:$A,geomorph!$G:$G)</f>
        <v>105.351691</v>
      </c>
      <c r="Q664" s="1">
        <f t="shared" ca="1" si="107"/>
        <v>119.4838040270881</v>
      </c>
    </row>
    <row r="665" spans="2:17" x14ac:dyDescent="0.3">
      <c r="B665" s="6">
        <f ca="1">RANDBETWEEN(ranges!B$2,ranges!B$3)</f>
        <v>14397</v>
      </c>
      <c r="C665" s="9">
        <f ca="1">LOOKUP(B665,geomorph!A:A,geomorph!B:B)</f>
        <v>1373.5</v>
      </c>
      <c r="D665">
        <f t="shared" si="100"/>
        <v>1.13E-4</v>
      </c>
      <c r="E665" s="9">
        <f ca="1">'[2]Q_GEV(random)'!$J665</f>
        <v>8964.4692621119393</v>
      </c>
      <c r="F665" s="26">
        <f ca="1">RANDBETWEEN(ranges!F$2*1000,ranges!F$3*1000)/1000</f>
        <v>9.2999999999999999E-2</v>
      </c>
      <c r="G665" s="3">
        <f t="shared" ca="1" si="101"/>
        <v>6.5267340823530686</v>
      </c>
      <c r="H665" s="4">
        <f t="shared" ca="1" si="102"/>
        <v>9.6323752234434146</v>
      </c>
      <c r="I665" s="4">
        <f t="shared" ca="1" si="103"/>
        <v>217.44627164568647</v>
      </c>
      <c r="J665" s="26">
        <f ca="1">RANDBETWEEN(ranges!J$2*1000,ranges!J$3*1000)/1000</f>
        <v>0.68300000000000005</v>
      </c>
      <c r="K665" s="26">
        <f ca="1">RANDBETWEEN(ranges!K$2*1000,ranges!K$3*1000)/1000</f>
        <v>0.83299999999999996</v>
      </c>
      <c r="L665">
        <f t="shared" ca="1" si="104"/>
        <v>93.020437280308855</v>
      </c>
      <c r="M665">
        <f t="shared" ca="1" si="105"/>
        <v>14.437283478308975</v>
      </c>
      <c r="N665" s="4">
        <f t="shared" ca="1" si="106"/>
        <v>5.2227263639843047</v>
      </c>
      <c r="O665" s="4"/>
      <c r="P665" s="1">
        <f ca="1">LOOKUP(B665,geomorph!$A:$A,geomorph!$G:$G)</f>
        <v>104.899691</v>
      </c>
      <c r="Q665" s="1">
        <f t="shared" ca="1" si="107"/>
        <v>119.33697447830897</v>
      </c>
    </row>
    <row r="666" spans="2:17" x14ac:dyDescent="0.3">
      <c r="B666" s="6">
        <f ca="1">RANDBETWEEN(ranges!B$2,ranges!B$3)</f>
        <v>14782</v>
      </c>
      <c r="C666" s="9">
        <f ca="1">LOOKUP(B666,geomorph!A:A,geomorph!B:B)</f>
        <v>1486.7</v>
      </c>
      <c r="D666">
        <f t="shared" si="100"/>
        <v>1.13E-4</v>
      </c>
      <c r="E666" s="9">
        <f ca="1">'[2]Q_GEV(random)'!$J666</f>
        <v>8957.6296964060257</v>
      </c>
      <c r="F666" s="26">
        <f ca="1">RANDBETWEEN(ranges!F$2*1000,ranges!F$3*1000)/1000</f>
        <v>0.10199999999999999</v>
      </c>
      <c r="G666" s="3">
        <f t="shared" ca="1" si="101"/>
        <v>6.0251763613412423</v>
      </c>
      <c r="H666" s="4">
        <f t="shared" ca="1" si="102"/>
        <v>9.417920705923402</v>
      </c>
      <c r="I666" s="4">
        <f t="shared" ca="1" si="103"/>
        <v>190.46120069678878</v>
      </c>
      <c r="J666" s="26">
        <f ca="1">RANDBETWEEN(ranges!J$2*1000,ranges!J$3*1000)/1000</f>
        <v>0.71099999999999997</v>
      </c>
      <c r="K666" s="26">
        <f ca="1">RANDBETWEEN(ranges!K$2*1000,ranges!K$3*1000)/1000</f>
        <v>0.95199999999999996</v>
      </c>
      <c r="L666">
        <f t="shared" ca="1" si="104"/>
        <v>86.483437315866809</v>
      </c>
      <c r="M666">
        <f t="shared" ca="1" si="105"/>
        <v>14.528966667097407</v>
      </c>
      <c r="N666" s="4">
        <f t="shared" ca="1" si="106"/>
        <v>5.5554847404065271</v>
      </c>
      <c r="O666" s="4"/>
      <c r="P666" s="1">
        <f ca="1">LOOKUP(B666,geomorph!$A:$A,geomorph!$G:$G)</f>
        <v>104.855621</v>
      </c>
      <c r="Q666" s="1">
        <f t="shared" ca="1" si="107"/>
        <v>119.38458766709741</v>
      </c>
    </row>
    <row r="667" spans="2:17" x14ac:dyDescent="0.3">
      <c r="B667" s="6">
        <f ca="1">RANDBETWEEN(ranges!B$2,ranges!B$3)</f>
        <v>13307</v>
      </c>
      <c r="C667" s="9">
        <f ca="1">LOOKUP(B667,geomorph!A:A,geomorph!B:B)</f>
        <v>1174.2</v>
      </c>
      <c r="D667">
        <f t="shared" si="100"/>
        <v>1.13E-4</v>
      </c>
      <c r="E667" s="9">
        <f ca="1">'[2]Q_GEV(random)'!$J667</f>
        <v>8942.0952030684803</v>
      </c>
      <c r="F667" s="26">
        <f ca="1">RANDBETWEEN(ranges!F$2*1000,ranges!F$3*1000)/1000</f>
        <v>0.10299999999999999</v>
      </c>
      <c r="G667" s="3">
        <f t="shared" ca="1" si="101"/>
        <v>7.615478796685812</v>
      </c>
      <c r="H667" s="4">
        <f t="shared" ca="1" si="102"/>
        <v>11.045507639973787</v>
      </c>
      <c r="I667" s="4">
        <f t="shared" ca="1" si="103"/>
        <v>281.90714484824093</v>
      </c>
      <c r="J667" s="26">
        <f ca="1">RANDBETWEEN(ranges!J$2*1000,ranges!J$3*1000)/1000</f>
        <v>0.66500000000000004</v>
      </c>
      <c r="K667" s="26">
        <f ca="1">RANDBETWEEN(ranges!K$2*1000,ranges!K$3*1000)/1000</f>
        <v>0.86299999999999999</v>
      </c>
      <c r="L667">
        <f t="shared" ca="1" si="104"/>
        <v>118.32647070143312</v>
      </c>
      <c r="M667">
        <f t="shared" ca="1" si="105"/>
        <v>15.700100434431373</v>
      </c>
      <c r="N667" s="4">
        <f t="shared" ca="1" si="106"/>
        <v>5.0593399939756374</v>
      </c>
      <c r="O667" s="4"/>
      <c r="P667" s="1">
        <f ca="1">LOOKUP(B667,geomorph!$A:$A,geomorph!$G:$G)</f>
        <v>105.02286100000001</v>
      </c>
      <c r="Q667" s="1">
        <f t="shared" ca="1" si="107"/>
        <v>120.72296143443138</v>
      </c>
    </row>
    <row r="668" spans="2:17" x14ac:dyDescent="0.3">
      <c r="B668" s="6">
        <f ca="1">RANDBETWEEN(ranges!B$2,ranges!B$3)</f>
        <v>10444</v>
      </c>
      <c r="C668" s="9">
        <f ca="1">LOOKUP(B668,geomorph!A:A,geomorph!B:B)</f>
        <v>1759.3</v>
      </c>
      <c r="D668">
        <f t="shared" si="100"/>
        <v>1.13E-4</v>
      </c>
      <c r="E668" s="9">
        <f ca="1">'[2]Q_GEV(random)'!$J668</f>
        <v>8939.0152606729389</v>
      </c>
      <c r="F668" s="26">
        <f ca="1">RANDBETWEEN(ranges!F$2*1000,ranges!F$3*1000)/1000</f>
        <v>9.6000000000000002E-2</v>
      </c>
      <c r="G668" s="3">
        <f t="shared" ca="1" si="101"/>
        <v>5.0810067985408622</v>
      </c>
      <c r="H668" s="4">
        <f t="shared" ca="1" si="102"/>
        <v>8.2381948240052374</v>
      </c>
      <c r="I668" s="4">
        <f t="shared" ca="1" si="103"/>
        <v>143.66245981585288</v>
      </c>
      <c r="J668" s="26">
        <f ca="1">RANDBETWEEN(ranges!J$2*1000,ranges!J$3*1000)/1000</f>
        <v>0.72099999999999997</v>
      </c>
      <c r="K668" s="26">
        <f ca="1">RANDBETWEEN(ranges!K$2*1000,ranges!K$3*1000)/1000</f>
        <v>0.81599999999999995</v>
      </c>
      <c r="L668">
        <f t="shared" ca="1" si="104"/>
        <v>67.702586497201395</v>
      </c>
      <c r="M668">
        <f t="shared" ca="1" si="105"/>
        <v>13.459335127971485</v>
      </c>
      <c r="N668" s="4">
        <f t="shared" ca="1" si="106"/>
        <v>5.6751525043111384</v>
      </c>
      <c r="O668" s="4"/>
      <c r="P668" s="1">
        <f ca="1">LOOKUP(B668,geomorph!$A:$A,geomorph!$G:$G)</f>
        <v>105.346041</v>
      </c>
      <c r="Q668" s="1">
        <f t="shared" ca="1" si="107"/>
        <v>118.80537612797148</v>
      </c>
    </row>
    <row r="669" spans="2:17" x14ac:dyDescent="0.3">
      <c r="B669" s="6">
        <f ca="1">RANDBETWEEN(ranges!B$2,ranges!B$3)</f>
        <v>11355</v>
      </c>
      <c r="C669" s="9">
        <f ca="1">LOOKUP(B669,geomorph!A:A,geomorph!B:B)</f>
        <v>1572.9</v>
      </c>
      <c r="D669">
        <f t="shared" si="100"/>
        <v>1.13E-4</v>
      </c>
      <c r="E669" s="9">
        <f ca="1">'[2]Q_GEV(random)'!$J669</f>
        <v>8932.4299879134996</v>
      </c>
      <c r="F669" s="26">
        <f ca="1">RANDBETWEEN(ranges!F$2*1000,ranges!F$3*1000)/1000</f>
        <v>9.0999999999999998E-2</v>
      </c>
      <c r="G669" s="3">
        <f t="shared" ca="1" si="101"/>
        <v>5.6789560607244578</v>
      </c>
      <c r="H669" s="4">
        <f t="shared" ca="1" si="102"/>
        <v>8.715679795846718</v>
      </c>
      <c r="I669" s="4">
        <f t="shared" ca="1" si="103"/>
        <v>173.05915418588074</v>
      </c>
      <c r="J669" s="26">
        <f ca="1">RANDBETWEEN(ranges!J$2*1000,ranges!J$3*1000)/1000</f>
        <v>0.64500000000000002</v>
      </c>
      <c r="K669" s="26">
        <f ca="1">RANDBETWEEN(ranges!K$2*1000,ranges!K$3*1000)/1000</f>
        <v>0.83299999999999996</v>
      </c>
      <c r="L669">
        <f t="shared" ca="1" si="104"/>
        <v>79.051610027241551</v>
      </c>
      <c r="M669">
        <f t="shared" ca="1" si="105"/>
        <v>14.050451347538852</v>
      </c>
      <c r="N669" s="4">
        <f t="shared" ca="1" si="106"/>
        <v>5.7986647301001453</v>
      </c>
      <c r="O669" s="4"/>
      <c r="P669" s="1">
        <f ca="1">LOOKUP(B669,geomorph!$A:$A,geomorph!$G:$G)</f>
        <v>105.243211</v>
      </c>
      <c r="Q669" s="1">
        <f t="shared" ca="1" si="107"/>
        <v>119.29366234753886</v>
      </c>
    </row>
    <row r="670" spans="2:17" x14ac:dyDescent="0.3">
      <c r="B670" s="6">
        <f ca="1">RANDBETWEEN(ranges!B$2,ranges!B$3)</f>
        <v>13251</v>
      </c>
      <c r="C670" s="9">
        <f ca="1">LOOKUP(B670,geomorph!A:A,geomorph!B:B)</f>
        <v>1168.7</v>
      </c>
      <c r="D670">
        <f t="shared" si="100"/>
        <v>1.13E-4</v>
      </c>
      <c r="E670" s="9">
        <f ca="1">'[2]Q_GEV(random)'!$J670</f>
        <v>8915.985284325061</v>
      </c>
      <c r="F670" s="26">
        <f ca="1">RANDBETWEEN(ranges!F$2*1000,ranges!F$3*1000)/1000</f>
        <v>9.0999999999999998E-2</v>
      </c>
      <c r="G670" s="3">
        <f t="shared" ca="1" si="101"/>
        <v>7.6289768839950893</v>
      </c>
      <c r="H670" s="4">
        <f t="shared" ca="1" si="102"/>
        <v>10.61124788559577</v>
      </c>
      <c r="I670" s="4">
        <f t="shared" ca="1" si="103"/>
        <v>283.5684039914413</v>
      </c>
      <c r="J670" s="26">
        <f ca="1">RANDBETWEEN(ranges!J$2*1000,ranges!J$3*1000)/1000</f>
        <v>0.74</v>
      </c>
      <c r="K670" s="26">
        <f ca="1">RANDBETWEEN(ranges!K$2*1000,ranges!K$3*1000)/1000</f>
        <v>0.92500000000000004</v>
      </c>
      <c r="L670">
        <f t="shared" ca="1" si="104"/>
        <v>113.42769771546887</v>
      </c>
      <c r="M670">
        <f t="shared" ca="1" si="105"/>
        <v>14.979613386167735</v>
      </c>
      <c r="N670" s="4">
        <f t="shared" ca="1" si="106"/>
        <v>4.7482233701869188</v>
      </c>
      <c r="O670" s="4"/>
      <c r="P670" s="1">
        <f ca="1">LOOKUP(B670,geomorph!$A:$A,geomorph!$G:$G)</f>
        <v>105.02851100000001</v>
      </c>
      <c r="Q670" s="1">
        <f t="shared" ca="1" si="107"/>
        <v>120.00812438616774</v>
      </c>
    </row>
    <row r="671" spans="2:17" x14ac:dyDescent="0.3">
      <c r="B671" s="6">
        <f ca="1">RANDBETWEEN(ranges!B$2,ranges!B$3)</f>
        <v>14105</v>
      </c>
      <c r="C671" s="9">
        <f ca="1">LOOKUP(B671,geomorph!A:A,geomorph!B:B)</f>
        <v>1352</v>
      </c>
      <c r="D671">
        <f t="shared" si="100"/>
        <v>1.13E-4</v>
      </c>
      <c r="E671" s="9">
        <f ca="1">'[2]Q_GEV(random)'!$J671</f>
        <v>8900.0229601126684</v>
      </c>
      <c r="F671" s="26">
        <f ca="1">RANDBETWEEN(ranges!F$2*1000,ranges!F$3*1000)/1000</f>
        <v>9.8000000000000004E-2</v>
      </c>
      <c r="G671" s="3">
        <f t="shared" ca="1" si="101"/>
        <v>6.5828572190182459</v>
      </c>
      <c r="H671" s="4">
        <f t="shared" ca="1" si="102"/>
        <v>9.8581051340427042</v>
      </c>
      <c r="I671" s="4">
        <f t="shared" ca="1" si="103"/>
        <v>222.16873843534833</v>
      </c>
      <c r="J671" s="26">
        <f ca="1">RANDBETWEEN(ranges!J$2*1000,ranges!J$3*1000)/1000</f>
        <v>0.746</v>
      </c>
      <c r="K671" s="26">
        <f ca="1">RANDBETWEEN(ranges!K$2*1000,ranges!K$3*1000)/1000</f>
        <v>0.997</v>
      </c>
      <c r="L671">
        <f t="shared" ca="1" si="104"/>
        <v>95.844969966824337</v>
      </c>
      <c r="M671">
        <f t="shared" ca="1" si="105"/>
        <v>14.642811131651555</v>
      </c>
      <c r="N671" s="4">
        <f t="shared" ca="1" si="106"/>
        <v>5.2007673887052732</v>
      </c>
      <c r="O671" s="4"/>
      <c r="P671" s="1">
        <f ca="1">LOOKUP(B671,geomorph!$A:$A,geomorph!$G:$G)</f>
        <v>104.932461</v>
      </c>
      <c r="Q671" s="1">
        <f t="shared" ca="1" si="107"/>
        <v>119.57527213165156</v>
      </c>
    </row>
    <row r="672" spans="2:17" x14ac:dyDescent="0.3">
      <c r="B672" s="6">
        <f ca="1">RANDBETWEEN(ranges!B$2,ranges!B$3)</f>
        <v>11545</v>
      </c>
      <c r="C672" s="9">
        <f ca="1">LOOKUP(B672,geomorph!A:A,geomorph!B:B)</f>
        <v>1479.1</v>
      </c>
      <c r="D672">
        <f t="shared" si="100"/>
        <v>1.13E-4</v>
      </c>
      <c r="E672" s="9">
        <f ca="1">'[2]Q_GEV(random)'!$J672</f>
        <v>8893.8311597691372</v>
      </c>
      <c r="F672" s="26">
        <f ca="1">RANDBETWEEN(ranges!F$2*1000,ranges!F$3*1000)/1000</f>
        <v>0.11</v>
      </c>
      <c r="G672" s="3">
        <f t="shared" ca="1" si="101"/>
        <v>6.013001933452192</v>
      </c>
      <c r="H672" s="4">
        <f t="shared" ca="1" si="102"/>
        <v>9.6449560724764716</v>
      </c>
      <c r="I672" s="4">
        <f t="shared" ca="1" si="103"/>
        <v>191.18187158897956</v>
      </c>
      <c r="J672" s="26">
        <f ca="1">RANDBETWEEN(ranges!J$2*1000,ranges!J$3*1000)/1000</f>
        <v>0.68200000000000005</v>
      </c>
      <c r="K672" s="26">
        <f ca="1">RANDBETWEEN(ranges!K$2*1000,ranges!K$3*1000)/1000</f>
        <v>0.91100000000000003</v>
      </c>
      <c r="L672">
        <f t="shared" ca="1" si="104"/>
        <v>88.858904394525339</v>
      </c>
      <c r="M672">
        <f t="shared" ca="1" si="105"/>
        <v>14.851726220363494</v>
      </c>
      <c r="N672" s="4">
        <f t="shared" ca="1" si="106"/>
        <v>5.6595327694424151</v>
      </c>
      <c r="O672" s="4"/>
      <c r="P672" s="1">
        <f ca="1">LOOKUP(B672,geomorph!$A:$A,geomorph!$G:$G)</f>
        <v>105.22174100000001</v>
      </c>
      <c r="Q672" s="1">
        <f t="shared" ca="1" si="107"/>
        <v>120.0734672203635</v>
      </c>
    </row>
    <row r="673" spans="2:17" x14ac:dyDescent="0.3">
      <c r="B673" s="6">
        <f ca="1">RANDBETWEEN(ranges!B$2,ranges!B$3)</f>
        <v>11386</v>
      </c>
      <c r="C673" s="9">
        <f ca="1">LOOKUP(B673,geomorph!A:A,geomorph!B:B)</f>
        <v>1552</v>
      </c>
      <c r="D673">
        <f t="shared" si="100"/>
        <v>1.13E-4</v>
      </c>
      <c r="E673" s="9">
        <f ca="1">'[2]Q_GEV(random)'!$J673</f>
        <v>8892.0515197240184</v>
      </c>
      <c r="F673" s="26">
        <f ca="1">RANDBETWEEN(ranges!F$2*1000,ranges!F$3*1000)/1000</f>
        <v>0.10100000000000001</v>
      </c>
      <c r="G673" s="3">
        <f t="shared" ca="1" si="101"/>
        <v>5.7294146389974347</v>
      </c>
      <c r="H673" s="4">
        <f t="shared" ca="1" si="102"/>
        <v>9.0772805183629242</v>
      </c>
      <c r="I673" s="4">
        <f t="shared" ca="1" si="103"/>
        <v>176.42703502928802</v>
      </c>
      <c r="J673" s="26">
        <f ca="1">RANDBETWEEN(ranges!J$2*1000,ranges!J$3*1000)/1000</f>
        <v>0.627</v>
      </c>
      <c r="K673" s="26">
        <f ca="1">RANDBETWEEN(ranges!K$2*1000,ranges!K$3*1000)/1000</f>
        <v>0.96099999999999997</v>
      </c>
      <c r="L673">
        <f t="shared" ca="1" si="104"/>
        <v>84.21572029595562</v>
      </c>
      <c r="M673">
        <f t="shared" ca="1" si="105"/>
        <v>14.769416162623513</v>
      </c>
      <c r="N673" s="4">
        <f t="shared" ca="1" si="106"/>
        <v>6.1871039611528129</v>
      </c>
      <c r="O673" s="4"/>
      <c r="P673" s="1">
        <f ca="1">LOOKUP(B673,geomorph!$A:$A,geomorph!$G:$G)</f>
        <v>105.23982100000001</v>
      </c>
      <c r="Q673" s="1">
        <f t="shared" ca="1" si="107"/>
        <v>120.00923716262352</v>
      </c>
    </row>
    <row r="674" spans="2:17" x14ac:dyDescent="0.3">
      <c r="B674" s="6">
        <f ca="1">RANDBETWEEN(ranges!B$2,ranges!B$3)</f>
        <v>11036</v>
      </c>
      <c r="C674" s="9">
        <f ca="1">LOOKUP(B674,geomorph!A:A,geomorph!B:B)</f>
        <v>1687.3</v>
      </c>
      <c r="D674">
        <f t="shared" si="100"/>
        <v>1.13E-4</v>
      </c>
      <c r="E674" s="9">
        <f ca="1">'[2]Q_GEV(random)'!$J674</f>
        <v>8890.9586706686314</v>
      </c>
      <c r="F674" s="26">
        <f ca="1">RANDBETWEEN(ranges!F$2*1000,ranges!F$3*1000)/1000</f>
        <v>0.106</v>
      </c>
      <c r="G674" s="3">
        <f t="shared" ca="1" si="101"/>
        <v>5.269340763746003</v>
      </c>
      <c r="H674" s="4">
        <f t="shared" ca="1" si="102"/>
        <v>8.7239789366665867</v>
      </c>
      <c r="I674" s="4">
        <f t="shared" ca="1" si="103"/>
        <v>153.4717930180924</v>
      </c>
      <c r="J674" s="26">
        <f ca="1">RANDBETWEEN(ranges!J$2*1000,ranges!J$3*1000)/1000</f>
        <v>0.70699999999999996</v>
      </c>
      <c r="K674" s="26">
        <f ca="1">RANDBETWEEN(ranges!K$2*1000,ranges!K$3*1000)/1000</f>
        <v>0.91700000000000004</v>
      </c>
      <c r="L674">
        <f t="shared" ca="1" si="104"/>
        <v>74.109242607064758</v>
      </c>
      <c r="M674">
        <f t="shared" ca="1" si="105"/>
        <v>14.130031330751741</v>
      </c>
      <c r="N674" s="4">
        <f t="shared" ca="1" si="106"/>
        <v>5.8761439066142982</v>
      </c>
      <c r="O674" s="4"/>
      <c r="P674" s="1">
        <f ca="1">LOOKUP(B674,geomorph!$A:$A,geomorph!$G:$G)</f>
        <v>105.279371</v>
      </c>
      <c r="Q674" s="1">
        <f t="shared" ca="1" si="107"/>
        <v>119.40940233075173</v>
      </c>
    </row>
    <row r="675" spans="2:17" x14ac:dyDescent="0.3">
      <c r="B675" s="6">
        <f ca="1">RANDBETWEEN(ranges!B$2,ranges!B$3)</f>
        <v>12331</v>
      </c>
      <c r="C675" s="9">
        <f ca="1">LOOKUP(B675,geomorph!A:A,geomorph!B:B)</f>
        <v>1254.9000000000001</v>
      </c>
      <c r="D675">
        <f t="shared" si="100"/>
        <v>1.13E-4</v>
      </c>
      <c r="E675" s="9">
        <f ca="1">'[2]Q_GEV(random)'!$J675</f>
        <v>8888.7634658222469</v>
      </c>
      <c r="F675" s="26">
        <f ca="1">RANDBETWEEN(ranges!F$2*1000,ranges!F$3*1000)/1000</f>
        <v>0.106</v>
      </c>
      <c r="G675" s="3">
        <f t="shared" ca="1" si="101"/>
        <v>7.0832444543965627</v>
      </c>
      <c r="H675" s="4">
        <f t="shared" ca="1" si="102"/>
        <v>10.625888111584297</v>
      </c>
      <c r="I675" s="4">
        <f t="shared" ca="1" si="103"/>
        <v>251.34044777984658</v>
      </c>
      <c r="J675" s="26">
        <f ca="1">RANDBETWEEN(ranges!J$2*1000,ranges!J$3*1000)/1000</f>
        <v>0.73499999999999999</v>
      </c>
      <c r="K675" s="26">
        <f ca="1">RANDBETWEEN(ranges!K$2*1000,ranges!K$3*1000)/1000</f>
        <v>0.92600000000000005</v>
      </c>
      <c r="L675">
        <f t="shared" ca="1" si="104"/>
        <v>107.38327351051825</v>
      </c>
      <c r="M675">
        <f t="shared" ca="1" si="105"/>
        <v>15.227345501903477</v>
      </c>
      <c r="N675" s="4">
        <f t="shared" ca="1" si="106"/>
        <v>5.0015841199121516</v>
      </c>
      <c r="O675" s="4"/>
      <c r="P675" s="1">
        <f ca="1">LOOKUP(B675,geomorph!$A:$A,geomorph!$G:$G)</f>
        <v>105.13247100000001</v>
      </c>
      <c r="Q675" s="1">
        <f t="shared" ca="1" si="107"/>
        <v>120.35981650190348</v>
      </c>
    </row>
    <row r="676" spans="2:17" x14ac:dyDescent="0.3">
      <c r="B676" s="6">
        <f ca="1">RANDBETWEEN(ranges!B$2,ranges!B$3)</f>
        <v>11903</v>
      </c>
      <c r="C676" s="9">
        <f ca="1">LOOKUP(B676,geomorph!A:A,geomorph!B:B)</f>
        <v>1381.1</v>
      </c>
      <c r="D676">
        <f t="shared" si="100"/>
        <v>1.13E-4</v>
      </c>
      <c r="E676" s="9">
        <f ca="1">'[2]Q_GEV(random)'!$J676</f>
        <v>8887.110490085468</v>
      </c>
      <c r="F676" s="26">
        <f ca="1">RANDBETWEEN(ranges!F$2*1000,ranges!F$3*1000)/1000</f>
        <v>9.2999999999999999E-2</v>
      </c>
      <c r="G676" s="3">
        <f t="shared" ca="1" si="101"/>
        <v>6.4348059445988479</v>
      </c>
      <c r="H676" s="4">
        <f t="shared" ca="1" si="102"/>
        <v>9.5417144545758887</v>
      </c>
      <c r="I676" s="4">
        <f t="shared" ca="1" si="103"/>
        <v>214.21433395909159</v>
      </c>
      <c r="J676" s="26">
        <f ca="1">RANDBETWEEN(ranges!J$2*1000,ranges!J$3*1000)/1000</f>
        <v>0.77700000000000002</v>
      </c>
      <c r="K676" s="26">
        <f ca="1">RANDBETWEEN(ranges!K$2*1000,ranges!K$3*1000)/1000</f>
        <v>0.94599999999999995</v>
      </c>
      <c r="L676">
        <f t="shared" ca="1" si="104"/>
        <v>90.555221536385901</v>
      </c>
      <c r="M676">
        <f t="shared" ca="1" si="105"/>
        <v>14.132437260420989</v>
      </c>
      <c r="N676" s="4">
        <f t="shared" ca="1" si="106"/>
        <v>4.9899160933098914</v>
      </c>
      <c r="O676" s="4"/>
      <c r="P676" s="1">
        <f ca="1">LOOKUP(B676,geomorph!$A:$A,geomorph!$G:$G)</f>
        <v>105.181061</v>
      </c>
      <c r="Q676" s="1">
        <f t="shared" ca="1" si="107"/>
        <v>119.31349826042099</v>
      </c>
    </row>
    <row r="677" spans="2:17" x14ac:dyDescent="0.3">
      <c r="B677" s="6">
        <f ca="1">RANDBETWEEN(ranges!B$2,ranges!B$3)</f>
        <v>12841</v>
      </c>
      <c r="C677" s="9">
        <f ca="1">LOOKUP(B677,geomorph!A:A,geomorph!B:B)</f>
        <v>1133.5</v>
      </c>
      <c r="D677">
        <f t="shared" si="100"/>
        <v>1.13E-4</v>
      </c>
      <c r="E677" s="9">
        <f ca="1">'[2]Q_GEV(random)'!$J677</f>
        <v>8880.6925258451683</v>
      </c>
      <c r="F677" s="26">
        <f ca="1">RANDBETWEEN(ranges!F$2*1000,ranges!F$3*1000)/1000</f>
        <v>9.0999999999999998E-2</v>
      </c>
      <c r="G677" s="3">
        <f t="shared" ca="1" si="101"/>
        <v>7.8347530003045156</v>
      </c>
      <c r="H677" s="4">
        <f t="shared" ca="1" si="102"/>
        <v>10.801211421680618</v>
      </c>
      <c r="I677" s="4">
        <f t="shared" ca="1" si="103"/>
        <v>297.60852360063285</v>
      </c>
      <c r="J677" s="26">
        <f ca="1">RANDBETWEEN(ranges!J$2*1000,ranges!J$3*1000)/1000</f>
        <v>0.67400000000000004</v>
      </c>
      <c r="K677" s="26">
        <f ca="1">RANDBETWEEN(ranges!K$2*1000,ranges!K$3*1000)/1000</f>
        <v>0.96499999999999997</v>
      </c>
      <c r="L677">
        <f t="shared" ca="1" si="104"/>
        <v>120.61013962495906</v>
      </c>
      <c r="M677">
        <f t="shared" ca="1" si="105"/>
        <v>15.448410038932693</v>
      </c>
      <c r="N677" s="4">
        <f t="shared" ca="1" si="106"/>
        <v>5.0513028448392117</v>
      </c>
      <c r="O677" s="4"/>
      <c r="P677" s="1">
        <f ca="1">LOOKUP(B677,geomorph!$A:$A,geomorph!$G:$G)</f>
        <v>105.07484100000001</v>
      </c>
      <c r="Q677" s="1">
        <f t="shared" ca="1" si="107"/>
        <v>120.5232510389327</v>
      </c>
    </row>
    <row r="678" spans="2:17" x14ac:dyDescent="0.3">
      <c r="B678" s="6">
        <f ca="1">RANDBETWEEN(ranges!B$2,ranges!B$3)</f>
        <v>13229</v>
      </c>
      <c r="C678" s="9">
        <f ca="1">LOOKUP(B678,geomorph!A:A,geomorph!B:B)</f>
        <v>1165.5</v>
      </c>
      <c r="D678">
        <f t="shared" si="100"/>
        <v>1.13E-4</v>
      </c>
      <c r="E678" s="9">
        <f ca="1">'[2]Q_GEV(random)'!$J678</f>
        <v>8876.622861094309</v>
      </c>
      <c r="F678" s="26">
        <f ca="1">RANDBETWEEN(ranges!F$2*1000,ranges!F$3*1000)/1000</f>
        <v>9.1999999999999998E-2</v>
      </c>
      <c r="G678" s="3">
        <f t="shared" ca="1" si="101"/>
        <v>7.6161500309689485</v>
      </c>
      <c r="H678" s="4">
        <f t="shared" ca="1" si="102"/>
        <v>10.638034624290226</v>
      </c>
      <c r="I678" s="4">
        <f t="shared" ca="1" si="103"/>
        <v>284.02815944361816</v>
      </c>
      <c r="J678" s="26">
        <f ca="1">RANDBETWEEN(ranges!J$2*1000,ranges!J$3*1000)/1000</f>
        <v>0.66500000000000004</v>
      </c>
      <c r="K678" s="26">
        <f ca="1">RANDBETWEEN(ranges!K$2*1000,ranges!K$3*1000)/1000</f>
        <v>0.89400000000000002</v>
      </c>
      <c r="L678">
        <f t="shared" ca="1" si="104"/>
        <v>115.91453958016702</v>
      </c>
      <c r="M678">
        <f t="shared" ca="1" si="105"/>
        <v>15.266118734517367</v>
      </c>
      <c r="N678" s="4">
        <f t="shared" ca="1" si="106"/>
        <v>5.0305262067686307</v>
      </c>
      <c r="O678" s="4"/>
      <c r="P678" s="1">
        <f ca="1">LOOKUP(B678,geomorph!$A:$A,geomorph!$G:$G)</f>
        <v>105.031901</v>
      </c>
      <c r="Q678" s="1">
        <f t="shared" ca="1" si="107"/>
        <v>120.29801973451737</v>
      </c>
    </row>
    <row r="679" spans="2:17" x14ac:dyDescent="0.3">
      <c r="B679" s="6">
        <f ca="1">RANDBETWEEN(ranges!B$2,ranges!B$3)</f>
        <v>12444</v>
      </c>
      <c r="C679" s="9">
        <f ca="1">LOOKUP(B679,geomorph!A:A,geomorph!B:B)</f>
        <v>1225.5</v>
      </c>
      <c r="D679">
        <f t="shared" si="100"/>
        <v>1.13E-4</v>
      </c>
      <c r="E679" s="9">
        <f ca="1">'[2]Q_GEV(random)'!$J679</f>
        <v>8848.2077576818938</v>
      </c>
      <c r="F679" s="26">
        <f ca="1">RANDBETWEEN(ranges!F$2*1000,ranges!F$3*1000)/1000</f>
        <v>9.2999999999999999E-2</v>
      </c>
      <c r="G679" s="3">
        <f t="shared" ca="1" si="101"/>
        <v>7.2200797696302681</v>
      </c>
      <c r="H679" s="4">
        <f t="shared" ca="1" si="102"/>
        <v>10.303009731332606</v>
      </c>
      <c r="I679" s="4">
        <f t="shared" ca="1" si="103"/>
        <v>260.67418949351685</v>
      </c>
      <c r="J679" s="26">
        <f ca="1">RANDBETWEEN(ranges!J$2*1000,ranges!J$3*1000)/1000</f>
        <v>0.75800000000000001</v>
      </c>
      <c r="K679" s="26">
        <f ca="1">RANDBETWEEN(ranges!K$2*1000,ranges!K$3*1000)/1000</f>
        <v>0.80900000000000005</v>
      </c>
      <c r="L679">
        <f t="shared" ca="1" si="104"/>
        <v>104.70521997259385</v>
      </c>
      <c r="M679">
        <f t="shared" ca="1" si="105"/>
        <v>14.499735919634755</v>
      </c>
      <c r="N679" s="4">
        <f t="shared" ca="1" si="106"/>
        <v>4.5616589003284229</v>
      </c>
      <c r="O679" s="4"/>
      <c r="P679" s="1">
        <f ca="1">LOOKUP(B679,geomorph!$A:$A,geomorph!$G:$G)</f>
        <v>105.120041</v>
      </c>
      <c r="Q679" s="1">
        <f t="shared" ca="1" si="107"/>
        <v>119.61977691963476</v>
      </c>
    </row>
    <row r="680" spans="2:17" x14ac:dyDescent="0.3">
      <c r="B680" s="6">
        <f ca="1">RANDBETWEEN(ranges!B$2,ranges!B$3)</f>
        <v>12031</v>
      </c>
      <c r="C680" s="9">
        <f ca="1">LOOKUP(B680,geomorph!A:A,geomorph!B:B)</f>
        <v>1341</v>
      </c>
      <c r="D680">
        <f t="shared" si="100"/>
        <v>1.13E-4</v>
      </c>
      <c r="E680" s="9">
        <f ca="1">'[2]Q_GEV(random)'!$J680</f>
        <v>8844.9739007712997</v>
      </c>
      <c r="F680" s="26">
        <f ca="1">RANDBETWEEN(ranges!F$2*1000,ranges!F$3*1000)/1000</f>
        <v>0.11</v>
      </c>
      <c r="G680" s="3">
        <f t="shared" ca="1" si="101"/>
        <v>6.5958045494193138</v>
      </c>
      <c r="H680" s="4">
        <f t="shared" ca="1" si="102"/>
        <v>10.258516081957129</v>
      </c>
      <c r="I680" s="4">
        <f t="shared" ca="1" si="103"/>
        <v>224.28475644138771</v>
      </c>
      <c r="J680" s="26">
        <f ca="1">RANDBETWEEN(ranges!J$2*1000,ranges!J$3*1000)/1000</f>
        <v>0.63200000000000001</v>
      </c>
      <c r="K680" s="26">
        <f ca="1">RANDBETWEEN(ranges!K$2*1000,ranges!K$3*1000)/1000</f>
        <v>0.86199999999999999</v>
      </c>
      <c r="L680">
        <f t="shared" ca="1" si="104"/>
        <v>101.6167663502585</v>
      </c>
      <c r="M680">
        <f t="shared" ca="1" si="105"/>
        <v>15.398293455353722</v>
      </c>
      <c r="N680" s="4">
        <f t="shared" ca="1" si="106"/>
        <v>5.5867145363006436</v>
      </c>
      <c r="O680" s="4"/>
      <c r="P680" s="1">
        <f ca="1">LOOKUP(B680,geomorph!$A:$A,geomorph!$G:$G)</f>
        <v>105.166371</v>
      </c>
      <c r="Q680" s="1">
        <f t="shared" ca="1" si="107"/>
        <v>120.56466445535372</v>
      </c>
    </row>
    <row r="681" spans="2:17" x14ac:dyDescent="0.3">
      <c r="B681" s="6">
        <f ca="1">RANDBETWEEN(ranges!B$2,ranges!B$3)</f>
        <v>10243</v>
      </c>
      <c r="C681" s="9">
        <f ca="1">LOOKUP(B681,geomorph!A:A,geomorph!B:B)</f>
        <v>1632.5</v>
      </c>
      <c r="D681">
        <f t="shared" si="100"/>
        <v>1.13E-4</v>
      </c>
      <c r="E681" s="9">
        <f ca="1">'[2]Q_GEV(random)'!$J681</f>
        <v>8834.0606424601847</v>
      </c>
      <c r="F681" s="26">
        <f ca="1">RANDBETWEEN(ranges!F$2*1000,ranges!F$3*1000)/1000</f>
        <v>9.4E-2</v>
      </c>
      <c r="G681" s="3">
        <f t="shared" ca="1" si="101"/>
        <v>5.411369459393681</v>
      </c>
      <c r="H681" s="4">
        <f t="shared" ca="1" si="102"/>
        <v>8.5314438866633679</v>
      </c>
      <c r="I681" s="4">
        <f t="shared" ca="1" si="103"/>
        <v>161.4612403696548</v>
      </c>
      <c r="J681" s="26">
        <f ca="1">RANDBETWEEN(ranges!J$2*1000,ranges!J$3*1000)/1000</f>
        <v>0.74</v>
      </c>
      <c r="K681" s="26">
        <f ca="1">RANDBETWEEN(ranges!K$2*1000,ranges!K$3*1000)/1000</f>
        <v>0.93200000000000005</v>
      </c>
      <c r="L681">
        <f t="shared" ca="1" si="104"/>
        <v>73.936990081496987</v>
      </c>
      <c r="M681">
        <f t="shared" ca="1" si="105"/>
        <v>13.639341402808952</v>
      </c>
      <c r="N681" s="4">
        <f t="shared" ca="1" si="106"/>
        <v>5.5520625175495484</v>
      </c>
      <c r="O681" s="4"/>
      <c r="P681" s="1">
        <f ca="1">LOOKUP(B681,geomorph!$A:$A,geomorph!$G:$G)</f>
        <v>105.368641</v>
      </c>
      <c r="Q681" s="1">
        <f t="shared" ca="1" si="107"/>
        <v>119.00798240280895</v>
      </c>
    </row>
    <row r="682" spans="2:17" x14ac:dyDescent="0.3">
      <c r="B682" s="6">
        <f ca="1">RANDBETWEEN(ranges!B$2,ranges!B$3)</f>
        <v>14927</v>
      </c>
      <c r="C682" s="9">
        <f ca="1">LOOKUP(B682,geomorph!A:A,geomorph!B:B)</f>
        <v>1509.8</v>
      </c>
      <c r="D682">
        <f t="shared" si="100"/>
        <v>1.13E-4</v>
      </c>
      <c r="E682" s="9">
        <f ca="1">'[2]Q_GEV(random)'!$J682</f>
        <v>8833.498770149723</v>
      </c>
      <c r="F682" s="26">
        <f ca="1">RANDBETWEEN(ranges!F$2*1000,ranges!F$3*1000)/1000</f>
        <v>9.5000000000000001E-2</v>
      </c>
      <c r="G682" s="3">
        <f t="shared" ca="1" si="101"/>
        <v>5.8507741224994856</v>
      </c>
      <c r="H682" s="4">
        <f t="shared" ca="1" si="102"/>
        <v>9.0190034483628185</v>
      </c>
      <c r="I682" s="4">
        <f t="shared" ca="1" si="103"/>
        <v>183.910341349004</v>
      </c>
      <c r="J682" s="26">
        <f ca="1">RANDBETWEEN(ranges!J$2*1000,ranges!J$3*1000)/1000</f>
        <v>0.69099999999999995</v>
      </c>
      <c r="K682" s="26">
        <f ca="1">RANDBETWEEN(ranges!K$2*1000,ranges!K$3*1000)/1000</f>
        <v>0.95899999999999996</v>
      </c>
      <c r="L682">
        <f t="shared" ca="1" si="104"/>
        <v>83.387876926909726</v>
      </c>
      <c r="M682">
        <f t="shared" ca="1" si="105"/>
        <v>14.226588874020058</v>
      </c>
      <c r="N682" s="4">
        <f t="shared" ca="1" si="106"/>
        <v>5.6604189409317813</v>
      </c>
      <c r="O682" s="4"/>
      <c r="P682" s="1">
        <f ca="1">LOOKUP(B682,geomorph!$A:$A,geomorph!$G:$G)</f>
        <v>104.83980100000001</v>
      </c>
      <c r="Q682" s="1">
        <f t="shared" ca="1" si="107"/>
        <v>119.06638987402006</v>
      </c>
    </row>
    <row r="683" spans="2:17" x14ac:dyDescent="0.3">
      <c r="B683" s="6">
        <f ca="1">RANDBETWEEN(ranges!B$2,ranges!B$3)</f>
        <v>10671</v>
      </c>
      <c r="C683" s="9">
        <f ca="1">LOOKUP(B683,geomorph!A:A,geomorph!B:B)</f>
        <v>1720.5</v>
      </c>
      <c r="D683">
        <f t="shared" si="100"/>
        <v>1.13E-4</v>
      </c>
      <c r="E683" s="9">
        <f ca="1">'[2]Q_GEV(random)'!$J683</f>
        <v>8832.1972730042962</v>
      </c>
      <c r="F683" s="26">
        <f ca="1">RANDBETWEEN(ranges!F$2*1000,ranges!F$3*1000)/1000</f>
        <v>9.1999999999999998E-2</v>
      </c>
      <c r="G683" s="3">
        <f t="shared" ca="1" si="101"/>
        <v>5.1335061162477746</v>
      </c>
      <c r="H683" s="4">
        <f t="shared" ca="1" si="102"/>
        <v>8.1780004153062986</v>
      </c>
      <c r="I683" s="4">
        <f t="shared" ca="1" si="103"/>
        <v>147.91244947021789</v>
      </c>
      <c r="J683" s="26">
        <f ca="1">RANDBETWEEN(ranges!J$2*1000,ranges!J$3*1000)/1000</f>
        <v>0.627</v>
      </c>
      <c r="K683" s="26">
        <f ca="1">RANDBETWEEN(ranges!K$2*1000,ranges!K$3*1000)/1000</f>
        <v>0.92200000000000004</v>
      </c>
      <c r="L683">
        <f t="shared" ca="1" si="104"/>
        <v>72.242455917408464</v>
      </c>
      <c r="M683">
        <f t="shared" ca="1" si="105"/>
        <v>14.045125430866841</v>
      </c>
      <c r="N683" s="4">
        <f t="shared" ca="1" si="106"/>
        <v>6.3773097995223287</v>
      </c>
      <c r="O683" s="4"/>
      <c r="P683" s="1">
        <f ca="1">LOOKUP(B683,geomorph!$A:$A,geomorph!$G:$G)</f>
        <v>105.32005100000001</v>
      </c>
      <c r="Q683" s="1">
        <f t="shared" ca="1" si="107"/>
        <v>119.36517643086685</v>
      </c>
    </row>
    <row r="684" spans="2:17" x14ac:dyDescent="0.3">
      <c r="B684" s="6">
        <f ca="1">RANDBETWEEN(ranges!B$2,ranges!B$3)</f>
        <v>12252</v>
      </c>
      <c r="C684" s="9">
        <f ca="1">LOOKUP(B684,geomorph!A:A,geomorph!B:B)</f>
        <v>1276.7</v>
      </c>
      <c r="D684">
        <f t="shared" si="100"/>
        <v>1.13E-4</v>
      </c>
      <c r="E684" s="9">
        <f ca="1">'[2]Q_GEV(random)'!$J684</f>
        <v>8820.1281243611447</v>
      </c>
      <c r="F684" s="26">
        <f ca="1">RANDBETWEEN(ranges!F$2*1000,ranges!F$3*1000)/1000</f>
        <v>0.108</v>
      </c>
      <c r="G684" s="3">
        <f t="shared" ca="1" si="101"/>
        <v>6.9085361669625946</v>
      </c>
      <c r="H684" s="4">
        <f t="shared" ca="1" si="102"/>
        <v>10.515753699033006</v>
      </c>
      <c r="I684" s="4">
        <f t="shared" ca="1" si="103"/>
        <v>242.96954974564565</v>
      </c>
      <c r="J684" s="26">
        <f ca="1">RANDBETWEEN(ranges!J$2*1000,ranges!J$3*1000)/1000</f>
        <v>0.75700000000000001</v>
      </c>
      <c r="K684" s="26">
        <f ca="1">RANDBETWEEN(ranges!K$2*1000,ranges!K$3*1000)/1000</f>
        <v>0.93300000000000005</v>
      </c>
      <c r="L684">
        <f t="shared" ca="1" si="104"/>
        <v>104.49839575219509</v>
      </c>
      <c r="M684">
        <f t="shared" ca="1" si="105"/>
        <v>15.075680509821504</v>
      </c>
      <c r="N684" s="4">
        <f t="shared" ca="1" si="106"/>
        <v>4.9564421856396716</v>
      </c>
      <c r="O684" s="4"/>
      <c r="P684" s="1">
        <f ca="1">LOOKUP(B684,geomorph!$A:$A,geomorph!$G:$G)</f>
        <v>105.14151100000001</v>
      </c>
      <c r="Q684" s="1">
        <f t="shared" ca="1" si="107"/>
        <v>120.21719150982152</v>
      </c>
    </row>
    <row r="685" spans="2:17" x14ac:dyDescent="0.3">
      <c r="B685" s="6">
        <f ca="1">RANDBETWEEN(ranges!B$2,ranges!B$3)</f>
        <v>13394</v>
      </c>
      <c r="C685" s="9">
        <f ca="1">LOOKUP(B685,geomorph!A:A,geomorph!B:B)</f>
        <v>1184.9000000000001</v>
      </c>
      <c r="D685">
        <f t="shared" si="100"/>
        <v>1.13E-4</v>
      </c>
      <c r="E685" s="9">
        <f ca="1">'[2]Q_GEV(random)'!$J685</f>
        <v>8811.1879953297921</v>
      </c>
      <c r="F685" s="26">
        <f ca="1">RANDBETWEEN(ranges!F$2*1000,ranges!F$3*1000)/1000</f>
        <v>0.108</v>
      </c>
      <c r="G685" s="3">
        <f t="shared" ca="1" si="101"/>
        <v>7.4362292137140615</v>
      </c>
      <c r="H685" s="4">
        <f t="shared" ca="1" si="102"/>
        <v>11.04463989377289</v>
      </c>
      <c r="I685" s="4">
        <f t="shared" ca="1" si="103"/>
        <v>274.96040749173642</v>
      </c>
      <c r="J685" s="26">
        <f ca="1">RANDBETWEEN(ranges!J$2*1000,ranges!J$3*1000)/1000</f>
        <v>0.78200000000000003</v>
      </c>
      <c r="K685" s="26">
        <f ca="1">RANDBETWEEN(ranges!K$2*1000,ranges!K$3*1000)/1000</f>
        <v>0.92900000000000005</v>
      </c>
      <c r="L685">
        <f t="shared" ca="1" si="104"/>
        <v>114.74209204794533</v>
      </c>
      <c r="M685">
        <f t="shared" ca="1" si="105"/>
        <v>15.363243250039977</v>
      </c>
      <c r="N685" s="4">
        <f t="shared" ca="1" si="106"/>
        <v>4.6941340828990068</v>
      </c>
      <c r="O685" s="4"/>
      <c r="P685" s="1">
        <f ca="1">LOOKUP(B685,geomorph!$A:$A,geomorph!$G:$G)</f>
        <v>105.012691</v>
      </c>
      <c r="Q685" s="1">
        <f t="shared" ca="1" si="107"/>
        <v>120.37593425003998</v>
      </c>
    </row>
    <row r="686" spans="2:17" x14ac:dyDescent="0.3">
      <c r="B686" s="6">
        <f ca="1">RANDBETWEEN(ranges!B$2,ranges!B$3)</f>
        <v>10828</v>
      </c>
      <c r="C686" s="9">
        <f ca="1">LOOKUP(B686,geomorph!A:A,geomorph!B:B)</f>
        <v>1664.2</v>
      </c>
      <c r="D686">
        <f t="shared" si="100"/>
        <v>1.13E-4</v>
      </c>
      <c r="E686" s="9">
        <f ca="1">'[2]Q_GEV(random)'!$J686</f>
        <v>8804.8906644097078</v>
      </c>
      <c r="F686" s="26">
        <f ca="1">RANDBETWEEN(ranges!F$2*1000,ranges!F$3*1000)/1000</f>
        <v>0.09</v>
      </c>
      <c r="G686" s="3">
        <f t="shared" ca="1" si="101"/>
        <v>5.2907647304468863</v>
      </c>
      <c r="H686" s="4">
        <f t="shared" ca="1" si="102"/>
        <v>8.283265839166928</v>
      </c>
      <c r="I686" s="4">
        <f t="shared" ca="1" si="103"/>
        <v>156.02354182966596</v>
      </c>
      <c r="J686" s="26">
        <f ca="1">RANDBETWEEN(ranges!J$2*1000,ranges!J$3*1000)/1000</f>
        <v>0.70499999999999996</v>
      </c>
      <c r="K686" s="26">
        <f ca="1">RANDBETWEEN(ranges!K$2*1000,ranges!K$3*1000)/1000</f>
        <v>0.84099999999999997</v>
      </c>
      <c r="L686">
        <f t="shared" ca="1" si="104"/>
        <v>71.437865394124856</v>
      </c>
      <c r="M686">
        <f t="shared" ca="1" si="105"/>
        <v>13.434219201545991</v>
      </c>
      <c r="N686" s="4">
        <f t="shared" ca="1" si="106"/>
        <v>5.5988623504120252</v>
      </c>
      <c r="O686" s="4"/>
      <c r="P686" s="1">
        <f ca="1">LOOKUP(B686,geomorph!$A:$A,geomorph!$G:$G)</f>
        <v>105.303101</v>
      </c>
      <c r="Q686" s="1">
        <f t="shared" ca="1" si="107"/>
        <v>118.73732020154598</v>
      </c>
    </row>
    <row r="687" spans="2:17" x14ac:dyDescent="0.3">
      <c r="B687" s="6">
        <f ca="1">RANDBETWEEN(ranges!B$2,ranges!B$3)</f>
        <v>12545</v>
      </c>
      <c r="C687" s="9">
        <f ca="1">LOOKUP(B687,geomorph!A:A,geomorph!B:B)</f>
        <v>1199.2</v>
      </c>
      <c r="D687">
        <f t="shared" si="100"/>
        <v>1.13E-4</v>
      </c>
      <c r="E687" s="9">
        <f ca="1">'[2]Q_GEV(random)'!$J687</f>
        <v>8798.024037018542</v>
      </c>
      <c r="F687" s="26">
        <f ca="1">RANDBETWEEN(ranges!F$2*1000,ranges!F$3*1000)/1000</f>
        <v>9.6000000000000002E-2</v>
      </c>
      <c r="G687" s="3">
        <f t="shared" ca="1" si="101"/>
        <v>7.3365777493483506</v>
      </c>
      <c r="H687" s="4">
        <f t="shared" ca="1" si="102"/>
        <v>10.524332420197766</v>
      </c>
      <c r="I687" s="4">
        <f t="shared" ca="1" si="103"/>
        <v>269.24898821035652</v>
      </c>
      <c r="J687" s="26">
        <f ca="1">RANDBETWEEN(ranges!J$2*1000,ranges!J$3*1000)/1000</f>
        <v>0.70499999999999996</v>
      </c>
      <c r="K687" s="26">
        <f ca="1">RANDBETWEEN(ranges!K$2*1000,ranges!K$3*1000)/1000</f>
        <v>0.83099999999999996</v>
      </c>
      <c r="L687">
        <f t="shared" ca="1" si="104"/>
        <v>110.21895155832006</v>
      </c>
      <c r="M687">
        <f t="shared" ca="1" si="105"/>
        <v>14.93572603808733</v>
      </c>
      <c r="N687" s="4">
        <f t="shared" ca="1" si="106"/>
        <v>4.7949930629234387</v>
      </c>
      <c r="O687" s="4"/>
      <c r="P687" s="1">
        <f ca="1">LOOKUP(B687,geomorph!$A:$A,geomorph!$G:$G)</f>
        <v>105.10874100000001</v>
      </c>
      <c r="Q687" s="1">
        <f t="shared" ca="1" si="107"/>
        <v>120.04446703808733</v>
      </c>
    </row>
    <row r="688" spans="2:17" x14ac:dyDescent="0.3">
      <c r="B688" s="6">
        <f ca="1">RANDBETWEEN(ranges!B$2,ranges!B$3)</f>
        <v>11730</v>
      </c>
      <c r="C688" s="9">
        <f ca="1">LOOKUP(B688,geomorph!A:A,geomorph!B:B)</f>
        <v>1430.8</v>
      </c>
      <c r="D688">
        <f t="shared" si="100"/>
        <v>1.13E-4</v>
      </c>
      <c r="E688" s="9">
        <f ca="1">'[2]Q_GEV(random)'!$J688</f>
        <v>8794.6391510871872</v>
      </c>
      <c r="F688" s="26">
        <f ca="1">RANDBETWEEN(ranges!F$2*1000,ranges!F$3*1000)/1000</f>
        <v>0.10299999999999999</v>
      </c>
      <c r="G688" s="3">
        <f t="shared" ca="1" si="101"/>
        <v>6.146658618316458</v>
      </c>
      <c r="H688" s="4">
        <f t="shared" ca="1" si="102"/>
        <v>9.5751797114117263</v>
      </c>
      <c r="I688" s="4">
        <f t="shared" ca="1" si="103"/>
        <v>200.55360872547016</v>
      </c>
      <c r="J688" s="26">
        <f ca="1">RANDBETWEEN(ranges!J$2*1000,ranges!J$3*1000)/1000</f>
        <v>0.74099999999999999</v>
      </c>
      <c r="K688" s="26">
        <f ca="1">RANDBETWEEN(ranges!K$2*1000,ranges!K$3*1000)/1000</f>
        <v>0.84599999999999997</v>
      </c>
      <c r="L688">
        <f t="shared" ca="1" si="104"/>
        <v>88.212933114996019</v>
      </c>
      <c r="M688">
        <f t="shared" ca="1" si="105"/>
        <v>14.262302311205801</v>
      </c>
      <c r="N688" s="4">
        <f t="shared" ca="1" si="106"/>
        <v>5.0946984780370368</v>
      </c>
      <c r="O688" s="4"/>
      <c r="P688" s="1">
        <f ca="1">LOOKUP(B688,geomorph!$A:$A,geomorph!$G:$G)</f>
        <v>105.200271</v>
      </c>
      <c r="Q688" s="1">
        <f t="shared" ca="1" si="107"/>
        <v>119.4625733112058</v>
      </c>
    </row>
    <row r="689" spans="2:17" x14ac:dyDescent="0.3">
      <c r="B689" s="6">
        <f ca="1">RANDBETWEEN(ranges!B$2,ranges!B$3)</f>
        <v>10530</v>
      </c>
      <c r="C689" s="9">
        <f ca="1">LOOKUP(B689,geomorph!A:A,geomorph!B:B)</f>
        <v>1759.3</v>
      </c>
      <c r="D689">
        <f t="shared" si="100"/>
        <v>1.13E-4</v>
      </c>
      <c r="E689" s="9">
        <f ca="1">'[2]Q_GEV(random)'!$J689</f>
        <v>8792.2125262289719</v>
      </c>
      <c r="F689" s="26">
        <f ca="1">RANDBETWEEN(ranges!F$2*1000,ranges!F$3*1000)/1000</f>
        <v>0.09</v>
      </c>
      <c r="G689" s="3">
        <f t="shared" ca="1" si="101"/>
        <v>4.9975629660825174</v>
      </c>
      <c r="H689" s="4">
        <f t="shared" ca="1" si="102"/>
        <v>7.9743412409456091</v>
      </c>
      <c r="I689" s="4">
        <f t="shared" ca="1" si="103"/>
        <v>142.08523960869303</v>
      </c>
      <c r="J689" s="26">
        <f ca="1">RANDBETWEEN(ranges!J$2*1000,ranges!J$3*1000)/1000</f>
        <v>0.64900000000000002</v>
      </c>
      <c r="K689" s="26">
        <f ca="1">RANDBETWEEN(ranges!K$2*1000,ranges!K$3*1000)/1000</f>
        <v>0.91600000000000004</v>
      </c>
      <c r="L689">
        <f t="shared" ca="1" si="104"/>
        <v>69.107581636814785</v>
      </c>
      <c r="M689">
        <f t="shared" ca="1" si="105"/>
        <v>13.738649426222253</v>
      </c>
      <c r="N689" s="4">
        <f t="shared" ca="1" si="106"/>
        <v>6.2655523753006994</v>
      </c>
      <c r="O689" s="4"/>
      <c r="P689" s="1">
        <f ca="1">LOOKUP(B689,geomorph!$A:$A,geomorph!$G:$G)</f>
        <v>105.335871</v>
      </c>
      <c r="Q689" s="1">
        <f t="shared" ca="1" si="107"/>
        <v>119.07452042622225</v>
      </c>
    </row>
    <row r="690" spans="2:17" x14ac:dyDescent="0.3">
      <c r="B690" s="6">
        <f ca="1">RANDBETWEEN(ranges!B$2,ranges!B$3)</f>
        <v>14718</v>
      </c>
      <c r="C690" s="9">
        <f ca="1">LOOKUP(B690,geomorph!A:A,geomorph!B:B)</f>
        <v>1462.9</v>
      </c>
      <c r="D690">
        <f t="shared" si="100"/>
        <v>1.13E-4</v>
      </c>
      <c r="E690" s="9">
        <f ca="1">'[2]Q_GEV(random)'!$J690</f>
        <v>8778.096496523809</v>
      </c>
      <c r="F690" s="26">
        <f ca="1">RANDBETWEEN(ranges!F$2*1000,ranges!F$3*1000)/1000</f>
        <v>0.109</v>
      </c>
      <c r="G690" s="3">
        <f t="shared" ca="1" si="101"/>
        <v>6.0004761067221333</v>
      </c>
      <c r="H690" s="4">
        <f t="shared" ca="1" si="102"/>
        <v>9.6022815637123138</v>
      </c>
      <c r="I690" s="4">
        <f t="shared" ca="1" si="103"/>
        <v>193.03046232842024</v>
      </c>
      <c r="J690" s="26">
        <f ca="1">RANDBETWEEN(ranges!J$2*1000,ranges!J$3*1000)/1000</f>
        <v>0.68400000000000005</v>
      </c>
      <c r="K690" s="26">
        <f ca="1">RANDBETWEEN(ranges!K$2*1000,ranges!K$3*1000)/1000</f>
        <v>0.96699999999999997</v>
      </c>
      <c r="L690">
        <f t="shared" ca="1" si="104"/>
        <v>89.837587835505673</v>
      </c>
      <c r="M690">
        <f t="shared" ca="1" si="105"/>
        <v>14.850845018635424</v>
      </c>
      <c r="N690" s="4">
        <f t="shared" ca="1" si="106"/>
        <v>5.7049602770903363</v>
      </c>
      <c r="O690" s="4"/>
      <c r="P690" s="1">
        <f ca="1">LOOKUP(B690,geomorph!$A:$A,geomorph!$G:$G)</f>
        <v>104.86353100000001</v>
      </c>
      <c r="Q690" s="1">
        <f t="shared" ca="1" si="107"/>
        <v>119.71437601863543</v>
      </c>
    </row>
    <row r="691" spans="2:17" x14ac:dyDescent="0.3">
      <c r="B691" s="6">
        <f ca="1">RANDBETWEEN(ranges!B$2,ranges!B$3)</f>
        <v>11243</v>
      </c>
      <c r="C691" s="9">
        <f ca="1">LOOKUP(B691,geomorph!A:A,geomorph!B:B)</f>
        <v>1640.3</v>
      </c>
      <c r="D691">
        <f t="shared" si="100"/>
        <v>1.13E-4</v>
      </c>
      <c r="E691" s="9">
        <f ca="1">'[2]Q_GEV(random)'!$J691</f>
        <v>8751.5995374022314</v>
      </c>
      <c r="F691" s="26">
        <f ca="1">RANDBETWEEN(ranges!F$2*1000,ranges!F$3*1000)/1000</f>
        <v>9.6000000000000002E-2</v>
      </c>
      <c r="G691" s="3">
        <f t="shared" ca="1" si="101"/>
        <v>5.3353651999038174</v>
      </c>
      <c r="H691" s="4">
        <f t="shared" ca="1" si="102"/>
        <v>8.510889961212964</v>
      </c>
      <c r="I691" s="4">
        <f t="shared" ca="1" si="103"/>
        <v>159.18525343585017</v>
      </c>
      <c r="J691" s="26">
        <f ca="1">RANDBETWEEN(ranges!J$2*1000,ranges!J$3*1000)/1000</f>
        <v>0.67100000000000004</v>
      </c>
      <c r="K691" s="26">
        <f ca="1">RANDBETWEEN(ranges!K$2*1000,ranges!K$3*1000)/1000</f>
        <v>0.999</v>
      </c>
      <c r="L691">
        <f t="shared" ca="1" si="104"/>
        <v>76.124775078953306</v>
      </c>
      <c r="M691">
        <f t="shared" ca="1" si="105"/>
        <v>14.110023947506804</v>
      </c>
      <c r="N691" s="4">
        <f t="shared" ca="1" si="106"/>
        <v>6.0860152024933036</v>
      </c>
      <c r="O691" s="4"/>
      <c r="P691" s="1">
        <f ca="1">LOOKUP(B691,geomorph!$A:$A,geomorph!$G:$G)</f>
        <v>105.255641</v>
      </c>
      <c r="Q691" s="1">
        <f t="shared" ca="1" si="107"/>
        <v>119.3656649475068</v>
      </c>
    </row>
    <row r="692" spans="2:17" x14ac:dyDescent="0.3">
      <c r="B692" s="6">
        <f ca="1">RANDBETWEEN(ranges!B$2,ranges!B$3)</f>
        <v>14744</v>
      </c>
      <c r="C692" s="9">
        <f ca="1">LOOKUP(B692,geomorph!A:A,geomorph!B:B)</f>
        <v>1473.1</v>
      </c>
      <c r="D692">
        <f t="shared" si="100"/>
        <v>1.13E-4</v>
      </c>
      <c r="E692" s="9">
        <f ca="1">'[2]Q_GEV(random)'!$J692</f>
        <v>8746.4801231789206</v>
      </c>
      <c r="F692" s="26">
        <f ca="1">RANDBETWEEN(ranges!F$2*1000,ranges!F$3*1000)/1000</f>
        <v>0.109</v>
      </c>
      <c r="G692" s="3">
        <f t="shared" ca="1" si="101"/>
        <v>5.9374652930411518</v>
      </c>
      <c r="H692" s="4">
        <f t="shared" ca="1" si="102"/>
        <v>9.5349411874558943</v>
      </c>
      <c r="I692" s="4">
        <f t="shared" ca="1" si="103"/>
        <v>190.3495451637626</v>
      </c>
      <c r="J692" s="26">
        <f ca="1">RANDBETWEEN(ranges!J$2*1000,ranges!J$3*1000)/1000</f>
        <v>0.69099999999999995</v>
      </c>
      <c r="K692" s="26">
        <f ca="1">RANDBETWEEN(ranges!K$2*1000,ranges!K$3*1000)/1000</f>
        <v>0.86899999999999999</v>
      </c>
      <c r="L692">
        <f t="shared" ca="1" si="104"/>
        <v>87.630870938891874</v>
      </c>
      <c r="M692">
        <f t="shared" ca="1" si="105"/>
        <v>14.587061065749221</v>
      </c>
      <c r="N692" s="4">
        <f t="shared" ca="1" si="106"/>
        <v>5.4914346503188334</v>
      </c>
      <c r="O692" s="4"/>
      <c r="P692" s="1">
        <f ca="1">LOOKUP(B692,geomorph!$A:$A,geomorph!$G:$G)</f>
        <v>104.860141</v>
      </c>
      <c r="Q692" s="1">
        <f t="shared" ca="1" si="107"/>
        <v>119.44720206574922</v>
      </c>
    </row>
    <row r="693" spans="2:17" x14ac:dyDescent="0.3">
      <c r="B693" s="6">
        <f ca="1">RANDBETWEEN(ranges!B$2,ranges!B$3)</f>
        <v>11168</v>
      </c>
      <c r="C693" s="9">
        <f ca="1">LOOKUP(B693,geomorph!A:A,geomorph!B:B)</f>
        <v>1676.1</v>
      </c>
      <c r="D693">
        <f t="shared" si="100"/>
        <v>1.13E-4</v>
      </c>
      <c r="E693" s="9">
        <f ca="1">'[2]Q_GEV(random)'!$J693</f>
        <v>8715.641237030417</v>
      </c>
      <c r="F693" s="26">
        <f ca="1">RANDBETWEEN(ranges!F$2*1000,ranges!F$3*1000)/1000</f>
        <v>0.108</v>
      </c>
      <c r="G693" s="3">
        <f t="shared" ca="1" si="101"/>
        <v>5.1999530081918843</v>
      </c>
      <c r="H693" s="4">
        <f t="shared" ca="1" si="102"/>
        <v>8.7012703223223458</v>
      </c>
      <c r="I693" s="4">
        <f t="shared" ca="1" si="103"/>
        <v>153.13802325426303</v>
      </c>
      <c r="J693" s="26">
        <f ca="1">RANDBETWEEN(ranges!J$2*1000,ranges!J$3*1000)/1000</f>
        <v>0.78</v>
      </c>
      <c r="K693" s="26">
        <f ca="1">RANDBETWEEN(ranges!K$2*1000,ranges!K$3*1000)/1000</f>
        <v>0.88600000000000001</v>
      </c>
      <c r="L693">
        <f t="shared" ca="1" si="104"/>
        <v>72.173841309159272</v>
      </c>
      <c r="M693">
        <f t="shared" ca="1" si="105"/>
        <v>13.669675022265848</v>
      </c>
      <c r="N693" s="4">
        <f t="shared" ca="1" si="106"/>
        <v>5.4004398912429368</v>
      </c>
      <c r="O693" s="4"/>
      <c r="P693" s="1">
        <f ca="1">LOOKUP(B693,geomorph!$A:$A,geomorph!$G:$G)</f>
        <v>105.264681</v>
      </c>
      <c r="Q693" s="1">
        <f t="shared" ca="1" si="107"/>
        <v>118.93435602226585</v>
      </c>
    </row>
    <row r="694" spans="2:17" x14ac:dyDescent="0.3">
      <c r="B694" s="6">
        <f ca="1">RANDBETWEEN(ranges!B$2,ranges!B$3)</f>
        <v>13429</v>
      </c>
      <c r="C694" s="9">
        <f ca="1">LOOKUP(B694,geomorph!A:A,geomorph!B:B)</f>
        <v>1188.5</v>
      </c>
      <c r="D694">
        <f t="shared" si="100"/>
        <v>1.13E-4</v>
      </c>
      <c r="E694" s="9">
        <f ca="1">'[2]Q_GEV(random)'!$J694</f>
        <v>8710.3709944018428</v>
      </c>
      <c r="F694" s="26">
        <f ca="1">RANDBETWEEN(ranges!F$2*1000,ranges!F$3*1000)/1000</f>
        <v>0.10100000000000001</v>
      </c>
      <c r="G694" s="3">
        <f t="shared" ca="1" si="101"/>
        <v>7.3288775720671797</v>
      </c>
      <c r="H694" s="4">
        <f t="shared" ca="1" si="102"/>
        <v>10.696472176829358</v>
      </c>
      <c r="I694" s="4">
        <f t="shared" ca="1" si="103"/>
        <v>271.48289735141873</v>
      </c>
      <c r="J694" s="26">
        <f ca="1">RANDBETWEEN(ranges!J$2*1000,ranges!J$3*1000)/1000</f>
        <v>0.71599999999999997</v>
      </c>
      <c r="K694" s="26">
        <f ca="1">RANDBETWEEN(ranges!K$2*1000,ranges!K$3*1000)/1000</f>
        <v>0.96199999999999997</v>
      </c>
      <c r="L694">
        <f t="shared" ca="1" si="104"/>
        <v>113.80204359338018</v>
      </c>
      <c r="M694">
        <f t="shared" ca="1" si="105"/>
        <v>15.283671355612753</v>
      </c>
      <c r="N694" s="4">
        <f t="shared" ca="1" si="106"/>
        <v>4.9860860638949944</v>
      </c>
      <c r="O694" s="4"/>
      <c r="P694" s="1">
        <f ca="1">LOOKUP(B694,geomorph!$A:$A,geomorph!$G:$G)</f>
        <v>105.00930100000001</v>
      </c>
      <c r="Q694" s="1">
        <f t="shared" ca="1" si="107"/>
        <v>120.29297235561276</v>
      </c>
    </row>
    <row r="695" spans="2:17" x14ac:dyDescent="0.3">
      <c r="B695" s="6">
        <f ca="1">RANDBETWEEN(ranges!B$2,ranges!B$3)</f>
        <v>11254</v>
      </c>
      <c r="C695" s="9">
        <f ca="1">LOOKUP(B695,geomorph!A:A,geomorph!B:B)</f>
        <v>1634.6</v>
      </c>
      <c r="D695">
        <f t="shared" si="100"/>
        <v>1.13E-4</v>
      </c>
      <c r="E695" s="9">
        <f ca="1">'[2]Q_GEV(random)'!$J695</f>
        <v>8708.0635561165982</v>
      </c>
      <c r="F695" s="26">
        <f ca="1">RANDBETWEEN(ranges!F$2*1000,ranges!F$3*1000)/1000</f>
        <v>0.11</v>
      </c>
      <c r="G695" s="3">
        <f t="shared" ca="1" si="101"/>
        <v>5.3273360798461997</v>
      </c>
      <c r="H695" s="4">
        <f t="shared" ca="1" si="102"/>
        <v>8.8970511769208098</v>
      </c>
      <c r="I695" s="4">
        <f t="shared" ca="1" si="103"/>
        <v>159.58004603252951</v>
      </c>
      <c r="J695" s="26">
        <f ca="1">RANDBETWEEN(ranges!J$2*1000,ranges!J$3*1000)/1000</f>
        <v>0.74299999999999999</v>
      </c>
      <c r="K695" s="26">
        <f ca="1">RANDBETWEEN(ranges!K$2*1000,ranges!K$3*1000)/1000</f>
        <v>0.998</v>
      </c>
      <c r="L695">
        <f t="shared" ca="1" si="104"/>
        <v>76.728135745309771</v>
      </c>
      <c r="M695">
        <f t="shared" ca="1" si="105"/>
        <v>14.172438607889017</v>
      </c>
      <c r="N695" s="4">
        <f t="shared" ca="1" si="106"/>
        <v>5.7341167727915296</v>
      </c>
      <c r="O695" s="4"/>
      <c r="P695" s="1">
        <f ca="1">LOOKUP(B695,geomorph!$A:$A,geomorph!$G:$G)</f>
        <v>105.25451100000001</v>
      </c>
      <c r="Q695" s="1">
        <f t="shared" ca="1" si="107"/>
        <v>119.42694960788903</v>
      </c>
    </row>
    <row r="696" spans="2:17" x14ac:dyDescent="0.3">
      <c r="B696" s="6">
        <f ca="1">RANDBETWEEN(ranges!B$2,ranges!B$3)</f>
        <v>10603</v>
      </c>
      <c r="C696" s="9">
        <f ca="1">LOOKUP(B696,geomorph!A:A,geomorph!B:B)</f>
        <v>1740.5</v>
      </c>
      <c r="D696">
        <f t="shared" si="100"/>
        <v>1.13E-4</v>
      </c>
      <c r="E696" s="9">
        <f ca="1">'[2]Q_GEV(random)'!$J696</f>
        <v>8707.7487347853512</v>
      </c>
      <c r="F696" s="26">
        <f ca="1">RANDBETWEEN(ranges!F$2*1000,ranges!F$3*1000)/1000</f>
        <v>0.09</v>
      </c>
      <c r="G696" s="3">
        <f t="shared" ca="1" si="101"/>
        <v>5.00301564767903</v>
      </c>
      <c r="H696" s="4">
        <f t="shared" ca="1" si="102"/>
        <v>7.9801405529926974</v>
      </c>
      <c r="I696" s="4">
        <f t="shared" ca="1" si="103"/>
        <v>143.72441957426457</v>
      </c>
      <c r="J696" s="26">
        <f ca="1">RANDBETWEEN(ranges!J$2*1000,ranges!J$3*1000)/1000</f>
        <v>0.66500000000000004</v>
      </c>
      <c r="K696" s="26">
        <f ca="1">RANDBETWEEN(ranges!K$2*1000,ranges!K$3*1000)/1000</f>
        <v>0.80100000000000005</v>
      </c>
      <c r="L696">
        <f t="shared" ca="1" si="104"/>
        <v>68.116350760888267</v>
      </c>
      <c r="M696">
        <f t="shared" ca="1" si="105"/>
        <v>13.396885460423841</v>
      </c>
      <c r="N696" s="4">
        <f t="shared" ca="1" si="106"/>
        <v>5.8877662037295035</v>
      </c>
      <c r="O696" s="4"/>
      <c r="P696" s="1">
        <f ca="1">LOOKUP(B696,geomorph!$A:$A,geomorph!$G:$G)</f>
        <v>105.327961</v>
      </c>
      <c r="Q696" s="1">
        <f t="shared" ca="1" si="107"/>
        <v>118.72484646042385</v>
      </c>
    </row>
    <row r="697" spans="2:17" x14ac:dyDescent="0.3">
      <c r="B697" s="6">
        <f ca="1">RANDBETWEEN(ranges!B$2,ranges!B$3)</f>
        <v>10991</v>
      </c>
      <c r="C697" s="9">
        <f ca="1">LOOKUP(B697,geomorph!A:A,geomorph!B:B)</f>
        <v>1686.6</v>
      </c>
      <c r="D697">
        <f t="shared" si="100"/>
        <v>1.13E-4</v>
      </c>
      <c r="E697" s="9">
        <f ca="1">'[2]Q_GEV(random)'!$J697</f>
        <v>8707.3354620611681</v>
      </c>
      <c r="F697" s="26">
        <f ca="1">RANDBETWEEN(ranges!F$2*1000,ranges!F$3*1000)/1000</f>
        <v>9.4E-2</v>
      </c>
      <c r="G697" s="3">
        <f t="shared" ca="1" si="101"/>
        <v>5.1626559125229265</v>
      </c>
      <c r="H697" s="4">
        <f t="shared" ca="1" si="102"/>
        <v>8.2679885823389441</v>
      </c>
      <c r="I697" s="4">
        <f t="shared" ca="1" si="103"/>
        <v>151.45607853563925</v>
      </c>
      <c r="J697" s="26">
        <f ca="1">RANDBETWEEN(ranges!J$2*1000,ranges!J$3*1000)/1000</f>
        <v>0.71299999999999997</v>
      </c>
      <c r="K697" s="26">
        <f ca="1">RANDBETWEEN(ranges!K$2*1000,ranges!K$3*1000)/1000</f>
        <v>0.91600000000000004</v>
      </c>
      <c r="L697">
        <f t="shared" ca="1" si="104"/>
        <v>71.116318269052471</v>
      </c>
      <c r="M697">
        <f t="shared" ca="1" si="105"/>
        <v>13.55376041036198</v>
      </c>
      <c r="N697" s="4">
        <f t="shared" ca="1" si="106"/>
        <v>5.7454041608946032</v>
      </c>
      <c r="O697" s="4"/>
      <c r="P697" s="1">
        <f ca="1">LOOKUP(B697,geomorph!$A:$A,geomorph!$G:$G)</f>
        <v>105.283891</v>
      </c>
      <c r="Q697" s="1">
        <f t="shared" ca="1" si="107"/>
        <v>118.83765141036197</v>
      </c>
    </row>
    <row r="698" spans="2:17" x14ac:dyDescent="0.3">
      <c r="B698" s="6">
        <f ca="1">RANDBETWEEN(ranges!B$2,ranges!B$3)</f>
        <v>10115</v>
      </c>
      <c r="C698" s="9">
        <f ca="1">LOOKUP(B698,geomorph!A:A,geomorph!B:B)</f>
        <v>1598.8</v>
      </c>
      <c r="D698">
        <f t="shared" si="100"/>
        <v>1.13E-4</v>
      </c>
      <c r="E698" s="9">
        <f ca="1">'[2]Q_GEV(random)'!$J698</f>
        <v>8699.284001536209</v>
      </c>
      <c r="F698" s="26">
        <f ca="1">RANDBETWEEN(ranges!F$2*1000,ranges!F$3*1000)/1000</f>
        <v>0.10100000000000001</v>
      </c>
      <c r="G698" s="3">
        <f t="shared" ca="1" si="101"/>
        <v>5.4411333509733604</v>
      </c>
      <c r="H698" s="4">
        <f t="shared" ca="1" si="102"/>
        <v>8.7701798801524919</v>
      </c>
      <c r="I698" s="4">
        <f t="shared" ca="1" si="103"/>
        <v>165.46854845191987</v>
      </c>
      <c r="J698" s="26">
        <f ca="1">RANDBETWEEN(ranges!J$2*1000,ranges!J$3*1000)/1000</f>
        <v>0.8</v>
      </c>
      <c r="K698" s="26">
        <f ca="1">RANDBETWEEN(ranges!K$2*1000,ranges!K$3*1000)/1000</f>
        <v>0.85399999999999998</v>
      </c>
      <c r="L698">
        <f t="shared" ca="1" si="104"/>
        <v>74.46505734945913</v>
      </c>
      <c r="M698">
        <f t="shared" ca="1" si="105"/>
        <v>13.453184907005623</v>
      </c>
      <c r="N698" s="4">
        <f t="shared" ca="1" si="106"/>
        <v>5.0902228552751421</v>
      </c>
      <c r="O698" s="4"/>
      <c r="P698" s="1">
        <f ca="1">LOOKUP(B698,geomorph!$A:$A,geomorph!$G:$G)</f>
        <v>105.383331</v>
      </c>
      <c r="Q698" s="1">
        <f t="shared" ca="1" si="107"/>
        <v>118.83651590700562</v>
      </c>
    </row>
    <row r="699" spans="2:17" x14ac:dyDescent="0.3">
      <c r="B699" s="6">
        <f ca="1">RANDBETWEEN(ranges!B$2,ranges!B$3)</f>
        <v>13087</v>
      </c>
      <c r="C699" s="9">
        <f ca="1">LOOKUP(B699,geomorph!A:A,geomorph!B:B)</f>
        <v>1150.5</v>
      </c>
      <c r="D699">
        <f t="shared" si="100"/>
        <v>1.13E-4</v>
      </c>
      <c r="E699" s="9">
        <f ca="1">'[2]Q_GEV(random)'!$J699</f>
        <v>8697.8966786548299</v>
      </c>
      <c r="F699" s="26">
        <f ca="1">RANDBETWEEN(ranges!F$2*1000,ranges!F$3*1000)/1000</f>
        <v>9.5000000000000001E-2</v>
      </c>
      <c r="G699" s="3">
        <f t="shared" ca="1" si="101"/>
        <v>7.5601014156061099</v>
      </c>
      <c r="H699" s="4">
        <f t="shared" ca="1" si="102"/>
        <v>10.699613236462131</v>
      </c>
      <c r="I699" s="4">
        <f t="shared" ca="1" si="103"/>
        <v>286.31788338973666</v>
      </c>
      <c r="J699" s="26">
        <f ca="1">RANDBETWEEN(ranges!J$2*1000,ranges!J$3*1000)/1000</f>
        <v>0.61399999999999999</v>
      </c>
      <c r="K699" s="26">
        <f ca="1">RANDBETWEEN(ranges!K$2*1000,ranges!K$3*1000)/1000</f>
        <v>0.80400000000000005</v>
      </c>
      <c r="L699">
        <f t="shared" ca="1" si="104"/>
        <v>118.31387369433168</v>
      </c>
      <c r="M699">
        <f t="shared" ca="1" si="105"/>
        <v>15.38157262044213</v>
      </c>
      <c r="N699" s="4">
        <f t="shared" ca="1" si="106"/>
        <v>5.0890862869347808</v>
      </c>
      <c r="O699" s="4"/>
      <c r="P699" s="1">
        <f ca="1">LOOKUP(B699,geomorph!$A:$A,geomorph!$G:$G)</f>
        <v>105.047721</v>
      </c>
      <c r="Q699" s="1">
        <f t="shared" ca="1" si="107"/>
        <v>120.42929362044212</v>
      </c>
    </row>
    <row r="700" spans="2:17" x14ac:dyDescent="0.3">
      <c r="B700" s="6">
        <f ca="1">RANDBETWEEN(ranges!B$2,ranges!B$3)</f>
        <v>11760</v>
      </c>
      <c r="C700" s="9">
        <f ca="1">LOOKUP(B700,geomorph!A:A,geomorph!B:B)</f>
        <v>1422.4</v>
      </c>
      <c r="D700">
        <f t="shared" si="100"/>
        <v>1.13E-4</v>
      </c>
      <c r="E700" s="9">
        <f ca="1">'[2]Q_GEV(random)'!$J700</f>
        <v>8692.4696564808473</v>
      </c>
      <c r="F700" s="26">
        <f ca="1">RANDBETWEEN(ranges!F$2*1000,ranges!F$3*1000)/1000</f>
        <v>0.10199999999999999</v>
      </c>
      <c r="G700" s="3">
        <f t="shared" ca="1" si="101"/>
        <v>6.1111288361085814</v>
      </c>
      <c r="H700" s="4">
        <f t="shared" ca="1" si="102"/>
        <v>9.5072769891669768</v>
      </c>
      <c r="I700" s="4">
        <f t="shared" ca="1" si="103"/>
        <v>200.95982001839425</v>
      </c>
      <c r="J700" s="26">
        <f ca="1">RANDBETWEEN(ranges!J$2*1000,ranges!J$3*1000)/1000</f>
        <v>0.78500000000000003</v>
      </c>
      <c r="K700" s="26">
        <f ca="1">RANDBETWEEN(ranges!K$2*1000,ranges!K$3*1000)/1000</f>
        <v>0.82799999999999996</v>
      </c>
      <c r="L700">
        <f t="shared" ca="1" si="104"/>
        <v>86.821851455727924</v>
      </c>
      <c r="M700">
        <f t="shared" ca="1" si="105"/>
        <v>13.954980370700897</v>
      </c>
      <c r="N700" s="4">
        <f t="shared" ca="1" si="106"/>
        <v>4.8344601973194781</v>
      </c>
      <c r="O700" s="4"/>
      <c r="P700" s="1">
        <f ca="1">LOOKUP(B700,geomorph!$A:$A,geomorph!$G:$G)</f>
        <v>105.196881</v>
      </c>
      <c r="Q700" s="1">
        <f t="shared" ca="1" si="107"/>
        <v>119.1518613707009</v>
      </c>
    </row>
    <row r="701" spans="2:17" x14ac:dyDescent="0.3">
      <c r="B701" s="6">
        <f ca="1">RANDBETWEEN(ranges!B$2,ranges!B$3)</f>
        <v>13518</v>
      </c>
      <c r="C701" s="9">
        <f ca="1">LOOKUP(B701,geomorph!A:A,geomorph!B:B)</f>
        <v>1205</v>
      </c>
      <c r="D701">
        <f t="shared" si="100"/>
        <v>1.13E-4</v>
      </c>
      <c r="E701" s="9">
        <f ca="1">'[2]Q_GEV(random)'!$J701</f>
        <v>8690.3125141459477</v>
      </c>
      <c r="F701" s="26">
        <f ca="1">RANDBETWEEN(ranges!F$2*1000,ranges!F$3*1000)/1000</f>
        <v>0.09</v>
      </c>
      <c r="G701" s="3">
        <f t="shared" ca="1" si="101"/>
        <v>7.2118776051003719</v>
      </c>
      <c r="H701" s="4">
        <f t="shared" ca="1" si="102"/>
        <v>10.183292025073104</v>
      </c>
      <c r="I701" s="4">
        <f t="shared" ca="1" si="103"/>
        <v>264.90807801644763</v>
      </c>
      <c r="J701" s="26">
        <f ca="1">RANDBETWEEN(ranges!J$2*1000,ranges!J$3*1000)/1000</f>
        <v>0.75700000000000001</v>
      </c>
      <c r="K701" s="26">
        <f ca="1">RANDBETWEEN(ranges!K$2*1000,ranges!K$3*1000)/1000</f>
        <v>0.92700000000000005</v>
      </c>
      <c r="L701">
        <f t="shared" ca="1" si="104"/>
        <v>106.60279169874468</v>
      </c>
      <c r="M701">
        <f t="shared" ca="1" si="105"/>
        <v>14.51556913165957</v>
      </c>
      <c r="N701" s="4">
        <f t="shared" ca="1" si="106"/>
        <v>4.7089968549852879</v>
      </c>
      <c r="O701" s="4"/>
      <c r="P701" s="1">
        <f ca="1">LOOKUP(B701,geomorph!$A:$A,geomorph!$G:$G)</f>
        <v>104.99913100000001</v>
      </c>
      <c r="Q701" s="1">
        <f t="shared" ca="1" si="107"/>
        <v>119.51470013165958</v>
      </c>
    </row>
    <row r="702" spans="2:17" x14ac:dyDescent="0.3">
      <c r="B702" s="6">
        <f ca="1">RANDBETWEEN(ranges!B$2,ranges!B$3)</f>
        <v>11315</v>
      </c>
      <c r="C702" s="9">
        <f ca="1">LOOKUP(B702,geomorph!A:A,geomorph!B:B)</f>
        <v>1598.7</v>
      </c>
      <c r="D702">
        <f t="shared" si="100"/>
        <v>1.13E-4</v>
      </c>
      <c r="E702" s="9">
        <f ca="1">'[2]Q_GEV(random)'!$J702</f>
        <v>8681.7331565804307</v>
      </c>
      <c r="F702" s="26">
        <f ca="1">RANDBETWEEN(ranges!F$2*1000,ranges!F$3*1000)/1000</f>
        <v>9.2999999999999999E-2</v>
      </c>
      <c r="G702" s="3">
        <f t="shared" ca="1" si="101"/>
        <v>5.4304955004568907</v>
      </c>
      <c r="H702" s="4">
        <f t="shared" ca="1" si="102"/>
        <v>8.5211017575177568</v>
      </c>
      <c r="I702" s="4">
        <f t="shared" ca="1" si="103"/>
        <v>165.26314532454435</v>
      </c>
      <c r="J702" s="26">
        <f ca="1">RANDBETWEEN(ranges!J$2*1000,ranges!J$3*1000)/1000</f>
        <v>0.64500000000000002</v>
      </c>
      <c r="K702" s="26">
        <f ca="1">RANDBETWEEN(ranges!K$2*1000,ranges!K$3*1000)/1000</f>
        <v>0.98599999999999999</v>
      </c>
      <c r="L702">
        <f t="shared" ca="1" si="104"/>
        <v>78.351429903291262</v>
      </c>
      <c r="M702">
        <f t="shared" ca="1" si="105"/>
        <v>14.154428701462267</v>
      </c>
      <c r="N702" s="4">
        <f t="shared" ca="1" si="106"/>
        <v>6.1231814608092501</v>
      </c>
      <c r="O702" s="4"/>
      <c r="P702" s="1">
        <f ca="1">LOOKUP(B702,geomorph!$A:$A,geomorph!$G:$G)</f>
        <v>105.247731</v>
      </c>
      <c r="Q702" s="1">
        <f t="shared" ca="1" si="107"/>
        <v>119.40215970146227</v>
      </c>
    </row>
    <row r="703" spans="2:17" x14ac:dyDescent="0.3">
      <c r="B703" s="6">
        <f ca="1">RANDBETWEEN(ranges!B$2,ranges!B$3)</f>
        <v>13235</v>
      </c>
      <c r="C703" s="9">
        <f ca="1">LOOKUP(B703,geomorph!A:A,geomorph!B:B)</f>
        <v>1166.5</v>
      </c>
      <c r="D703">
        <f t="shared" si="100"/>
        <v>1.13E-4</v>
      </c>
      <c r="E703" s="9">
        <f ca="1">'[2]Q_GEV(random)'!$J703</f>
        <v>8632.0676488466615</v>
      </c>
      <c r="F703" s="26">
        <f ca="1">RANDBETWEEN(ranges!F$2*1000,ranges!F$3*1000)/1000</f>
        <v>0.106</v>
      </c>
      <c r="G703" s="3">
        <f t="shared" ca="1" si="101"/>
        <v>7.3999722664780636</v>
      </c>
      <c r="H703" s="4">
        <f t="shared" ca="1" si="102"/>
        <v>10.940331453216441</v>
      </c>
      <c r="I703" s="4">
        <f t="shared" ca="1" si="103"/>
        <v>278.38895569129409</v>
      </c>
      <c r="J703" s="26">
        <f ca="1">RANDBETWEEN(ranges!J$2*1000,ranges!J$3*1000)/1000</f>
        <v>0.65</v>
      </c>
      <c r="K703" s="26">
        <f ca="1">RANDBETWEEN(ranges!K$2*1000,ranges!K$3*1000)/1000</f>
        <v>0.82</v>
      </c>
      <c r="L703">
        <f t="shared" ca="1" si="104"/>
        <v>117.97850206454055</v>
      </c>
      <c r="M703">
        <f t="shared" ca="1" si="105"/>
        <v>15.55127726038638</v>
      </c>
      <c r="N703" s="4">
        <f t="shared" ca="1" si="106"/>
        <v>5.0118976164890636</v>
      </c>
      <c r="O703" s="4"/>
      <c r="P703" s="1">
        <f ca="1">LOOKUP(B703,geomorph!$A:$A,geomorph!$G:$G)</f>
        <v>105.030771</v>
      </c>
      <c r="Q703" s="1">
        <f t="shared" ca="1" si="107"/>
        <v>120.58204826038639</v>
      </c>
    </row>
    <row r="704" spans="2:17" x14ac:dyDescent="0.3">
      <c r="B704" s="6">
        <f ca="1">RANDBETWEEN(ranges!B$2,ranges!B$3)</f>
        <v>14239</v>
      </c>
      <c r="C704" s="9">
        <f ca="1">LOOKUP(B704,geomorph!A:A,geomorph!B:B)</f>
        <v>1323.1</v>
      </c>
      <c r="D704">
        <f t="shared" si="100"/>
        <v>1.13E-4</v>
      </c>
      <c r="E704" s="9">
        <f ca="1">'[2]Q_GEV(random)'!$J704</f>
        <v>8623.7958061046374</v>
      </c>
      <c r="F704" s="26">
        <f ca="1">RANDBETWEEN(ranges!F$2*1000,ranges!F$3*1000)/1000</f>
        <v>9.8000000000000004E-2</v>
      </c>
      <c r="G704" s="3">
        <f t="shared" ca="1" si="101"/>
        <v>6.517871518482834</v>
      </c>
      <c r="H704" s="4">
        <f t="shared" ca="1" si="102"/>
        <v>9.7931187050511426</v>
      </c>
      <c r="I704" s="4">
        <f t="shared" ca="1" si="103"/>
        <v>225.52492359703413</v>
      </c>
      <c r="J704" s="26">
        <f ca="1">RANDBETWEEN(ranges!J$2*1000,ranges!J$3*1000)/1000</f>
        <v>0.63300000000000001</v>
      </c>
      <c r="K704" s="26">
        <f ca="1">RANDBETWEEN(ranges!K$2*1000,ranges!K$3*1000)/1000</f>
        <v>0.91900000000000004</v>
      </c>
      <c r="L704">
        <f t="shared" ca="1" si="104"/>
        <v>99.719186076707729</v>
      </c>
      <c r="M704">
        <f t="shared" ca="1" si="105"/>
        <v>14.909045426084392</v>
      </c>
      <c r="N704" s="4">
        <f t="shared" ca="1" si="106"/>
        <v>5.5607899141665751</v>
      </c>
      <c r="O704" s="4"/>
      <c r="P704" s="1">
        <f ca="1">LOOKUP(B704,geomorph!$A:$A,geomorph!$G:$G)</f>
        <v>104.917771</v>
      </c>
      <c r="Q704" s="1">
        <f t="shared" ca="1" si="107"/>
        <v>119.82681642608439</v>
      </c>
    </row>
    <row r="705" spans="2:17" x14ac:dyDescent="0.3">
      <c r="B705" s="6">
        <f ca="1">RANDBETWEEN(ranges!B$2,ranges!B$3)</f>
        <v>10698</v>
      </c>
      <c r="C705" s="9">
        <f ca="1">LOOKUP(B705,geomorph!A:A,geomorph!B:B)</f>
        <v>1714.6</v>
      </c>
      <c r="D705">
        <f t="shared" si="100"/>
        <v>1.13E-4</v>
      </c>
      <c r="E705" s="9">
        <f ca="1">'[2]Q_GEV(random)'!$J705</f>
        <v>8617.826826444867</v>
      </c>
      <c r="F705" s="26">
        <f ca="1">RANDBETWEEN(ranges!F$2*1000,ranges!F$3*1000)/1000</f>
        <v>9.8000000000000004E-2</v>
      </c>
      <c r="G705" s="3">
        <f t="shared" ca="1" si="101"/>
        <v>5.0261441889915242</v>
      </c>
      <c r="H705" s="4">
        <f t="shared" ca="1" si="102"/>
        <v>8.2351930448714512</v>
      </c>
      <c r="I705" s="4">
        <f t="shared" ca="1" si="103"/>
        <v>146.34475428093774</v>
      </c>
      <c r="J705" s="26">
        <f ca="1">RANDBETWEEN(ranges!J$2*1000,ranges!J$3*1000)/1000</f>
        <v>0.67</v>
      </c>
      <c r="K705" s="26">
        <f ca="1">RANDBETWEEN(ranges!K$2*1000,ranges!K$3*1000)/1000</f>
        <v>0.80500000000000005</v>
      </c>
      <c r="L705">
        <f t="shared" ca="1" si="104"/>
        <v>70.284857133839523</v>
      </c>
      <c r="M705">
        <f t="shared" ca="1" si="105"/>
        <v>13.617677012709979</v>
      </c>
      <c r="N705" s="4">
        <f t="shared" ca="1" si="106"/>
        <v>5.8505260519983997</v>
      </c>
      <c r="O705" s="4"/>
      <c r="P705" s="1">
        <f ca="1">LOOKUP(B705,geomorph!$A:$A,geomorph!$G:$G)</f>
        <v>105.317791</v>
      </c>
      <c r="Q705" s="1">
        <f t="shared" ca="1" si="107"/>
        <v>118.93546801270998</v>
      </c>
    </row>
    <row r="706" spans="2:17" x14ac:dyDescent="0.3">
      <c r="B706" s="6">
        <f ca="1">RANDBETWEEN(ranges!B$2,ranges!B$3)</f>
        <v>13667</v>
      </c>
      <c r="C706" s="9">
        <f ca="1">LOOKUP(B706,geomorph!A:A,geomorph!B:B)</f>
        <v>1243.0999999999999</v>
      </c>
      <c r="D706">
        <f t="shared" si="100"/>
        <v>1.13E-4</v>
      </c>
      <c r="E706" s="9">
        <f ca="1">'[2]Q_GEV(random)'!$J706</f>
        <v>8603.402227719127</v>
      </c>
      <c r="F706" s="26">
        <f ca="1">RANDBETWEEN(ranges!F$2*1000,ranges!F$3*1000)/1000</f>
        <v>9.0999999999999998E-2</v>
      </c>
      <c r="G706" s="3">
        <f t="shared" ca="1" si="101"/>
        <v>6.9209252897748597</v>
      </c>
      <c r="H706" s="4">
        <f t="shared" ca="1" si="102"/>
        <v>9.9440897377242745</v>
      </c>
      <c r="I706" s="4">
        <f t="shared" ca="1" si="103"/>
        <v>249.83506416409921</v>
      </c>
      <c r="J706" s="26">
        <f ca="1">RANDBETWEEN(ranges!J$2*1000,ranges!J$3*1000)/1000</f>
        <v>0.74399999999999999</v>
      </c>
      <c r="K706" s="26">
        <f ca="1">RANDBETWEEN(ranges!K$2*1000,ranges!K$3*1000)/1000</f>
        <v>0.91300000000000003</v>
      </c>
      <c r="L706">
        <f t="shared" ca="1" si="104"/>
        <v>102.21516759915896</v>
      </c>
      <c r="M706">
        <f t="shared" ca="1" si="105"/>
        <v>14.358195257204137</v>
      </c>
      <c r="N706" s="4">
        <f t="shared" ca="1" si="106"/>
        <v>4.7979407820433293</v>
      </c>
      <c r="O706" s="4"/>
      <c r="P706" s="1">
        <f ca="1">LOOKUP(B706,geomorph!$A:$A,geomorph!$G:$G)</f>
        <v>104.982181</v>
      </c>
      <c r="Q706" s="1">
        <f t="shared" ca="1" si="107"/>
        <v>119.34037625720413</v>
      </c>
    </row>
    <row r="707" spans="2:17" x14ac:dyDescent="0.3">
      <c r="B707" s="6">
        <f ca="1">RANDBETWEEN(ranges!B$2,ranges!B$3)</f>
        <v>12436</v>
      </c>
      <c r="C707" s="9">
        <f ca="1">LOOKUP(B707,geomorph!A:A,geomorph!B:B)</f>
        <v>1228.0999999999999</v>
      </c>
      <c r="D707">
        <f t="shared" si="100"/>
        <v>1.13E-4</v>
      </c>
      <c r="E707" s="9">
        <f ca="1">'[2]Q_GEV(random)'!$J707</f>
        <v>8584.1537068880571</v>
      </c>
      <c r="F707" s="26">
        <f ca="1">RANDBETWEEN(ranges!F$2*1000,ranges!F$3*1000)/1000</f>
        <v>0.104</v>
      </c>
      <c r="G707" s="3">
        <f t="shared" ca="1" si="101"/>
        <v>6.9897839808550266</v>
      </c>
      <c r="H707" s="4">
        <f t="shared" ca="1" si="102"/>
        <v>10.46555053512165</v>
      </c>
      <c r="I707" s="4">
        <f t="shared" ca="1" si="103"/>
        <v>254.56114844693678</v>
      </c>
      <c r="J707" s="26">
        <f ca="1">RANDBETWEEN(ranges!J$2*1000,ranges!J$3*1000)/1000</f>
        <v>0.76200000000000001</v>
      </c>
      <c r="K707" s="26">
        <f ca="1">RANDBETWEEN(ranges!K$2*1000,ranges!K$3*1000)/1000</f>
        <v>0.89600000000000002</v>
      </c>
      <c r="L707">
        <f t="shared" ca="1" si="104"/>
        <v>106.81549894963341</v>
      </c>
      <c r="M707">
        <f t="shared" ca="1" si="105"/>
        <v>14.823352911385062</v>
      </c>
      <c r="N707" s="4">
        <f t="shared" ca="1" si="106"/>
        <v>4.7367417133297947</v>
      </c>
      <c r="O707" s="4"/>
      <c r="P707" s="1">
        <f ca="1">LOOKUP(B707,geomorph!$A:$A,geomorph!$G:$G)</f>
        <v>105.121171</v>
      </c>
      <c r="Q707" s="1">
        <f t="shared" ca="1" si="107"/>
        <v>119.94452391138506</v>
      </c>
    </row>
    <row r="708" spans="2:17" x14ac:dyDescent="0.3">
      <c r="B708" s="6">
        <f ca="1">RANDBETWEEN(ranges!B$2,ranges!B$3)</f>
        <v>10909</v>
      </c>
      <c r="C708" s="9">
        <f ca="1">LOOKUP(B708,geomorph!A:A,geomorph!B:B)</f>
        <v>1675.9</v>
      </c>
      <c r="D708">
        <f t="shared" si="100"/>
        <v>1.13E-4</v>
      </c>
      <c r="E708" s="9">
        <f ca="1">'[2]Q_GEV(random)'!$J708</f>
        <v>8546.7581652748377</v>
      </c>
      <c r="F708" s="26">
        <f ca="1">RANDBETWEEN(ranges!F$2*1000,ranges!F$3*1000)/1000</f>
        <v>9.1999999999999998E-2</v>
      </c>
      <c r="G708" s="3">
        <f t="shared" ca="1" si="101"/>
        <v>5.0998019961064722</v>
      </c>
      <c r="H708" s="4">
        <f t="shared" ca="1" si="102"/>
        <v>8.1421659327031417</v>
      </c>
      <c r="I708" s="4">
        <f t="shared" ca="1" si="103"/>
        <v>151.18340613387261</v>
      </c>
      <c r="J708" s="26">
        <f ca="1">RANDBETWEEN(ranges!J$2*1000,ranges!J$3*1000)/1000</f>
        <v>0.61899999999999999</v>
      </c>
      <c r="K708" s="26">
        <f ca="1">RANDBETWEEN(ranges!K$2*1000,ranges!K$3*1000)/1000</f>
        <v>0.874</v>
      </c>
      <c r="L708">
        <f t="shared" ca="1" si="104"/>
        <v>73.185163488688687</v>
      </c>
      <c r="M708">
        <f t="shared" ca="1" si="105"/>
        <v>13.859564750448351</v>
      </c>
      <c r="N708" s="4">
        <f t="shared" ca="1" si="106"/>
        <v>6.2145639323317496</v>
      </c>
      <c r="O708" s="4"/>
      <c r="P708" s="1">
        <f ca="1">LOOKUP(B708,geomorph!$A:$A,geomorph!$G:$G)</f>
        <v>105.294061</v>
      </c>
      <c r="Q708" s="1">
        <f t="shared" ca="1" si="107"/>
        <v>119.15362575044836</v>
      </c>
    </row>
    <row r="709" spans="2:17" x14ac:dyDescent="0.3">
      <c r="B709" s="6">
        <f ca="1">RANDBETWEEN(ranges!B$2,ranges!B$3)</f>
        <v>13302</v>
      </c>
      <c r="C709" s="9">
        <f ca="1">LOOKUP(B709,geomorph!A:A,geomorph!B:B)</f>
        <v>1174.2</v>
      </c>
      <c r="D709">
        <f t="shared" si="100"/>
        <v>1.13E-4</v>
      </c>
      <c r="E709" s="9">
        <f ca="1">'[2]Q_GEV(random)'!$J709</f>
        <v>8546.1356899492348</v>
      </c>
      <c r="F709" s="26">
        <f ca="1">RANDBETWEEN(ranges!F$2*1000,ranges!F$3*1000)/1000</f>
        <v>9.0999999999999998E-2</v>
      </c>
      <c r="G709" s="3">
        <f t="shared" ca="1" si="101"/>
        <v>7.2782623828557611</v>
      </c>
      <c r="H709" s="4">
        <f t="shared" ca="1" si="102"/>
        <v>10.283494797665556</v>
      </c>
      <c r="I709" s="4">
        <f t="shared" ca="1" si="103"/>
        <v>273.52251400727386</v>
      </c>
      <c r="J709" s="26">
        <f ca="1">RANDBETWEEN(ranges!J$2*1000,ranges!J$3*1000)/1000</f>
        <v>0.77700000000000002</v>
      </c>
      <c r="K709" s="26">
        <f ca="1">RANDBETWEEN(ranges!K$2*1000,ranges!K$3*1000)/1000</f>
        <v>0.877</v>
      </c>
      <c r="L709">
        <f t="shared" ca="1" si="104"/>
        <v>108.56829708890224</v>
      </c>
      <c r="M709">
        <f t="shared" ca="1" si="105"/>
        <v>14.405341071922159</v>
      </c>
      <c r="N709" s="4">
        <f t="shared" ca="1" si="106"/>
        <v>4.4802676894093505</v>
      </c>
      <c r="O709" s="4"/>
      <c r="P709" s="1">
        <f ca="1">LOOKUP(B709,geomorph!$A:$A,geomorph!$G:$G)</f>
        <v>105.02286100000001</v>
      </c>
      <c r="Q709" s="1">
        <f t="shared" ca="1" si="107"/>
        <v>119.42820207192216</v>
      </c>
    </row>
    <row r="710" spans="2:17" x14ac:dyDescent="0.3">
      <c r="B710" s="6">
        <f ca="1">RANDBETWEEN(ranges!B$2,ranges!B$3)</f>
        <v>12175</v>
      </c>
      <c r="C710" s="9">
        <f ca="1">LOOKUP(B710,geomorph!A:A,geomorph!B:B)</f>
        <v>1298.3</v>
      </c>
      <c r="D710">
        <f t="shared" si="100"/>
        <v>1.13E-4</v>
      </c>
      <c r="E710" s="9">
        <f ca="1">'[2]Q_GEV(random)'!$J710</f>
        <v>8545.2673951427678</v>
      </c>
      <c r="F710" s="26">
        <f ca="1">RANDBETWEEN(ranges!F$2*1000,ranges!F$3*1000)/1000</f>
        <v>0.1</v>
      </c>
      <c r="G710" s="3">
        <f t="shared" ca="1" si="101"/>
        <v>6.5818896981766679</v>
      </c>
      <c r="H710" s="4">
        <f t="shared" ca="1" si="102"/>
        <v>9.9237434870944323</v>
      </c>
      <c r="I710" s="4">
        <f t="shared" ca="1" si="103"/>
        <v>231.33536317977433</v>
      </c>
      <c r="J710" s="26">
        <f ca="1">RANDBETWEEN(ranges!J$2*1000,ranges!J$3*1000)/1000</f>
        <v>0.61499999999999999</v>
      </c>
      <c r="K710" s="26">
        <f ca="1">RANDBETWEEN(ranges!K$2*1000,ranges!K$3*1000)/1000</f>
        <v>0.97099999999999997</v>
      </c>
      <c r="L710">
        <f t="shared" ca="1" si="104"/>
        <v>103.52938414985852</v>
      </c>
      <c r="M710">
        <f t="shared" ca="1" si="105"/>
        <v>15.188578536919026</v>
      </c>
      <c r="N710" s="4">
        <f t="shared" ca="1" si="106"/>
        <v>5.722646793287602</v>
      </c>
      <c r="O710" s="4"/>
      <c r="P710" s="1">
        <f ca="1">LOOKUP(B710,geomorph!$A:$A,geomorph!$G:$G)</f>
        <v>105.15055100000001</v>
      </c>
      <c r="Q710" s="1">
        <f t="shared" ca="1" si="107"/>
        <v>120.33912953691903</v>
      </c>
    </row>
    <row r="711" spans="2:17" x14ac:dyDescent="0.3">
      <c r="B711" s="6">
        <f ca="1">RANDBETWEEN(ranges!B$2,ranges!B$3)</f>
        <v>12004</v>
      </c>
      <c r="C711" s="9">
        <f ca="1">LOOKUP(B711,geomorph!A:A,geomorph!B:B)</f>
        <v>1350.4</v>
      </c>
      <c r="D711">
        <f t="shared" si="100"/>
        <v>1.13E-4</v>
      </c>
      <c r="E711" s="9">
        <f ca="1">'[2]Q_GEV(random)'!$J711</f>
        <v>8527.2397662437234</v>
      </c>
      <c r="F711" s="26">
        <f ca="1">RANDBETWEEN(ranges!F$2*1000,ranges!F$3*1000)/1000</f>
        <v>9.8000000000000004E-2</v>
      </c>
      <c r="G711" s="3">
        <f t="shared" ca="1" si="101"/>
        <v>6.3146029074672114</v>
      </c>
      <c r="H711" s="4">
        <f t="shared" ca="1" si="102"/>
        <v>9.5884377266591976</v>
      </c>
      <c r="I711" s="4">
        <f t="shared" ca="1" si="103"/>
        <v>216.34736884097441</v>
      </c>
      <c r="J711" s="26">
        <f ca="1">RANDBETWEEN(ranges!J$2*1000,ranges!J$3*1000)/1000</f>
        <v>0.77</v>
      </c>
      <c r="K711" s="26">
        <f ca="1">RANDBETWEEN(ranges!K$2*1000,ranges!K$3*1000)/1000</f>
        <v>0.81899999999999995</v>
      </c>
      <c r="L711">
        <f t="shared" ca="1" si="104"/>
        <v>91.321790373205019</v>
      </c>
      <c r="M711">
        <f t="shared" ca="1" si="105"/>
        <v>13.935266866357296</v>
      </c>
      <c r="N711" s="4">
        <f t="shared" ca="1" si="106"/>
        <v>4.7248142822805415</v>
      </c>
      <c r="O711" s="4"/>
      <c r="P711" s="1">
        <f ca="1">LOOKUP(B711,geomorph!$A:$A,geomorph!$G:$G)</f>
        <v>105.16976100000001</v>
      </c>
      <c r="Q711" s="1">
        <f t="shared" ca="1" si="107"/>
        <v>119.1050278663573</v>
      </c>
    </row>
    <row r="712" spans="2:17" x14ac:dyDescent="0.3">
      <c r="B712" s="6">
        <f ca="1">RANDBETWEEN(ranges!B$2,ranges!B$3)</f>
        <v>11194</v>
      </c>
      <c r="C712" s="9">
        <f ca="1">LOOKUP(B712,geomorph!A:A,geomorph!B:B)</f>
        <v>1665.3</v>
      </c>
      <c r="D712">
        <f t="shared" si="100"/>
        <v>1.13E-4</v>
      </c>
      <c r="E712" s="9">
        <f ca="1">'[2]Q_GEV(random)'!$J712</f>
        <v>8523.5831882976454</v>
      </c>
      <c r="F712" s="26">
        <f ca="1">RANDBETWEEN(ranges!F$2*1000,ranges!F$3*1000)/1000</f>
        <v>0.11</v>
      </c>
      <c r="G712" s="3">
        <f t="shared" ca="1" si="101"/>
        <v>5.1183469574837241</v>
      </c>
      <c r="H712" s="4">
        <f t="shared" ca="1" si="102"/>
        <v>8.6628176570803443</v>
      </c>
      <c r="I712" s="4">
        <f t="shared" ca="1" si="103"/>
        <v>152.514341137412</v>
      </c>
      <c r="J712" s="26">
        <f ca="1">RANDBETWEEN(ranges!J$2*1000,ranges!J$3*1000)/1000</f>
        <v>0.751</v>
      </c>
      <c r="K712" s="26">
        <f ca="1">RANDBETWEEN(ranges!K$2*1000,ranges!K$3*1000)/1000</f>
        <v>0.86</v>
      </c>
      <c r="L712">
        <f t="shared" ca="1" si="104"/>
        <v>72.74594872663333</v>
      </c>
      <c r="M712">
        <f t="shared" ca="1" si="105"/>
        <v>13.689252610834259</v>
      </c>
      <c r="N712" s="4">
        <f t="shared" ca="1" si="106"/>
        <v>5.4635162540803419</v>
      </c>
      <c r="O712" s="4"/>
      <c r="P712" s="1">
        <f ca="1">LOOKUP(B712,geomorph!$A:$A,geomorph!$G:$G)</f>
        <v>105.261291</v>
      </c>
      <c r="Q712" s="1">
        <f t="shared" ca="1" si="107"/>
        <v>118.95054361083426</v>
      </c>
    </row>
    <row r="713" spans="2:17" x14ac:dyDescent="0.3">
      <c r="B713" s="6">
        <f ca="1">RANDBETWEEN(ranges!B$2,ranges!B$3)</f>
        <v>10930</v>
      </c>
      <c r="C713" s="9">
        <f ca="1">LOOKUP(B713,geomorph!A:A,geomorph!B:B)</f>
        <v>1681.1</v>
      </c>
      <c r="D713">
        <f t="shared" si="100"/>
        <v>1.13E-4</v>
      </c>
      <c r="E713" s="9">
        <f ca="1">'[2]Q_GEV(random)'!$J713</f>
        <v>8514.0587230209894</v>
      </c>
      <c r="F713" s="26">
        <f ca="1">RANDBETWEEN(ranges!F$2*1000,ranges!F$3*1000)/1000</f>
        <v>9.1999999999999998E-2</v>
      </c>
      <c r="G713" s="3">
        <f t="shared" ca="1" si="101"/>
        <v>5.0645760056040627</v>
      </c>
      <c r="H713" s="4">
        <f t="shared" ca="1" si="102"/>
        <v>8.104628911175757</v>
      </c>
      <c r="I713" s="4">
        <f t="shared" ca="1" si="103"/>
        <v>150.02093372577346</v>
      </c>
      <c r="J713" s="26">
        <f ca="1">RANDBETWEEN(ranges!J$2*1000,ranges!J$3*1000)/1000</f>
        <v>0.67100000000000004</v>
      </c>
      <c r="K713" s="26">
        <f ca="1">RANDBETWEEN(ranges!K$2*1000,ranges!K$3*1000)/1000</f>
        <v>0.83</v>
      </c>
      <c r="L713">
        <f t="shared" ca="1" si="104"/>
        <v>70.680836223485585</v>
      </c>
      <c r="M713">
        <f t="shared" ca="1" si="105"/>
        <v>13.426835576609081</v>
      </c>
      <c r="N713" s="4">
        <f t="shared" ca="1" si="106"/>
        <v>5.7850072450362218</v>
      </c>
      <c r="O713" s="4"/>
      <c r="P713" s="1">
        <f ca="1">LOOKUP(B713,geomorph!$A:$A,geomorph!$G:$G)</f>
        <v>105.290671</v>
      </c>
      <c r="Q713" s="1">
        <f t="shared" ca="1" si="107"/>
        <v>118.71750657660908</v>
      </c>
    </row>
    <row r="714" spans="2:17" x14ac:dyDescent="0.3">
      <c r="B714" s="6">
        <f ca="1">RANDBETWEEN(ranges!B$2,ranges!B$3)</f>
        <v>12400</v>
      </c>
      <c r="C714" s="9">
        <f ca="1">LOOKUP(B714,geomorph!A:A,geomorph!B:B)</f>
        <v>1236.0999999999999</v>
      </c>
      <c r="D714">
        <f t="shared" si="100"/>
        <v>1.13E-4</v>
      </c>
      <c r="E714" s="9">
        <f ca="1">'[2]Q_GEV(random)'!$J714</f>
        <v>8482.2016619623082</v>
      </c>
      <c r="F714" s="26">
        <f ca="1">RANDBETWEEN(ranges!F$2*1000,ranges!F$3*1000)/1000</f>
        <v>9.7000000000000003E-2</v>
      </c>
      <c r="G714" s="3">
        <f t="shared" ca="1" si="101"/>
        <v>6.8620675203966579</v>
      </c>
      <c r="H714" s="4">
        <f t="shared" ca="1" si="102"/>
        <v>10.1003331640495</v>
      </c>
      <c r="I714" s="4">
        <f t="shared" ca="1" si="103"/>
        <v>249.82337347447466</v>
      </c>
      <c r="J714" s="26">
        <f ca="1">RANDBETWEEN(ranges!J$2*1000,ranges!J$3*1000)/1000</f>
        <v>0.73899999999999999</v>
      </c>
      <c r="K714" s="26">
        <f ca="1">RANDBETWEEN(ranges!K$2*1000,ranges!K$3*1000)/1000</f>
        <v>0.88300000000000001</v>
      </c>
      <c r="L714">
        <f t="shared" ca="1" si="104"/>
        <v>103.74678601868797</v>
      </c>
      <c r="M714">
        <f t="shared" ca="1" si="105"/>
        <v>14.491278448340122</v>
      </c>
      <c r="N714" s="4">
        <f t="shared" ca="1" si="106"/>
        <v>4.7727666133593711</v>
      </c>
      <c r="O714" s="4"/>
      <c r="P714" s="1">
        <f ca="1">LOOKUP(B714,geomorph!$A:$A,geomorph!$G:$G)</f>
        <v>105.124561</v>
      </c>
      <c r="Q714" s="1">
        <f t="shared" ca="1" si="107"/>
        <v>119.61583944834013</v>
      </c>
    </row>
    <row r="715" spans="2:17" x14ac:dyDescent="0.3">
      <c r="B715" s="6">
        <f ca="1">RANDBETWEEN(ranges!B$2,ranges!B$3)</f>
        <v>12205</v>
      </c>
      <c r="C715" s="9">
        <f ca="1">LOOKUP(B715,geomorph!A:A,geomorph!B:B)</f>
        <v>1290.5</v>
      </c>
      <c r="D715">
        <f t="shared" ref="D715:D778" si="108">D714</f>
        <v>1.13E-4</v>
      </c>
      <c r="E715" s="9">
        <f ca="1">'[2]Q_GEV(random)'!$J715</f>
        <v>8481.3212170470888</v>
      </c>
      <c r="F715" s="26">
        <f ca="1">RANDBETWEEN(ranges!F$2*1000,ranges!F$3*1000)/1000</f>
        <v>9.7000000000000003E-2</v>
      </c>
      <c r="G715" s="3">
        <f t="shared" ref="G715:G778" ca="1" si="109">E715/C715</f>
        <v>6.5721202766734512</v>
      </c>
      <c r="H715" s="4">
        <f t="shared" ref="H715:H778" ca="1" si="110">POWER(G715/SQRT(4*9.807*D715/F715),2/3)</f>
        <v>9.8137737932317304</v>
      </c>
      <c r="I715" s="4">
        <f t="shared" ref="I715:I778" ca="1" si="111">POWER(G715*G715/9.807/D715,1/3)/C715/D715</f>
        <v>232.50324036079434</v>
      </c>
      <c r="J715" s="26">
        <f ca="1">RANDBETWEEN(ranges!J$2*1000,ranges!J$3*1000)/1000</f>
        <v>0.78200000000000003</v>
      </c>
      <c r="K715" s="26">
        <f ca="1">RANDBETWEEN(ranges!K$2*1000,ranges!K$3*1000)/1000</f>
        <v>0.85199999999999998</v>
      </c>
      <c r="L715">
        <f t="shared" ref="L715:L778" ca="1" si="112">0.63*POWER(F715,1/3)*I715+5.75*(1+SQRT(1+0.11*J715*POWER(F715,1/3)*K715*I715))/J715</f>
        <v>96.503443876922887</v>
      </c>
      <c r="M715">
        <f t="shared" ref="M715:M778" ca="1" si="113">L715*C715*D715</f>
        <v>14.072759458518094</v>
      </c>
      <c r="N715" s="4">
        <f t="shared" ref="N715:N778" ca="1" si="114">(M715-H715)/0.92</f>
        <v>4.6293322448764824</v>
      </c>
      <c r="O715" s="4"/>
      <c r="P715" s="1">
        <f ca="1">LOOKUP(B715,geomorph!$A:$A,geomorph!$G:$G)</f>
        <v>105.147161</v>
      </c>
      <c r="Q715" s="1">
        <f t="shared" ref="Q715:Q778" ca="1" si="115">M715+P715</f>
        <v>119.21992045851809</v>
      </c>
    </row>
    <row r="716" spans="2:17" x14ac:dyDescent="0.3">
      <c r="B716" s="6">
        <f ca="1">RANDBETWEEN(ranges!B$2,ranges!B$3)</f>
        <v>14893</v>
      </c>
      <c r="C716" s="9">
        <f ca="1">LOOKUP(B716,geomorph!A:A,geomorph!B:B)</f>
        <v>1505.6</v>
      </c>
      <c r="D716">
        <f t="shared" si="108"/>
        <v>1.13E-4</v>
      </c>
      <c r="E716" s="9">
        <f ca="1">'[2]Q_GEV(random)'!$J716</f>
        <v>8469.6526311877024</v>
      </c>
      <c r="F716" s="26">
        <f ca="1">RANDBETWEEN(ranges!F$2*1000,ranges!F$3*1000)/1000</f>
        <v>9.8000000000000004E-2</v>
      </c>
      <c r="G716" s="3">
        <f t="shared" ca="1" si="109"/>
        <v>5.6254334691735544</v>
      </c>
      <c r="H716" s="4">
        <f t="shared" ca="1" si="110"/>
        <v>8.877441457580364</v>
      </c>
      <c r="I716" s="4">
        <f t="shared" ca="1" si="111"/>
        <v>179.65710865407829</v>
      </c>
      <c r="J716" s="26">
        <f ca="1">RANDBETWEEN(ranges!J$2*1000,ranges!J$3*1000)/1000</f>
        <v>0.70799999999999996</v>
      </c>
      <c r="K716" s="26">
        <f ca="1">RANDBETWEEN(ranges!K$2*1000,ranges!K$3*1000)/1000</f>
        <v>0.92600000000000005</v>
      </c>
      <c r="L716">
        <f t="shared" ca="1" si="112"/>
        <v>81.750780577587904</v>
      </c>
      <c r="M716">
        <f t="shared" ca="1" si="113"/>
        <v>13.908489201850646</v>
      </c>
      <c r="N716" s="4">
        <f t="shared" ca="1" si="114"/>
        <v>5.4685301568155236</v>
      </c>
      <c r="O716" s="4"/>
      <c r="P716" s="1">
        <f ca="1">LOOKUP(B716,geomorph!$A:$A,geomorph!$G:$G)</f>
        <v>104.843191</v>
      </c>
      <c r="Q716" s="1">
        <f t="shared" ca="1" si="115"/>
        <v>118.75168020185065</v>
      </c>
    </row>
    <row r="717" spans="2:17" x14ac:dyDescent="0.3">
      <c r="B717" s="6">
        <f ca="1">RANDBETWEEN(ranges!B$2,ranges!B$3)</f>
        <v>12005</v>
      </c>
      <c r="C717" s="9">
        <f ca="1">LOOKUP(B717,geomorph!A:A,geomorph!B:B)</f>
        <v>1350.4</v>
      </c>
      <c r="D717">
        <f t="shared" si="108"/>
        <v>1.13E-4</v>
      </c>
      <c r="E717" s="9">
        <f ca="1">'[2]Q_GEV(random)'!$J717</f>
        <v>8459.2685241727813</v>
      </c>
      <c r="F717" s="26">
        <f ca="1">RANDBETWEEN(ranges!F$2*1000,ranges!F$3*1000)/1000</f>
        <v>9.0999999999999998E-2</v>
      </c>
      <c r="G717" s="3">
        <f t="shared" ca="1" si="109"/>
        <v>6.2642687530900334</v>
      </c>
      <c r="H717" s="4">
        <f t="shared" ca="1" si="110"/>
        <v>9.3047029993362571</v>
      </c>
      <c r="I717" s="4">
        <f t="shared" ca="1" si="111"/>
        <v>215.19615573905361</v>
      </c>
      <c r="J717" s="26">
        <f ca="1">RANDBETWEEN(ranges!J$2*1000,ranges!J$3*1000)/1000</f>
        <v>0.74199999999999999</v>
      </c>
      <c r="K717" s="26">
        <f ca="1">RANDBETWEEN(ranges!K$2*1000,ranges!K$3*1000)/1000</f>
        <v>0.80100000000000005</v>
      </c>
      <c r="L717">
        <f t="shared" ca="1" si="112"/>
        <v>89.707397953612144</v>
      </c>
      <c r="M717">
        <f t="shared" ca="1" si="113"/>
        <v>13.688918332211037</v>
      </c>
      <c r="N717" s="4">
        <f t="shared" ca="1" si="114"/>
        <v>4.7654514487769344</v>
      </c>
      <c r="O717" s="4"/>
      <c r="P717" s="1">
        <f ca="1">LOOKUP(B717,geomorph!$A:$A,geomorph!$G:$G)</f>
        <v>105.16976100000001</v>
      </c>
      <c r="Q717" s="1">
        <f t="shared" ca="1" si="115"/>
        <v>118.85867933221104</v>
      </c>
    </row>
    <row r="718" spans="2:17" x14ac:dyDescent="0.3">
      <c r="B718" s="6">
        <f ca="1">RANDBETWEEN(ranges!B$2,ranges!B$3)</f>
        <v>14726</v>
      </c>
      <c r="C718" s="9">
        <f ca="1">LOOKUP(B718,geomorph!A:A,geomorph!B:B)</f>
        <v>1466.2</v>
      </c>
      <c r="D718">
        <f t="shared" si="108"/>
        <v>1.13E-4</v>
      </c>
      <c r="E718" s="9">
        <f ca="1">'[2]Q_GEV(random)'!$J718</f>
        <v>8433.8534654325595</v>
      </c>
      <c r="F718" s="26">
        <f ca="1">RANDBETWEEN(ranges!F$2*1000,ranges!F$3*1000)/1000</f>
        <v>9.8000000000000004E-2</v>
      </c>
      <c r="G718" s="3">
        <f t="shared" ca="1" si="109"/>
        <v>5.7521848761646153</v>
      </c>
      <c r="H718" s="4">
        <f t="shared" ca="1" si="110"/>
        <v>9.010295739326132</v>
      </c>
      <c r="I718" s="4">
        <f t="shared" ca="1" si="111"/>
        <v>187.2457743916211</v>
      </c>
      <c r="J718" s="26">
        <f ca="1">RANDBETWEEN(ranges!J$2*1000,ranges!J$3*1000)/1000</f>
        <v>0.77300000000000002</v>
      </c>
      <c r="K718" s="26">
        <f ca="1">RANDBETWEEN(ranges!K$2*1000,ranges!K$3*1000)/1000</f>
        <v>0.90600000000000003</v>
      </c>
      <c r="L718">
        <f t="shared" ca="1" si="112"/>
        <v>82.40017885324373</v>
      </c>
      <c r="M718">
        <f t="shared" ca="1" si="113"/>
        <v>13.652111072512733</v>
      </c>
      <c r="N718" s="4">
        <f t="shared" ca="1" si="114"/>
        <v>5.0454514491158706</v>
      </c>
      <c r="O718" s="4"/>
      <c r="P718" s="1">
        <f ca="1">LOOKUP(B718,geomorph!$A:$A,geomorph!$G:$G)</f>
        <v>104.86240100000001</v>
      </c>
      <c r="Q718" s="1">
        <f t="shared" ca="1" si="115"/>
        <v>118.51451207251274</v>
      </c>
    </row>
    <row r="719" spans="2:17" x14ac:dyDescent="0.3">
      <c r="B719" s="6">
        <f ca="1">RANDBETWEEN(ranges!B$2,ranges!B$3)</f>
        <v>11808</v>
      </c>
      <c r="C719" s="9">
        <f ca="1">LOOKUP(B719,geomorph!A:A,geomorph!B:B)</f>
        <v>1410.8</v>
      </c>
      <c r="D719">
        <f t="shared" si="108"/>
        <v>1.13E-4</v>
      </c>
      <c r="E719" s="9">
        <f ca="1">'[2]Q_GEV(random)'!$J719</f>
        <v>8424.959764269408</v>
      </c>
      <c r="F719" s="26">
        <f ca="1">RANDBETWEEN(ranges!F$2*1000,ranges!F$3*1000)/1000</f>
        <v>0.105</v>
      </c>
      <c r="G719" s="3">
        <f t="shared" ca="1" si="109"/>
        <v>5.9717605360571362</v>
      </c>
      <c r="H719" s="4">
        <f t="shared" ca="1" si="110"/>
        <v>9.4530760678196444</v>
      </c>
      <c r="I719" s="4">
        <f t="shared" ca="1" si="111"/>
        <v>199.51987110363453</v>
      </c>
      <c r="J719" s="26">
        <f ca="1">RANDBETWEEN(ranges!J$2*1000,ranges!J$3*1000)/1000</f>
        <v>0.71099999999999997</v>
      </c>
      <c r="K719" s="26">
        <f ca="1">RANDBETWEEN(ranges!K$2*1000,ranges!K$3*1000)/1000</f>
        <v>0.95499999999999996</v>
      </c>
      <c r="L719">
        <f t="shared" ca="1" si="112"/>
        <v>90.30495809839212</v>
      </c>
      <c r="M719">
        <f t="shared" ca="1" si="113"/>
        <v>14.396452542028911</v>
      </c>
      <c r="N719" s="4">
        <f t="shared" ca="1" si="114"/>
        <v>5.37323529805355</v>
      </c>
      <c r="O719" s="4"/>
      <c r="P719" s="1">
        <f ca="1">LOOKUP(B719,geomorph!$A:$A,geomorph!$G:$G)</f>
        <v>105.19236100000001</v>
      </c>
      <c r="Q719" s="1">
        <f t="shared" ca="1" si="115"/>
        <v>119.58881354202892</v>
      </c>
    </row>
    <row r="720" spans="2:17" x14ac:dyDescent="0.3">
      <c r="B720" s="6">
        <f ca="1">RANDBETWEEN(ranges!B$2,ranges!B$3)</f>
        <v>11117</v>
      </c>
      <c r="C720" s="9">
        <f ca="1">LOOKUP(B720,geomorph!A:A,geomorph!B:B)</f>
        <v>1683</v>
      </c>
      <c r="D720">
        <f t="shared" si="108"/>
        <v>1.13E-4</v>
      </c>
      <c r="E720" s="9">
        <f ca="1">'[2]Q_GEV(random)'!$J720</f>
        <v>8424.5282885872275</v>
      </c>
      <c r="F720" s="26">
        <f ca="1">RANDBETWEEN(ranges!F$2*1000,ranges!F$3*1000)/1000</f>
        <v>0.10199999999999999</v>
      </c>
      <c r="G720" s="3">
        <f t="shared" ca="1" si="109"/>
        <v>5.0056614905449957</v>
      </c>
      <c r="H720" s="4">
        <f t="shared" ca="1" si="110"/>
        <v>8.3230564181635778</v>
      </c>
      <c r="I720" s="4">
        <f t="shared" ca="1" si="111"/>
        <v>148.68718943128056</v>
      </c>
      <c r="J720" s="26">
        <f ca="1">RANDBETWEEN(ranges!J$2*1000,ranges!J$3*1000)/1000</f>
        <v>0.72699999999999998</v>
      </c>
      <c r="K720" s="26">
        <f ca="1">RANDBETWEEN(ranges!K$2*1000,ranges!K$3*1000)/1000</f>
        <v>0.80600000000000005</v>
      </c>
      <c r="L720">
        <f t="shared" ca="1" si="112"/>
        <v>70.187647266771449</v>
      </c>
      <c r="M720">
        <f t="shared" ca="1" si="113"/>
        <v>13.348216569547327</v>
      </c>
      <c r="N720" s="4">
        <f t="shared" ca="1" si="114"/>
        <v>5.4621305993301625</v>
      </c>
      <c r="O720" s="4"/>
      <c r="P720" s="1">
        <f ca="1">LOOKUP(B720,geomorph!$A:$A,geomorph!$G:$G)</f>
        <v>105.270331</v>
      </c>
      <c r="Q720" s="1">
        <f t="shared" ca="1" si="115"/>
        <v>118.61854756954733</v>
      </c>
    </row>
    <row r="721" spans="2:17" x14ac:dyDescent="0.3">
      <c r="B721" s="6">
        <f ca="1">RANDBETWEEN(ranges!B$2,ranges!B$3)</f>
        <v>12243</v>
      </c>
      <c r="C721" s="9">
        <f ca="1">LOOKUP(B721,geomorph!A:A,geomorph!B:B)</f>
        <v>1279.4000000000001</v>
      </c>
      <c r="D721">
        <f t="shared" si="108"/>
        <v>1.13E-4</v>
      </c>
      <c r="E721" s="9">
        <f ca="1">'[2]Q_GEV(random)'!$J721</f>
        <v>8421.0125118699489</v>
      </c>
      <c r="F721" s="26">
        <f ca="1">RANDBETWEEN(ranges!F$2*1000,ranges!F$3*1000)/1000</f>
        <v>0.10100000000000001</v>
      </c>
      <c r="G721" s="3">
        <f t="shared" ca="1" si="109"/>
        <v>6.5820013380255968</v>
      </c>
      <c r="H721" s="4">
        <f t="shared" ca="1" si="110"/>
        <v>9.9568255647670654</v>
      </c>
      <c r="I721" s="4">
        <f t="shared" ca="1" si="111"/>
        <v>234.75543083956492</v>
      </c>
      <c r="J721" s="26">
        <f ca="1">RANDBETWEEN(ranges!J$2*1000,ranges!J$3*1000)/1000</f>
        <v>0.77</v>
      </c>
      <c r="K721" s="26">
        <f ca="1">RANDBETWEEN(ranges!K$2*1000,ranges!K$3*1000)/1000</f>
        <v>0.93600000000000005</v>
      </c>
      <c r="L721">
        <f t="shared" ca="1" si="112"/>
        <v>99.561023152576098</v>
      </c>
      <c r="M721">
        <f t="shared" ca="1" si="113"/>
        <v>14.393756151418863</v>
      </c>
      <c r="N721" s="4">
        <f t="shared" ca="1" si="114"/>
        <v>4.8227506376649973</v>
      </c>
      <c r="O721" s="4"/>
      <c r="P721" s="1">
        <f ca="1">LOOKUP(B721,geomorph!$A:$A,geomorph!$G:$G)</f>
        <v>105.142641</v>
      </c>
      <c r="Q721" s="1">
        <f t="shared" ca="1" si="115"/>
        <v>119.53639715141887</v>
      </c>
    </row>
    <row r="722" spans="2:17" x14ac:dyDescent="0.3">
      <c r="B722" s="6">
        <f ca="1">RANDBETWEEN(ranges!B$2,ranges!B$3)</f>
        <v>13224</v>
      </c>
      <c r="C722" s="9">
        <f ca="1">LOOKUP(B722,geomorph!A:A,geomorph!B:B)</f>
        <v>1165.5</v>
      </c>
      <c r="D722">
        <f t="shared" si="108"/>
        <v>1.13E-4</v>
      </c>
      <c r="E722" s="9">
        <f ca="1">'[2]Q_GEV(random)'!$J722</f>
        <v>8390.6825917645074</v>
      </c>
      <c r="F722" s="26">
        <f ca="1">RANDBETWEEN(ranges!F$2*1000,ranges!F$3*1000)/1000</f>
        <v>0.09</v>
      </c>
      <c r="G722" s="3">
        <f t="shared" ca="1" si="109"/>
        <v>7.1992128629468102</v>
      </c>
      <c r="H722" s="4">
        <f t="shared" ca="1" si="110"/>
        <v>10.171366647593677</v>
      </c>
      <c r="I722" s="4">
        <f t="shared" ca="1" si="111"/>
        <v>273.56534608853178</v>
      </c>
      <c r="J722" s="26">
        <f ca="1">RANDBETWEEN(ranges!J$2*1000,ranges!J$3*1000)/1000</f>
        <v>0.77500000000000002</v>
      </c>
      <c r="K722" s="26">
        <f ca="1">RANDBETWEEN(ranges!K$2*1000,ranges!K$3*1000)/1000</f>
        <v>0.92900000000000005</v>
      </c>
      <c r="L722">
        <f t="shared" ca="1" si="112"/>
        <v>108.93447164869032</v>
      </c>
      <c r="M722">
        <f t="shared" ca="1" si="113"/>
        <v>14.346833317839987</v>
      </c>
      <c r="N722" s="4">
        <f t="shared" ca="1" si="114"/>
        <v>4.5385507285285982</v>
      </c>
      <c r="O722" s="4"/>
      <c r="P722" s="1">
        <f ca="1">LOOKUP(B722,geomorph!$A:$A,geomorph!$G:$G)</f>
        <v>105.031901</v>
      </c>
      <c r="Q722" s="1">
        <f t="shared" ca="1" si="115"/>
        <v>119.37873431783999</v>
      </c>
    </row>
    <row r="723" spans="2:17" x14ac:dyDescent="0.3">
      <c r="B723" s="6">
        <f ca="1">RANDBETWEEN(ranges!B$2,ranges!B$3)</f>
        <v>10236</v>
      </c>
      <c r="C723" s="9">
        <f ca="1">LOOKUP(B723,geomorph!A:A,geomorph!B:B)</f>
        <v>1595.3</v>
      </c>
      <c r="D723">
        <f t="shared" si="108"/>
        <v>1.13E-4</v>
      </c>
      <c r="E723" s="9">
        <f ca="1">'[2]Q_GEV(random)'!$J723</f>
        <v>8381.0519669254954</v>
      </c>
      <c r="F723" s="26">
        <f ca="1">RANDBETWEEN(ranges!F$2*1000,ranges!F$3*1000)/1000</f>
        <v>0.10199999999999999</v>
      </c>
      <c r="G723" s="3">
        <f t="shared" ca="1" si="109"/>
        <v>5.2535898996586825</v>
      </c>
      <c r="H723" s="4">
        <f t="shared" ca="1" si="110"/>
        <v>8.5956613997886553</v>
      </c>
      <c r="I723" s="4">
        <f t="shared" ca="1" si="111"/>
        <v>161.99878746978212</v>
      </c>
      <c r="J723" s="26">
        <f ca="1">RANDBETWEEN(ranges!J$2*1000,ranges!J$3*1000)/1000</f>
        <v>0.755</v>
      </c>
      <c r="K723" s="26">
        <f ca="1">RANDBETWEEN(ranges!K$2*1000,ranges!K$3*1000)/1000</f>
        <v>0.82699999999999996</v>
      </c>
      <c r="L723">
        <f t="shared" ca="1" si="112"/>
        <v>74.262677574361163</v>
      </c>
      <c r="M723">
        <f t="shared" ca="1" si="113"/>
        <v>13.387251197384755</v>
      </c>
      <c r="N723" s="4">
        <f t="shared" ca="1" si="114"/>
        <v>5.2082497799957599</v>
      </c>
      <c r="O723" s="4"/>
      <c r="P723" s="1">
        <f ca="1">LOOKUP(B723,geomorph!$A:$A,geomorph!$G:$G)</f>
        <v>105.369771</v>
      </c>
      <c r="Q723" s="1">
        <f t="shared" ca="1" si="115"/>
        <v>118.75702219738476</v>
      </c>
    </row>
    <row r="724" spans="2:17" x14ac:dyDescent="0.3">
      <c r="B724" s="6">
        <f ca="1">RANDBETWEEN(ranges!B$2,ranges!B$3)</f>
        <v>12950</v>
      </c>
      <c r="C724" s="9">
        <f ca="1">LOOKUP(B724,geomorph!A:A,geomorph!B:B)</f>
        <v>1140.5999999999999</v>
      </c>
      <c r="D724">
        <f t="shared" si="108"/>
        <v>1.13E-4</v>
      </c>
      <c r="E724" s="9">
        <f ca="1">'[2]Q_GEV(random)'!$J724</f>
        <v>8377.6710828972282</v>
      </c>
      <c r="F724" s="26">
        <f ca="1">RANDBETWEEN(ranges!F$2*1000,ranges!F$3*1000)/1000</f>
        <v>0.1</v>
      </c>
      <c r="G724" s="3">
        <f t="shared" ca="1" si="109"/>
        <v>7.3449685103430022</v>
      </c>
      <c r="H724" s="4">
        <f t="shared" ca="1" si="110"/>
        <v>10.676652034857144</v>
      </c>
      <c r="I724" s="4">
        <f t="shared" ca="1" si="111"/>
        <v>283.29784775040821</v>
      </c>
      <c r="J724" s="26">
        <f ca="1">RANDBETWEEN(ranges!J$2*1000,ranges!J$3*1000)/1000</f>
        <v>0.79300000000000004</v>
      </c>
      <c r="K724" s="26">
        <f ca="1">RANDBETWEEN(ranges!K$2*1000,ranges!K$3*1000)/1000</f>
        <v>0.88400000000000001</v>
      </c>
      <c r="L724">
        <f t="shared" ca="1" si="112"/>
        <v>114.29389891633178</v>
      </c>
      <c r="M724">
        <f t="shared" ca="1" si="113"/>
        <v>14.731089184748386</v>
      </c>
      <c r="N724" s="4">
        <f t="shared" ca="1" si="114"/>
        <v>4.4069969020556981</v>
      </c>
      <c r="O724" s="4"/>
      <c r="P724" s="1">
        <f ca="1">LOOKUP(B724,geomorph!$A:$A,geomorph!$G:$G)</f>
        <v>105.062411</v>
      </c>
      <c r="Q724" s="1">
        <f t="shared" ca="1" si="115"/>
        <v>119.79350018474838</v>
      </c>
    </row>
    <row r="725" spans="2:17" x14ac:dyDescent="0.3">
      <c r="B725" s="6">
        <f ca="1">RANDBETWEEN(ranges!B$2,ranges!B$3)</f>
        <v>12091</v>
      </c>
      <c r="C725" s="9">
        <f ca="1">LOOKUP(B725,geomorph!A:A,geomorph!B:B)</f>
        <v>1322.2</v>
      </c>
      <c r="D725">
        <f t="shared" si="108"/>
        <v>1.13E-4</v>
      </c>
      <c r="E725" s="9">
        <f ca="1">'[2]Q_GEV(random)'!$J725</f>
        <v>8356.8137451741404</v>
      </c>
      <c r="F725" s="26">
        <f ca="1">RANDBETWEEN(ranges!F$2*1000,ranges!F$3*1000)/1000</f>
        <v>9.9000000000000005E-2</v>
      </c>
      <c r="G725" s="3">
        <f t="shared" ca="1" si="109"/>
        <v>6.3203855280397372</v>
      </c>
      <c r="H725" s="4">
        <f t="shared" ca="1" si="110"/>
        <v>9.6268138657683213</v>
      </c>
      <c r="I725" s="4">
        <f t="shared" ca="1" si="111"/>
        <v>221.09652193639678</v>
      </c>
      <c r="J725" s="26">
        <f ca="1">RANDBETWEEN(ranges!J$2*1000,ranges!J$3*1000)/1000</f>
        <v>0.68200000000000005</v>
      </c>
      <c r="K725" s="26">
        <f ca="1">RANDBETWEEN(ranges!K$2*1000,ranges!K$3*1000)/1000</f>
        <v>0.98899999999999999</v>
      </c>
      <c r="L725">
        <f t="shared" ca="1" si="112"/>
        <v>97.576454731830893</v>
      </c>
      <c r="M725">
        <f t="shared" ca="1" si="113"/>
        <v>14.57876149444623</v>
      </c>
      <c r="N725" s="4">
        <f t="shared" ca="1" si="114"/>
        <v>5.382551770302074</v>
      </c>
      <c r="O725" s="4"/>
      <c r="P725" s="1">
        <f ca="1">LOOKUP(B725,geomorph!$A:$A,geomorph!$G:$G)</f>
        <v>105.15959100000001</v>
      </c>
      <c r="Q725" s="1">
        <f t="shared" ca="1" si="115"/>
        <v>119.73835249444623</v>
      </c>
    </row>
    <row r="726" spans="2:17" x14ac:dyDescent="0.3">
      <c r="B726" s="6">
        <f ca="1">RANDBETWEEN(ranges!B$2,ranges!B$3)</f>
        <v>12167</v>
      </c>
      <c r="C726" s="9">
        <f ca="1">LOOKUP(B726,geomorph!A:A,geomorph!B:B)</f>
        <v>1300.8</v>
      </c>
      <c r="D726">
        <f t="shared" si="108"/>
        <v>1.13E-4</v>
      </c>
      <c r="E726" s="9">
        <f ca="1">'[2]Q_GEV(random)'!$J726</f>
        <v>8353.3377210050312</v>
      </c>
      <c r="F726" s="26">
        <f ca="1">RANDBETWEEN(ranges!F$2*1000,ranges!F$3*1000)/1000</f>
        <v>9.0999999999999998E-2</v>
      </c>
      <c r="G726" s="3">
        <f t="shared" ca="1" si="109"/>
        <v>6.4216925899485178</v>
      </c>
      <c r="H726" s="4">
        <f t="shared" ca="1" si="110"/>
        <v>9.4599447933723191</v>
      </c>
      <c r="I726" s="4">
        <f t="shared" ca="1" si="111"/>
        <v>227.12895174927405</v>
      </c>
      <c r="J726" s="26">
        <f ca="1">RANDBETWEEN(ranges!J$2*1000,ranges!J$3*1000)/1000</f>
        <v>0.60099999999999998</v>
      </c>
      <c r="K726" s="26">
        <f ca="1">RANDBETWEEN(ranges!K$2*1000,ranges!K$3*1000)/1000</f>
        <v>0.998</v>
      </c>
      <c r="L726">
        <f t="shared" ca="1" si="112"/>
        <v>100.54692342716581</v>
      </c>
      <c r="M726">
        <f t="shared" ca="1" si="113"/>
        <v>14.779432493328473</v>
      </c>
      <c r="N726" s="4">
        <f t="shared" ca="1" si="114"/>
        <v>5.782051847778428</v>
      </c>
      <c r="O726" s="4"/>
      <c r="P726" s="1">
        <f ca="1">LOOKUP(B726,geomorph!$A:$A,geomorph!$G:$G)</f>
        <v>105.151681</v>
      </c>
      <c r="Q726" s="1">
        <f t="shared" ca="1" si="115"/>
        <v>119.93111349332847</v>
      </c>
    </row>
    <row r="727" spans="2:17" x14ac:dyDescent="0.3">
      <c r="B727" s="6">
        <f ca="1">RANDBETWEEN(ranges!B$2,ranges!B$3)</f>
        <v>11942</v>
      </c>
      <c r="C727" s="9">
        <f ca="1">LOOKUP(B727,geomorph!A:A,geomorph!B:B)</f>
        <v>1368.9</v>
      </c>
      <c r="D727">
        <f t="shared" si="108"/>
        <v>1.13E-4</v>
      </c>
      <c r="E727" s="9">
        <f ca="1">'[2]Q_GEV(random)'!$J727</f>
        <v>8352.4724401358962</v>
      </c>
      <c r="F727" s="26">
        <f ca="1">RANDBETWEEN(ranges!F$2*1000,ranges!F$3*1000)/1000</f>
        <v>0.09</v>
      </c>
      <c r="G727" s="3">
        <f t="shared" ca="1" si="109"/>
        <v>6.1015943020935755</v>
      </c>
      <c r="H727" s="4">
        <f t="shared" ca="1" si="110"/>
        <v>9.1092967816436818</v>
      </c>
      <c r="I727" s="4">
        <f t="shared" ca="1" si="111"/>
        <v>208.59657753843743</v>
      </c>
      <c r="J727" s="26">
        <f ca="1">RANDBETWEEN(ranges!J$2*1000,ranges!J$3*1000)/1000</f>
        <v>0.61599999999999999</v>
      </c>
      <c r="K727" s="26">
        <f ca="1">RANDBETWEEN(ranges!K$2*1000,ranges!K$3*1000)/1000</f>
        <v>0.95099999999999996</v>
      </c>
      <c r="L727">
        <f t="shared" ca="1" si="112"/>
        <v>92.965780248138259</v>
      </c>
      <c r="M727">
        <f t="shared" ca="1" si="113"/>
        <v>14.380476793729441</v>
      </c>
      <c r="N727" s="4">
        <f t="shared" ca="1" si="114"/>
        <v>5.729543491397564</v>
      </c>
      <c r="O727" s="4"/>
      <c r="P727" s="1">
        <f ca="1">LOOKUP(B727,geomorph!$A:$A,geomorph!$G:$G)</f>
        <v>105.176541</v>
      </c>
      <c r="Q727" s="1">
        <f t="shared" ca="1" si="115"/>
        <v>119.55701779372944</v>
      </c>
    </row>
    <row r="728" spans="2:17" x14ac:dyDescent="0.3">
      <c r="B728" s="6">
        <f ca="1">RANDBETWEEN(ranges!B$2,ranges!B$3)</f>
        <v>11144</v>
      </c>
      <c r="C728" s="9">
        <f ca="1">LOOKUP(B728,geomorph!A:A,geomorph!B:B)</f>
        <v>1679.3</v>
      </c>
      <c r="D728">
        <f t="shared" si="108"/>
        <v>1.13E-4</v>
      </c>
      <c r="E728" s="9">
        <f ca="1">'[2]Q_GEV(random)'!$J728</f>
        <v>8346.2015301936262</v>
      </c>
      <c r="F728" s="26">
        <f ca="1">RANDBETWEEN(ranges!F$2*1000,ranges!F$3*1000)/1000</f>
        <v>0.107</v>
      </c>
      <c r="G728" s="3">
        <f t="shared" ca="1" si="109"/>
        <v>4.9700479546201555</v>
      </c>
      <c r="H728" s="4">
        <f t="shared" ca="1" si="110"/>
        <v>8.4167308967386596</v>
      </c>
      <c r="I728" s="4">
        <f t="shared" ca="1" si="111"/>
        <v>148.30715882243231</v>
      </c>
      <c r="J728" s="26">
        <f ca="1">RANDBETWEEN(ranges!J$2*1000,ranges!J$3*1000)/1000</f>
        <v>0.65100000000000002</v>
      </c>
      <c r="K728" s="26">
        <f ca="1">RANDBETWEEN(ranges!K$2*1000,ranges!K$3*1000)/1000</f>
        <v>0.83499999999999996</v>
      </c>
      <c r="L728">
        <f t="shared" ca="1" si="112"/>
        <v>73.350476740716999</v>
      </c>
      <c r="M728">
        <f t="shared" ca="1" si="113"/>
        <v>13.919052481747523</v>
      </c>
      <c r="N728" s="4">
        <f t="shared" ca="1" si="114"/>
        <v>5.9807843315313729</v>
      </c>
      <c r="O728" s="4"/>
      <c r="P728" s="1">
        <f ca="1">LOOKUP(B728,geomorph!$A:$A,geomorph!$G:$G)</f>
        <v>105.266941</v>
      </c>
      <c r="Q728" s="1">
        <f t="shared" ca="1" si="115"/>
        <v>119.18599348174753</v>
      </c>
    </row>
    <row r="729" spans="2:17" x14ac:dyDescent="0.3">
      <c r="B729" s="6">
        <f ca="1">RANDBETWEEN(ranges!B$2,ranges!B$3)</f>
        <v>13904</v>
      </c>
      <c r="C729" s="9">
        <f ca="1">LOOKUP(B729,geomorph!A:A,geomorph!B:B)</f>
        <v>1302.8</v>
      </c>
      <c r="D729">
        <f t="shared" si="108"/>
        <v>1.13E-4</v>
      </c>
      <c r="E729" s="9">
        <f ca="1">'[2]Q_GEV(random)'!$J729</f>
        <v>8333.9615533673277</v>
      </c>
      <c r="F729" s="26">
        <f ca="1">RANDBETWEEN(ranges!F$2*1000,ranges!F$3*1000)/1000</f>
        <v>9.7000000000000003E-2</v>
      </c>
      <c r="G729" s="3">
        <f t="shared" ca="1" si="109"/>
        <v>6.3969615853295423</v>
      </c>
      <c r="H729" s="4">
        <f t="shared" ca="1" si="110"/>
        <v>9.638620248626987</v>
      </c>
      <c r="I729" s="4">
        <f t="shared" ca="1" si="111"/>
        <v>226.19765356649916</v>
      </c>
      <c r="J729" s="26">
        <f ca="1">RANDBETWEEN(ranges!J$2*1000,ranges!J$3*1000)/1000</f>
        <v>0.69399999999999995</v>
      </c>
      <c r="K729" s="26">
        <f ca="1">RANDBETWEEN(ranges!K$2*1000,ranges!K$3*1000)/1000</f>
        <v>0.91900000000000004</v>
      </c>
      <c r="L729">
        <f t="shared" ca="1" si="112"/>
        <v>97.619274054359423</v>
      </c>
      <c r="M729">
        <f t="shared" ca="1" si="113"/>
        <v>14.371158096896197</v>
      </c>
      <c r="N729" s="4">
        <f t="shared" ca="1" si="114"/>
        <v>5.1440628785534894</v>
      </c>
      <c r="O729" s="4"/>
      <c r="P729" s="1">
        <f ca="1">LOOKUP(B729,geomorph!$A:$A,geomorph!$G:$G)</f>
        <v>104.955061</v>
      </c>
      <c r="Q729" s="1">
        <f t="shared" ca="1" si="115"/>
        <v>119.3262190968962</v>
      </c>
    </row>
    <row r="730" spans="2:17" x14ac:dyDescent="0.3">
      <c r="B730" s="6">
        <f ca="1">RANDBETWEEN(ranges!B$2,ranges!B$3)</f>
        <v>12750</v>
      </c>
      <c r="C730" s="9">
        <f ca="1">LOOKUP(B730,geomorph!A:A,geomorph!B:B)</f>
        <v>1145.5</v>
      </c>
      <c r="D730">
        <f t="shared" si="108"/>
        <v>1.13E-4</v>
      </c>
      <c r="E730" s="9">
        <f ca="1">'[2]Q_GEV(random)'!$J730</f>
        <v>8317.7221458804379</v>
      </c>
      <c r="F730" s="26">
        <f ca="1">RANDBETWEEN(ranges!F$2*1000,ranges!F$3*1000)/1000</f>
        <v>0.11</v>
      </c>
      <c r="G730" s="3">
        <f t="shared" ca="1" si="109"/>
        <v>7.2612153172243019</v>
      </c>
      <c r="H730" s="4">
        <f t="shared" ca="1" si="110"/>
        <v>10.937353151443686</v>
      </c>
      <c r="I730" s="4">
        <f t="shared" ca="1" si="111"/>
        <v>279.93753460044962</v>
      </c>
      <c r="J730" s="26">
        <f ca="1">RANDBETWEEN(ranges!J$2*1000,ranges!J$3*1000)/1000</f>
        <v>0.76900000000000002</v>
      </c>
      <c r="K730" s="26">
        <f ca="1">RANDBETWEEN(ranges!K$2*1000,ranges!K$3*1000)/1000</f>
        <v>0.94799999999999995</v>
      </c>
      <c r="L730">
        <f t="shared" ca="1" si="112"/>
        <v>117.61632726809481</v>
      </c>
      <c r="M730">
        <f t="shared" ca="1" si="113"/>
        <v>15.224433826073092</v>
      </c>
      <c r="N730" s="4">
        <f t="shared" ca="1" si="114"/>
        <v>4.6598702985102243</v>
      </c>
      <c r="O730" s="4"/>
      <c r="P730" s="1">
        <f ca="1">LOOKUP(B730,geomorph!$A:$A,geomorph!$G:$G)</f>
        <v>105.08501100000001</v>
      </c>
      <c r="Q730" s="1">
        <f t="shared" ca="1" si="115"/>
        <v>120.3094448260731</v>
      </c>
    </row>
    <row r="731" spans="2:17" x14ac:dyDescent="0.3">
      <c r="B731" s="6">
        <f ca="1">RANDBETWEEN(ranges!B$2,ranges!B$3)</f>
        <v>13372</v>
      </c>
      <c r="C731" s="9">
        <f ca="1">LOOKUP(B731,geomorph!A:A,geomorph!B:B)</f>
        <v>1182.4000000000001</v>
      </c>
      <c r="D731">
        <f t="shared" si="108"/>
        <v>1.13E-4</v>
      </c>
      <c r="E731" s="9">
        <f ca="1">'[2]Q_GEV(random)'!$J731</f>
        <v>8315.3297159386311</v>
      </c>
      <c r="F731" s="26">
        <f ca="1">RANDBETWEEN(ranges!F$2*1000,ranges!F$3*1000)/1000</f>
        <v>0.108</v>
      </c>
      <c r="G731" s="3">
        <f t="shared" ca="1" si="109"/>
        <v>7.032586024981927</v>
      </c>
      <c r="H731" s="4">
        <f t="shared" ca="1" si="110"/>
        <v>10.641260722159169</v>
      </c>
      <c r="I731" s="4">
        <f t="shared" ca="1" si="111"/>
        <v>265.47826135731054</v>
      </c>
      <c r="J731" s="26">
        <f ca="1">RANDBETWEEN(ranges!J$2*1000,ranges!J$3*1000)/1000</f>
        <v>0.74299999999999999</v>
      </c>
      <c r="K731" s="26">
        <f ca="1">RANDBETWEEN(ranges!K$2*1000,ranges!K$3*1000)/1000</f>
        <v>0.81799999999999995</v>
      </c>
      <c r="L731">
        <f t="shared" ca="1" si="112"/>
        <v>111.18020856412102</v>
      </c>
      <c r="M731">
        <f t="shared" ca="1" si="113"/>
        <v>14.854921082502486</v>
      </c>
      <c r="N731" s="4">
        <f t="shared" ca="1" si="114"/>
        <v>4.5800656090688223</v>
      </c>
      <c r="O731" s="4"/>
      <c r="P731" s="1">
        <f ca="1">LOOKUP(B731,geomorph!$A:$A,geomorph!$G:$G)</f>
        <v>105.014951</v>
      </c>
      <c r="Q731" s="1">
        <f t="shared" ca="1" si="115"/>
        <v>119.86987208250248</v>
      </c>
    </row>
    <row r="732" spans="2:17" x14ac:dyDescent="0.3">
      <c r="B732" s="6">
        <f ca="1">RANDBETWEEN(ranges!B$2,ranges!B$3)</f>
        <v>14382</v>
      </c>
      <c r="C732" s="9">
        <f ca="1">LOOKUP(B732,geomorph!A:A,geomorph!B:B)</f>
        <v>1370.7</v>
      </c>
      <c r="D732">
        <f t="shared" si="108"/>
        <v>1.13E-4</v>
      </c>
      <c r="E732" s="9">
        <f ca="1">'[2]Q_GEV(random)'!$J732</f>
        <v>8307.9500071133898</v>
      </c>
      <c r="F732" s="26">
        <f ca="1">RANDBETWEEN(ranges!F$2*1000,ranges!F$3*1000)/1000</f>
        <v>9.0999999999999998E-2</v>
      </c>
      <c r="G732" s="3">
        <f t="shared" ca="1" si="109"/>
        <v>6.0611001729870795</v>
      </c>
      <c r="H732" s="4">
        <f t="shared" ca="1" si="110"/>
        <v>9.102413668223079</v>
      </c>
      <c r="I732" s="4">
        <f t="shared" ca="1" si="111"/>
        <v>207.3999171853051</v>
      </c>
      <c r="J732" s="26">
        <f ca="1">RANDBETWEEN(ranges!J$2*1000,ranges!J$3*1000)/1000</f>
        <v>0.72699999999999998</v>
      </c>
      <c r="K732" s="26">
        <f ca="1">RANDBETWEEN(ranges!K$2*1000,ranges!K$3*1000)/1000</f>
        <v>0.92800000000000005</v>
      </c>
      <c r="L732">
        <f t="shared" ca="1" si="112"/>
        <v>88.942986730389578</v>
      </c>
      <c r="M732">
        <f t="shared" ca="1" si="113"/>
        <v>13.776299165981985</v>
      </c>
      <c r="N732" s="4">
        <f t="shared" ca="1" si="114"/>
        <v>5.080310323650985</v>
      </c>
      <c r="O732" s="4"/>
      <c r="P732" s="1">
        <f ca="1">LOOKUP(B732,geomorph!$A:$A,geomorph!$G:$G)</f>
        <v>104.90082100000001</v>
      </c>
      <c r="Q732" s="1">
        <f t="shared" ca="1" si="115"/>
        <v>118.67712016598199</v>
      </c>
    </row>
    <row r="733" spans="2:17" x14ac:dyDescent="0.3">
      <c r="B733" s="6">
        <f ca="1">RANDBETWEEN(ranges!B$2,ranges!B$3)</f>
        <v>13812</v>
      </c>
      <c r="C733" s="9">
        <f ca="1">LOOKUP(B733,geomorph!A:A,geomorph!B:B)</f>
        <v>1280.8</v>
      </c>
      <c r="D733">
        <f t="shared" si="108"/>
        <v>1.13E-4</v>
      </c>
      <c r="E733" s="9">
        <f ca="1">'[2]Q_GEV(random)'!$J733</f>
        <v>8306.8527934660306</v>
      </c>
      <c r="F733" s="26">
        <f ca="1">RANDBETWEEN(ranges!F$2*1000,ranges!F$3*1000)/1000</f>
        <v>0.10199999999999999</v>
      </c>
      <c r="G733" s="3">
        <f t="shared" ca="1" si="109"/>
        <v>6.4856751978966516</v>
      </c>
      <c r="H733" s="4">
        <f t="shared" ca="1" si="110"/>
        <v>9.8918757093904723</v>
      </c>
      <c r="I733" s="4">
        <f t="shared" ca="1" si="111"/>
        <v>232.20531792033213</v>
      </c>
      <c r="J733" s="26">
        <f ca="1">RANDBETWEEN(ranges!J$2*1000,ranges!J$3*1000)/1000</f>
        <v>0.745</v>
      </c>
      <c r="K733" s="26">
        <f ca="1">RANDBETWEEN(ranges!K$2*1000,ranges!K$3*1000)/1000</f>
        <v>0.99</v>
      </c>
      <c r="L733">
        <f t="shared" ca="1" si="112"/>
        <v>100.23352779591744</v>
      </c>
      <c r="M733">
        <f t="shared" ca="1" si="113"/>
        <v>14.506838571314249</v>
      </c>
      <c r="N733" s="4">
        <f t="shared" ca="1" si="114"/>
        <v>5.0162639803519316</v>
      </c>
      <c r="O733" s="4"/>
      <c r="P733" s="1">
        <f ca="1">LOOKUP(B733,geomorph!$A:$A,geomorph!$G:$G)</f>
        <v>104.965231</v>
      </c>
      <c r="Q733" s="1">
        <f t="shared" ca="1" si="115"/>
        <v>119.47206957131425</v>
      </c>
    </row>
    <row r="734" spans="2:17" x14ac:dyDescent="0.3">
      <c r="B734" s="6">
        <f ca="1">RANDBETWEEN(ranges!B$2,ranges!B$3)</f>
        <v>13177</v>
      </c>
      <c r="C734" s="9">
        <f ca="1">LOOKUP(B734,geomorph!A:A,geomorph!B:B)</f>
        <v>1159.7</v>
      </c>
      <c r="D734">
        <f t="shared" si="108"/>
        <v>1.13E-4</v>
      </c>
      <c r="E734" s="9">
        <f ca="1">'[2]Q_GEV(random)'!$J734</f>
        <v>8290.426299871513</v>
      </c>
      <c r="F734" s="26">
        <f ca="1">RANDBETWEEN(ranges!F$2*1000,ranges!F$3*1000)/1000</f>
        <v>9.7000000000000003E-2</v>
      </c>
      <c r="G734" s="3">
        <f t="shared" ca="1" si="109"/>
        <v>7.1487680433487215</v>
      </c>
      <c r="H734" s="4">
        <f t="shared" ca="1" si="110"/>
        <v>10.379740878614413</v>
      </c>
      <c r="I734" s="4">
        <f t="shared" ca="1" si="111"/>
        <v>273.6477176226872</v>
      </c>
      <c r="J734" s="26">
        <f ca="1">RANDBETWEEN(ranges!J$2*1000,ranges!J$3*1000)/1000</f>
        <v>0.74199999999999999</v>
      </c>
      <c r="K734" s="26">
        <f ca="1">RANDBETWEEN(ranges!K$2*1000,ranges!K$3*1000)/1000</f>
        <v>0.96799999999999997</v>
      </c>
      <c r="L734">
        <f t="shared" ca="1" si="112"/>
        <v>112.58538152509715</v>
      </c>
      <c r="M734">
        <f t="shared" ca="1" si="113"/>
        <v>14.753875165876034</v>
      </c>
      <c r="N734" s="4">
        <f t="shared" ca="1" si="114"/>
        <v>4.754493790501761</v>
      </c>
      <c r="O734" s="4"/>
      <c r="P734" s="1">
        <f ca="1">LOOKUP(B734,geomorph!$A:$A,geomorph!$G:$G)</f>
        <v>105.03755100000001</v>
      </c>
      <c r="Q734" s="1">
        <f t="shared" ca="1" si="115"/>
        <v>119.79142616587605</v>
      </c>
    </row>
    <row r="735" spans="2:17" x14ac:dyDescent="0.3">
      <c r="B735" s="6">
        <f ca="1">RANDBETWEEN(ranges!B$2,ranges!B$3)</f>
        <v>10289</v>
      </c>
      <c r="C735" s="9">
        <f ca="1">LOOKUP(B735,geomorph!A:A,geomorph!B:B)</f>
        <v>1655.4</v>
      </c>
      <c r="D735">
        <f t="shared" si="108"/>
        <v>1.13E-4</v>
      </c>
      <c r="E735" s="9">
        <f ca="1">'[2]Q_GEV(random)'!$J735</f>
        <v>8289.2876367690023</v>
      </c>
      <c r="F735" s="26">
        <f ca="1">RANDBETWEEN(ranges!F$2*1000,ranges!F$3*1000)/1000</f>
        <v>9.7000000000000003E-2</v>
      </c>
      <c r="G735" s="3">
        <f t="shared" ca="1" si="109"/>
        <v>5.00742275991845</v>
      </c>
      <c r="H735" s="4">
        <f t="shared" ca="1" si="110"/>
        <v>8.1866938042300728</v>
      </c>
      <c r="I735" s="4">
        <f t="shared" ca="1" si="111"/>
        <v>151.20166447556875</v>
      </c>
      <c r="J735" s="26">
        <f ca="1">RANDBETWEEN(ranges!J$2*1000,ranges!J$3*1000)/1000</f>
        <v>0.67</v>
      </c>
      <c r="K735" s="26">
        <f ca="1">RANDBETWEEN(ranges!K$2*1000,ranges!K$3*1000)/1000</f>
        <v>0.89700000000000002</v>
      </c>
      <c r="L735">
        <f t="shared" ca="1" si="112"/>
        <v>72.6456521881789</v>
      </c>
      <c r="M735">
        <f t="shared" ca="1" si="113"/>
        <v>13.589110227451183</v>
      </c>
      <c r="N735" s="4">
        <f t="shared" ca="1" si="114"/>
        <v>5.8721917643707719</v>
      </c>
      <c r="O735" s="4"/>
      <c r="P735" s="1">
        <f ca="1">LOOKUP(B735,geomorph!$A:$A,geomorph!$G:$G)</f>
        <v>105.364121</v>
      </c>
      <c r="Q735" s="1">
        <f t="shared" ca="1" si="115"/>
        <v>118.95323122745118</v>
      </c>
    </row>
    <row r="736" spans="2:17" x14ac:dyDescent="0.3">
      <c r="B736" s="6">
        <f ca="1">RANDBETWEEN(ranges!B$2,ranges!B$3)</f>
        <v>14327</v>
      </c>
      <c r="C736" s="9">
        <f ca="1">LOOKUP(B736,geomorph!A:A,geomorph!B:B)</f>
        <v>1352.7</v>
      </c>
      <c r="D736">
        <f t="shared" si="108"/>
        <v>1.13E-4</v>
      </c>
      <c r="E736" s="9">
        <f ca="1">'[2]Q_GEV(random)'!$J736</f>
        <v>8285.1237111701266</v>
      </c>
      <c r="F736" s="26">
        <f ca="1">RANDBETWEEN(ranges!F$2*1000,ranges!F$3*1000)/1000</f>
        <v>9.0999999999999998E-2</v>
      </c>
      <c r="G736" s="3">
        <f t="shared" ca="1" si="109"/>
        <v>6.1248789171066207</v>
      </c>
      <c r="H736" s="4">
        <f t="shared" ca="1" si="110"/>
        <v>9.1661564533304301</v>
      </c>
      <c r="I736" s="4">
        <f t="shared" ca="1" si="111"/>
        <v>211.63144564202443</v>
      </c>
      <c r="J736" s="26">
        <f ca="1">RANDBETWEEN(ranges!J$2*1000,ranges!J$3*1000)/1000</f>
        <v>0.61299999999999999</v>
      </c>
      <c r="K736" s="26">
        <f ca="1">RANDBETWEEN(ranges!K$2*1000,ranges!K$3*1000)/1000</f>
        <v>0.9</v>
      </c>
      <c r="L736">
        <f t="shared" ca="1" si="112"/>
        <v>93.768762984986992</v>
      </c>
      <c r="M736">
        <f t="shared" ca="1" si="113"/>
        <v>14.333033642946486</v>
      </c>
      <c r="N736" s="4">
        <f t="shared" ca="1" si="114"/>
        <v>5.6161708582783207</v>
      </c>
      <c r="O736" s="4"/>
      <c r="P736" s="1">
        <f ca="1">LOOKUP(B736,geomorph!$A:$A,geomorph!$G:$G)</f>
        <v>104.907601</v>
      </c>
      <c r="Q736" s="1">
        <f t="shared" ca="1" si="115"/>
        <v>119.24063464294649</v>
      </c>
    </row>
    <row r="737" spans="2:17" x14ac:dyDescent="0.3">
      <c r="B737" s="6">
        <f ca="1">RANDBETWEEN(ranges!B$2,ranges!B$3)</f>
        <v>13367</v>
      </c>
      <c r="C737" s="9">
        <f ca="1">LOOKUP(B737,geomorph!A:A,geomorph!B:B)</f>
        <v>1181.2</v>
      </c>
      <c r="D737">
        <f t="shared" si="108"/>
        <v>1.13E-4</v>
      </c>
      <c r="E737" s="9">
        <f ca="1">'[2]Q_GEV(random)'!$J737</f>
        <v>8284.8008736833326</v>
      </c>
      <c r="F737" s="26">
        <f ca="1">RANDBETWEEN(ranges!F$2*1000,ranges!F$3*1000)/1000</f>
        <v>9.5000000000000001E-2</v>
      </c>
      <c r="G737" s="3">
        <f t="shared" ca="1" si="109"/>
        <v>7.0138849252314026</v>
      </c>
      <c r="H737" s="4">
        <f t="shared" ca="1" si="110"/>
        <v>10.177835389577337</v>
      </c>
      <c r="I737" s="4">
        <f t="shared" ca="1" si="111"/>
        <v>265.27663675149256</v>
      </c>
      <c r="J737" s="26">
        <f ca="1">RANDBETWEEN(ranges!J$2*1000,ranges!J$3*1000)/1000</f>
        <v>0.72099999999999997</v>
      </c>
      <c r="K737" s="26">
        <f ca="1">RANDBETWEEN(ranges!K$2*1000,ranges!K$3*1000)/1000</f>
        <v>0.81799999999999995</v>
      </c>
      <c r="L737">
        <f t="shared" ca="1" si="112"/>
        <v>107.96078558264561</v>
      </c>
      <c r="M737">
        <f t="shared" ca="1" si="113"/>
        <v>14.410130632114972</v>
      </c>
      <c r="N737" s="4">
        <f t="shared" ca="1" si="114"/>
        <v>4.6003209158017766</v>
      </c>
      <c r="O737" s="4"/>
      <c r="P737" s="1">
        <f ca="1">LOOKUP(B737,geomorph!$A:$A,geomorph!$G:$G)</f>
        <v>105.016081</v>
      </c>
      <c r="Q737" s="1">
        <f t="shared" ca="1" si="115"/>
        <v>119.42621163211497</v>
      </c>
    </row>
    <row r="738" spans="2:17" x14ac:dyDescent="0.3">
      <c r="B738" s="6">
        <f ca="1">RANDBETWEEN(ranges!B$2,ranges!B$3)</f>
        <v>14469</v>
      </c>
      <c r="C738" s="9">
        <f ca="1">LOOKUP(B738,geomorph!A:A,geomorph!B:B)</f>
        <v>1391.7</v>
      </c>
      <c r="D738">
        <f t="shared" si="108"/>
        <v>1.13E-4</v>
      </c>
      <c r="E738" s="9">
        <f ca="1">'[2]Q_GEV(random)'!$J738</f>
        <v>8279.0376674498966</v>
      </c>
      <c r="F738" s="26">
        <f ca="1">RANDBETWEEN(ranges!F$2*1000,ranges!F$3*1000)/1000</f>
        <v>0.105</v>
      </c>
      <c r="G738" s="3">
        <f t="shared" ca="1" si="109"/>
        <v>5.9488666145361044</v>
      </c>
      <c r="H738" s="4">
        <f t="shared" ca="1" si="110"/>
        <v>9.4289004503024874</v>
      </c>
      <c r="I738" s="4">
        <f t="shared" ca="1" si="111"/>
        <v>201.74086434761372</v>
      </c>
      <c r="J738" s="26">
        <f ca="1">RANDBETWEEN(ranges!J$2*1000,ranges!J$3*1000)/1000</f>
        <v>0.72699999999999998</v>
      </c>
      <c r="K738" s="26">
        <f ca="1">RANDBETWEEN(ranges!K$2*1000,ranges!K$3*1000)/1000</f>
        <v>0.83299999999999996</v>
      </c>
      <c r="L738">
        <f t="shared" ca="1" si="112"/>
        <v>89.297700186365702</v>
      </c>
      <c r="M738">
        <f t="shared" ca="1" si="113"/>
        <v>14.043143856478261</v>
      </c>
      <c r="N738" s="4">
        <f t="shared" ca="1" si="114"/>
        <v>5.0154819632345369</v>
      </c>
      <c r="O738" s="4"/>
      <c r="P738" s="1">
        <f ca="1">LOOKUP(B738,geomorph!$A:$A,geomorph!$G:$G)</f>
        <v>104.89178100000001</v>
      </c>
      <c r="Q738" s="1">
        <f t="shared" ca="1" si="115"/>
        <v>118.93492485647828</v>
      </c>
    </row>
    <row r="739" spans="2:17" x14ac:dyDescent="0.3">
      <c r="B739" s="6">
        <f ca="1">RANDBETWEEN(ranges!B$2,ranges!B$3)</f>
        <v>11736</v>
      </c>
      <c r="C739" s="9">
        <f ca="1">LOOKUP(B739,geomorph!A:A,geomorph!B:B)</f>
        <v>1430.8</v>
      </c>
      <c r="D739">
        <f t="shared" si="108"/>
        <v>1.13E-4</v>
      </c>
      <c r="E739" s="9">
        <f ca="1">'[2]Q_GEV(random)'!$J739</f>
        <v>8268.3325324648631</v>
      </c>
      <c r="F739" s="26">
        <f ca="1">RANDBETWEEN(ranges!F$2*1000,ranges!F$3*1000)/1000</f>
        <v>9.8000000000000004E-2</v>
      </c>
      <c r="G739" s="3">
        <f t="shared" ca="1" si="109"/>
        <v>5.7788178169309923</v>
      </c>
      <c r="H739" s="4">
        <f t="shared" ca="1" si="110"/>
        <v>9.038086440110261</v>
      </c>
      <c r="I739" s="4">
        <f t="shared" ca="1" si="111"/>
        <v>192.47031371395838</v>
      </c>
      <c r="J739" s="26">
        <f ca="1">RANDBETWEEN(ranges!J$2*1000,ranges!J$3*1000)/1000</f>
        <v>0.60799999999999998</v>
      </c>
      <c r="K739" s="26">
        <f ca="1">RANDBETWEEN(ranges!K$2*1000,ranges!K$3*1000)/1000</f>
        <v>0.98199999999999998</v>
      </c>
      <c r="L739">
        <f t="shared" ca="1" si="112"/>
        <v>90.073712281656157</v>
      </c>
      <c r="M739">
        <f t="shared" ca="1" si="113"/>
        <v>14.563153831183079</v>
      </c>
      <c r="N739" s="4">
        <f t="shared" ca="1" si="114"/>
        <v>6.0055080337748024</v>
      </c>
      <c r="O739" s="4"/>
      <c r="P739" s="1">
        <f ca="1">LOOKUP(B739,geomorph!$A:$A,geomorph!$G:$G)</f>
        <v>105.200271</v>
      </c>
      <c r="Q739" s="1">
        <f t="shared" ca="1" si="115"/>
        <v>119.76342483118307</v>
      </c>
    </row>
    <row r="740" spans="2:17" x14ac:dyDescent="0.3">
      <c r="B740" s="6">
        <f ca="1">RANDBETWEEN(ranges!B$2,ranges!B$3)</f>
        <v>14005</v>
      </c>
      <c r="C740" s="9">
        <f ca="1">LOOKUP(B740,geomorph!A:A,geomorph!B:B)</f>
        <v>1327.4</v>
      </c>
      <c r="D740">
        <f t="shared" si="108"/>
        <v>1.13E-4</v>
      </c>
      <c r="E740" s="9">
        <f ca="1">'[2]Q_GEV(random)'!$J740</f>
        <v>8260.9974990603023</v>
      </c>
      <c r="F740" s="26">
        <f ca="1">RANDBETWEEN(ranges!F$2*1000,ranges!F$3*1000)/1000</f>
        <v>0.106</v>
      </c>
      <c r="G740" s="3">
        <f t="shared" ca="1" si="109"/>
        <v>6.223442443167321</v>
      </c>
      <c r="H740" s="4">
        <f t="shared" ca="1" si="110"/>
        <v>9.7475963494713316</v>
      </c>
      <c r="I740" s="4">
        <f t="shared" ca="1" si="111"/>
        <v>217.97264215833036</v>
      </c>
      <c r="J740" s="26">
        <f ca="1">RANDBETWEEN(ranges!J$2*1000,ranges!J$3*1000)/1000</f>
        <v>0.64300000000000002</v>
      </c>
      <c r="K740" s="26">
        <f ca="1">RANDBETWEEN(ranges!K$2*1000,ranges!K$3*1000)/1000</f>
        <v>0.874</v>
      </c>
      <c r="L740">
        <f t="shared" ca="1" si="112"/>
        <v>98.220494788612712</v>
      </c>
      <c r="M740">
        <f t="shared" ca="1" si="113"/>
        <v>14.73270098041171</v>
      </c>
      <c r="N740" s="4">
        <f t="shared" ca="1" si="114"/>
        <v>5.4185919901525859</v>
      </c>
      <c r="O740" s="4"/>
      <c r="P740" s="1">
        <f ca="1">LOOKUP(B740,geomorph!$A:$A,geomorph!$G:$G)</f>
        <v>104.94376100000001</v>
      </c>
      <c r="Q740" s="1">
        <f t="shared" ca="1" si="115"/>
        <v>119.67646198041172</v>
      </c>
    </row>
    <row r="741" spans="2:17" x14ac:dyDescent="0.3">
      <c r="B741" s="6">
        <f ca="1">RANDBETWEEN(ranges!B$2,ranges!B$3)</f>
        <v>13390</v>
      </c>
      <c r="C741" s="9">
        <f ca="1">LOOKUP(B741,geomorph!A:A,geomorph!B:B)</f>
        <v>1184.9000000000001</v>
      </c>
      <c r="D741">
        <f t="shared" si="108"/>
        <v>1.13E-4</v>
      </c>
      <c r="E741" s="9">
        <f ca="1">'[2]Q_GEV(random)'!$J741</f>
        <v>8243.168911136614</v>
      </c>
      <c r="F741" s="26">
        <f ca="1">RANDBETWEEN(ranges!F$2*1000,ranges!F$3*1000)/1000</f>
        <v>0.11</v>
      </c>
      <c r="G741" s="3">
        <f t="shared" ca="1" si="109"/>
        <v>6.9568477602638312</v>
      </c>
      <c r="H741" s="4">
        <f t="shared" ca="1" si="110"/>
        <v>10.629537247052443</v>
      </c>
      <c r="I741" s="4">
        <f t="shared" ca="1" si="111"/>
        <v>263.01265815139885</v>
      </c>
      <c r="J741" s="26">
        <f ca="1">RANDBETWEEN(ranges!J$2*1000,ranges!J$3*1000)/1000</f>
        <v>0.78600000000000003</v>
      </c>
      <c r="K741" s="26">
        <f ca="1">RANDBETWEEN(ranges!K$2*1000,ranges!K$3*1000)/1000</f>
        <v>0.81799999999999995</v>
      </c>
      <c r="L741">
        <f t="shared" ca="1" si="112"/>
        <v>109.74089182806151</v>
      </c>
      <c r="M741">
        <f t="shared" ca="1" si="113"/>
        <v>14.693614048158921</v>
      </c>
      <c r="N741" s="4">
        <f t="shared" ca="1" si="114"/>
        <v>4.4174747838113877</v>
      </c>
      <c r="O741" s="4"/>
      <c r="P741" s="1">
        <f ca="1">LOOKUP(B741,geomorph!$A:$A,geomorph!$G:$G)</f>
        <v>105.012691</v>
      </c>
      <c r="Q741" s="1">
        <f t="shared" ca="1" si="115"/>
        <v>119.70630504815892</v>
      </c>
    </row>
    <row r="742" spans="2:17" x14ac:dyDescent="0.3">
      <c r="B742" s="6">
        <f ca="1">RANDBETWEEN(ranges!B$2,ranges!B$3)</f>
        <v>12372</v>
      </c>
      <c r="C742" s="9">
        <f ca="1">LOOKUP(B742,geomorph!A:A,geomorph!B:B)</f>
        <v>1244.0999999999999</v>
      </c>
      <c r="D742">
        <f t="shared" si="108"/>
        <v>1.13E-4</v>
      </c>
      <c r="E742" s="9">
        <f ca="1">'[2]Q_GEV(random)'!$J742</f>
        <v>8239.1321512103841</v>
      </c>
      <c r="F742" s="26">
        <f ca="1">RANDBETWEEN(ranges!F$2*1000,ranges!F$3*1000)/1000</f>
        <v>0.108</v>
      </c>
      <c r="G742" s="3">
        <f t="shared" ca="1" si="109"/>
        <v>6.6225642241060889</v>
      </c>
      <c r="H742" s="4">
        <f t="shared" ca="1" si="110"/>
        <v>10.223521176719752</v>
      </c>
      <c r="I742" s="4">
        <f t="shared" ca="1" si="111"/>
        <v>242.40719859612892</v>
      </c>
      <c r="J742" s="26">
        <f ca="1">RANDBETWEEN(ranges!J$2*1000,ranges!J$3*1000)/1000</f>
        <v>0.67300000000000004</v>
      </c>
      <c r="K742" s="26">
        <f ca="1">RANDBETWEEN(ranges!K$2*1000,ranges!K$3*1000)/1000</f>
        <v>0.94199999999999995</v>
      </c>
      <c r="L742">
        <f t="shared" ca="1" si="112"/>
        <v>106.97357736167075</v>
      </c>
      <c r="M742">
        <f t="shared" ca="1" si="113"/>
        <v>15.038698518308964</v>
      </c>
      <c r="N742" s="4">
        <f t="shared" ca="1" si="114"/>
        <v>5.2338884147708828</v>
      </c>
      <c r="O742" s="4"/>
      <c r="P742" s="1">
        <f ca="1">LOOKUP(B742,geomorph!$A:$A,geomorph!$G:$G)</f>
        <v>105.127951</v>
      </c>
      <c r="Q742" s="1">
        <f t="shared" ca="1" si="115"/>
        <v>120.16664951830896</v>
      </c>
    </row>
    <row r="743" spans="2:17" x14ac:dyDescent="0.3">
      <c r="B743" s="6">
        <f ca="1">RANDBETWEEN(ranges!B$2,ranges!B$3)</f>
        <v>14914</v>
      </c>
      <c r="C743" s="9">
        <f ca="1">LOOKUP(B743,geomorph!A:A,geomorph!B:B)</f>
        <v>1508.3</v>
      </c>
      <c r="D743">
        <f t="shared" si="108"/>
        <v>1.13E-4</v>
      </c>
      <c r="E743" s="9">
        <f ca="1">'[2]Q_GEV(random)'!$J743</f>
        <v>8213.0624509072968</v>
      </c>
      <c r="F743" s="26">
        <f ca="1">RANDBETWEEN(ranges!F$2*1000,ranges!F$3*1000)/1000</f>
        <v>9.6000000000000002E-2</v>
      </c>
      <c r="G743" s="3">
        <f t="shared" ca="1" si="109"/>
        <v>5.4452446137421582</v>
      </c>
      <c r="H743" s="4">
        <f t="shared" ca="1" si="110"/>
        <v>8.6273444358737397</v>
      </c>
      <c r="I743" s="4">
        <f t="shared" ca="1" si="111"/>
        <v>175.48522166487837</v>
      </c>
      <c r="J743" s="26">
        <f ca="1">RANDBETWEEN(ranges!J$2*1000,ranges!J$3*1000)/1000</f>
        <v>0.76200000000000001</v>
      </c>
      <c r="K743" s="26">
        <f ca="1">RANDBETWEEN(ranges!K$2*1000,ranges!K$3*1000)/1000</f>
        <v>0.90700000000000003</v>
      </c>
      <c r="L743">
        <f t="shared" ca="1" si="112"/>
        <v>78.286948873738808</v>
      </c>
      <c r="M743">
        <f t="shared" ca="1" si="113"/>
        <v>13.343063163447408</v>
      </c>
      <c r="N743" s="4">
        <f t="shared" ca="1" si="114"/>
        <v>5.1257812256235518</v>
      </c>
      <c r="O743" s="4"/>
      <c r="P743" s="1">
        <f ca="1">LOOKUP(B743,geomorph!$A:$A,geomorph!$G:$G)</f>
        <v>104.840931</v>
      </c>
      <c r="Q743" s="1">
        <f t="shared" ca="1" si="115"/>
        <v>118.18399416344741</v>
      </c>
    </row>
    <row r="744" spans="2:17" x14ac:dyDescent="0.3">
      <c r="B744" s="6">
        <f ca="1">RANDBETWEEN(ranges!B$2,ranges!B$3)</f>
        <v>11284</v>
      </c>
      <c r="C744" s="9">
        <f ca="1">LOOKUP(B744,geomorph!A:A,geomorph!B:B)</f>
        <v>1617.2</v>
      </c>
      <c r="D744">
        <f t="shared" si="108"/>
        <v>1.13E-4</v>
      </c>
      <c r="E744" s="9">
        <f ca="1">'[2]Q_GEV(random)'!$J744</f>
        <v>8206.2745417157312</v>
      </c>
      <c r="F744" s="26">
        <f ca="1">RANDBETWEEN(ranges!F$2*1000,ranges!F$3*1000)/1000</f>
        <v>0.108</v>
      </c>
      <c r="G744" s="3">
        <f t="shared" ca="1" si="109"/>
        <v>5.0743720886196702</v>
      </c>
      <c r="H744" s="4">
        <f t="shared" ca="1" si="110"/>
        <v>8.5606075566845199</v>
      </c>
      <c r="I744" s="4">
        <f t="shared" ca="1" si="111"/>
        <v>156.14970112376977</v>
      </c>
      <c r="J744" s="26">
        <f ca="1">RANDBETWEEN(ranges!J$2*1000,ranges!J$3*1000)/1000</f>
        <v>0.78900000000000003</v>
      </c>
      <c r="K744" s="26">
        <f ca="1">RANDBETWEEN(ranges!K$2*1000,ranges!K$3*1000)/1000</f>
        <v>0.90800000000000003</v>
      </c>
      <c r="L744">
        <f t="shared" ca="1" si="112"/>
        <v>73.223352245592864</v>
      </c>
      <c r="M744">
        <f t="shared" ca="1" si="113"/>
        <v>13.381098993427724</v>
      </c>
      <c r="N744" s="4">
        <f t="shared" ca="1" si="114"/>
        <v>5.2396646051556566</v>
      </c>
      <c r="O744" s="4"/>
      <c r="P744" s="1">
        <f ca="1">LOOKUP(B744,geomorph!$A:$A,geomorph!$G:$G)</f>
        <v>105.251121</v>
      </c>
      <c r="Q744" s="1">
        <f t="shared" ca="1" si="115"/>
        <v>118.63221999342773</v>
      </c>
    </row>
    <row r="745" spans="2:17" x14ac:dyDescent="0.3">
      <c r="B745" s="6">
        <f ca="1">RANDBETWEEN(ranges!B$2,ranges!B$3)</f>
        <v>13496</v>
      </c>
      <c r="C745" s="9">
        <f ca="1">LOOKUP(B745,geomorph!A:A,geomorph!B:B)</f>
        <v>1199.9000000000001</v>
      </c>
      <c r="D745">
        <f t="shared" si="108"/>
        <v>1.13E-4</v>
      </c>
      <c r="E745" s="9">
        <f ca="1">'[2]Q_GEV(random)'!$J745</f>
        <v>8182.3798686207656</v>
      </c>
      <c r="F745" s="26">
        <f ca="1">RANDBETWEEN(ranges!F$2*1000,ranges!F$3*1000)/1000</f>
        <v>9.2999999999999999E-2</v>
      </c>
      <c r="G745" s="3">
        <f t="shared" ca="1" si="109"/>
        <v>6.8192181586971952</v>
      </c>
      <c r="H745" s="4">
        <f t="shared" ca="1" si="110"/>
        <v>9.9180395506998842</v>
      </c>
      <c r="I745" s="4">
        <f t="shared" ca="1" si="111"/>
        <v>256.28785125525496</v>
      </c>
      <c r="J745" s="26">
        <f ca="1">RANDBETWEEN(ranges!J$2*1000,ranges!J$3*1000)/1000</f>
        <v>0.63700000000000001</v>
      </c>
      <c r="K745" s="26">
        <f ca="1">RANDBETWEEN(ranges!K$2*1000,ranges!K$3*1000)/1000</f>
        <v>0.86299999999999999</v>
      </c>
      <c r="L745">
        <f t="shared" ca="1" si="112"/>
        <v>107.74491619537309</v>
      </c>
      <c r="M745">
        <f t="shared" ca="1" si="113"/>
        <v>14.608993118539585</v>
      </c>
      <c r="N745" s="4">
        <f t="shared" ca="1" si="114"/>
        <v>5.0988625737388054</v>
      </c>
      <c r="O745" s="4"/>
      <c r="P745" s="1">
        <f ca="1">LOOKUP(B745,geomorph!$A:$A,geomorph!$G:$G)</f>
        <v>105.001391</v>
      </c>
      <c r="Q745" s="1">
        <f t="shared" ca="1" si="115"/>
        <v>119.61038411853959</v>
      </c>
    </row>
    <row r="746" spans="2:17" x14ac:dyDescent="0.3">
      <c r="B746" s="6">
        <f ca="1">RANDBETWEEN(ranges!B$2,ranges!B$3)</f>
        <v>14581</v>
      </c>
      <c r="C746" s="9">
        <f ca="1">LOOKUP(B746,geomorph!A:A,geomorph!B:B)</f>
        <v>1420.5</v>
      </c>
      <c r="D746">
        <f t="shared" si="108"/>
        <v>1.13E-4</v>
      </c>
      <c r="E746" s="9">
        <f ca="1">'[2]Q_GEV(random)'!$J746</f>
        <v>8175.7703588158702</v>
      </c>
      <c r="F746" s="26">
        <f ca="1">RANDBETWEEN(ranges!F$2*1000,ranges!F$3*1000)/1000</f>
        <v>0.11</v>
      </c>
      <c r="G746" s="3">
        <f t="shared" ca="1" si="109"/>
        <v>5.7555581547454207</v>
      </c>
      <c r="H746" s="4">
        <f t="shared" ca="1" si="110"/>
        <v>9.3676571896132756</v>
      </c>
      <c r="I746" s="4">
        <f t="shared" ca="1" si="111"/>
        <v>193.34535511893381</v>
      </c>
      <c r="J746" s="26">
        <f ca="1">RANDBETWEEN(ranges!J$2*1000,ranges!J$3*1000)/1000</f>
        <v>0.77600000000000002</v>
      </c>
      <c r="K746" s="26">
        <f ca="1">RANDBETWEEN(ranges!K$2*1000,ranges!K$3*1000)/1000</f>
        <v>0.95099999999999996</v>
      </c>
      <c r="L746">
        <f t="shared" ca="1" si="112"/>
        <v>87.401723522725703</v>
      </c>
      <c r="M746">
        <f t="shared" ca="1" si="113"/>
        <v>14.0294187538356</v>
      </c>
      <c r="N746" s="4">
        <f t="shared" ca="1" si="114"/>
        <v>5.0671321350242655</v>
      </c>
      <c r="O746" s="4"/>
      <c r="P746" s="1">
        <f ca="1">LOOKUP(B746,geomorph!$A:$A,geomorph!$G:$G)</f>
        <v>104.878221</v>
      </c>
      <c r="Q746" s="1">
        <f t="shared" ca="1" si="115"/>
        <v>118.9076397538356</v>
      </c>
    </row>
    <row r="747" spans="2:17" x14ac:dyDescent="0.3">
      <c r="B747" s="6">
        <f ca="1">RANDBETWEEN(ranges!B$2,ranges!B$3)</f>
        <v>14792</v>
      </c>
      <c r="C747" s="9">
        <f ca="1">LOOKUP(B747,geomorph!A:A,geomorph!B:B)</f>
        <v>1490.3</v>
      </c>
      <c r="D747">
        <f t="shared" si="108"/>
        <v>1.13E-4</v>
      </c>
      <c r="E747" s="9">
        <f ca="1">'[2]Q_GEV(random)'!$J747</f>
        <v>8166.9089637169145</v>
      </c>
      <c r="F747" s="26">
        <f ca="1">RANDBETWEEN(ranges!F$2*1000,ranges!F$3*1000)/1000</f>
        <v>0.104</v>
      </c>
      <c r="G747" s="3">
        <f t="shared" ca="1" si="109"/>
        <v>5.4800435910332919</v>
      </c>
      <c r="H747" s="4">
        <f t="shared" ca="1" si="110"/>
        <v>8.8983384143477391</v>
      </c>
      <c r="I747" s="4">
        <f t="shared" ca="1" si="111"/>
        <v>178.36062720096859</v>
      </c>
      <c r="J747" s="26">
        <f ca="1">RANDBETWEEN(ranges!J$2*1000,ranges!J$3*1000)/1000</f>
        <v>0.67900000000000005</v>
      </c>
      <c r="K747" s="26">
        <f ca="1">RANDBETWEEN(ranges!K$2*1000,ranges!K$3*1000)/1000</f>
        <v>0.98799999999999999</v>
      </c>
      <c r="L747">
        <f t="shared" ca="1" si="112"/>
        <v>84.017430758631036</v>
      </c>
      <c r="M747">
        <f t="shared" ca="1" si="113"/>
        <v>14.148863007733425</v>
      </c>
      <c r="N747" s="4">
        <f t="shared" ca="1" si="114"/>
        <v>5.7070919493322672</v>
      </c>
      <c r="O747" s="4"/>
      <c r="P747" s="1">
        <f ca="1">LOOKUP(B747,geomorph!$A:$A,geomorph!$G:$G)</f>
        <v>104.854491</v>
      </c>
      <c r="Q747" s="1">
        <f t="shared" ca="1" si="115"/>
        <v>119.00335400773342</v>
      </c>
    </row>
    <row r="748" spans="2:17" x14ac:dyDescent="0.3">
      <c r="B748" s="6">
        <f ca="1">RANDBETWEEN(ranges!B$2,ranges!B$3)</f>
        <v>10967</v>
      </c>
      <c r="C748" s="9">
        <f ca="1">LOOKUP(B748,geomorph!A:A,geomorph!B:B)</f>
        <v>1684.2</v>
      </c>
      <c r="D748">
        <f t="shared" si="108"/>
        <v>1.13E-4</v>
      </c>
      <c r="E748" s="9">
        <f ca="1">'[2]Q_GEV(random)'!$J748</f>
        <v>8151.278698832929</v>
      </c>
      <c r="F748" s="26">
        <f ca="1">RANDBETWEEN(ranges!F$2*1000,ranges!F$3*1000)/1000</f>
        <v>0.107</v>
      </c>
      <c r="G748" s="3">
        <f t="shared" ca="1" si="109"/>
        <v>4.839851976506905</v>
      </c>
      <c r="H748" s="4">
        <f t="shared" ca="1" si="110"/>
        <v>8.2690910773915363</v>
      </c>
      <c r="I748" s="4">
        <f t="shared" ca="1" si="111"/>
        <v>145.28175363897228</v>
      </c>
      <c r="J748" s="26">
        <f ca="1">RANDBETWEEN(ranges!J$2*1000,ranges!J$3*1000)/1000</f>
        <v>0.67600000000000005</v>
      </c>
      <c r="K748" s="26">
        <f ca="1">RANDBETWEEN(ranges!K$2*1000,ranges!K$3*1000)/1000</f>
        <v>0.82199999999999995</v>
      </c>
      <c r="L748">
        <f t="shared" ca="1" si="112"/>
        <v>71.384213087775677</v>
      </c>
      <c r="M748">
        <f t="shared" ca="1" si="113"/>
        <v>13.585457960114793</v>
      </c>
      <c r="N748" s="4">
        <f t="shared" ca="1" si="114"/>
        <v>5.7786596551339739</v>
      </c>
      <c r="O748" s="4"/>
      <c r="P748" s="1">
        <f ca="1">LOOKUP(B748,geomorph!$A:$A,geomorph!$G:$G)</f>
        <v>105.28728100000001</v>
      </c>
      <c r="Q748" s="1">
        <f t="shared" ca="1" si="115"/>
        <v>118.8727389601148</v>
      </c>
    </row>
    <row r="749" spans="2:17" x14ac:dyDescent="0.3">
      <c r="B749" s="6">
        <f ca="1">RANDBETWEEN(ranges!B$2,ranges!B$3)</f>
        <v>10328</v>
      </c>
      <c r="C749" s="9">
        <f ca="1">LOOKUP(B749,geomorph!A:A,geomorph!B:B)</f>
        <v>1660.2</v>
      </c>
      <c r="D749">
        <f t="shared" si="108"/>
        <v>1.13E-4</v>
      </c>
      <c r="E749" s="9">
        <f ca="1">'[2]Q_GEV(random)'!$J749</f>
        <v>8142.570050763853</v>
      </c>
      <c r="F749" s="26">
        <f ca="1">RANDBETWEEN(ranges!F$2*1000,ranges!F$3*1000)/1000</f>
        <v>0.10199999999999999</v>
      </c>
      <c r="G749" s="3">
        <f t="shared" ca="1" si="109"/>
        <v>4.9045717689217279</v>
      </c>
      <c r="H749" s="4">
        <f t="shared" ca="1" si="110"/>
        <v>8.2106193146625479</v>
      </c>
      <c r="I749" s="4">
        <f t="shared" ca="1" si="111"/>
        <v>148.69293595257068</v>
      </c>
      <c r="J749" s="26">
        <f ca="1">RANDBETWEEN(ranges!J$2*1000,ranges!J$3*1000)/1000</f>
        <v>0.78600000000000003</v>
      </c>
      <c r="K749" s="26">
        <f ca="1">RANDBETWEEN(ranges!K$2*1000,ranges!K$3*1000)/1000</f>
        <v>0.94499999999999995</v>
      </c>
      <c r="L749">
        <f t="shared" ca="1" si="112"/>
        <v>69.986623151886349</v>
      </c>
      <c r="M749">
        <f t="shared" ca="1" si="113"/>
        <v>13.129672468514075</v>
      </c>
      <c r="N749" s="4">
        <f t="shared" ca="1" si="114"/>
        <v>5.3467969063603551</v>
      </c>
      <c r="O749" s="4"/>
      <c r="P749" s="1">
        <f ca="1">LOOKUP(B749,geomorph!$A:$A,geomorph!$G:$G)</f>
        <v>105.359601</v>
      </c>
      <c r="Q749" s="1">
        <f t="shared" ca="1" si="115"/>
        <v>118.48927346851407</v>
      </c>
    </row>
    <row r="750" spans="2:17" x14ac:dyDescent="0.3">
      <c r="B750" s="6">
        <f ca="1">RANDBETWEEN(ranges!B$2,ranges!B$3)</f>
        <v>13633</v>
      </c>
      <c r="C750" s="9">
        <f ca="1">LOOKUP(B750,geomorph!A:A,geomorph!B:B)</f>
        <v>1235.4000000000001</v>
      </c>
      <c r="D750">
        <f t="shared" si="108"/>
        <v>1.13E-4</v>
      </c>
      <c r="E750" s="9">
        <f ca="1">'[2]Q_GEV(random)'!$J750</f>
        <v>8095.6145986353704</v>
      </c>
      <c r="F750" s="26">
        <f ca="1">RANDBETWEEN(ranges!F$2*1000,ranges!F$3*1000)/1000</f>
        <v>9.6000000000000002E-2</v>
      </c>
      <c r="G750" s="3">
        <f t="shared" ca="1" si="109"/>
        <v>6.5530310819454183</v>
      </c>
      <c r="H750" s="4">
        <f t="shared" ca="1" si="110"/>
        <v>9.7609860679614524</v>
      </c>
      <c r="I750" s="4">
        <f t="shared" ca="1" si="111"/>
        <v>242.40258033299892</v>
      </c>
      <c r="J750" s="26">
        <f ca="1">RANDBETWEEN(ranges!J$2*1000,ranges!J$3*1000)/1000</f>
        <v>0.68799999999999994</v>
      </c>
      <c r="K750" s="26">
        <f ca="1">RANDBETWEEN(ranges!K$2*1000,ranges!K$3*1000)/1000</f>
        <v>0.96</v>
      </c>
      <c r="L750">
        <f t="shared" ca="1" si="112"/>
        <v>103.44450769591458</v>
      </c>
      <c r="M750">
        <f t="shared" ca="1" si="113"/>
        <v>14.440873963251214</v>
      </c>
      <c r="N750" s="4">
        <f t="shared" ca="1" si="114"/>
        <v>5.0868346687932187</v>
      </c>
      <c r="O750" s="4"/>
      <c r="P750" s="1">
        <f ca="1">LOOKUP(B750,geomorph!$A:$A,geomorph!$G:$G)</f>
        <v>104.98557100000001</v>
      </c>
      <c r="Q750" s="1">
        <f t="shared" ca="1" si="115"/>
        <v>119.42644496325121</v>
      </c>
    </row>
    <row r="751" spans="2:17" x14ac:dyDescent="0.3">
      <c r="B751" s="6">
        <f ca="1">RANDBETWEEN(ranges!B$2,ranges!B$3)</f>
        <v>14171</v>
      </c>
      <c r="C751" s="9">
        <f ca="1">LOOKUP(B751,geomorph!A:A,geomorph!B:B)</f>
        <v>1301.4000000000001</v>
      </c>
      <c r="D751">
        <f t="shared" si="108"/>
        <v>1.13E-4</v>
      </c>
      <c r="E751" s="9">
        <f ca="1">'[2]Q_GEV(random)'!$J751</f>
        <v>8090.5734445484322</v>
      </c>
      <c r="F751" s="26">
        <f ca="1">RANDBETWEEN(ranges!F$2*1000,ranges!F$3*1000)/1000</f>
        <v>0.10299999999999999</v>
      </c>
      <c r="G751" s="3">
        <f t="shared" ca="1" si="109"/>
        <v>6.21682299412051</v>
      </c>
      <c r="H751" s="4">
        <f t="shared" ca="1" si="110"/>
        <v>9.6479091749292909</v>
      </c>
      <c r="I751" s="4">
        <f t="shared" ca="1" si="111"/>
        <v>222.16972768443725</v>
      </c>
      <c r="J751" s="26">
        <f ca="1">RANDBETWEEN(ranges!J$2*1000,ranges!J$3*1000)/1000</f>
        <v>0.77400000000000002</v>
      </c>
      <c r="K751" s="26">
        <f ca="1">RANDBETWEEN(ranges!K$2*1000,ranges!K$3*1000)/1000</f>
        <v>0.879</v>
      </c>
      <c r="L751">
        <f t="shared" ca="1" si="112"/>
        <v>95.069234024112916</v>
      </c>
      <c r="M751">
        <f t="shared" ca="1" si="113"/>
        <v>13.980710430964802</v>
      </c>
      <c r="N751" s="4">
        <f t="shared" ca="1" si="114"/>
        <v>4.7095665826472946</v>
      </c>
      <c r="O751" s="4"/>
      <c r="P751" s="1">
        <f ca="1">LOOKUP(B751,geomorph!$A:$A,geomorph!$G:$G)</f>
        <v>104.92455100000001</v>
      </c>
      <c r="Q751" s="1">
        <f t="shared" ca="1" si="115"/>
        <v>118.90526143096481</v>
      </c>
    </row>
    <row r="752" spans="2:17" x14ac:dyDescent="0.3">
      <c r="B752" s="6">
        <f ca="1">RANDBETWEEN(ranges!B$2,ranges!B$3)</f>
        <v>14985</v>
      </c>
      <c r="C752" s="9">
        <f ca="1">LOOKUP(B752,geomorph!A:A,geomorph!B:B)</f>
        <v>1493.8</v>
      </c>
      <c r="D752">
        <f t="shared" si="108"/>
        <v>1.13E-4</v>
      </c>
      <c r="E752" s="9">
        <f ca="1">'[2]Q_GEV(random)'!$J752</f>
        <v>8070.9632418604506</v>
      </c>
      <c r="F752" s="26">
        <f ca="1">RANDBETWEEN(ranges!F$2*1000,ranges!F$3*1000)/1000</f>
        <v>9.5000000000000001E-2</v>
      </c>
      <c r="G752" s="3">
        <f t="shared" ca="1" si="109"/>
        <v>5.4029744556570165</v>
      </c>
      <c r="H752" s="4">
        <f t="shared" ca="1" si="110"/>
        <v>8.5527335286825839</v>
      </c>
      <c r="I752" s="4">
        <f t="shared" ca="1" si="111"/>
        <v>176.27044652889984</v>
      </c>
      <c r="J752" s="26">
        <f ca="1">RANDBETWEEN(ranges!J$2*1000,ranges!J$3*1000)/1000</f>
        <v>0.73899999999999999</v>
      </c>
      <c r="K752" s="26">
        <f ca="1">RANDBETWEEN(ranges!K$2*1000,ranges!K$3*1000)/1000</f>
        <v>0.83899999999999997</v>
      </c>
      <c r="L752">
        <f t="shared" ca="1" si="112"/>
        <v>78.267109941862515</v>
      </c>
      <c r="M752">
        <f t="shared" ca="1" si="113"/>
        <v>13.211441197920426</v>
      </c>
      <c r="N752" s="4">
        <f t="shared" ca="1" si="114"/>
        <v>5.0638126839541755</v>
      </c>
      <c r="O752" s="4"/>
      <c r="P752" s="1">
        <f ca="1">LOOKUP(B752,geomorph!$A:$A,geomorph!$G:$G)</f>
        <v>104.833021</v>
      </c>
      <c r="Q752" s="1">
        <f t="shared" ca="1" si="115"/>
        <v>118.04446219792042</v>
      </c>
    </row>
    <row r="753" spans="2:17" x14ac:dyDescent="0.3">
      <c r="B753" s="6">
        <f ca="1">RANDBETWEEN(ranges!B$2,ranges!B$3)</f>
        <v>12229</v>
      </c>
      <c r="C753" s="9">
        <f ca="1">LOOKUP(B753,geomorph!A:A,geomorph!B:B)</f>
        <v>1285</v>
      </c>
      <c r="D753">
        <f t="shared" si="108"/>
        <v>1.13E-4</v>
      </c>
      <c r="E753" s="9">
        <f ca="1">'[2]Q_GEV(random)'!$J753</f>
        <v>8068.3280519156115</v>
      </c>
      <c r="F753" s="26">
        <f ca="1">RANDBETWEEN(ranges!F$2*1000,ranges!F$3*1000)/1000</f>
        <v>0.105</v>
      </c>
      <c r="G753" s="3">
        <f t="shared" ca="1" si="109"/>
        <v>6.2788545151094253</v>
      </c>
      <c r="H753" s="4">
        <f t="shared" ca="1" si="110"/>
        <v>9.7744390577252727</v>
      </c>
      <c r="I753" s="4">
        <f t="shared" ca="1" si="111"/>
        <v>226.49945922590868</v>
      </c>
      <c r="J753" s="26">
        <f ca="1">RANDBETWEEN(ranges!J$2*1000,ranges!J$3*1000)/1000</f>
        <v>0.73099999999999998</v>
      </c>
      <c r="K753" s="26">
        <f ca="1">RANDBETWEEN(ranges!K$2*1000,ranges!K$3*1000)/1000</f>
        <v>0.80100000000000005</v>
      </c>
      <c r="L753">
        <f t="shared" ca="1" si="112"/>
        <v>97.269001688330718</v>
      </c>
      <c r="M753">
        <f t="shared" ca="1" si="113"/>
        <v>14.123945390154061</v>
      </c>
      <c r="N753" s="4">
        <f t="shared" ca="1" si="114"/>
        <v>4.7277242743791179</v>
      </c>
      <c r="O753" s="4"/>
      <c r="P753" s="1">
        <f ca="1">LOOKUP(B753,geomorph!$A:$A,geomorph!$G:$G)</f>
        <v>105.144901</v>
      </c>
      <c r="Q753" s="1">
        <f t="shared" ca="1" si="115"/>
        <v>119.26884639015407</v>
      </c>
    </row>
    <row r="754" spans="2:17" x14ac:dyDescent="0.3">
      <c r="B754" s="6">
        <f ca="1">RANDBETWEEN(ranges!B$2,ranges!B$3)</f>
        <v>12691</v>
      </c>
      <c r="C754" s="9">
        <f ca="1">LOOKUP(B754,geomorph!A:A,geomorph!B:B)</f>
        <v>1160.5999999999999</v>
      </c>
      <c r="D754">
        <f t="shared" si="108"/>
        <v>1.13E-4</v>
      </c>
      <c r="E754" s="9">
        <f ca="1">'[2]Q_GEV(random)'!$J754</f>
        <v>8055.4663046487321</v>
      </c>
      <c r="F754" s="26">
        <f ca="1">RANDBETWEEN(ranges!F$2*1000,ranges!F$3*1000)/1000</f>
        <v>0.1</v>
      </c>
      <c r="G754" s="3">
        <f t="shared" ca="1" si="109"/>
        <v>6.9407774467075072</v>
      </c>
      <c r="H754" s="4">
        <f t="shared" ca="1" si="110"/>
        <v>10.281280533172625</v>
      </c>
      <c r="I754" s="4">
        <f t="shared" ca="1" si="111"/>
        <v>268.10579228565859</v>
      </c>
      <c r="J754" s="26">
        <f ca="1">RANDBETWEEN(ranges!J$2*1000,ranges!J$3*1000)/1000</f>
        <v>0.78100000000000003</v>
      </c>
      <c r="K754" s="26">
        <f ca="1">RANDBETWEEN(ranges!K$2*1000,ranges!K$3*1000)/1000</f>
        <v>0.85</v>
      </c>
      <c r="L754">
        <f t="shared" ca="1" si="112"/>
        <v>109.14511123555778</v>
      </c>
      <c r="M754">
        <f t="shared" ca="1" si="113"/>
        <v>14.314141219298682</v>
      </c>
      <c r="N754" s="4">
        <f t="shared" ca="1" si="114"/>
        <v>4.3835442240500617</v>
      </c>
      <c r="O754" s="4"/>
      <c r="P754" s="1">
        <f ca="1">LOOKUP(B754,geomorph!$A:$A,geomorph!$G:$G)</f>
        <v>105.091791</v>
      </c>
      <c r="Q754" s="1">
        <f t="shared" ca="1" si="115"/>
        <v>119.40593221929868</v>
      </c>
    </row>
    <row r="755" spans="2:17" x14ac:dyDescent="0.3">
      <c r="B755" s="6">
        <f ca="1">RANDBETWEEN(ranges!B$2,ranges!B$3)</f>
        <v>11886</v>
      </c>
      <c r="C755" s="9">
        <f ca="1">LOOKUP(B755,geomorph!A:A,geomorph!B:B)</f>
        <v>1387.2</v>
      </c>
      <c r="D755">
        <f t="shared" si="108"/>
        <v>1.13E-4</v>
      </c>
      <c r="E755" s="9">
        <f ca="1">'[2]Q_GEV(random)'!$J755</f>
        <v>8031.2127866498749</v>
      </c>
      <c r="F755" s="26">
        <f ca="1">RANDBETWEEN(ranges!F$2*1000,ranges!F$3*1000)/1000</f>
        <v>0.105</v>
      </c>
      <c r="G755" s="3">
        <f t="shared" ca="1" si="109"/>
        <v>5.7895132545053887</v>
      </c>
      <c r="H755" s="4">
        <f t="shared" ca="1" si="110"/>
        <v>9.2597571747049532</v>
      </c>
      <c r="I755" s="4">
        <f t="shared" ca="1" si="111"/>
        <v>198.76456923086684</v>
      </c>
      <c r="J755" s="26">
        <f ca="1">RANDBETWEEN(ranges!J$2*1000,ranges!J$3*1000)/1000</f>
        <v>0.753</v>
      </c>
      <c r="K755" s="26">
        <f ca="1">RANDBETWEEN(ranges!K$2*1000,ranges!K$3*1000)/1000</f>
        <v>1</v>
      </c>
      <c r="L755">
        <f t="shared" ca="1" si="112"/>
        <v>89.321835435389431</v>
      </c>
      <c r="M755">
        <f t="shared" ca="1" si="113"/>
        <v>14.001519263104861</v>
      </c>
      <c r="N755" s="4">
        <f t="shared" ca="1" si="114"/>
        <v>5.1540892265216387</v>
      </c>
      <c r="O755" s="4"/>
      <c r="P755" s="1">
        <f ca="1">LOOKUP(B755,geomorph!$A:$A,geomorph!$G:$G)</f>
        <v>105.18332100000001</v>
      </c>
      <c r="Q755" s="1">
        <f t="shared" ca="1" si="115"/>
        <v>119.18484026310486</v>
      </c>
    </row>
    <row r="756" spans="2:17" x14ac:dyDescent="0.3">
      <c r="B756" s="6">
        <f ca="1">RANDBETWEEN(ranges!B$2,ranges!B$3)</f>
        <v>14919</v>
      </c>
      <c r="C756" s="9">
        <f ca="1">LOOKUP(B756,geomorph!A:A,geomorph!B:B)</f>
        <v>1508.3</v>
      </c>
      <c r="D756">
        <f t="shared" si="108"/>
        <v>1.13E-4</v>
      </c>
      <c r="E756" s="9">
        <f ca="1">'[2]Q_GEV(random)'!$J756</f>
        <v>8028.1727633970168</v>
      </c>
      <c r="F756" s="26">
        <f ca="1">RANDBETWEEN(ranges!F$2*1000,ranges!F$3*1000)/1000</f>
        <v>9.5000000000000001E-2</v>
      </c>
      <c r="G756" s="3">
        <f t="shared" ca="1" si="109"/>
        <v>5.3226631064092134</v>
      </c>
      <c r="H756" s="4">
        <f t="shared" ca="1" si="110"/>
        <v>8.4677686533126693</v>
      </c>
      <c r="I756" s="4">
        <f t="shared" ca="1" si="111"/>
        <v>172.84159751641087</v>
      </c>
      <c r="J756" s="26">
        <f ca="1">RANDBETWEEN(ranges!J$2*1000,ranges!J$3*1000)/1000</f>
        <v>0.61799999999999999</v>
      </c>
      <c r="K756" s="26">
        <f ca="1">RANDBETWEEN(ranges!K$2*1000,ranges!K$3*1000)/1000</f>
        <v>0.80200000000000005</v>
      </c>
      <c r="L756">
        <f t="shared" ca="1" si="112"/>
        <v>80.409172230529904</v>
      </c>
      <c r="M756">
        <f t="shared" ca="1" si="113"/>
        <v>13.704770455709832</v>
      </c>
      <c r="N756" s="4">
        <f t="shared" ca="1" si="114"/>
        <v>5.6923932634751768</v>
      </c>
      <c r="O756" s="4"/>
      <c r="P756" s="1">
        <f ca="1">LOOKUP(B756,geomorph!$A:$A,geomorph!$G:$G)</f>
        <v>104.840931</v>
      </c>
      <c r="Q756" s="1">
        <f t="shared" ca="1" si="115"/>
        <v>118.54570145570983</v>
      </c>
    </row>
    <row r="757" spans="2:17" x14ac:dyDescent="0.3">
      <c r="B757" s="6">
        <f ca="1">RANDBETWEEN(ranges!B$2,ranges!B$3)</f>
        <v>14425</v>
      </c>
      <c r="C757" s="9">
        <f ca="1">LOOKUP(B757,geomorph!A:A,geomorph!B:B)</f>
        <v>1381.7</v>
      </c>
      <c r="D757">
        <f t="shared" si="108"/>
        <v>1.13E-4</v>
      </c>
      <c r="E757" s="9">
        <f ca="1">'[2]Q_GEV(random)'!$J757</f>
        <v>8027.4251078828966</v>
      </c>
      <c r="F757" s="26">
        <f ca="1">RANDBETWEEN(ranges!F$2*1000,ranges!F$3*1000)/1000</f>
        <v>0.10199999999999999</v>
      </c>
      <c r="G757" s="3">
        <f t="shared" ca="1" si="109"/>
        <v>5.8098176940601407</v>
      </c>
      <c r="H757" s="4">
        <f t="shared" ca="1" si="110"/>
        <v>9.1921448033610194</v>
      </c>
      <c r="I757" s="4">
        <f t="shared" ca="1" si="111"/>
        <v>200.02207545764335</v>
      </c>
      <c r="J757" s="26">
        <f ca="1">RANDBETWEEN(ranges!J$2*1000,ranges!J$3*1000)/1000</f>
        <v>0.69199999999999995</v>
      </c>
      <c r="K757" s="26">
        <f ca="1">RANDBETWEEN(ranges!K$2*1000,ranges!K$3*1000)/1000</f>
        <v>0.88200000000000001</v>
      </c>
      <c r="L757">
        <f t="shared" ca="1" si="112"/>
        <v>89.598186606696828</v>
      </c>
      <c r="M757">
        <f t="shared" ca="1" si="113"/>
        <v>13.98915303109545</v>
      </c>
      <c r="N757" s="4">
        <f t="shared" ca="1" si="114"/>
        <v>5.2141393779722067</v>
      </c>
      <c r="O757" s="4"/>
      <c r="P757" s="1">
        <f ca="1">LOOKUP(B757,geomorph!$A:$A,geomorph!$G:$G)</f>
        <v>104.89630100000001</v>
      </c>
      <c r="Q757" s="1">
        <f t="shared" ca="1" si="115"/>
        <v>118.88545403109546</v>
      </c>
    </row>
    <row r="758" spans="2:17" x14ac:dyDescent="0.3">
      <c r="B758" s="6">
        <f ca="1">RANDBETWEEN(ranges!B$2,ranges!B$3)</f>
        <v>11144</v>
      </c>
      <c r="C758" s="9">
        <f ca="1">LOOKUP(B758,geomorph!A:A,geomorph!B:B)</f>
        <v>1679.3</v>
      </c>
      <c r="D758">
        <f t="shared" si="108"/>
        <v>1.13E-4</v>
      </c>
      <c r="E758" s="9">
        <f ca="1">'[2]Q_GEV(random)'!$J758</f>
        <v>8011.8605966121295</v>
      </c>
      <c r="F758" s="26">
        <f ca="1">RANDBETWEEN(ranges!F$2*1000,ranges!F$3*1000)/1000</f>
        <v>0.09</v>
      </c>
      <c r="G758" s="3">
        <f t="shared" ca="1" si="109"/>
        <v>4.7709525377312749</v>
      </c>
      <c r="H758" s="4">
        <f t="shared" ca="1" si="110"/>
        <v>7.7314217346476646</v>
      </c>
      <c r="I758" s="4">
        <f t="shared" ca="1" si="111"/>
        <v>144.31953681866719</v>
      </c>
      <c r="J758" s="26">
        <f ca="1">RANDBETWEEN(ranges!J$2*1000,ranges!J$3*1000)/1000</f>
        <v>0.64900000000000002</v>
      </c>
      <c r="K758" s="26">
        <f ca="1">RANDBETWEEN(ranges!K$2*1000,ranges!K$3*1000)/1000</f>
        <v>0.95799999999999996</v>
      </c>
      <c r="L758">
        <f t="shared" ca="1" si="112"/>
        <v>70.237868647733336</v>
      </c>
      <c r="M758">
        <f t="shared" ca="1" si="113"/>
        <v>13.32840116867566</v>
      </c>
      <c r="N758" s="4">
        <f t="shared" ca="1" si="114"/>
        <v>6.0836732978565164</v>
      </c>
      <c r="O758" s="4"/>
      <c r="P758" s="1">
        <f ca="1">LOOKUP(B758,geomorph!$A:$A,geomorph!$G:$G)</f>
        <v>105.266941</v>
      </c>
      <c r="Q758" s="1">
        <f t="shared" ca="1" si="115"/>
        <v>118.59534216867566</v>
      </c>
    </row>
    <row r="759" spans="2:17" x14ac:dyDescent="0.3">
      <c r="B759" s="6">
        <f ca="1">RANDBETWEEN(ranges!B$2,ranges!B$3)</f>
        <v>11872</v>
      </c>
      <c r="C759" s="9">
        <f ca="1">LOOKUP(B759,geomorph!A:A,geomorph!B:B)</f>
        <v>1390.1</v>
      </c>
      <c r="D759">
        <f t="shared" si="108"/>
        <v>1.13E-4</v>
      </c>
      <c r="E759" s="9">
        <f ca="1">'[2]Q_GEV(random)'!$J759</f>
        <v>8007.1731773506453</v>
      </c>
      <c r="F759" s="26">
        <f ca="1">RANDBETWEEN(ranges!F$2*1000,ranges!F$3*1000)/1000</f>
        <v>0.10299999999999999</v>
      </c>
      <c r="G759" s="3">
        <f t="shared" ca="1" si="109"/>
        <v>5.7601418440044929</v>
      </c>
      <c r="H759" s="4">
        <f t="shared" ca="1" si="110"/>
        <v>9.1694437413311061</v>
      </c>
      <c r="I759" s="4">
        <f t="shared" ca="1" si="111"/>
        <v>197.67849485749144</v>
      </c>
      <c r="J759" s="26">
        <f ca="1">RANDBETWEEN(ranges!J$2*1000,ranges!J$3*1000)/1000</f>
        <v>0.63</v>
      </c>
      <c r="K759" s="26">
        <f ca="1">RANDBETWEEN(ranges!K$2*1000,ranges!K$3*1000)/1000</f>
        <v>0.89500000000000002</v>
      </c>
      <c r="L759">
        <f t="shared" ca="1" si="112"/>
        <v>91.212315107936263</v>
      </c>
      <c r="M759">
        <f t="shared" ca="1" si="113"/>
        <v>14.327749033164267</v>
      </c>
      <c r="N759" s="4">
        <f t="shared" ca="1" si="114"/>
        <v>5.6068535780795221</v>
      </c>
      <c r="O759" s="4"/>
      <c r="P759" s="1">
        <f ca="1">LOOKUP(B759,geomorph!$A:$A,geomorph!$G:$G)</f>
        <v>105.184451</v>
      </c>
      <c r="Q759" s="1">
        <f t="shared" ca="1" si="115"/>
        <v>119.51220003316426</v>
      </c>
    </row>
    <row r="760" spans="2:17" x14ac:dyDescent="0.3">
      <c r="B760" s="6">
        <f ca="1">RANDBETWEEN(ranges!B$2,ranges!B$3)</f>
        <v>10773</v>
      </c>
      <c r="C760" s="9">
        <f ca="1">LOOKUP(B760,geomorph!A:A,geomorph!B:B)</f>
        <v>1679.6</v>
      </c>
      <c r="D760">
        <f t="shared" si="108"/>
        <v>1.13E-4</v>
      </c>
      <c r="E760" s="9">
        <f ca="1">'[2]Q_GEV(random)'!$J760</f>
        <v>7990.3451530689481</v>
      </c>
      <c r="F760" s="26">
        <f ca="1">RANDBETWEEN(ranges!F$2*1000,ranges!F$3*1000)/1000</f>
        <v>0.109</v>
      </c>
      <c r="G760" s="3">
        <f t="shared" ca="1" si="109"/>
        <v>4.7572905174261422</v>
      </c>
      <c r="H760" s="4">
        <f t="shared" ca="1" si="110"/>
        <v>8.2254009766364913</v>
      </c>
      <c r="I760" s="4">
        <f t="shared" ca="1" si="111"/>
        <v>144.0181628927113</v>
      </c>
      <c r="J760" s="26">
        <f ca="1">RANDBETWEEN(ranges!J$2*1000,ranges!J$3*1000)/1000</f>
        <v>0.629</v>
      </c>
      <c r="K760" s="26">
        <f ca="1">RANDBETWEEN(ranges!K$2*1000,ranges!K$3*1000)/1000</f>
        <v>0.98699999999999999</v>
      </c>
      <c r="L760">
        <f t="shared" ca="1" si="112"/>
        <v>74.303932227283994</v>
      </c>
      <c r="M760">
        <f t="shared" ca="1" si="113"/>
        <v>14.102499956290918</v>
      </c>
      <c r="N760" s="4">
        <f t="shared" ca="1" si="114"/>
        <v>6.3881510648417681</v>
      </c>
      <c r="O760" s="4"/>
      <c r="P760" s="1">
        <f ca="1">LOOKUP(B760,geomorph!$A:$A,geomorph!$G:$G)</f>
        <v>105.308751</v>
      </c>
      <c r="Q760" s="1">
        <f t="shared" ca="1" si="115"/>
        <v>119.41125095629091</v>
      </c>
    </row>
    <row r="761" spans="2:17" x14ac:dyDescent="0.3">
      <c r="B761" s="6">
        <f ca="1">RANDBETWEEN(ranges!B$2,ranges!B$3)</f>
        <v>12063</v>
      </c>
      <c r="C761" s="9">
        <f ca="1">LOOKUP(B761,geomorph!A:A,geomorph!B:B)</f>
        <v>1331.7</v>
      </c>
      <c r="D761">
        <f t="shared" si="108"/>
        <v>1.13E-4</v>
      </c>
      <c r="E761" s="9">
        <f ca="1">'[2]Q_GEV(random)'!$J761</f>
        <v>7986.6280039629501</v>
      </c>
      <c r="F761" s="26">
        <f ca="1">RANDBETWEEN(ranges!F$2*1000,ranges!F$3*1000)/1000</f>
        <v>9.2999999999999999E-2</v>
      </c>
      <c r="G761" s="3">
        <f t="shared" ca="1" si="109"/>
        <v>5.9973177171757523</v>
      </c>
      <c r="H761" s="4">
        <f t="shared" ca="1" si="110"/>
        <v>9.1041796176579979</v>
      </c>
      <c r="I761" s="4">
        <f t="shared" ca="1" si="111"/>
        <v>211.97354117707906</v>
      </c>
      <c r="J761" s="26">
        <f ca="1">RANDBETWEEN(ranges!J$2*1000,ranges!J$3*1000)/1000</f>
        <v>0.64100000000000001</v>
      </c>
      <c r="K761" s="26">
        <f ca="1">RANDBETWEEN(ranges!K$2*1000,ranges!K$3*1000)/1000</f>
        <v>0.92500000000000004</v>
      </c>
      <c r="L761">
        <f t="shared" ca="1" si="112"/>
        <v>93.650573066018353</v>
      </c>
      <c r="M761">
        <f t="shared" ca="1" si="113"/>
        <v>14.092734901177881</v>
      </c>
      <c r="N761" s="4">
        <f t="shared" ca="1" si="114"/>
        <v>5.4223426994781336</v>
      </c>
      <c r="O761" s="4"/>
      <c r="P761" s="1">
        <f ca="1">LOOKUP(B761,geomorph!$A:$A,geomorph!$G:$G)</f>
        <v>105.162981</v>
      </c>
      <c r="Q761" s="1">
        <f t="shared" ca="1" si="115"/>
        <v>119.25571590117788</v>
      </c>
    </row>
    <row r="762" spans="2:17" x14ac:dyDescent="0.3">
      <c r="B762" s="6">
        <f ca="1">RANDBETWEEN(ranges!B$2,ranges!B$3)</f>
        <v>10444</v>
      </c>
      <c r="C762" s="9">
        <f ca="1">LOOKUP(B762,geomorph!A:A,geomorph!B:B)</f>
        <v>1759.3</v>
      </c>
      <c r="D762">
        <f t="shared" si="108"/>
        <v>1.13E-4</v>
      </c>
      <c r="E762" s="9">
        <f ca="1">'[2]Q_GEV(random)'!$J762</f>
        <v>7964.9992609460451</v>
      </c>
      <c r="F762" s="26">
        <f ca="1">RANDBETWEEN(ranges!F$2*1000,ranges!F$3*1000)/1000</f>
        <v>0.108</v>
      </c>
      <c r="G762" s="3">
        <f t="shared" ca="1" si="109"/>
        <v>4.5273684197953985</v>
      </c>
      <c r="H762" s="4">
        <f t="shared" ca="1" si="110"/>
        <v>7.933782186684013</v>
      </c>
      <c r="I762" s="4">
        <f t="shared" ca="1" si="111"/>
        <v>133.02726809727744</v>
      </c>
      <c r="J762" s="26">
        <f ca="1">RANDBETWEEN(ranges!J$2*1000,ranges!J$3*1000)/1000</f>
        <v>0.79800000000000004</v>
      </c>
      <c r="K762" s="26">
        <f ca="1">RANDBETWEEN(ranges!K$2*1000,ranges!K$3*1000)/1000</f>
        <v>0.90900000000000003</v>
      </c>
      <c r="L762">
        <f t="shared" ca="1" si="112"/>
        <v>64.846514195195454</v>
      </c>
      <c r="M762">
        <f t="shared" ca="1" si="113"/>
        <v>12.89154538386763</v>
      </c>
      <c r="N762" s="4">
        <f t="shared" ca="1" si="114"/>
        <v>5.3888730404169749</v>
      </c>
      <c r="O762" s="4"/>
      <c r="P762" s="1">
        <f ca="1">LOOKUP(B762,geomorph!$A:$A,geomorph!$G:$G)</f>
        <v>105.346041</v>
      </c>
      <c r="Q762" s="1">
        <f t="shared" ca="1" si="115"/>
        <v>118.23758638386764</v>
      </c>
    </row>
    <row r="763" spans="2:17" x14ac:dyDescent="0.3">
      <c r="B763" s="6">
        <f ca="1">RANDBETWEEN(ranges!B$2,ranges!B$3)</f>
        <v>12164</v>
      </c>
      <c r="C763" s="9">
        <f ca="1">LOOKUP(B763,geomorph!A:A,geomorph!B:B)</f>
        <v>1300.8</v>
      </c>
      <c r="D763">
        <f t="shared" si="108"/>
        <v>1.13E-4</v>
      </c>
      <c r="E763" s="9">
        <f ca="1">'[2]Q_GEV(random)'!$J763</f>
        <v>7961.7251278049425</v>
      </c>
      <c r="F763" s="26">
        <f ca="1">RANDBETWEEN(ranges!F$2*1000,ranges!F$3*1000)/1000</f>
        <v>9.9000000000000005E-2</v>
      </c>
      <c r="G763" s="3">
        <f t="shared" ca="1" si="109"/>
        <v>6.1206373983740336</v>
      </c>
      <c r="H763" s="4">
        <f t="shared" ca="1" si="110"/>
        <v>9.4229010198348568</v>
      </c>
      <c r="I763" s="4">
        <f t="shared" ca="1" si="111"/>
        <v>219.97361386462674</v>
      </c>
      <c r="J763" s="26">
        <f ca="1">RANDBETWEEN(ranges!J$2*1000,ranges!J$3*1000)/1000</f>
        <v>0.64300000000000002</v>
      </c>
      <c r="K763" s="26">
        <f ca="1">RANDBETWEEN(ranges!K$2*1000,ranges!K$3*1000)/1000</f>
        <v>0.94899999999999995</v>
      </c>
      <c r="L763">
        <f t="shared" ca="1" si="112"/>
        <v>98.075726001810239</v>
      </c>
      <c r="M763">
        <f t="shared" ca="1" si="113"/>
        <v>14.416190195296487</v>
      </c>
      <c r="N763" s="4">
        <f t="shared" ca="1" si="114"/>
        <v>5.4274882341974235</v>
      </c>
      <c r="O763" s="4"/>
      <c r="P763" s="1">
        <f ca="1">LOOKUP(B763,geomorph!$A:$A,geomorph!$G:$G)</f>
        <v>105.151681</v>
      </c>
      <c r="Q763" s="1">
        <f t="shared" ca="1" si="115"/>
        <v>119.56787119529648</v>
      </c>
    </row>
    <row r="764" spans="2:17" x14ac:dyDescent="0.3">
      <c r="B764" s="6">
        <f ca="1">RANDBETWEEN(ranges!B$2,ranges!B$3)</f>
        <v>14925</v>
      </c>
      <c r="C764" s="9">
        <f ca="1">LOOKUP(B764,geomorph!A:A,geomorph!B:B)</f>
        <v>1509.8</v>
      </c>
      <c r="D764">
        <f t="shared" si="108"/>
        <v>1.13E-4</v>
      </c>
      <c r="E764" s="9">
        <f ca="1">'[2]Q_GEV(random)'!$J764</f>
        <v>7954.3924137359736</v>
      </c>
      <c r="F764" s="26">
        <f ca="1">RANDBETWEEN(ranges!F$2*1000,ranges!F$3*1000)/1000</f>
        <v>0.10100000000000001</v>
      </c>
      <c r="G764" s="3">
        <f t="shared" ca="1" si="109"/>
        <v>5.2685073610650246</v>
      </c>
      <c r="H764" s="4">
        <f t="shared" ca="1" si="110"/>
        <v>8.5836891563183642</v>
      </c>
      <c r="I764" s="4">
        <f t="shared" ca="1" si="111"/>
        <v>171.49665619101737</v>
      </c>
      <c r="J764" s="26">
        <f ca="1">RANDBETWEEN(ranges!J$2*1000,ranges!J$3*1000)/1000</f>
        <v>0.69399999999999995</v>
      </c>
      <c r="K764" s="26">
        <f ca="1">RANDBETWEEN(ranges!K$2*1000,ranges!K$3*1000)/1000</f>
        <v>0.84599999999999997</v>
      </c>
      <c r="L764">
        <f t="shared" ca="1" si="112"/>
        <v>79.161301066632461</v>
      </c>
      <c r="M764">
        <f t="shared" ca="1" si="113"/>
        <v>13.50550375559539</v>
      </c>
      <c r="N764" s="4">
        <f t="shared" ca="1" si="114"/>
        <v>5.3497984774750273</v>
      </c>
      <c r="O764" s="4"/>
      <c r="P764" s="1">
        <f ca="1">LOOKUP(B764,geomorph!$A:$A,geomorph!$G:$G)</f>
        <v>104.83980100000001</v>
      </c>
      <c r="Q764" s="1">
        <f t="shared" ca="1" si="115"/>
        <v>118.34530475559539</v>
      </c>
    </row>
    <row r="765" spans="2:17" x14ac:dyDescent="0.3">
      <c r="B765" s="6">
        <f ca="1">RANDBETWEEN(ranges!B$2,ranges!B$3)</f>
        <v>11734</v>
      </c>
      <c r="C765" s="9">
        <f ca="1">LOOKUP(B765,geomorph!A:A,geomorph!B:B)</f>
        <v>1430.8</v>
      </c>
      <c r="D765">
        <f t="shared" si="108"/>
        <v>1.13E-4</v>
      </c>
      <c r="E765" s="9">
        <f ca="1">'[2]Q_GEV(random)'!$J765</f>
        <v>7929.8243815398027</v>
      </c>
      <c r="F765" s="26">
        <f ca="1">RANDBETWEEN(ranges!F$2*1000,ranges!F$3*1000)/1000</f>
        <v>0.11</v>
      </c>
      <c r="G765" s="3">
        <f t="shared" ca="1" si="109"/>
        <v>5.5422311864270357</v>
      </c>
      <c r="H765" s="4">
        <f t="shared" ca="1" si="110"/>
        <v>9.134731437591773</v>
      </c>
      <c r="I765" s="4">
        <f t="shared" ca="1" si="111"/>
        <v>187.18060384875071</v>
      </c>
      <c r="J765" s="26">
        <f ca="1">RANDBETWEEN(ranges!J$2*1000,ranges!J$3*1000)/1000</f>
        <v>0.63500000000000001</v>
      </c>
      <c r="K765" s="26">
        <f ca="1">RANDBETWEEN(ranges!K$2*1000,ranges!K$3*1000)/1000</f>
        <v>0.86599999999999999</v>
      </c>
      <c r="L765">
        <f t="shared" ca="1" si="112"/>
        <v>88.510103776293931</v>
      </c>
      <c r="M765">
        <f t="shared" ca="1" si="113"/>
        <v>14.310348982592712</v>
      </c>
      <c r="N765" s="4">
        <f t="shared" ca="1" si="114"/>
        <v>5.625671244566238</v>
      </c>
      <c r="O765" s="4"/>
      <c r="P765" s="1">
        <f ca="1">LOOKUP(B765,geomorph!$A:$A,geomorph!$G:$G)</f>
        <v>105.200271</v>
      </c>
      <c r="Q765" s="1">
        <f t="shared" ca="1" si="115"/>
        <v>119.51061998259271</v>
      </c>
    </row>
    <row r="766" spans="2:17" x14ac:dyDescent="0.3">
      <c r="B766" s="6">
        <f ca="1">RANDBETWEEN(ranges!B$2,ranges!B$3)</f>
        <v>10062</v>
      </c>
      <c r="C766" s="9">
        <f ca="1">LOOKUP(B766,geomorph!A:A,geomorph!B:B)</f>
        <v>1626.2</v>
      </c>
      <c r="D766">
        <f t="shared" si="108"/>
        <v>1.13E-4</v>
      </c>
      <c r="E766" s="9">
        <f ca="1">'[2]Q_GEV(random)'!$J766</f>
        <v>7894.6568639483794</v>
      </c>
      <c r="F766" s="26">
        <f ca="1">RANDBETWEEN(ranges!F$2*1000,ranges!F$3*1000)/1000</f>
        <v>0.105</v>
      </c>
      <c r="G766" s="3">
        <f t="shared" ca="1" si="109"/>
        <v>4.8546653941387152</v>
      </c>
      <c r="H766" s="4">
        <f t="shared" ca="1" si="110"/>
        <v>8.23400445156188</v>
      </c>
      <c r="I766" s="4">
        <f t="shared" ca="1" si="111"/>
        <v>150.77022906727558</v>
      </c>
      <c r="J766" s="26">
        <f ca="1">RANDBETWEEN(ranges!J$2*1000,ranges!J$3*1000)/1000</f>
        <v>0.64100000000000001</v>
      </c>
      <c r="K766" s="26">
        <f ca="1">RANDBETWEEN(ranges!K$2*1000,ranges!K$3*1000)/1000</f>
        <v>0.85599999999999998</v>
      </c>
      <c r="L766">
        <f t="shared" ca="1" si="112"/>
        <v>74.419337536797372</v>
      </c>
      <c r="M766">
        <f t="shared" ca="1" si="113"/>
        <v>13.675342117364407</v>
      </c>
      <c r="N766" s="4">
        <f t="shared" ca="1" si="114"/>
        <v>5.9144974628288329</v>
      </c>
      <c r="O766" s="4"/>
      <c r="P766" s="1">
        <f ca="1">LOOKUP(B766,geomorph!$A:$A,geomorph!$G:$G)</f>
        <v>105.388981</v>
      </c>
      <c r="Q766" s="1">
        <f t="shared" ca="1" si="115"/>
        <v>119.06432311736441</v>
      </c>
    </row>
    <row r="767" spans="2:17" x14ac:dyDescent="0.3">
      <c r="B767" s="6">
        <f ca="1">RANDBETWEEN(ranges!B$2,ranges!B$3)</f>
        <v>14502</v>
      </c>
      <c r="C767" s="9">
        <f ca="1">LOOKUP(B767,geomorph!A:A,geomorph!B:B)</f>
        <v>1401.3</v>
      </c>
      <c r="D767">
        <f t="shared" si="108"/>
        <v>1.13E-4</v>
      </c>
      <c r="E767" s="9">
        <f ca="1">'[2]Q_GEV(random)'!$J767</f>
        <v>7889.3618610777512</v>
      </c>
      <c r="F767" s="26">
        <f ca="1">RANDBETWEEN(ranges!F$2*1000,ranges!F$3*1000)/1000</f>
        <v>9.2999999999999999E-2</v>
      </c>
      <c r="G767" s="3">
        <f t="shared" ca="1" si="109"/>
        <v>5.6300305866536444</v>
      </c>
      <c r="H767" s="4">
        <f t="shared" ca="1" si="110"/>
        <v>8.7285736816961155</v>
      </c>
      <c r="I767" s="4">
        <f t="shared" ca="1" si="111"/>
        <v>193.13429462068734</v>
      </c>
      <c r="J767" s="26">
        <f ca="1">RANDBETWEEN(ranges!J$2*1000,ranges!J$3*1000)/1000</f>
        <v>0.76</v>
      </c>
      <c r="K767" s="26">
        <f ca="1">RANDBETWEEN(ranges!K$2*1000,ranges!K$3*1000)/1000</f>
        <v>0.89200000000000002</v>
      </c>
      <c r="L767">
        <f t="shared" ca="1" si="112"/>
        <v>83.446854090555632</v>
      </c>
      <c r="M767">
        <f t="shared" ca="1" si="113"/>
        <v>13.213550659991801</v>
      </c>
      <c r="N767" s="4">
        <f t="shared" ca="1" si="114"/>
        <v>4.8749749764083541</v>
      </c>
      <c r="O767" s="4"/>
      <c r="P767" s="1">
        <f ca="1">LOOKUP(B767,geomorph!$A:$A,geomorph!$G:$G)</f>
        <v>104.88726100000001</v>
      </c>
      <c r="Q767" s="1">
        <f t="shared" ca="1" si="115"/>
        <v>118.10081165999181</v>
      </c>
    </row>
    <row r="768" spans="2:17" x14ac:dyDescent="0.3">
      <c r="B768" s="6">
        <f ca="1">RANDBETWEEN(ranges!B$2,ranges!B$3)</f>
        <v>11873</v>
      </c>
      <c r="C768" s="9">
        <f ca="1">LOOKUP(B768,geomorph!A:A,geomorph!B:B)</f>
        <v>1390.1</v>
      </c>
      <c r="D768">
        <f t="shared" si="108"/>
        <v>1.13E-4</v>
      </c>
      <c r="E768" s="9">
        <f ca="1">'[2]Q_GEV(random)'!$J768</f>
        <v>7877.7980245301187</v>
      </c>
      <c r="F768" s="26">
        <f ca="1">RANDBETWEEN(ranges!F$2*1000,ranges!F$3*1000)/1000</f>
        <v>9.5000000000000001E-2</v>
      </c>
      <c r="G768" s="3">
        <f t="shared" ca="1" si="109"/>
        <v>5.667072890101517</v>
      </c>
      <c r="H768" s="4">
        <f t="shared" ca="1" si="110"/>
        <v>8.8292171348451145</v>
      </c>
      <c r="I768" s="4">
        <f t="shared" ca="1" si="111"/>
        <v>195.54340470891867</v>
      </c>
      <c r="J768" s="26">
        <f ca="1">RANDBETWEEN(ranges!J$2*1000,ranges!J$3*1000)/1000</f>
        <v>0.72399999999999998</v>
      </c>
      <c r="K768" s="26">
        <f ca="1">RANDBETWEEN(ranges!K$2*1000,ranges!K$3*1000)/1000</f>
        <v>0.84599999999999997</v>
      </c>
      <c r="L768">
        <f t="shared" ca="1" si="112"/>
        <v>85.183302512484772</v>
      </c>
      <c r="M768">
        <f t="shared" ca="1" si="113"/>
        <v>13.380703896954373</v>
      </c>
      <c r="N768" s="4">
        <f t="shared" ca="1" si="114"/>
        <v>4.9472682196839761</v>
      </c>
      <c r="O768" s="4"/>
      <c r="P768" s="1">
        <f ca="1">LOOKUP(B768,geomorph!$A:$A,geomorph!$G:$G)</f>
        <v>105.184451</v>
      </c>
      <c r="Q768" s="1">
        <f t="shared" ca="1" si="115"/>
        <v>118.56515489695437</v>
      </c>
    </row>
    <row r="769" spans="2:17" x14ac:dyDescent="0.3">
      <c r="B769" s="6">
        <f ca="1">RANDBETWEEN(ranges!B$2,ranges!B$3)</f>
        <v>10109</v>
      </c>
      <c r="C769" s="9">
        <f ca="1">LOOKUP(B769,geomorph!A:A,geomorph!B:B)</f>
        <v>1600.5</v>
      </c>
      <c r="D769">
        <f t="shared" si="108"/>
        <v>1.13E-4</v>
      </c>
      <c r="E769" s="9">
        <f ca="1">'[2]Q_GEV(random)'!$J769</f>
        <v>7860.3340068769976</v>
      </c>
      <c r="F769" s="26">
        <f ca="1">RANDBETWEEN(ranges!F$2*1000,ranges!F$3*1000)/1000</f>
        <v>9.0999999999999998E-2</v>
      </c>
      <c r="G769" s="3">
        <f t="shared" ca="1" si="109"/>
        <v>4.9111740124192425</v>
      </c>
      <c r="H769" s="4">
        <f t="shared" ca="1" si="110"/>
        <v>7.9112627560638993</v>
      </c>
      <c r="I769" s="4">
        <f t="shared" ca="1" si="111"/>
        <v>154.37769538371811</v>
      </c>
      <c r="J769" s="26">
        <f ca="1">RANDBETWEEN(ranges!J$2*1000,ranges!J$3*1000)/1000</f>
        <v>0.63</v>
      </c>
      <c r="K769" s="26">
        <f ca="1">RANDBETWEEN(ranges!K$2*1000,ranges!K$3*1000)/1000</f>
        <v>0.94099999999999995</v>
      </c>
      <c r="L769">
        <f t="shared" ca="1" si="112"/>
        <v>74.332429554375267</v>
      </c>
      <c r="M769">
        <f t="shared" ca="1" si="113"/>
        <v>13.44350304570087</v>
      </c>
      <c r="N769" s="4">
        <f t="shared" ca="1" si="114"/>
        <v>6.0133046626488813</v>
      </c>
      <c r="O769" s="4"/>
      <c r="P769" s="1">
        <f ca="1">LOOKUP(B769,geomorph!$A:$A,geomorph!$G:$G)</f>
        <v>105.384461</v>
      </c>
      <c r="Q769" s="1">
        <f t="shared" ca="1" si="115"/>
        <v>118.82796404570087</v>
      </c>
    </row>
    <row r="770" spans="2:17" x14ac:dyDescent="0.3">
      <c r="B770" s="6">
        <f ca="1">RANDBETWEEN(ranges!B$2,ranges!B$3)</f>
        <v>10088</v>
      </c>
      <c r="C770" s="9">
        <f ca="1">LOOKUP(B770,geomorph!A:A,geomorph!B:B)</f>
        <v>1606.9</v>
      </c>
      <c r="D770">
        <f t="shared" si="108"/>
        <v>1.13E-4</v>
      </c>
      <c r="E770" s="9">
        <f ca="1">'[2]Q_GEV(random)'!$J770</f>
        <v>7858.837415183315</v>
      </c>
      <c r="F770" s="26">
        <f ca="1">RANDBETWEEN(ranges!F$2*1000,ranges!F$3*1000)/1000</f>
        <v>9.0999999999999998E-2</v>
      </c>
      <c r="G770" s="3">
        <f t="shared" ca="1" si="109"/>
        <v>4.8906823169975198</v>
      </c>
      <c r="H770" s="4">
        <f t="shared" ca="1" si="110"/>
        <v>7.8892411196102099</v>
      </c>
      <c r="I770" s="4">
        <f t="shared" ca="1" si="111"/>
        <v>153.33482495559505</v>
      </c>
      <c r="J770" s="26">
        <f ca="1">RANDBETWEEN(ranges!J$2*1000,ranges!J$3*1000)/1000</f>
        <v>0.66400000000000003</v>
      </c>
      <c r="K770" s="26">
        <f ca="1">RANDBETWEEN(ranges!K$2*1000,ranges!K$3*1000)/1000</f>
        <v>0.9</v>
      </c>
      <c r="L770">
        <f t="shared" ca="1" si="112"/>
        <v>72.48104936422726</v>
      </c>
      <c r="M770">
        <f t="shared" ca="1" si="113"/>
        <v>13.161087199241578</v>
      </c>
      <c r="N770" s="4">
        <f t="shared" ca="1" si="114"/>
        <v>5.730267477860183</v>
      </c>
      <c r="O770" s="4"/>
      <c r="P770" s="1">
        <f ca="1">LOOKUP(B770,geomorph!$A:$A,geomorph!$G:$G)</f>
        <v>105.38672100000001</v>
      </c>
      <c r="Q770" s="1">
        <f t="shared" ca="1" si="115"/>
        <v>118.54780819924159</v>
      </c>
    </row>
    <row r="771" spans="2:17" x14ac:dyDescent="0.3">
      <c r="B771" s="6">
        <f ca="1">RANDBETWEEN(ranges!B$2,ranges!B$3)</f>
        <v>14402</v>
      </c>
      <c r="C771" s="9">
        <f ca="1">LOOKUP(B771,geomorph!A:A,geomorph!B:B)</f>
        <v>1376.3</v>
      </c>
      <c r="D771">
        <f t="shared" si="108"/>
        <v>1.13E-4</v>
      </c>
      <c r="E771" s="9">
        <f ca="1">'[2]Q_GEV(random)'!$J771</f>
        <v>7847.6904790397257</v>
      </c>
      <c r="F771" s="26">
        <f ca="1">RANDBETWEEN(ranges!F$2*1000,ranges!F$3*1000)/1000</f>
        <v>9.1999999999999998E-2</v>
      </c>
      <c r="G771" s="3">
        <f t="shared" ca="1" si="109"/>
        <v>5.7020202565136424</v>
      </c>
      <c r="H771" s="4">
        <f t="shared" ca="1" si="110"/>
        <v>8.7711575019834136</v>
      </c>
      <c r="I771" s="4">
        <f t="shared" ca="1" si="111"/>
        <v>198.31523439356624</v>
      </c>
      <c r="J771" s="26">
        <f ca="1">RANDBETWEEN(ranges!J$2*1000,ranges!J$3*1000)/1000</f>
        <v>0.77700000000000002</v>
      </c>
      <c r="K771" s="26">
        <f ca="1">RANDBETWEEN(ranges!K$2*1000,ranges!K$3*1000)/1000</f>
        <v>0.89</v>
      </c>
      <c r="L771">
        <f t="shared" ca="1" si="112"/>
        <v>84.483223560031092</v>
      </c>
      <c r="M771">
        <f t="shared" ca="1" si="113"/>
        <v>13.138991446180798</v>
      </c>
      <c r="N771" s="4">
        <f t="shared" ca="1" si="114"/>
        <v>4.7476455915188955</v>
      </c>
      <c r="O771" s="4"/>
      <c r="P771" s="1">
        <f ca="1">LOOKUP(B771,geomorph!$A:$A,geomorph!$G:$G)</f>
        <v>104.898561</v>
      </c>
      <c r="Q771" s="1">
        <f t="shared" ca="1" si="115"/>
        <v>118.0375524461808</v>
      </c>
    </row>
    <row r="772" spans="2:17" x14ac:dyDescent="0.3">
      <c r="B772" s="6">
        <f ca="1">RANDBETWEEN(ranges!B$2,ranges!B$3)</f>
        <v>12820</v>
      </c>
      <c r="C772" s="9">
        <f ca="1">LOOKUP(B772,geomorph!A:A,geomorph!B:B)</f>
        <v>1132.3</v>
      </c>
      <c r="D772">
        <f t="shared" si="108"/>
        <v>1.13E-4</v>
      </c>
      <c r="E772" s="9">
        <f ca="1">'[2]Q_GEV(random)'!$J772</f>
        <v>7847.1715797194956</v>
      </c>
      <c r="F772" s="26">
        <f ca="1">RANDBETWEEN(ranges!F$2*1000,ranges!F$3*1000)/1000</f>
        <v>0.11</v>
      </c>
      <c r="G772" s="3">
        <f t="shared" ca="1" si="109"/>
        <v>6.930293720497656</v>
      </c>
      <c r="H772" s="4">
        <f t="shared" ca="1" si="110"/>
        <v>10.602471634321432</v>
      </c>
      <c r="I772" s="4">
        <f t="shared" ca="1" si="111"/>
        <v>274.52986962381669</v>
      </c>
      <c r="J772" s="26">
        <f ca="1">RANDBETWEEN(ranges!J$2*1000,ranges!J$3*1000)/1000</f>
        <v>0.71799999999999997</v>
      </c>
      <c r="K772" s="26">
        <f ca="1">RANDBETWEEN(ranges!K$2*1000,ranges!K$3*1000)/1000</f>
        <v>0.81100000000000005</v>
      </c>
      <c r="L772">
        <f t="shared" ca="1" si="112"/>
        <v>115.46413158207852</v>
      </c>
      <c r="M772">
        <f t="shared" ca="1" si="113"/>
        <v>14.773624089513786</v>
      </c>
      <c r="N772" s="4">
        <f t="shared" ca="1" si="114"/>
        <v>4.5338613643395149</v>
      </c>
      <c r="O772" s="4"/>
      <c r="P772" s="1">
        <f ca="1">LOOKUP(B772,geomorph!$A:$A,geomorph!$G:$G)</f>
        <v>105.077101</v>
      </c>
      <c r="Q772" s="1">
        <f t="shared" ca="1" si="115"/>
        <v>119.85072508951379</v>
      </c>
    </row>
    <row r="773" spans="2:17" x14ac:dyDescent="0.3">
      <c r="B773" s="6">
        <f ca="1">RANDBETWEEN(ranges!B$2,ranges!B$3)</f>
        <v>10951</v>
      </c>
      <c r="C773" s="9">
        <f ca="1">LOOKUP(B773,geomorph!A:A,geomorph!B:B)</f>
        <v>1683.3</v>
      </c>
      <c r="D773">
        <f t="shared" si="108"/>
        <v>1.13E-4</v>
      </c>
      <c r="E773" s="9">
        <f ca="1">'[2]Q_GEV(random)'!$J773</f>
        <v>7837.7453659653102</v>
      </c>
      <c r="F773" s="26">
        <f ca="1">RANDBETWEEN(ranges!F$2*1000,ranges!F$3*1000)/1000</f>
        <v>0.10100000000000001</v>
      </c>
      <c r="G773" s="3">
        <f t="shared" ca="1" si="109"/>
        <v>4.6561785575745915</v>
      </c>
      <c r="H773" s="4">
        <f t="shared" ca="1" si="110"/>
        <v>7.9050023898751407</v>
      </c>
      <c r="I773" s="4">
        <f t="shared" ca="1" si="111"/>
        <v>141.65815393303407</v>
      </c>
      <c r="J773" s="26">
        <f ca="1">RANDBETWEEN(ranges!J$2*1000,ranges!J$3*1000)/1000</f>
        <v>0.69699999999999995</v>
      </c>
      <c r="K773" s="26">
        <f ca="1">RANDBETWEEN(ranges!K$2*1000,ranges!K$3*1000)/1000</f>
        <v>0.81699999999999995</v>
      </c>
      <c r="L773">
        <f t="shared" ca="1" si="112"/>
        <v>68.500245492499545</v>
      </c>
      <c r="M773">
        <f t="shared" ca="1" si="113"/>
        <v>13.029630345840266</v>
      </c>
      <c r="N773" s="4">
        <f t="shared" ca="1" si="114"/>
        <v>5.5702477782229618</v>
      </c>
      <c r="O773" s="4"/>
      <c r="P773" s="1">
        <f ca="1">LOOKUP(B773,geomorph!$A:$A,geomorph!$G:$G)</f>
        <v>105.288411</v>
      </c>
      <c r="Q773" s="1">
        <f t="shared" ca="1" si="115"/>
        <v>118.31804134584026</v>
      </c>
    </row>
    <row r="774" spans="2:17" x14ac:dyDescent="0.3">
      <c r="B774" s="6">
        <f ca="1">RANDBETWEEN(ranges!B$2,ranges!B$3)</f>
        <v>11680</v>
      </c>
      <c r="C774" s="9">
        <f ca="1">LOOKUP(B774,geomorph!A:A,geomorph!B:B)</f>
        <v>1444.4</v>
      </c>
      <c r="D774">
        <f t="shared" si="108"/>
        <v>1.13E-4</v>
      </c>
      <c r="E774" s="9">
        <f ca="1">'[2]Q_GEV(random)'!$J774</f>
        <v>7837.1583871928997</v>
      </c>
      <c r="F774" s="26">
        <f ca="1">RANDBETWEEN(ranges!F$2*1000,ranges!F$3*1000)/1000</f>
        <v>9.9000000000000005E-2</v>
      </c>
      <c r="G774" s="3">
        <f t="shared" ca="1" si="109"/>
        <v>5.4258919878100933</v>
      </c>
      <c r="H774" s="4">
        <f t="shared" ca="1" si="110"/>
        <v>8.6956281051679554</v>
      </c>
      <c r="I774" s="4">
        <f t="shared" ca="1" si="111"/>
        <v>182.81421694424034</v>
      </c>
      <c r="J774" s="26">
        <f ca="1">RANDBETWEEN(ranges!J$2*1000,ranges!J$3*1000)/1000</f>
        <v>0.72299999999999998</v>
      </c>
      <c r="K774" s="26">
        <f ca="1">RANDBETWEEN(ranges!K$2*1000,ranges!K$3*1000)/1000</f>
        <v>0.95299999999999996</v>
      </c>
      <c r="L774">
        <f t="shared" ca="1" si="112"/>
        <v>82.881504239829184</v>
      </c>
      <c r="M774">
        <f t="shared" ca="1" si="113"/>
        <v>13.527687053813048</v>
      </c>
      <c r="N774" s="4">
        <f t="shared" ca="1" si="114"/>
        <v>5.2522379876577094</v>
      </c>
      <c r="O774" s="4"/>
      <c r="P774" s="1">
        <f ca="1">LOOKUP(B774,geomorph!$A:$A,geomorph!$G:$G)</f>
        <v>105.205921</v>
      </c>
      <c r="Q774" s="1">
        <f t="shared" ca="1" si="115"/>
        <v>118.73360805381306</v>
      </c>
    </row>
    <row r="775" spans="2:17" x14ac:dyDescent="0.3">
      <c r="B775" s="6">
        <f ca="1">RANDBETWEEN(ranges!B$2,ranges!B$3)</f>
        <v>11478</v>
      </c>
      <c r="C775" s="9">
        <f ca="1">LOOKUP(B775,geomorph!A:A,geomorph!B:B)</f>
        <v>1498.4</v>
      </c>
      <c r="D775">
        <f t="shared" si="108"/>
        <v>1.13E-4</v>
      </c>
      <c r="E775" s="9">
        <f ca="1">'[2]Q_GEV(random)'!$J775</f>
        <v>7806.607517785339</v>
      </c>
      <c r="F775" s="26">
        <f ca="1">RANDBETWEEN(ranges!F$2*1000,ranges!F$3*1000)/1000</f>
        <v>0.107</v>
      </c>
      <c r="G775" s="3">
        <f t="shared" ca="1" si="109"/>
        <v>5.2099623049822066</v>
      </c>
      <c r="H775" s="4">
        <f t="shared" ca="1" si="110"/>
        <v>8.6854590414324573</v>
      </c>
      <c r="I775" s="4">
        <f t="shared" ca="1" si="111"/>
        <v>171.51889625991353</v>
      </c>
      <c r="J775" s="26">
        <f ca="1">RANDBETWEEN(ranges!J$2*1000,ranges!J$3*1000)/1000</f>
        <v>0.67600000000000005</v>
      </c>
      <c r="K775" s="26">
        <f ca="1">RANDBETWEEN(ranges!K$2*1000,ranges!K$3*1000)/1000</f>
        <v>0.86599999999999999</v>
      </c>
      <c r="L775">
        <f t="shared" ca="1" si="112"/>
        <v>81.059415989486524</v>
      </c>
      <c r="M775">
        <f t="shared" ca="1" si="113"/>
        <v>13.724915467807067</v>
      </c>
      <c r="N775" s="4">
        <f t="shared" ca="1" si="114"/>
        <v>5.4776700286680535</v>
      </c>
      <c r="O775" s="4"/>
      <c r="P775" s="1">
        <f ca="1">LOOKUP(B775,geomorph!$A:$A,geomorph!$G:$G)</f>
        <v>105.229651</v>
      </c>
      <c r="Q775" s="1">
        <f t="shared" ca="1" si="115"/>
        <v>118.95456646780707</v>
      </c>
    </row>
    <row r="776" spans="2:17" x14ac:dyDescent="0.3">
      <c r="B776" s="6">
        <f ca="1">RANDBETWEEN(ranges!B$2,ranges!B$3)</f>
        <v>12939</v>
      </c>
      <c r="C776" s="9">
        <f ca="1">LOOKUP(B776,geomorph!A:A,geomorph!B:B)</f>
        <v>1139.3</v>
      </c>
      <c r="D776">
        <f t="shared" si="108"/>
        <v>1.13E-4</v>
      </c>
      <c r="E776" s="9">
        <f ca="1">'[2]Q_GEV(random)'!$J776</f>
        <v>7780.3211954284598</v>
      </c>
      <c r="F776" s="26">
        <f ca="1">RANDBETWEEN(ranges!F$2*1000,ranges!F$3*1000)/1000</f>
        <v>9.4E-2</v>
      </c>
      <c r="G776" s="3">
        <f t="shared" ca="1" si="109"/>
        <v>6.8290364218629511</v>
      </c>
      <c r="H776" s="4">
        <f t="shared" ca="1" si="110"/>
        <v>9.9630130800088654</v>
      </c>
      <c r="I776" s="4">
        <f t="shared" ca="1" si="111"/>
        <v>270.17896823966396</v>
      </c>
      <c r="J776" s="26">
        <f ca="1">RANDBETWEEN(ranges!J$2*1000,ranges!J$3*1000)/1000</f>
        <v>0.64</v>
      </c>
      <c r="K776" s="26">
        <f ca="1">RANDBETWEEN(ranges!K$2*1000,ranges!K$3*1000)/1000</f>
        <v>0.92100000000000004</v>
      </c>
      <c r="L776">
        <f t="shared" ca="1" si="112"/>
        <v>113.27818683251206</v>
      </c>
      <c r="M776">
        <f t="shared" ca="1" si="113"/>
        <v>14.583535723185751</v>
      </c>
      <c r="N776" s="4">
        <f t="shared" ca="1" si="114"/>
        <v>5.0223072208444401</v>
      </c>
      <c r="O776" s="4"/>
      <c r="P776" s="1">
        <f ca="1">LOOKUP(B776,geomorph!$A:$A,geomorph!$G:$G)</f>
        <v>105.064671</v>
      </c>
      <c r="Q776" s="1">
        <f t="shared" ca="1" si="115"/>
        <v>119.64820672318575</v>
      </c>
    </row>
    <row r="777" spans="2:17" x14ac:dyDescent="0.3">
      <c r="B777" s="6">
        <f ca="1">RANDBETWEEN(ranges!B$2,ranges!B$3)</f>
        <v>14907</v>
      </c>
      <c r="C777" s="9">
        <f ca="1">LOOKUP(B777,geomorph!A:A,geomorph!B:B)</f>
        <v>1507</v>
      </c>
      <c r="D777">
        <f t="shared" si="108"/>
        <v>1.13E-4</v>
      </c>
      <c r="E777" s="9">
        <f ca="1">'[2]Q_GEV(random)'!$J777</f>
        <v>7750.8662152855577</v>
      </c>
      <c r="F777" s="26">
        <f ca="1">RANDBETWEEN(ranges!F$2*1000,ranges!F$3*1000)/1000</f>
        <v>9.2999999999999999E-2</v>
      </c>
      <c r="G777" s="3">
        <f t="shared" ca="1" si="109"/>
        <v>5.1432423459094609</v>
      </c>
      <c r="H777" s="4">
        <f t="shared" ca="1" si="110"/>
        <v>8.2178984778879212</v>
      </c>
      <c r="I777" s="4">
        <f t="shared" ca="1" si="111"/>
        <v>169.08098021602243</v>
      </c>
      <c r="J777" s="26">
        <f ca="1">RANDBETWEEN(ranges!J$2*1000,ranges!J$3*1000)/1000</f>
        <v>0.68600000000000005</v>
      </c>
      <c r="K777" s="26">
        <f ca="1">RANDBETWEEN(ranges!K$2*1000,ranges!K$3*1000)/1000</f>
        <v>0.89900000000000002</v>
      </c>
      <c r="L777">
        <f t="shared" ca="1" si="112"/>
        <v>77.508281422606174</v>
      </c>
      <c r="M777">
        <f t="shared" ca="1" si="113"/>
        <v>13.198962751737028</v>
      </c>
      <c r="N777" s="4">
        <f t="shared" ca="1" si="114"/>
        <v>5.4142002976620729</v>
      </c>
      <c r="O777" s="4"/>
      <c r="P777" s="1">
        <f ca="1">LOOKUP(B777,geomorph!$A:$A,geomorph!$G:$G)</f>
        <v>104.842061</v>
      </c>
      <c r="Q777" s="1">
        <f t="shared" ca="1" si="115"/>
        <v>118.04102375173703</v>
      </c>
    </row>
    <row r="778" spans="2:17" x14ac:dyDescent="0.3">
      <c r="B778" s="6">
        <f ca="1">RANDBETWEEN(ranges!B$2,ranges!B$3)</f>
        <v>13263</v>
      </c>
      <c r="C778" s="9">
        <f ca="1">LOOKUP(B778,geomorph!A:A,geomorph!B:B)</f>
        <v>1169.8</v>
      </c>
      <c r="D778">
        <f t="shared" si="108"/>
        <v>1.13E-4</v>
      </c>
      <c r="E778" s="9">
        <f ca="1">'[2]Q_GEV(random)'!$J778</f>
        <v>7743.3713326348225</v>
      </c>
      <c r="F778" s="26">
        <f ca="1">RANDBETWEEN(ranges!F$2*1000,ranges!F$3*1000)/1000</f>
        <v>0.109</v>
      </c>
      <c r="G778" s="3">
        <f t="shared" ca="1" si="109"/>
        <v>6.6193976172292892</v>
      </c>
      <c r="H778" s="4">
        <f t="shared" ca="1" si="110"/>
        <v>10.251709128669532</v>
      </c>
      <c r="I778" s="4">
        <f t="shared" ca="1" si="111"/>
        <v>257.72153701439026</v>
      </c>
      <c r="J778" s="26">
        <f ca="1">RANDBETWEEN(ranges!J$2*1000,ranges!J$3*1000)/1000</f>
        <v>0.60699999999999998</v>
      </c>
      <c r="K778" s="26">
        <f ca="1">RANDBETWEEN(ranges!K$2*1000,ranges!K$3*1000)/1000</f>
        <v>0.97099999999999997</v>
      </c>
      <c r="L778">
        <f t="shared" ca="1" si="112"/>
        <v>115.4215252785512</v>
      </c>
      <c r="M778">
        <f t="shared" ca="1" si="113"/>
        <v>15.257271330605958</v>
      </c>
      <c r="N778" s="4">
        <f t="shared" ca="1" si="114"/>
        <v>5.4408284803656803</v>
      </c>
      <c r="O778" s="4"/>
      <c r="P778" s="1">
        <f ca="1">LOOKUP(B778,geomorph!$A:$A,geomorph!$G:$G)</f>
        <v>105.02738100000001</v>
      </c>
      <c r="Q778" s="1">
        <f t="shared" ca="1" si="115"/>
        <v>120.28465233060597</v>
      </c>
    </row>
    <row r="779" spans="2:17" x14ac:dyDescent="0.3">
      <c r="B779" s="6">
        <f ca="1">RANDBETWEEN(ranges!B$2,ranges!B$3)</f>
        <v>11567</v>
      </c>
      <c r="C779" s="9">
        <f ca="1">LOOKUP(B779,geomorph!A:A,geomorph!B:B)</f>
        <v>1474.6</v>
      </c>
      <c r="D779">
        <f t="shared" ref="D779:D842" si="116">D778</f>
        <v>1.13E-4</v>
      </c>
      <c r="E779" s="9">
        <f ca="1">'[2]Q_GEV(random)'!$J779</f>
        <v>7719.1855924073534</v>
      </c>
      <c r="F779" s="26">
        <f ca="1">RANDBETWEEN(ranges!F$2*1000,ranges!F$3*1000)/1000</f>
        <v>0.09</v>
      </c>
      <c r="G779" s="3">
        <f t="shared" ref="G779:G842" ca="1" si="117">E779/C779</f>
        <v>5.2347657618387045</v>
      </c>
      <c r="H779" s="4">
        <f t="shared" ref="H779:H842" ca="1" si="118">POWER(G779/SQRT(4*9.807*D779/F779),2/3)</f>
        <v>8.2247139408170522</v>
      </c>
      <c r="I779" s="4">
        <f t="shared" ref="I779:I842" ca="1" si="119">POWER(G779*G779/9.807/D779,1/3)/C779/D779</f>
        <v>174.83992955811681</v>
      </c>
      <c r="J779" s="26">
        <f ca="1">RANDBETWEEN(ranges!J$2*1000,ranges!J$3*1000)/1000</f>
        <v>0.69799999999999995</v>
      </c>
      <c r="K779" s="26">
        <f ca="1">RANDBETWEEN(ranges!K$2*1000,ranges!K$3*1000)/1000</f>
        <v>0.86299999999999999</v>
      </c>
      <c r="L779">
        <f t="shared" ref="L779:L842" ca="1" si="120">0.63*POWER(F779,1/3)*I779+5.75*(1+SQRT(1+0.11*J779*POWER(F779,1/3)*K779*I779))/J779</f>
        <v>78.098476324155939</v>
      </c>
      <c r="M779">
        <f t="shared" ref="M779:M842" ca="1" si="121">L779*C779*D779</f>
        <v>13.013533490198839</v>
      </c>
      <c r="N779" s="4">
        <f t="shared" ref="N779:N842" ca="1" si="122">(M779-H779)/0.92</f>
        <v>5.2052386406323761</v>
      </c>
      <c r="O779" s="4"/>
      <c r="P779" s="1">
        <f ca="1">LOOKUP(B779,geomorph!$A:$A,geomorph!$G:$G)</f>
        <v>105.219481</v>
      </c>
      <c r="Q779" s="1">
        <f t="shared" ref="Q779:Q842" ca="1" si="123">M779+P779</f>
        <v>118.23301449019884</v>
      </c>
    </row>
    <row r="780" spans="2:17" x14ac:dyDescent="0.3">
      <c r="B780" s="6">
        <f ca="1">RANDBETWEEN(ranges!B$2,ranges!B$3)</f>
        <v>13802</v>
      </c>
      <c r="C780" s="9">
        <f ca="1">LOOKUP(B780,geomorph!A:A,geomorph!B:B)</f>
        <v>1278.3</v>
      </c>
      <c r="D780">
        <f t="shared" si="116"/>
        <v>1.13E-4</v>
      </c>
      <c r="E780" s="9">
        <f ca="1">'[2]Q_GEV(random)'!$J780</f>
        <v>7698.2748508160448</v>
      </c>
      <c r="F780" s="26">
        <f ca="1">RANDBETWEEN(ranges!F$2*1000,ranges!F$3*1000)/1000</f>
        <v>9.7000000000000003E-2</v>
      </c>
      <c r="G780" s="3">
        <f t="shared" ca="1" si="117"/>
        <v>6.0222755619307247</v>
      </c>
      <c r="H780" s="4">
        <f t="shared" ca="1" si="118"/>
        <v>9.2584749779825621</v>
      </c>
      <c r="I780" s="4">
        <f t="shared" ca="1" si="119"/>
        <v>221.44080104015518</v>
      </c>
      <c r="J780" s="26">
        <f ca="1">RANDBETWEEN(ranges!J$2*1000,ranges!J$3*1000)/1000</f>
        <v>0.68700000000000006</v>
      </c>
      <c r="K780" s="26">
        <f ca="1">RANDBETWEEN(ranges!K$2*1000,ranges!K$3*1000)/1000</f>
        <v>0.99099999999999999</v>
      </c>
      <c r="L780">
        <f t="shared" ca="1" si="120"/>
        <v>97.042286808604132</v>
      </c>
      <c r="M780">
        <f t="shared" ca="1" si="121"/>
        <v>14.017554540700568</v>
      </c>
      <c r="N780" s="4">
        <f t="shared" ca="1" si="122"/>
        <v>5.1729125681717445</v>
      </c>
      <c r="O780" s="4"/>
      <c r="P780" s="1">
        <f ca="1">LOOKUP(B780,geomorph!$A:$A,geomorph!$G:$G)</f>
        <v>104.96636100000001</v>
      </c>
      <c r="Q780" s="1">
        <f t="shared" ca="1" si="123"/>
        <v>118.98391554070058</v>
      </c>
    </row>
    <row r="781" spans="2:17" x14ac:dyDescent="0.3">
      <c r="B781" s="6">
        <f ca="1">RANDBETWEEN(ranges!B$2,ranges!B$3)</f>
        <v>13277</v>
      </c>
      <c r="C781" s="9">
        <f ca="1">LOOKUP(B781,geomorph!A:A,geomorph!B:B)</f>
        <v>1171</v>
      </c>
      <c r="D781">
        <f t="shared" si="116"/>
        <v>1.13E-4</v>
      </c>
      <c r="E781" s="9">
        <f ca="1">'[2]Q_GEV(random)'!$J781</f>
        <v>7689.0267679004728</v>
      </c>
      <c r="F781" s="26">
        <f ca="1">RANDBETWEEN(ranges!F$2*1000,ranges!F$3*1000)/1000</f>
        <v>0.10100000000000001</v>
      </c>
      <c r="G781" s="3">
        <f t="shared" ca="1" si="117"/>
        <v>6.566205608796305</v>
      </c>
      <c r="H781" s="4">
        <f t="shared" ca="1" si="118"/>
        <v>9.940889348656464</v>
      </c>
      <c r="I781" s="4">
        <f t="shared" ca="1" si="119"/>
        <v>256.07633196404504</v>
      </c>
      <c r="J781" s="26">
        <f ca="1">RANDBETWEEN(ranges!J$2*1000,ranges!J$3*1000)/1000</f>
        <v>0.61899999999999999</v>
      </c>
      <c r="K781" s="26">
        <f ca="1">RANDBETWEEN(ranges!K$2*1000,ranges!K$3*1000)/1000</f>
        <v>0.86399999999999999</v>
      </c>
      <c r="L781">
        <f t="shared" ca="1" si="120"/>
        <v>110.71941644430235</v>
      </c>
      <c r="M781">
        <f t="shared" ca="1" si="121"/>
        <v>14.65072534215942</v>
      </c>
      <c r="N781" s="4">
        <f t="shared" ca="1" si="122"/>
        <v>5.1193869494597353</v>
      </c>
      <c r="O781" s="4"/>
      <c r="P781" s="1">
        <f ca="1">LOOKUP(B781,geomorph!$A:$A,geomorph!$G:$G)</f>
        <v>105.026251</v>
      </c>
      <c r="Q781" s="1">
        <f t="shared" ca="1" si="123"/>
        <v>119.67697634215942</v>
      </c>
    </row>
    <row r="782" spans="2:17" x14ac:dyDescent="0.3">
      <c r="B782" s="6">
        <f ca="1">RANDBETWEEN(ranges!B$2,ranges!B$3)</f>
        <v>11105</v>
      </c>
      <c r="C782" s="9">
        <f ca="1">LOOKUP(B782,geomorph!A:A,geomorph!B:B)</f>
        <v>1684.1</v>
      </c>
      <c r="D782">
        <f t="shared" si="116"/>
        <v>1.13E-4</v>
      </c>
      <c r="E782" s="9">
        <f ca="1">'[2]Q_GEV(random)'!$J782</f>
        <v>7675.8229637961367</v>
      </c>
      <c r="F782" s="26">
        <f ca="1">RANDBETWEEN(ranges!F$2*1000,ranges!F$3*1000)/1000</f>
        <v>0.106</v>
      </c>
      <c r="G782" s="3">
        <f t="shared" ca="1" si="117"/>
        <v>4.5578189916252816</v>
      </c>
      <c r="H782" s="4">
        <f t="shared" ca="1" si="118"/>
        <v>7.9198167728385407</v>
      </c>
      <c r="I782" s="4">
        <f t="shared" ca="1" si="119"/>
        <v>139.58974809769882</v>
      </c>
      <c r="J782" s="26">
        <f ca="1">RANDBETWEEN(ranges!J$2*1000,ranges!J$3*1000)/1000</f>
        <v>0.68899999999999995</v>
      </c>
      <c r="K782" s="26">
        <f ca="1">RANDBETWEEN(ranges!K$2*1000,ranges!K$3*1000)/1000</f>
        <v>0.83799999999999997</v>
      </c>
      <c r="L782">
        <f t="shared" ca="1" si="120"/>
        <v>68.987606145160413</v>
      </c>
      <c r="M782">
        <f t="shared" ca="1" si="121"/>
        <v>13.128569108524305</v>
      </c>
      <c r="N782" s="4">
        <f t="shared" ca="1" si="122"/>
        <v>5.6616873213975696</v>
      </c>
      <c r="O782" s="4"/>
      <c r="P782" s="1">
        <f ca="1">LOOKUP(B782,geomorph!$A:$A,geomorph!$G:$G)</f>
        <v>105.271461</v>
      </c>
      <c r="Q782" s="1">
        <f t="shared" ca="1" si="123"/>
        <v>118.40003010852431</v>
      </c>
    </row>
    <row r="783" spans="2:17" x14ac:dyDescent="0.3">
      <c r="B783" s="6">
        <f ca="1">RANDBETWEEN(ranges!B$2,ranges!B$3)</f>
        <v>11588</v>
      </c>
      <c r="C783" s="9">
        <f ca="1">LOOKUP(B783,geomorph!A:A,geomorph!B:B)</f>
        <v>1469.8</v>
      </c>
      <c r="D783">
        <f t="shared" si="116"/>
        <v>1.13E-4</v>
      </c>
      <c r="E783" s="9">
        <f ca="1">'[2]Q_GEV(random)'!$J783</f>
        <v>7673.9921148006815</v>
      </c>
      <c r="F783" s="26">
        <f ca="1">RANDBETWEEN(ranges!F$2*1000,ranges!F$3*1000)/1000</f>
        <v>0.10199999999999999</v>
      </c>
      <c r="G783" s="3">
        <f t="shared" ca="1" si="117"/>
        <v>5.2211131547153906</v>
      </c>
      <c r="H783" s="4">
        <f t="shared" ca="1" si="118"/>
        <v>8.5602002491141089</v>
      </c>
      <c r="I783" s="4">
        <f t="shared" ca="1" si="119"/>
        <v>175.10579175113941</v>
      </c>
      <c r="J783" s="26">
        <f ca="1">RANDBETWEEN(ranges!J$2*1000,ranges!J$3*1000)/1000</f>
        <v>0.68100000000000005</v>
      </c>
      <c r="K783" s="26">
        <f ca="1">RANDBETWEEN(ranges!K$2*1000,ranges!K$3*1000)/1000</f>
        <v>0.83799999999999997</v>
      </c>
      <c r="L783">
        <f t="shared" ca="1" si="120"/>
        <v>80.902149912380395</v>
      </c>
      <c r="M783">
        <f t="shared" ca="1" si="121"/>
        <v>13.436827733357488</v>
      </c>
      <c r="N783" s="4">
        <f t="shared" ca="1" si="122"/>
        <v>5.3006820480906285</v>
      </c>
      <c r="O783" s="4"/>
      <c r="P783" s="1">
        <f ca="1">LOOKUP(B783,geomorph!$A:$A,geomorph!$G:$G)</f>
        <v>105.21722100000001</v>
      </c>
      <c r="Q783" s="1">
        <f t="shared" ca="1" si="123"/>
        <v>118.6540487333575</v>
      </c>
    </row>
    <row r="784" spans="2:17" x14ac:dyDescent="0.3">
      <c r="B784" s="6">
        <f ca="1">RANDBETWEEN(ranges!B$2,ranges!B$3)</f>
        <v>14474</v>
      </c>
      <c r="C784" s="9">
        <f ca="1">LOOKUP(B784,geomorph!A:A,geomorph!B:B)</f>
        <v>1394</v>
      </c>
      <c r="D784">
        <f t="shared" si="116"/>
        <v>1.13E-4</v>
      </c>
      <c r="E784" s="9">
        <f ca="1">'[2]Q_GEV(random)'!$J784</f>
        <v>7656.2159622042755</v>
      </c>
      <c r="F784" s="26">
        <f ca="1">RANDBETWEEN(ranges!F$2*1000,ranges!F$3*1000)/1000</f>
        <v>0.104</v>
      </c>
      <c r="G784" s="3">
        <f t="shared" ca="1" si="117"/>
        <v>5.4922639614090931</v>
      </c>
      <c r="H784" s="4">
        <f t="shared" ca="1" si="118"/>
        <v>8.9115622284005376</v>
      </c>
      <c r="I784" s="4">
        <f t="shared" ca="1" si="119"/>
        <v>190.96546916203485</v>
      </c>
      <c r="J784" s="26">
        <f ca="1">RANDBETWEEN(ranges!J$2*1000,ranges!J$3*1000)/1000</f>
        <v>0.76900000000000002</v>
      </c>
      <c r="K784" s="26">
        <f ca="1">RANDBETWEEN(ranges!K$2*1000,ranges!K$3*1000)/1000</f>
        <v>0.91600000000000004</v>
      </c>
      <c r="L784">
        <f t="shared" ca="1" si="120"/>
        <v>85.148105546275048</v>
      </c>
      <c r="M784">
        <f t="shared" ca="1" si="121"/>
        <v>13.412699881860338</v>
      </c>
      <c r="N784" s="4">
        <f t="shared" ca="1" si="122"/>
        <v>4.8925409276736955</v>
      </c>
      <c r="O784" s="4"/>
      <c r="P784" s="1">
        <f ca="1">LOOKUP(B784,geomorph!$A:$A,geomorph!$G:$G)</f>
        <v>104.89065100000001</v>
      </c>
      <c r="Q784" s="1">
        <f t="shared" ca="1" si="123"/>
        <v>118.30335088186034</v>
      </c>
    </row>
    <row r="785" spans="2:17" x14ac:dyDescent="0.3">
      <c r="B785" s="6">
        <f ca="1">RANDBETWEEN(ranges!B$2,ranges!B$3)</f>
        <v>10423</v>
      </c>
      <c r="C785" s="9">
        <f ca="1">LOOKUP(B785,geomorph!A:A,geomorph!B:B)</f>
        <v>1754.8</v>
      </c>
      <c r="D785">
        <f t="shared" si="116"/>
        <v>1.13E-4</v>
      </c>
      <c r="E785" s="9">
        <f ca="1">'[2]Q_GEV(random)'!$J785</f>
        <v>7654.7491951023821</v>
      </c>
      <c r="F785" s="26">
        <f ca="1">RANDBETWEEN(ranges!F$2*1000,ranges!F$3*1000)/1000</f>
        <v>0.1</v>
      </c>
      <c r="G785" s="3">
        <f t="shared" ca="1" si="117"/>
        <v>4.3621775673024743</v>
      </c>
      <c r="H785" s="4">
        <f t="shared" ca="1" si="118"/>
        <v>7.5435775030214405</v>
      </c>
      <c r="I785" s="4">
        <f t="shared" ca="1" si="119"/>
        <v>130.10419039820107</v>
      </c>
      <c r="J785" s="26">
        <f ca="1">RANDBETWEEN(ranges!J$2*1000,ranges!J$3*1000)/1000</f>
        <v>0.69</v>
      </c>
      <c r="K785" s="26">
        <f ca="1">RANDBETWEEN(ranges!K$2*1000,ranges!K$3*1000)/1000</f>
        <v>0.98699999999999999</v>
      </c>
      <c r="L785">
        <f t="shared" ca="1" si="120"/>
        <v>65.964300407571443</v>
      </c>
      <c r="M785">
        <f t="shared" ca="1" si="121"/>
        <v>13.080219442138318</v>
      </c>
      <c r="N785" s="4">
        <f t="shared" ca="1" si="122"/>
        <v>6.0180890642574756</v>
      </c>
      <c r="O785" s="4"/>
      <c r="P785" s="1">
        <f ca="1">LOOKUP(B785,geomorph!$A:$A,geomorph!$G:$G)</f>
        <v>105.34830100000001</v>
      </c>
      <c r="Q785" s="1">
        <f t="shared" ca="1" si="123"/>
        <v>118.42852044213832</v>
      </c>
    </row>
    <row r="786" spans="2:17" x14ac:dyDescent="0.3">
      <c r="B786" s="6">
        <f ca="1">RANDBETWEEN(ranges!B$2,ranges!B$3)</f>
        <v>13719</v>
      </c>
      <c r="C786" s="9">
        <f ca="1">LOOKUP(B786,geomorph!A:A,geomorph!B:B)</f>
        <v>1255.7</v>
      </c>
      <c r="D786">
        <f t="shared" si="116"/>
        <v>1.13E-4</v>
      </c>
      <c r="E786" s="9">
        <f ca="1">'[2]Q_GEV(random)'!$J786</f>
        <v>7641.3710066790327</v>
      </c>
      <c r="F786" s="26">
        <f ca="1">RANDBETWEEN(ranges!F$2*1000,ranges!F$3*1000)/1000</f>
        <v>0.10100000000000001</v>
      </c>
      <c r="G786" s="3">
        <f t="shared" ca="1" si="117"/>
        <v>6.0853476201951358</v>
      </c>
      <c r="H786" s="4">
        <f t="shared" ca="1" si="118"/>
        <v>9.449435157207148</v>
      </c>
      <c r="I786" s="4">
        <f t="shared" ca="1" si="119"/>
        <v>226.99748769692783</v>
      </c>
      <c r="J786" s="26">
        <f ca="1">RANDBETWEEN(ranges!J$2*1000,ranges!J$3*1000)/1000</f>
        <v>0.624</v>
      </c>
      <c r="K786" s="26">
        <f ca="1">RANDBETWEEN(ranges!K$2*1000,ranges!K$3*1000)/1000</f>
        <v>0.874</v>
      </c>
      <c r="L786">
        <f t="shared" ca="1" si="120"/>
        <v>100.78205176849545</v>
      </c>
      <c r="M786">
        <f t="shared" ca="1" si="121"/>
        <v>14.300378531844069</v>
      </c>
      <c r="N786" s="4">
        <f t="shared" ca="1" si="122"/>
        <v>5.2727645376488272</v>
      </c>
      <c r="O786" s="4"/>
      <c r="P786" s="1">
        <f ca="1">LOOKUP(B786,geomorph!$A:$A,geomorph!$G:$G)</f>
        <v>104.97653100000001</v>
      </c>
      <c r="Q786" s="1">
        <f t="shared" ca="1" si="123"/>
        <v>119.27690953184408</v>
      </c>
    </row>
    <row r="787" spans="2:17" x14ac:dyDescent="0.3">
      <c r="B787" s="6">
        <f ca="1">RANDBETWEEN(ranges!B$2,ranges!B$3)</f>
        <v>13750</v>
      </c>
      <c r="C787" s="9">
        <f ca="1">LOOKUP(B787,geomorph!A:A,geomorph!B:B)</f>
        <v>1265.7</v>
      </c>
      <c r="D787">
        <f t="shared" si="116"/>
        <v>1.13E-4</v>
      </c>
      <c r="E787" s="9">
        <f ca="1">'[2]Q_GEV(random)'!$J787</f>
        <v>7631.7953018114295</v>
      </c>
      <c r="F787" s="26">
        <f ca="1">RANDBETWEEN(ranges!F$2*1000,ranges!F$3*1000)/1000</f>
        <v>9.0999999999999998E-2</v>
      </c>
      <c r="G787" s="3">
        <f t="shared" ca="1" si="117"/>
        <v>6.0297031696384842</v>
      </c>
      <c r="H787" s="4">
        <f t="shared" ca="1" si="118"/>
        <v>9.0709522933636322</v>
      </c>
      <c r="I787" s="4">
        <f t="shared" ca="1" si="119"/>
        <v>223.82908823817445</v>
      </c>
      <c r="J787" s="26">
        <f ca="1">RANDBETWEEN(ranges!J$2*1000,ranges!J$3*1000)/1000</f>
        <v>0.70099999999999996</v>
      </c>
      <c r="K787" s="26">
        <f ca="1">RANDBETWEEN(ranges!K$2*1000,ranges!K$3*1000)/1000</f>
        <v>0.80200000000000005</v>
      </c>
      <c r="L787">
        <f t="shared" ca="1" si="120"/>
        <v>93.678726460668443</v>
      </c>
      <c r="M787">
        <f t="shared" ca="1" si="121"/>
        <v>13.39831554118329</v>
      </c>
      <c r="N787" s="4">
        <f t="shared" ca="1" si="122"/>
        <v>4.7036557041518021</v>
      </c>
      <c r="O787" s="4"/>
      <c r="P787" s="1">
        <f ca="1">LOOKUP(B787,geomorph!$A:$A,geomorph!$G:$G)</f>
        <v>104.97201100000001</v>
      </c>
      <c r="Q787" s="1">
        <f t="shared" ca="1" si="123"/>
        <v>118.3703265411833</v>
      </c>
    </row>
    <row r="788" spans="2:17" x14ac:dyDescent="0.3">
      <c r="B788" s="6">
        <f ca="1">RANDBETWEEN(ranges!B$2,ranges!B$3)</f>
        <v>14903</v>
      </c>
      <c r="C788" s="9">
        <f ca="1">LOOKUP(B788,geomorph!A:A,geomorph!B:B)</f>
        <v>1507</v>
      </c>
      <c r="D788">
        <f t="shared" si="116"/>
        <v>1.13E-4</v>
      </c>
      <c r="E788" s="9">
        <f ca="1">'[2]Q_GEV(random)'!$J788</f>
        <v>7624.9311876509591</v>
      </c>
      <c r="F788" s="26">
        <f ca="1">RANDBETWEEN(ranges!F$2*1000,ranges!F$3*1000)/1000</f>
        <v>9.0999999999999998E-2</v>
      </c>
      <c r="G788" s="3">
        <f t="shared" ca="1" si="117"/>
        <v>5.0596756387863033</v>
      </c>
      <c r="H788" s="4">
        <f t="shared" ca="1" si="118"/>
        <v>8.0699475421766866</v>
      </c>
      <c r="I788" s="4">
        <f t="shared" ca="1" si="119"/>
        <v>167.24451452238631</v>
      </c>
      <c r="J788" s="26">
        <f ca="1">RANDBETWEEN(ranges!J$2*1000,ranges!J$3*1000)/1000</f>
        <v>0.78600000000000003</v>
      </c>
      <c r="K788" s="26">
        <f ca="1">RANDBETWEEN(ranges!K$2*1000,ranges!K$3*1000)/1000</f>
        <v>0.91100000000000003</v>
      </c>
      <c r="L788">
        <f t="shared" ca="1" si="120"/>
        <v>73.958942991597439</v>
      </c>
      <c r="M788">
        <f t="shared" ca="1" si="121"/>
        <v>12.594542360982118</v>
      </c>
      <c r="N788" s="4">
        <f t="shared" ca="1" si="122"/>
        <v>4.9180378465276418</v>
      </c>
      <c r="O788" s="4"/>
      <c r="P788" s="1">
        <f ca="1">LOOKUP(B788,geomorph!$A:$A,geomorph!$G:$G)</f>
        <v>104.842061</v>
      </c>
      <c r="Q788" s="1">
        <f t="shared" ca="1" si="123"/>
        <v>117.43660336098212</v>
      </c>
    </row>
    <row r="789" spans="2:17" x14ac:dyDescent="0.3">
      <c r="B789" s="6">
        <f ca="1">RANDBETWEEN(ranges!B$2,ranges!B$3)</f>
        <v>13329</v>
      </c>
      <c r="C789" s="9">
        <f ca="1">LOOKUP(B789,geomorph!A:A,geomorph!B:B)</f>
        <v>1176.5</v>
      </c>
      <c r="D789">
        <f t="shared" si="116"/>
        <v>1.13E-4</v>
      </c>
      <c r="E789" s="9">
        <f ca="1">'[2]Q_GEV(random)'!$J789</f>
        <v>7616.2198929893129</v>
      </c>
      <c r="F789" s="26">
        <f ca="1">RANDBETWEEN(ranges!F$2*1000,ranges!F$3*1000)/1000</f>
        <v>0.09</v>
      </c>
      <c r="G789" s="3">
        <f t="shared" ca="1" si="117"/>
        <v>6.473625068414206</v>
      </c>
      <c r="H789" s="4">
        <f t="shared" ca="1" si="118"/>
        <v>9.4759114786602048</v>
      </c>
      <c r="I789" s="4">
        <f t="shared" ca="1" si="119"/>
        <v>252.47775158340843</v>
      </c>
      <c r="J789" s="26">
        <f ca="1">RANDBETWEEN(ranges!J$2*1000,ranges!J$3*1000)/1000</f>
        <v>0.73099999999999998</v>
      </c>
      <c r="K789" s="26">
        <f ca="1">RANDBETWEEN(ranges!K$2*1000,ranges!K$3*1000)/1000</f>
        <v>0.92100000000000004</v>
      </c>
      <c r="L789">
        <f t="shared" ca="1" si="120"/>
        <v>103.23752074702207</v>
      </c>
      <c r="M789">
        <f t="shared" ca="1" si="121"/>
        <v>13.724860576952475</v>
      </c>
      <c r="N789" s="4">
        <f t="shared" ca="1" si="122"/>
        <v>4.6184229329263804</v>
      </c>
      <c r="O789" s="4"/>
      <c r="P789" s="1">
        <f ca="1">LOOKUP(B789,geomorph!$A:$A,geomorph!$G:$G)</f>
        <v>105.020601</v>
      </c>
      <c r="Q789" s="1">
        <f t="shared" ca="1" si="123"/>
        <v>118.74546157695248</v>
      </c>
    </row>
    <row r="790" spans="2:17" x14ac:dyDescent="0.3">
      <c r="B790" s="6">
        <f ca="1">RANDBETWEEN(ranges!B$2,ranges!B$3)</f>
        <v>13453</v>
      </c>
      <c r="C790" s="9">
        <f ca="1">LOOKUP(B790,geomorph!A:A,geomorph!B:B)</f>
        <v>1191.5999999999999</v>
      </c>
      <c r="D790">
        <f t="shared" si="116"/>
        <v>1.13E-4</v>
      </c>
      <c r="E790" s="9">
        <f ca="1">'[2]Q_GEV(random)'!$J790</f>
        <v>7601.0449814133581</v>
      </c>
      <c r="F790" s="26">
        <f ca="1">RANDBETWEEN(ranges!F$2*1000,ranges!F$3*1000)/1000</f>
        <v>0.10199999999999999</v>
      </c>
      <c r="G790" s="3">
        <f t="shared" ca="1" si="117"/>
        <v>6.3788561441871083</v>
      </c>
      <c r="H790" s="4">
        <f t="shared" ca="1" si="118"/>
        <v>9.7829625855542925</v>
      </c>
      <c r="I790" s="4">
        <f t="shared" ca="1" si="119"/>
        <v>246.83953962713429</v>
      </c>
      <c r="J790" s="26">
        <f ca="1">RANDBETWEEN(ranges!J$2*1000,ranges!J$3*1000)/1000</f>
        <v>0.66100000000000003</v>
      </c>
      <c r="K790" s="26">
        <f ca="1">RANDBETWEEN(ranges!K$2*1000,ranges!K$3*1000)/1000</f>
        <v>0.82099999999999995</v>
      </c>
      <c r="L790">
        <f t="shared" ca="1" si="120"/>
        <v>105.78419785464988</v>
      </c>
      <c r="M790">
        <f t="shared" ca="1" si="121"/>
        <v>14.243926868486888</v>
      </c>
      <c r="N790" s="4">
        <f t="shared" ca="1" si="122"/>
        <v>4.8488742205789075</v>
      </c>
      <c r="O790" s="4"/>
      <c r="P790" s="1">
        <f ca="1">LOOKUP(B790,geomorph!$A:$A,geomorph!$G:$G)</f>
        <v>105.005911</v>
      </c>
      <c r="Q790" s="1">
        <f t="shared" ca="1" si="123"/>
        <v>119.24983786848688</v>
      </c>
    </row>
    <row r="791" spans="2:17" x14ac:dyDescent="0.3">
      <c r="B791" s="6">
        <f ca="1">RANDBETWEEN(ranges!B$2,ranges!B$3)</f>
        <v>10629</v>
      </c>
      <c r="C791" s="9">
        <f ca="1">LOOKUP(B791,geomorph!A:A,geomorph!B:B)</f>
        <v>1734.9</v>
      </c>
      <c r="D791">
        <f t="shared" si="116"/>
        <v>1.13E-4</v>
      </c>
      <c r="E791" s="9">
        <f ca="1">'[2]Q_GEV(random)'!$J791</f>
        <v>7596.3214007638462</v>
      </c>
      <c r="F791" s="26">
        <f ca="1">RANDBETWEEN(ranges!F$2*1000,ranges!F$3*1000)/1000</f>
        <v>9.0999999999999998E-2</v>
      </c>
      <c r="G791" s="3">
        <f t="shared" ca="1" si="117"/>
        <v>4.3785355932698407</v>
      </c>
      <c r="H791" s="4">
        <f t="shared" ca="1" si="118"/>
        <v>7.3283834237848007</v>
      </c>
      <c r="I791" s="4">
        <f t="shared" ca="1" si="119"/>
        <v>131.92532098808508</v>
      </c>
      <c r="J791" s="26">
        <f ca="1">RANDBETWEEN(ranges!J$2*1000,ranges!J$3*1000)/1000</f>
        <v>0.67</v>
      </c>
      <c r="K791" s="26">
        <f ca="1">RANDBETWEEN(ranges!K$2*1000,ranges!K$3*1000)/1000</f>
        <v>0.81100000000000005</v>
      </c>
      <c r="L791">
        <f t="shared" ca="1" si="120"/>
        <v>64.265487772840487</v>
      </c>
      <c r="M791">
        <f t="shared" ca="1" si="121"/>
        <v>12.59884400529241</v>
      </c>
      <c r="N791" s="4">
        <f t="shared" ca="1" si="122"/>
        <v>5.7287615016387052</v>
      </c>
      <c r="O791" s="4"/>
      <c r="P791" s="1">
        <f ca="1">LOOKUP(B791,geomorph!$A:$A,geomorph!$G:$G)</f>
        <v>105.32570100000001</v>
      </c>
      <c r="Q791" s="1">
        <f t="shared" ca="1" si="123"/>
        <v>117.92454500529242</v>
      </c>
    </row>
    <row r="792" spans="2:17" x14ac:dyDescent="0.3">
      <c r="B792" s="6">
        <f ca="1">RANDBETWEEN(ranges!B$2,ranges!B$3)</f>
        <v>14116</v>
      </c>
      <c r="C792" s="9">
        <f ca="1">LOOKUP(B792,geomorph!A:A,geomorph!B:B)</f>
        <v>1354.4</v>
      </c>
      <c r="D792">
        <f t="shared" si="116"/>
        <v>1.13E-4</v>
      </c>
      <c r="E792" s="9">
        <f ca="1">'[2]Q_GEV(random)'!$J792</f>
        <v>7584.5192474817031</v>
      </c>
      <c r="F792" s="26">
        <f ca="1">RANDBETWEEN(ranges!F$2*1000,ranges!F$3*1000)/1000</f>
        <v>9.7000000000000003E-2</v>
      </c>
      <c r="G792" s="3">
        <f t="shared" ca="1" si="117"/>
        <v>5.5999108442717827</v>
      </c>
      <c r="H792" s="4">
        <f t="shared" ca="1" si="118"/>
        <v>8.8203628184098744</v>
      </c>
      <c r="I792" s="4">
        <f t="shared" ca="1" si="119"/>
        <v>199.10881161950522</v>
      </c>
      <c r="J792" s="26">
        <f ca="1">RANDBETWEEN(ranges!J$2*1000,ranges!J$3*1000)/1000</f>
        <v>0.72799999999999998</v>
      </c>
      <c r="K792" s="26">
        <f ca="1">RANDBETWEEN(ranges!K$2*1000,ranges!K$3*1000)/1000</f>
        <v>0.88900000000000001</v>
      </c>
      <c r="L792">
        <f t="shared" ca="1" si="120"/>
        <v>87.182716529053593</v>
      </c>
      <c r="M792">
        <f t="shared" ca="1" si="121"/>
        <v>13.343070653165372</v>
      </c>
      <c r="N792" s="4">
        <f t="shared" ca="1" si="122"/>
        <v>4.9159867769081487</v>
      </c>
      <c r="O792" s="4"/>
      <c r="P792" s="1">
        <f ca="1">LOOKUP(B792,geomorph!$A:$A,geomorph!$G:$G)</f>
        <v>104.931331</v>
      </c>
      <c r="Q792" s="1">
        <f t="shared" ca="1" si="123"/>
        <v>118.27440165316537</v>
      </c>
    </row>
    <row r="793" spans="2:17" x14ac:dyDescent="0.3">
      <c r="B793" s="6">
        <f ca="1">RANDBETWEEN(ranges!B$2,ranges!B$3)</f>
        <v>11800</v>
      </c>
      <c r="C793" s="9">
        <f ca="1">LOOKUP(B793,geomorph!A:A,geomorph!B:B)</f>
        <v>1410.8</v>
      </c>
      <c r="D793">
        <f t="shared" si="116"/>
        <v>1.13E-4</v>
      </c>
      <c r="E793" s="9">
        <f ca="1">'[2]Q_GEV(random)'!$J793</f>
        <v>7545.8077696623186</v>
      </c>
      <c r="F793" s="26">
        <f ca="1">RANDBETWEEN(ranges!F$2*1000,ranges!F$3*1000)/1000</f>
        <v>0.10299999999999999</v>
      </c>
      <c r="G793" s="3">
        <f t="shared" ca="1" si="117"/>
        <v>5.3486020482437757</v>
      </c>
      <c r="H793" s="4">
        <f t="shared" ca="1" si="118"/>
        <v>8.7273232574558044</v>
      </c>
      <c r="I793" s="4">
        <f t="shared" ca="1" si="119"/>
        <v>185.38649353688686</v>
      </c>
      <c r="J793" s="26">
        <f ca="1">RANDBETWEEN(ranges!J$2*1000,ranges!J$3*1000)/1000</f>
        <v>0.745</v>
      </c>
      <c r="K793" s="26">
        <f ca="1">RANDBETWEEN(ranges!K$2*1000,ranges!K$3*1000)/1000</f>
        <v>0.92600000000000005</v>
      </c>
      <c r="L793">
        <f t="shared" ca="1" si="120"/>
        <v>83.735362731906946</v>
      </c>
      <c r="M793">
        <f t="shared" ca="1" si="121"/>
        <v>13.349125020865696</v>
      </c>
      <c r="N793" s="4">
        <f t="shared" ca="1" si="122"/>
        <v>5.0236975689237946</v>
      </c>
      <c r="O793" s="4"/>
      <c r="P793" s="1">
        <f ca="1">LOOKUP(B793,geomorph!$A:$A,geomorph!$G:$G)</f>
        <v>105.19236100000001</v>
      </c>
      <c r="Q793" s="1">
        <f t="shared" ca="1" si="123"/>
        <v>118.5414860208657</v>
      </c>
    </row>
    <row r="794" spans="2:17" x14ac:dyDescent="0.3">
      <c r="B794" s="6">
        <f ca="1">RANDBETWEEN(ranges!B$2,ranges!B$3)</f>
        <v>11615</v>
      </c>
      <c r="C794" s="9">
        <f ca="1">LOOKUP(B794,geomorph!A:A,geomorph!B:B)</f>
        <v>1462.5</v>
      </c>
      <c r="D794">
        <f t="shared" si="116"/>
        <v>1.13E-4</v>
      </c>
      <c r="E794" s="9">
        <f ca="1">'[2]Q_GEV(random)'!$J794</f>
        <v>7541.2015773465118</v>
      </c>
      <c r="F794" s="26">
        <f ca="1">RANDBETWEEN(ranges!F$2*1000,ranges!F$3*1000)/1000</f>
        <v>0.104</v>
      </c>
      <c r="G794" s="3">
        <f t="shared" ca="1" si="117"/>
        <v>5.1563771469035977</v>
      </c>
      <c r="H794" s="4">
        <f t="shared" ca="1" si="118"/>
        <v>8.544422068098843</v>
      </c>
      <c r="I794" s="4">
        <f t="shared" ca="1" si="119"/>
        <v>174.5221650907373</v>
      </c>
      <c r="J794" s="26">
        <f ca="1">RANDBETWEEN(ranges!J$2*1000,ranges!J$3*1000)/1000</f>
        <v>0.68899999999999995</v>
      </c>
      <c r="K794" s="26">
        <f ca="1">RANDBETWEEN(ranges!K$2*1000,ranges!K$3*1000)/1000</f>
        <v>0.96699999999999997</v>
      </c>
      <c r="L794">
        <f t="shared" ca="1" si="120"/>
        <v>82.154314373775918</v>
      </c>
      <c r="M794">
        <f t="shared" ca="1" si="121"/>
        <v>13.577027379196142</v>
      </c>
      <c r="N794" s="4">
        <f t="shared" ca="1" si="122"/>
        <v>5.4702231642361943</v>
      </c>
      <c r="O794" s="4"/>
      <c r="P794" s="1">
        <f ca="1">LOOKUP(B794,geomorph!$A:$A,geomorph!$G:$G)</f>
        <v>105.213831</v>
      </c>
      <c r="Q794" s="1">
        <f t="shared" ca="1" si="123"/>
        <v>118.79085837919614</v>
      </c>
    </row>
    <row r="795" spans="2:17" x14ac:dyDescent="0.3">
      <c r="B795" s="6">
        <f ca="1">RANDBETWEEN(ranges!B$2,ranges!B$3)</f>
        <v>12956</v>
      </c>
      <c r="C795" s="9">
        <f ca="1">LOOKUP(B795,geomorph!A:A,geomorph!B:B)</f>
        <v>1140.5999999999999</v>
      </c>
      <c r="D795">
        <f t="shared" si="116"/>
        <v>1.13E-4</v>
      </c>
      <c r="E795" s="9">
        <f ca="1">'[2]Q_GEV(random)'!$J795</f>
        <v>7540.0834610208449</v>
      </c>
      <c r="F795" s="26">
        <f ca="1">RANDBETWEEN(ranges!F$2*1000,ranges!F$3*1000)/1000</f>
        <v>0.10199999999999999</v>
      </c>
      <c r="G795" s="3">
        <f t="shared" ca="1" si="117"/>
        <v>6.6106290207091405</v>
      </c>
      <c r="H795" s="4">
        <f t="shared" ca="1" si="118"/>
        <v>10.018523266682251</v>
      </c>
      <c r="I795" s="4">
        <f t="shared" ca="1" si="119"/>
        <v>264.0858753553872</v>
      </c>
      <c r="J795" s="26">
        <f ca="1">RANDBETWEEN(ranges!J$2*1000,ranges!J$3*1000)/1000</f>
        <v>0.77400000000000002</v>
      </c>
      <c r="K795" s="26">
        <f ca="1">RANDBETWEEN(ranges!K$2*1000,ranges!K$3*1000)/1000</f>
        <v>0.88800000000000001</v>
      </c>
      <c r="L795">
        <f t="shared" ca="1" si="120"/>
        <v>109.03983877317727</v>
      </c>
      <c r="M795">
        <f t="shared" ca="1" si="121"/>
        <v>14.053904931829516</v>
      </c>
      <c r="N795" s="4">
        <f t="shared" ca="1" si="122"/>
        <v>4.386284418638331</v>
      </c>
      <c r="O795" s="4"/>
      <c r="P795" s="1">
        <f ca="1">LOOKUP(B795,geomorph!$A:$A,geomorph!$G:$G)</f>
        <v>105.062411</v>
      </c>
      <c r="Q795" s="1">
        <f t="shared" ca="1" si="123"/>
        <v>119.11631593182952</v>
      </c>
    </row>
    <row r="796" spans="2:17" x14ac:dyDescent="0.3">
      <c r="B796" s="6">
        <f ca="1">RANDBETWEEN(ranges!B$2,ranges!B$3)</f>
        <v>12567</v>
      </c>
      <c r="C796" s="9">
        <f ca="1">LOOKUP(B796,geomorph!A:A,geomorph!B:B)</f>
        <v>1194.0999999999999</v>
      </c>
      <c r="D796">
        <f t="shared" si="116"/>
        <v>1.13E-4</v>
      </c>
      <c r="E796" s="9">
        <f ca="1">'[2]Q_GEV(random)'!$J796</f>
        <v>7536.9399274942525</v>
      </c>
      <c r="F796" s="26">
        <f ca="1">RANDBETWEEN(ranges!F$2*1000,ranges!F$3*1000)/1000</f>
        <v>9.5000000000000001E-2</v>
      </c>
      <c r="G796" s="3">
        <f t="shared" ca="1" si="117"/>
        <v>6.3118163700646956</v>
      </c>
      <c r="H796" s="4">
        <f t="shared" ca="1" si="118"/>
        <v>9.4867888690336724</v>
      </c>
      <c r="I796" s="4">
        <f t="shared" ca="1" si="119"/>
        <v>244.59386266111605</v>
      </c>
      <c r="J796" s="26">
        <f ca="1">RANDBETWEEN(ranges!J$2*1000,ranges!J$3*1000)/1000</f>
        <v>0.72599999999999998</v>
      </c>
      <c r="K796" s="26">
        <f ca="1">RANDBETWEEN(ranges!K$2*1000,ranges!K$3*1000)/1000</f>
        <v>0.81</v>
      </c>
      <c r="L796">
        <f t="shared" ca="1" si="120"/>
        <v>100.93831917366535</v>
      </c>
      <c r="M796">
        <f t="shared" ca="1" si="121"/>
        <v>13.619940502555938</v>
      </c>
      <c r="N796" s="4">
        <f t="shared" ca="1" si="122"/>
        <v>4.4925561233937668</v>
      </c>
      <c r="O796" s="4"/>
      <c r="P796" s="1">
        <f ca="1">LOOKUP(B796,geomorph!$A:$A,geomorph!$G:$G)</f>
        <v>105.106481</v>
      </c>
      <c r="Q796" s="1">
        <f t="shared" ca="1" si="123"/>
        <v>118.72642150255594</v>
      </c>
    </row>
    <row r="797" spans="2:17" x14ac:dyDescent="0.3">
      <c r="B797" s="6">
        <f ca="1">RANDBETWEEN(ranges!B$2,ranges!B$3)</f>
        <v>10039</v>
      </c>
      <c r="C797" s="9">
        <f ca="1">LOOKUP(B797,geomorph!A:A,geomorph!B:B)</f>
        <v>1654.6</v>
      </c>
      <c r="D797">
        <f t="shared" si="116"/>
        <v>1.13E-4</v>
      </c>
      <c r="E797" s="9">
        <f ca="1">'[2]Q_GEV(random)'!$J797</f>
        <v>7525.3223521612745</v>
      </c>
      <c r="F797" s="26">
        <f ca="1">RANDBETWEEN(ranges!F$2*1000,ranges!F$3*1000)/1000</f>
        <v>0.10199999999999999</v>
      </c>
      <c r="G797" s="3">
        <f t="shared" ca="1" si="117"/>
        <v>4.54812181322451</v>
      </c>
      <c r="H797" s="4">
        <f t="shared" ca="1" si="118"/>
        <v>7.8078221554918814</v>
      </c>
      <c r="I797" s="4">
        <f t="shared" ca="1" si="119"/>
        <v>141.87691033620004</v>
      </c>
      <c r="J797" s="26">
        <f ca="1">RANDBETWEEN(ranges!J$2*1000,ranges!J$3*1000)/1000</f>
        <v>0.66800000000000004</v>
      </c>
      <c r="K797" s="26">
        <f ca="1">RANDBETWEEN(ranges!K$2*1000,ranges!K$3*1000)/1000</f>
        <v>0.93200000000000005</v>
      </c>
      <c r="L797">
        <f t="shared" ca="1" si="120"/>
        <v>70.630032420733301</v>
      </c>
      <c r="M797">
        <f t="shared" ca="1" si="121"/>
        <v>13.205683035698019</v>
      </c>
      <c r="N797" s="4">
        <f t="shared" ca="1" si="122"/>
        <v>5.8672400871805843</v>
      </c>
      <c r="O797" s="4"/>
      <c r="P797" s="1">
        <f ca="1">LOOKUP(B797,geomorph!$A:$A,geomorph!$G:$G)</f>
        <v>105.392371</v>
      </c>
      <c r="Q797" s="1">
        <f t="shared" ca="1" si="123"/>
        <v>118.59805403569801</v>
      </c>
    </row>
    <row r="798" spans="2:17" x14ac:dyDescent="0.3">
      <c r="B798" s="6">
        <f ca="1">RANDBETWEEN(ranges!B$2,ranges!B$3)</f>
        <v>11303</v>
      </c>
      <c r="C798" s="9">
        <f ca="1">LOOKUP(B798,geomorph!A:A,geomorph!B:B)</f>
        <v>1604.8</v>
      </c>
      <c r="D798">
        <f t="shared" si="116"/>
        <v>1.13E-4</v>
      </c>
      <c r="E798" s="9">
        <f ca="1">'[2]Q_GEV(random)'!$J798</f>
        <v>7521.2963247621956</v>
      </c>
      <c r="F798" s="26">
        <f ca="1">RANDBETWEEN(ranges!F$2*1000,ranges!F$3*1000)/1000</f>
        <v>9.8000000000000004E-2</v>
      </c>
      <c r="G798" s="3">
        <f t="shared" ca="1" si="117"/>
        <v>4.6867499531170216</v>
      </c>
      <c r="H798" s="4">
        <f t="shared" ca="1" si="118"/>
        <v>7.8601652689026533</v>
      </c>
      <c r="I798" s="4">
        <f t="shared" ca="1" si="119"/>
        <v>149.23715356762008</v>
      </c>
      <c r="J798" s="26">
        <f ca="1">RANDBETWEEN(ranges!J$2*1000,ranges!J$3*1000)/1000</f>
        <v>0.755</v>
      </c>
      <c r="K798" s="26">
        <f ca="1">RANDBETWEEN(ranges!K$2*1000,ranges!K$3*1000)/1000</f>
        <v>0.91300000000000003</v>
      </c>
      <c r="L798">
        <f t="shared" ca="1" si="120"/>
        <v>69.952503254663753</v>
      </c>
      <c r="M798">
        <f t="shared" ca="1" si="121"/>
        <v>12.685354826208535</v>
      </c>
      <c r="N798" s="4">
        <f t="shared" ca="1" si="122"/>
        <v>5.2447712579411752</v>
      </c>
      <c r="O798" s="4"/>
      <c r="P798" s="1">
        <f ca="1">LOOKUP(B798,geomorph!$A:$A,geomorph!$G:$G)</f>
        <v>105.24886100000001</v>
      </c>
      <c r="Q798" s="1">
        <f t="shared" ca="1" si="123"/>
        <v>117.93421582620854</v>
      </c>
    </row>
    <row r="799" spans="2:17" x14ac:dyDescent="0.3">
      <c r="B799" s="6">
        <f ca="1">RANDBETWEEN(ranges!B$2,ranges!B$3)</f>
        <v>11061</v>
      </c>
      <c r="C799" s="9">
        <f ca="1">LOOKUP(B799,geomorph!A:A,geomorph!B:B)</f>
        <v>1686.8</v>
      </c>
      <c r="D799">
        <f t="shared" si="116"/>
        <v>1.13E-4</v>
      </c>
      <c r="E799" s="9">
        <f ca="1">'[2]Q_GEV(random)'!$J799</f>
        <v>7511.6482135688902</v>
      </c>
      <c r="F799" s="26">
        <f ca="1">RANDBETWEEN(ranges!F$2*1000,ranges!F$3*1000)/1000</f>
        <v>0.09</v>
      </c>
      <c r="G799" s="3">
        <f t="shared" ca="1" si="117"/>
        <v>4.4531943405079977</v>
      </c>
      <c r="H799" s="4">
        <f t="shared" ca="1" si="118"/>
        <v>7.3842047794901005</v>
      </c>
      <c r="I799" s="4">
        <f t="shared" ca="1" si="119"/>
        <v>137.22530041565764</v>
      </c>
      <c r="J799" s="26">
        <f ca="1">RANDBETWEEN(ranges!J$2*1000,ranges!J$3*1000)/1000</f>
        <v>0.77700000000000002</v>
      </c>
      <c r="K799" s="26">
        <f ca="1">RANDBETWEEN(ranges!K$2*1000,ranges!K$3*1000)/1000</f>
        <v>0.99399999999999999</v>
      </c>
      <c r="L799">
        <f t="shared" ca="1" si="120"/>
        <v>64.605800387131254</v>
      </c>
      <c r="M799">
        <f t="shared" ca="1" si="121"/>
        <v>12.314408242510467</v>
      </c>
      <c r="N799" s="4">
        <f t="shared" ca="1" si="122"/>
        <v>5.3589168076308331</v>
      </c>
      <c r="O799" s="4"/>
      <c r="P799" s="1">
        <f ca="1">LOOKUP(B799,geomorph!$A:$A,geomorph!$G:$G)</f>
        <v>105.275981</v>
      </c>
      <c r="Q799" s="1">
        <f t="shared" ca="1" si="123"/>
        <v>117.59038924251047</v>
      </c>
    </row>
    <row r="800" spans="2:17" x14ac:dyDescent="0.3">
      <c r="B800" s="6">
        <f ca="1">RANDBETWEEN(ranges!B$2,ranges!B$3)</f>
        <v>10658</v>
      </c>
      <c r="C800" s="9">
        <f ca="1">LOOKUP(B800,geomorph!A:A,geomorph!B:B)</f>
        <v>1726.3</v>
      </c>
      <c r="D800">
        <f t="shared" si="116"/>
        <v>1.13E-4</v>
      </c>
      <c r="E800" s="9">
        <f ca="1">'[2]Q_GEV(random)'!$J800</f>
        <v>7471.5954322308598</v>
      </c>
      <c r="F800" s="26">
        <f ca="1">RANDBETWEEN(ranges!F$2*1000,ranges!F$3*1000)/1000</f>
        <v>0.108</v>
      </c>
      <c r="G800" s="3">
        <f t="shared" ca="1" si="117"/>
        <v>4.3280979159073514</v>
      </c>
      <c r="H800" s="4">
        <f t="shared" ca="1" si="118"/>
        <v>7.699238388339289</v>
      </c>
      <c r="I800" s="4">
        <f t="shared" ca="1" si="119"/>
        <v>131.56240320174749</v>
      </c>
      <c r="J800" s="26">
        <f ca="1">RANDBETWEEN(ranges!J$2*1000,ranges!J$3*1000)/1000</f>
        <v>0.72099999999999997</v>
      </c>
      <c r="K800" s="26">
        <f ca="1">RANDBETWEEN(ranges!K$2*1000,ranges!K$3*1000)/1000</f>
        <v>0.80800000000000005</v>
      </c>
      <c r="L800">
        <f t="shared" ca="1" si="120"/>
        <v>65.305570185441141</v>
      </c>
      <c r="M800">
        <f t="shared" ca="1" si="121"/>
        <v>12.739281656657354</v>
      </c>
      <c r="N800" s="4">
        <f t="shared" ca="1" si="122"/>
        <v>5.4783079003457233</v>
      </c>
      <c r="O800" s="4"/>
      <c r="P800" s="1">
        <f ca="1">LOOKUP(B800,geomorph!$A:$A,geomorph!$G:$G)</f>
        <v>105.322311</v>
      </c>
      <c r="Q800" s="1">
        <f t="shared" ca="1" si="123"/>
        <v>118.06159265665735</v>
      </c>
    </row>
    <row r="801" spans="2:17" x14ac:dyDescent="0.3">
      <c r="B801" s="6">
        <f ca="1">RANDBETWEEN(ranges!B$2,ranges!B$3)</f>
        <v>14410</v>
      </c>
      <c r="C801" s="9">
        <f ca="1">LOOKUP(B801,geomorph!A:A,geomorph!B:B)</f>
        <v>1378.9</v>
      </c>
      <c r="D801">
        <f t="shared" si="116"/>
        <v>1.13E-4</v>
      </c>
      <c r="E801" s="9">
        <f ca="1">'[2]Q_GEV(random)'!$J801</f>
        <v>7455.1852023185711</v>
      </c>
      <c r="F801" s="26">
        <f ca="1">RANDBETWEEN(ranges!F$2*1000,ranges!F$3*1000)/1000</f>
        <v>0.10199999999999999</v>
      </c>
      <c r="G801" s="3">
        <f t="shared" ca="1" si="117"/>
        <v>5.4066177404587501</v>
      </c>
      <c r="H801" s="4">
        <f t="shared" ca="1" si="118"/>
        <v>8.7617790523995716</v>
      </c>
      <c r="I801" s="4">
        <f t="shared" ca="1" si="119"/>
        <v>191.04441911988516</v>
      </c>
      <c r="J801" s="26">
        <f ca="1">RANDBETWEEN(ranges!J$2*1000,ranges!J$3*1000)/1000</f>
        <v>0.61699999999999999</v>
      </c>
      <c r="K801" s="26">
        <f ca="1">RANDBETWEEN(ranges!K$2*1000,ranges!K$3*1000)/1000</f>
        <v>0.84</v>
      </c>
      <c r="L801">
        <f t="shared" ca="1" si="120"/>
        <v>88.550504353396889</v>
      </c>
      <c r="M801">
        <f t="shared" ca="1" si="121"/>
        <v>13.797558821177583</v>
      </c>
      <c r="N801" s="4">
        <f t="shared" ca="1" si="122"/>
        <v>5.47367366171523</v>
      </c>
      <c r="O801" s="4"/>
      <c r="P801" s="1">
        <f ca="1">LOOKUP(B801,geomorph!$A:$A,geomorph!$G:$G)</f>
        <v>104.897431</v>
      </c>
      <c r="Q801" s="1">
        <f t="shared" ca="1" si="123"/>
        <v>118.69498982117759</v>
      </c>
    </row>
    <row r="802" spans="2:17" x14ac:dyDescent="0.3">
      <c r="B802" s="6">
        <f ca="1">RANDBETWEEN(ranges!B$2,ranges!B$3)</f>
        <v>12251</v>
      </c>
      <c r="C802" s="9">
        <f ca="1">LOOKUP(B802,geomorph!A:A,geomorph!B:B)</f>
        <v>1276.7</v>
      </c>
      <c r="D802">
        <f t="shared" si="116"/>
        <v>1.13E-4</v>
      </c>
      <c r="E802" s="9">
        <f ca="1">'[2]Q_GEV(random)'!$J802</f>
        <v>7444.6934034109981</v>
      </c>
      <c r="F802" s="26">
        <f ca="1">RANDBETWEEN(ranges!F$2*1000,ranges!F$3*1000)/1000</f>
        <v>9.6000000000000002E-2</v>
      </c>
      <c r="G802" s="3">
        <f t="shared" ca="1" si="117"/>
        <v>5.8312002846487019</v>
      </c>
      <c r="H802" s="4">
        <f t="shared" ca="1" si="118"/>
        <v>9.030341616545412</v>
      </c>
      <c r="I802" s="4">
        <f t="shared" ca="1" si="119"/>
        <v>217.00336289665125</v>
      </c>
      <c r="J802" s="26">
        <f ca="1">RANDBETWEEN(ranges!J$2*1000,ranges!J$3*1000)/1000</f>
        <v>0.69799999999999995</v>
      </c>
      <c r="K802" s="26">
        <f ca="1">RANDBETWEEN(ranges!K$2*1000,ranges!K$3*1000)/1000</f>
        <v>0.85</v>
      </c>
      <c r="L802">
        <f t="shared" ca="1" si="120"/>
        <v>93.373543971381238</v>
      </c>
      <c r="M802">
        <f t="shared" ca="1" si="121"/>
        <v>13.470730405473654</v>
      </c>
      <c r="N802" s="4">
        <f t="shared" ca="1" si="122"/>
        <v>4.8265095531828717</v>
      </c>
      <c r="O802" s="4"/>
      <c r="P802" s="1">
        <f ca="1">LOOKUP(B802,geomorph!$A:$A,geomorph!$G:$G)</f>
        <v>105.14151100000001</v>
      </c>
      <c r="Q802" s="1">
        <f t="shared" ca="1" si="123"/>
        <v>118.61224140547367</v>
      </c>
    </row>
    <row r="803" spans="2:17" x14ac:dyDescent="0.3">
      <c r="B803" s="6">
        <f ca="1">RANDBETWEEN(ranges!B$2,ranges!B$3)</f>
        <v>14162</v>
      </c>
      <c r="C803" s="9">
        <f ca="1">LOOKUP(B803,geomorph!A:A,geomorph!B:B)</f>
        <v>1297.5999999999999</v>
      </c>
      <c r="D803">
        <f t="shared" si="116"/>
        <v>1.13E-4</v>
      </c>
      <c r="E803" s="9">
        <f ca="1">'[2]Q_GEV(random)'!$J803</f>
        <v>7441.8688805877473</v>
      </c>
      <c r="F803" s="26">
        <f ca="1">RANDBETWEEN(ranges!F$2*1000,ranges!F$3*1000)/1000</f>
        <v>9.2999999999999999E-2</v>
      </c>
      <c r="G803" s="3">
        <f t="shared" ca="1" si="117"/>
        <v>5.7351024048919141</v>
      </c>
      <c r="H803" s="4">
        <f t="shared" ca="1" si="118"/>
        <v>8.8368380822648689</v>
      </c>
      <c r="I803" s="4">
        <f t="shared" ca="1" si="119"/>
        <v>211.1559375844123</v>
      </c>
      <c r="J803" s="26">
        <f ca="1">RANDBETWEEN(ranges!J$2*1000,ranges!J$3*1000)/1000</f>
        <v>0.70699999999999996</v>
      </c>
      <c r="K803" s="26">
        <f ca="1">RANDBETWEEN(ranges!K$2*1000,ranges!K$3*1000)/1000</f>
        <v>0.97</v>
      </c>
      <c r="L803">
        <f t="shared" ca="1" si="120"/>
        <v>91.716629590049308</v>
      </c>
      <c r="M803">
        <f t="shared" ca="1" si="121"/>
        <v>13.44829933683342</v>
      </c>
      <c r="N803" s="4">
        <f t="shared" ca="1" si="122"/>
        <v>5.0124578854005994</v>
      </c>
      <c r="O803" s="4"/>
      <c r="P803" s="1">
        <f ca="1">LOOKUP(B803,geomorph!$A:$A,geomorph!$G:$G)</f>
        <v>104.925681</v>
      </c>
      <c r="Q803" s="1">
        <f t="shared" ca="1" si="123"/>
        <v>118.37398033683341</v>
      </c>
    </row>
    <row r="804" spans="2:17" x14ac:dyDescent="0.3">
      <c r="B804" s="6">
        <f ca="1">RANDBETWEEN(ranges!B$2,ranges!B$3)</f>
        <v>13503</v>
      </c>
      <c r="C804" s="9">
        <f ca="1">LOOKUP(B804,geomorph!A:A,geomorph!B:B)</f>
        <v>1202.5</v>
      </c>
      <c r="D804">
        <f t="shared" si="116"/>
        <v>1.13E-4</v>
      </c>
      <c r="E804" s="9">
        <f ca="1">'[2]Q_GEV(random)'!$J804</f>
        <v>7437.8656002900907</v>
      </c>
      <c r="F804" s="26">
        <f ca="1">RANDBETWEEN(ranges!F$2*1000,ranges!F$3*1000)/1000</f>
        <v>0.1</v>
      </c>
      <c r="G804" s="3">
        <f t="shared" ca="1" si="117"/>
        <v>6.1853352185364576</v>
      </c>
      <c r="H804" s="4">
        <f t="shared" ca="1" si="118"/>
        <v>9.521030527015018</v>
      </c>
      <c r="I804" s="4">
        <f t="shared" ca="1" si="119"/>
        <v>239.62957980270082</v>
      </c>
      <c r="J804" s="26">
        <f ca="1">RANDBETWEEN(ranges!J$2*1000,ranges!J$3*1000)/1000</f>
        <v>0.75</v>
      </c>
      <c r="K804" s="26">
        <f ca="1">RANDBETWEEN(ranges!K$2*1000,ranges!K$3*1000)/1000</f>
        <v>0.98699999999999999</v>
      </c>
      <c r="L804">
        <f t="shared" ca="1" si="120"/>
        <v>102.05214220779968</v>
      </c>
      <c r="M804">
        <f t="shared" ca="1" si="121"/>
        <v>13.867100213551339</v>
      </c>
      <c r="N804" s="4">
        <f t="shared" ca="1" si="122"/>
        <v>4.7239887897133919</v>
      </c>
      <c r="O804" s="4"/>
      <c r="P804" s="1">
        <f ca="1">LOOKUP(B804,geomorph!$A:$A,geomorph!$G:$G)</f>
        <v>105.00026100000001</v>
      </c>
      <c r="Q804" s="1">
        <f t="shared" ca="1" si="123"/>
        <v>118.86736121355135</v>
      </c>
    </row>
    <row r="805" spans="2:17" x14ac:dyDescent="0.3">
      <c r="B805" s="6">
        <f ca="1">RANDBETWEEN(ranges!B$2,ranges!B$3)</f>
        <v>11647</v>
      </c>
      <c r="C805" s="9">
        <f ca="1">LOOKUP(B805,geomorph!A:A,geomorph!B:B)</f>
        <v>1454.9</v>
      </c>
      <c r="D805">
        <f t="shared" si="116"/>
        <v>1.13E-4</v>
      </c>
      <c r="E805" s="9">
        <f ca="1">'[2]Q_GEV(random)'!$J805</f>
        <v>7430.3797869291484</v>
      </c>
      <c r="F805" s="26">
        <f ca="1">RANDBETWEEN(ranges!F$2*1000,ranges!F$3*1000)/1000</f>
        <v>9.4E-2</v>
      </c>
      <c r="G805" s="3">
        <f t="shared" ca="1" si="117"/>
        <v>5.1071412378370669</v>
      </c>
      <c r="H805" s="4">
        <f t="shared" ca="1" si="118"/>
        <v>8.2086107136783628</v>
      </c>
      <c r="I805" s="4">
        <f t="shared" ca="1" si="119"/>
        <v>174.31527765149184</v>
      </c>
      <c r="J805" s="26">
        <f ca="1">RANDBETWEEN(ranges!J$2*1000,ranges!J$3*1000)/1000</f>
        <v>0.67100000000000004</v>
      </c>
      <c r="K805" s="26">
        <f ca="1">RANDBETWEEN(ranges!K$2*1000,ranges!K$3*1000)/1000</f>
        <v>0.873</v>
      </c>
      <c r="L805">
        <f t="shared" ca="1" si="120"/>
        <v>79.678945226480337</v>
      </c>
      <c r="M805">
        <f t="shared" ca="1" si="121"/>
        <v>13.099513407330706</v>
      </c>
      <c r="N805" s="4">
        <f t="shared" ca="1" si="122"/>
        <v>5.3161985800568949</v>
      </c>
      <c r="O805" s="4"/>
      <c r="P805" s="1">
        <f ca="1">LOOKUP(B805,geomorph!$A:$A,geomorph!$G:$G)</f>
        <v>105.210441</v>
      </c>
      <c r="Q805" s="1">
        <f t="shared" ca="1" si="123"/>
        <v>118.30995440733071</v>
      </c>
    </row>
    <row r="806" spans="2:17" x14ac:dyDescent="0.3">
      <c r="B806" s="6">
        <f ca="1">RANDBETWEEN(ranges!B$2,ranges!B$3)</f>
        <v>11433</v>
      </c>
      <c r="C806" s="9">
        <f ca="1">LOOKUP(B806,geomorph!A:A,geomorph!B:B)</f>
        <v>1516.2</v>
      </c>
      <c r="D806">
        <f t="shared" si="116"/>
        <v>1.13E-4</v>
      </c>
      <c r="E806" s="9">
        <f ca="1">'[2]Q_GEV(random)'!$J806</f>
        <v>7422.8663733370831</v>
      </c>
      <c r="F806" s="26">
        <f ca="1">RANDBETWEEN(ranges!F$2*1000,ranges!F$3*1000)/1000</f>
        <v>0.1</v>
      </c>
      <c r="G806" s="3">
        <f t="shared" ca="1" si="117"/>
        <v>4.8957039792488342</v>
      </c>
      <c r="H806" s="4">
        <f t="shared" ca="1" si="118"/>
        <v>8.1467657716779573</v>
      </c>
      <c r="I806" s="4">
        <f t="shared" ca="1" si="119"/>
        <v>162.61862752804609</v>
      </c>
      <c r="J806" s="26">
        <f ca="1">RANDBETWEEN(ranges!J$2*1000,ranges!J$3*1000)/1000</f>
        <v>0.79700000000000004</v>
      </c>
      <c r="K806" s="26">
        <f ca="1">RANDBETWEEN(ranges!K$2*1000,ranges!K$3*1000)/1000</f>
        <v>0.877</v>
      </c>
      <c r="L806">
        <f t="shared" ca="1" si="120"/>
        <v>73.585562065257164</v>
      </c>
      <c r="M806">
        <f t="shared" ca="1" si="121"/>
        <v>12.607458499977749</v>
      </c>
      <c r="N806" s="4">
        <f t="shared" ca="1" si="122"/>
        <v>4.8485790524997734</v>
      </c>
      <c r="O806" s="4"/>
      <c r="P806" s="1">
        <f ca="1">LOOKUP(B806,geomorph!$A:$A,geomorph!$G:$G)</f>
        <v>105.234171</v>
      </c>
      <c r="Q806" s="1">
        <f t="shared" ca="1" si="123"/>
        <v>117.84162949997776</v>
      </c>
    </row>
    <row r="807" spans="2:17" x14ac:dyDescent="0.3">
      <c r="B807" s="6">
        <f ca="1">RANDBETWEEN(ranges!B$2,ranges!B$3)</f>
        <v>13261</v>
      </c>
      <c r="C807" s="9">
        <f ca="1">LOOKUP(B807,geomorph!A:A,geomorph!B:B)</f>
        <v>1169.8</v>
      </c>
      <c r="D807">
        <f t="shared" si="116"/>
        <v>1.13E-4</v>
      </c>
      <c r="E807" s="9">
        <f ca="1">'[2]Q_GEV(random)'!$J807</f>
        <v>7416.8343592853134</v>
      </c>
      <c r="F807" s="26">
        <f ca="1">RANDBETWEEN(ranges!F$2*1000,ranges!F$3*1000)/1000</f>
        <v>0.106</v>
      </c>
      <c r="G807" s="3">
        <f t="shared" ca="1" si="117"/>
        <v>6.3402584709226479</v>
      </c>
      <c r="H807" s="4">
        <f t="shared" ca="1" si="118"/>
        <v>9.8691949314099645</v>
      </c>
      <c r="I807" s="4">
        <f t="shared" ca="1" si="119"/>
        <v>250.42424621205191</v>
      </c>
      <c r="J807" s="26">
        <f ca="1">RANDBETWEEN(ranges!J$2*1000,ranges!J$3*1000)/1000</f>
        <v>0.621</v>
      </c>
      <c r="K807" s="26">
        <f ca="1">RANDBETWEEN(ranges!K$2*1000,ranges!K$3*1000)/1000</f>
        <v>0.86499999999999999</v>
      </c>
      <c r="L807">
        <f t="shared" ca="1" si="120"/>
        <v>110.1184779556495</v>
      </c>
      <c r="M807">
        <f t="shared" ca="1" si="121"/>
        <v>14.556275292914622</v>
      </c>
      <c r="N807" s="4">
        <f t="shared" ca="1" si="122"/>
        <v>5.0946525668528881</v>
      </c>
      <c r="O807" s="4"/>
      <c r="P807" s="1">
        <f ca="1">LOOKUP(B807,geomorph!$A:$A,geomorph!$G:$G)</f>
        <v>105.02738100000001</v>
      </c>
      <c r="Q807" s="1">
        <f t="shared" ca="1" si="123"/>
        <v>119.58365629291463</v>
      </c>
    </row>
    <row r="808" spans="2:17" x14ac:dyDescent="0.3">
      <c r="B808" s="6">
        <f ca="1">RANDBETWEEN(ranges!B$2,ranges!B$3)</f>
        <v>12124</v>
      </c>
      <c r="C808" s="9">
        <f ca="1">LOOKUP(B808,geomorph!A:A,geomorph!B:B)</f>
        <v>1312.4</v>
      </c>
      <c r="D808">
        <f t="shared" si="116"/>
        <v>1.13E-4</v>
      </c>
      <c r="E808" s="9">
        <f ca="1">'[2]Q_GEV(random)'!$J808</f>
        <v>7370.0357942491264</v>
      </c>
      <c r="F808" s="26">
        <f ca="1">RANDBETWEEN(ranges!F$2*1000,ranges!F$3*1000)/1000</f>
        <v>9.2999999999999999E-2</v>
      </c>
      <c r="G808" s="3">
        <f t="shared" ca="1" si="117"/>
        <v>5.6156932293882402</v>
      </c>
      <c r="H808" s="4">
        <f t="shared" ca="1" si="118"/>
        <v>8.7137486758217317</v>
      </c>
      <c r="I808" s="4">
        <f t="shared" ca="1" si="119"/>
        <v>205.86667276574579</v>
      </c>
      <c r="J808" s="26">
        <f ca="1">RANDBETWEEN(ranges!J$2*1000,ranges!J$3*1000)/1000</f>
        <v>0.63300000000000001</v>
      </c>
      <c r="K808" s="26">
        <f ca="1">RANDBETWEEN(ranges!K$2*1000,ranges!K$3*1000)/1000</f>
        <v>0.92200000000000004</v>
      </c>
      <c r="L808">
        <f t="shared" ca="1" si="120"/>
        <v>91.857012547281983</v>
      </c>
      <c r="M808">
        <f t="shared" ca="1" si="121"/>
        <v>13.622505189176977</v>
      </c>
      <c r="N808" s="4">
        <f t="shared" ca="1" si="122"/>
        <v>5.3356049058209178</v>
      </c>
      <c r="O808" s="4"/>
      <c r="P808" s="1">
        <f ca="1">LOOKUP(B808,geomorph!$A:$A,geomorph!$G:$G)</f>
        <v>105.15620100000001</v>
      </c>
      <c r="Q808" s="1">
        <f t="shared" ca="1" si="123"/>
        <v>118.77870618917699</v>
      </c>
    </row>
    <row r="809" spans="2:17" x14ac:dyDescent="0.3">
      <c r="B809" s="6">
        <f ca="1">RANDBETWEEN(ranges!B$2,ranges!B$3)</f>
        <v>13533</v>
      </c>
      <c r="C809" s="9">
        <f ca="1">LOOKUP(B809,geomorph!A:A,geomorph!B:B)</f>
        <v>1210.0999999999999</v>
      </c>
      <c r="D809">
        <f t="shared" si="116"/>
        <v>1.13E-4</v>
      </c>
      <c r="E809" s="9">
        <f ca="1">'[2]Q_GEV(random)'!$J809</f>
        <v>7348.0472553079908</v>
      </c>
      <c r="F809" s="26">
        <f ca="1">RANDBETWEEN(ranges!F$2*1000,ranges!F$3*1000)/1000</f>
        <v>9.7000000000000003E-2</v>
      </c>
      <c r="G809" s="3">
        <f t="shared" ca="1" si="117"/>
        <v>6.0722644866605995</v>
      </c>
      <c r="H809" s="4">
        <f t="shared" ca="1" si="118"/>
        <v>9.3096387246516521</v>
      </c>
      <c r="I809" s="4">
        <f t="shared" ca="1" si="119"/>
        <v>235.21366145718167</v>
      </c>
      <c r="J809" s="26">
        <f ca="1">RANDBETWEEN(ranges!J$2*1000,ranges!J$3*1000)/1000</f>
        <v>0.60499999999999998</v>
      </c>
      <c r="K809" s="26">
        <f ca="1">RANDBETWEEN(ranges!K$2*1000,ranges!K$3*1000)/1000</f>
        <v>0.83799999999999997</v>
      </c>
      <c r="L809">
        <f t="shared" ca="1" si="120"/>
        <v>102.78481092101086</v>
      </c>
      <c r="M809">
        <f t="shared" ca="1" si="121"/>
        <v>14.05492866559322</v>
      </c>
      <c r="N809" s="4">
        <f t="shared" ca="1" si="122"/>
        <v>5.1579238488495305</v>
      </c>
      <c r="O809" s="4"/>
      <c r="P809" s="1">
        <f ca="1">LOOKUP(B809,geomorph!$A:$A,geomorph!$G:$G)</f>
        <v>104.996871</v>
      </c>
      <c r="Q809" s="1">
        <f t="shared" ca="1" si="123"/>
        <v>119.05179966559322</v>
      </c>
    </row>
    <row r="810" spans="2:17" x14ac:dyDescent="0.3">
      <c r="B810" s="6">
        <f ca="1">RANDBETWEEN(ranges!B$2,ranges!B$3)</f>
        <v>12974</v>
      </c>
      <c r="C810" s="9">
        <f ca="1">LOOKUP(B810,geomorph!A:A,geomorph!B:B)</f>
        <v>1142</v>
      </c>
      <c r="D810">
        <f t="shared" si="116"/>
        <v>1.13E-4</v>
      </c>
      <c r="E810" s="9">
        <f ca="1">'[2]Q_GEV(random)'!$J810</f>
        <v>7346.2561310857463</v>
      </c>
      <c r="F810" s="26">
        <f ca="1">RANDBETWEEN(ranges!F$2*1000,ranges!F$3*1000)/1000</f>
        <v>9.9000000000000005E-2</v>
      </c>
      <c r="G810" s="3">
        <f t="shared" ca="1" si="117"/>
        <v>6.4327987137353295</v>
      </c>
      <c r="H810" s="4">
        <f t="shared" ca="1" si="118"/>
        <v>9.7406252777669184</v>
      </c>
      <c r="I810" s="4">
        <f t="shared" ca="1" si="119"/>
        <v>259.01041109812058</v>
      </c>
      <c r="J810" s="26">
        <f ca="1">RANDBETWEEN(ranges!J$2*1000,ranges!J$3*1000)/1000</f>
        <v>0.68300000000000005</v>
      </c>
      <c r="K810" s="26">
        <f ca="1">RANDBETWEEN(ranges!K$2*1000,ranges!K$3*1000)/1000</f>
        <v>0.83</v>
      </c>
      <c r="L810">
        <f t="shared" ca="1" si="120"/>
        <v>108.4090457013131</v>
      </c>
      <c r="M810">
        <f t="shared" ca="1" si="121"/>
        <v>13.98975371157165</v>
      </c>
      <c r="N810" s="4">
        <f t="shared" ca="1" si="122"/>
        <v>4.61861786283123</v>
      </c>
      <c r="O810" s="4"/>
      <c r="P810" s="1">
        <f ca="1">LOOKUP(B810,geomorph!$A:$A,geomorph!$G:$G)</f>
        <v>105.060151</v>
      </c>
      <c r="Q810" s="1">
        <f t="shared" ca="1" si="123"/>
        <v>119.04990471157166</v>
      </c>
    </row>
    <row r="811" spans="2:17" x14ac:dyDescent="0.3">
      <c r="B811" s="6">
        <f ca="1">RANDBETWEEN(ranges!B$2,ranges!B$3)</f>
        <v>13324</v>
      </c>
      <c r="C811" s="9">
        <f ca="1">LOOKUP(B811,geomorph!A:A,geomorph!B:B)</f>
        <v>1176.5</v>
      </c>
      <c r="D811">
        <f t="shared" si="116"/>
        <v>1.13E-4</v>
      </c>
      <c r="E811" s="9">
        <f ca="1">'[2]Q_GEV(random)'!$J811</f>
        <v>7305.6474790140692</v>
      </c>
      <c r="F811" s="26">
        <f ca="1">RANDBETWEEN(ranges!F$2*1000,ranges!F$3*1000)/1000</f>
        <v>9.5000000000000001E-2</v>
      </c>
      <c r="G811" s="3">
        <f t="shared" ca="1" si="117"/>
        <v>6.209645116034058</v>
      </c>
      <c r="H811" s="4">
        <f t="shared" ca="1" si="118"/>
        <v>9.3841336746514816</v>
      </c>
      <c r="I811" s="4">
        <f t="shared" ca="1" si="119"/>
        <v>245.56658606394126</v>
      </c>
      <c r="J811" s="26">
        <f ca="1">RANDBETWEEN(ranges!J$2*1000,ranges!J$3*1000)/1000</f>
        <v>0.64100000000000001</v>
      </c>
      <c r="K811" s="26">
        <f ca="1">RANDBETWEEN(ranges!K$2*1000,ranges!K$3*1000)/1000</f>
        <v>0.84099999999999997</v>
      </c>
      <c r="L811">
        <f t="shared" ca="1" si="120"/>
        <v>104.36337240176881</v>
      </c>
      <c r="M811">
        <f t="shared" ca="1" si="121"/>
        <v>13.874536362266953</v>
      </c>
      <c r="N811" s="4">
        <f t="shared" ca="1" si="122"/>
        <v>4.8808724865385562</v>
      </c>
      <c r="O811" s="4"/>
      <c r="P811" s="1">
        <f ca="1">LOOKUP(B811,geomorph!$A:$A,geomorph!$G:$G)</f>
        <v>105.020601</v>
      </c>
      <c r="Q811" s="1">
        <f t="shared" ca="1" si="123"/>
        <v>118.89513736226695</v>
      </c>
    </row>
    <row r="812" spans="2:17" x14ac:dyDescent="0.3">
      <c r="B812" s="6">
        <f ca="1">RANDBETWEEN(ranges!B$2,ranges!B$3)</f>
        <v>13043</v>
      </c>
      <c r="C812" s="9">
        <f ca="1">LOOKUP(B812,geomorph!A:A,geomorph!B:B)</f>
        <v>1147.0999999999999</v>
      </c>
      <c r="D812">
        <f t="shared" si="116"/>
        <v>1.13E-4</v>
      </c>
      <c r="E812" s="9">
        <f ca="1">'[2]Q_GEV(random)'!$J812</f>
        <v>7299.448520649592</v>
      </c>
      <c r="F812" s="26">
        <f ca="1">RANDBETWEEN(ranges!F$2*1000,ranges!F$3*1000)/1000</f>
        <v>0.10199999999999999</v>
      </c>
      <c r="G812" s="3">
        <f t="shared" ca="1" si="117"/>
        <v>6.363393357727829</v>
      </c>
      <c r="H812" s="4">
        <f t="shared" ca="1" si="118"/>
        <v>9.7671464747988423</v>
      </c>
      <c r="I812" s="4">
        <f t="shared" ca="1" si="119"/>
        <v>256.00075768051346</v>
      </c>
      <c r="J812" s="26">
        <f ca="1">RANDBETWEEN(ranges!J$2*1000,ranges!J$3*1000)/1000</f>
        <v>0.79600000000000004</v>
      </c>
      <c r="K812" s="26">
        <f ca="1">RANDBETWEEN(ranges!K$2*1000,ranges!K$3*1000)/1000</f>
        <v>0.82199999999999995</v>
      </c>
      <c r="L812">
        <f t="shared" ca="1" si="120"/>
        <v>104.97119834154806</v>
      </c>
      <c r="M812">
        <f t="shared" ca="1" si="121"/>
        <v>13.606608162787643</v>
      </c>
      <c r="N812" s="4">
        <f t="shared" ca="1" si="122"/>
        <v>4.1733279217269565</v>
      </c>
      <c r="O812" s="4"/>
      <c r="P812" s="1">
        <f ca="1">LOOKUP(B812,geomorph!$A:$A,geomorph!$G:$G)</f>
        <v>105.05224100000001</v>
      </c>
      <c r="Q812" s="1">
        <f t="shared" ca="1" si="123"/>
        <v>118.65884916278765</v>
      </c>
    </row>
    <row r="813" spans="2:17" x14ac:dyDescent="0.3">
      <c r="B813" s="6">
        <f ca="1">RANDBETWEEN(ranges!B$2,ranges!B$3)</f>
        <v>12886</v>
      </c>
      <c r="C813" s="9">
        <f ca="1">LOOKUP(B813,geomorph!A:A,geomorph!B:B)</f>
        <v>1136</v>
      </c>
      <c r="D813">
        <f t="shared" si="116"/>
        <v>1.13E-4</v>
      </c>
      <c r="E813" s="9">
        <f ca="1">'[2]Q_GEV(random)'!$J813</f>
        <v>7279.4207012484658</v>
      </c>
      <c r="F813" s="26">
        <f ca="1">RANDBETWEEN(ranges!F$2*1000,ranges!F$3*1000)/1000</f>
        <v>9.8000000000000004E-2</v>
      </c>
      <c r="G813" s="3">
        <f t="shared" ca="1" si="117"/>
        <v>6.4079407581412555</v>
      </c>
      <c r="H813" s="4">
        <f t="shared" ca="1" si="118"/>
        <v>9.6826926632310109</v>
      </c>
      <c r="I813" s="4">
        <f t="shared" ca="1" si="119"/>
        <v>259.70721250815143</v>
      </c>
      <c r="J813" s="26">
        <f ca="1">RANDBETWEEN(ranges!J$2*1000,ranges!J$3*1000)/1000</f>
        <v>0.67</v>
      </c>
      <c r="K813" s="26">
        <f ca="1">RANDBETWEEN(ranges!K$2*1000,ranges!K$3*1000)/1000</f>
        <v>0.88400000000000001</v>
      </c>
      <c r="L813">
        <f t="shared" ca="1" si="120"/>
        <v>109.47591536045311</v>
      </c>
      <c r="M813">
        <f t="shared" ca="1" si="121"/>
        <v>14.053204302990645</v>
      </c>
      <c r="N813" s="4">
        <f t="shared" ca="1" si="122"/>
        <v>4.7505561301735151</v>
      </c>
      <c r="O813" s="4"/>
      <c r="P813" s="1">
        <f ca="1">LOOKUP(B813,geomorph!$A:$A,geomorph!$G:$G)</f>
        <v>105.07032100000001</v>
      </c>
      <c r="Q813" s="1">
        <f t="shared" ca="1" si="123"/>
        <v>119.12352530299066</v>
      </c>
    </row>
    <row r="814" spans="2:17" x14ac:dyDescent="0.3">
      <c r="B814" s="6">
        <f ca="1">RANDBETWEEN(ranges!B$2,ranges!B$3)</f>
        <v>11289</v>
      </c>
      <c r="C814" s="9">
        <f ca="1">LOOKUP(B814,geomorph!A:A,geomorph!B:B)</f>
        <v>1617.2</v>
      </c>
      <c r="D814">
        <f t="shared" si="116"/>
        <v>1.13E-4</v>
      </c>
      <c r="E814" s="9">
        <f ca="1">'[2]Q_GEV(random)'!$J814</f>
        <v>7266.4487372431122</v>
      </c>
      <c r="F814" s="26">
        <f ca="1">RANDBETWEEN(ranges!F$2*1000,ranges!F$3*1000)/1000</f>
        <v>9.1999999999999998E-2</v>
      </c>
      <c r="G814" s="3">
        <f t="shared" ca="1" si="117"/>
        <v>4.493228257014044</v>
      </c>
      <c r="H814" s="4">
        <f t="shared" ca="1" si="118"/>
        <v>7.4830169108614877</v>
      </c>
      <c r="I814" s="4">
        <f t="shared" ca="1" si="119"/>
        <v>143.98765933425651</v>
      </c>
      <c r="J814" s="26">
        <f ca="1">RANDBETWEEN(ranges!J$2*1000,ranges!J$3*1000)/1000</f>
        <v>0.70799999999999996</v>
      </c>
      <c r="K814" s="26">
        <f ca="1">RANDBETWEEN(ranges!K$2*1000,ranges!K$3*1000)/1000</f>
        <v>0.92400000000000004</v>
      </c>
      <c r="L814">
        <f t="shared" ca="1" si="120"/>
        <v>68.423741952231438</v>
      </c>
      <c r="M814">
        <f t="shared" ca="1" si="121"/>
        <v>12.504000929821801</v>
      </c>
      <c r="N814" s="4">
        <f t="shared" ca="1" si="122"/>
        <v>5.4575913249568622</v>
      </c>
      <c r="O814" s="4"/>
      <c r="P814" s="1">
        <f ca="1">LOOKUP(B814,geomorph!$A:$A,geomorph!$G:$G)</f>
        <v>105.251121</v>
      </c>
      <c r="Q814" s="1">
        <f t="shared" ca="1" si="123"/>
        <v>117.7551219298218</v>
      </c>
    </row>
    <row r="815" spans="2:17" x14ac:dyDescent="0.3">
      <c r="B815" s="6">
        <f ca="1">RANDBETWEEN(ranges!B$2,ranges!B$3)</f>
        <v>12730</v>
      </c>
      <c r="C815" s="9">
        <f ca="1">LOOKUP(B815,geomorph!A:A,geomorph!B:B)</f>
        <v>1150.5</v>
      </c>
      <c r="D815">
        <f t="shared" si="116"/>
        <v>1.13E-4</v>
      </c>
      <c r="E815" s="9">
        <f ca="1">'[2]Q_GEV(random)'!$J815</f>
        <v>7252.0225854744285</v>
      </c>
      <c r="F815" s="26">
        <f ca="1">RANDBETWEEN(ranges!F$2*1000,ranges!F$3*1000)/1000</f>
        <v>0.104</v>
      </c>
      <c r="G815" s="3">
        <f t="shared" ca="1" si="117"/>
        <v>6.3033660021507423</v>
      </c>
      <c r="H815" s="4">
        <f t="shared" ca="1" si="118"/>
        <v>9.7686509774982078</v>
      </c>
      <c r="I815" s="4">
        <f t="shared" ca="1" si="119"/>
        <v>253.63649549911409</v>
      </c>
      <c r="J815" s="26">
        <f ca="1">RANDBETWEEN(ranges!J$2*1000,ranges!J$3*1000)/1000</f>
        <v>0.77700000000000002</v>
      </c>
      <c r="K815" s="26">
        <f ca="1">RANDBETWEEN(ranges!K$2*1000,ranges!K$3*1000)/1000</f>
        <v>0.96899999999999997</v>
      </c>
      <c r="L815">
        <f t="shared" ca="1" si="120"/>
        <v>106.952697619025</v>
      </c>
      <c r="M815">
        <f t="shared" ca="1" si="121"/>
        <v>13.904545883007772</v>
      </c>
      <c r="N815" s="4">
        <f t="shared" ca="1" si="122"/>
        <v>4.4955379407712659</v>
      </c>
      <c r="O815" s="4"/>
      <c r="P815" s="1">
        <f ca="1">LOOKUP(B815,geomorph!$A:$A,geomorph!$G:$G)</f>
        <v>105.087271</v>
      </c>
      <c r="Q815" s="1">
        <f t="shared" ca="1" si="123"/>
        <v>118.99181688300777</v>
      </c>
    </row>
    <row r="816" spans="2:17" x14ac:dyDescent="0.3">
      <c r="B816" s="6">
        <f ca="1">RANDBETWEEN(ranges!B$2,ranges!B$3)</f>
        <v>13743</v>
      </c>
      <c r="C816" s="9">
        <f ca="1">LOOKUP(B816,geomorph!A:A,geomorph!B:B)</f>
        <v>1263.2</v>
      </c>
      <c r="D816">
        <f t="shared" si="116"/>
        <v>1.13E-4</v>
      </c>
      <c r="E816" s="9">
        <f ca="1">'[2]Q_GEV(random)'!$J816</f>
        <v>7251.8680099766652</v>
      </c>
      <c r="F816" s="26">
        <f ca="1">RANDBETWEEN(ranges!F$2*1000,ranges!F$3*1000)/1000</f>
        <v>0.09</v>
      </c>
      <c r="G816" s="3">
        <f t="shared" ca="1" si="117"/>
        <v>5.7408708122044532</v>
      </c>
      <c r="H816" s="4">
        <f t="shared" ca="1" si="118"/>
        <v>8.7466379291986716</v>
      </c>
      <c r="I816" s="4">
        <f t="shared" ca="1" si="119"/>
        <v>217.05164546753528</v>
      </c>
      <c r="J816" s="26">
        <f ca="1">RANDBETWEEN(ranges!J$2*1000,ranges!J$3*1000)/1000</f>
        <v>0.67700000000000005</v>
      </c>
      <c r="K816" s="26">
        <f ca="1">RANDBETWEEN(ranges!K$2*1000,ranges!K$3*1000)/1000</f>
        <v>0.81299999999999994</v>
      </c>
      <c r="L816">
        <f t="shared" ca="1" si="120"/>
        <v>92.065807641113409</v>
      </c>
      <c r="M816">
        <f t="shared" ca="1" si="121"/>
        <v>13.141620687984753</v>
      </c>
      <c r="N816" s="4">
        <f t="shared" ca="1" si="122"/>
        <v>4.7771551725935666</v>
      </c>
      <c r="O816" s="4"/>
      <c r="P816" s="1">
        <f ca="1">LOOKUP(B816,geomorph!$A:$A,geomorph!$G:$G)</f>
        <v>104.973141</v>
      </c>
      <c r="Q816" s="1">
        <f t="shared" ca="1" si="123"/>
        <v>118.11476168798475</v>
      </c>
    </row>
    <row r="817" spans="2:17" x14ac:dyDescent="0.3">
      <c r="B817" s="6">
        <f ca="1">RANDBETWEEN(ranges!B$2,ranges!B$3)</f>
        <v>11715</v>
      </c>
      <c r="C817" s="9">
        <f ca="1">LOOKUP(B817,geomorph!A:A,geomorph!B:B)</f>
        <v>1436.4</v>
      </c>
      <c r="D817">
        <f t="shared" si="116"/>
        <v>1.13E-4</v>
      </c>
      <c r="E817" s="9">
        <f ca="1">'[2]Q_GEV(random)'!$J817</f>
        <v>7239.1855581334703</v>
      </c>
      <c r="F817" s="26">
        <f ca="1">RANDBETWEEN(ranges!F$2*1000,ranges!F$3*1000)/1000</f>
        <v>9.7000000000000003E-2</v>
      </c>
      <c r="G817" s="3">
        <f t="shared" ca="1" si="117"/>
        <v>5.0398117224543793</v>
      </c>
      <c r="H817" s="4">
        <f t="shared" ca="1" si="118"/>
        <v>8.2219579179255078</v>
      </c>
      <c r="I817" s="4">
        <f t="shared" ca="1" si="119"/>
        <v>175.00514981421571</v>
      </c>
      <c r="J817" s="26">
        <f ca="1">RANDBETWEEN(ranges!J$2*1000,ranges!J$3*1000)/1000</f>
        <v>0.60499999999999998</v>
      </c>
      <c r="K817" s="26">
        <f ca="1">RANDBETWEEN(ranges!K$2*1000,ranges!K$3*1000)/1000</f>
        <v>0.82499999999999996</v>
      </c>
      <c r="L817">
        <f t="shared" ca="1" si="120"/>
        <v>82.278032765099923</v>
      </c>
      <c r="M817">
        <f t="shared" ca="1" si="121"/>
        <v>13.354810787808217</v>
      </c>
      <c r="N817" s="4">
        <f t="shared" ca="1" si="122"/>
        <v>5.5791879020464235</v>
      </c>
      <c r="O817" s="4"/>
      <c r="P817" s="1">
        <f ca="1">LOOKUP(B817,geomorph!$A:$A,geomorph!$G:$G)</f>
        <v>105.20253100000001</v>
      </c>
      <c r="Q817" s="1">
        <f t="shared" ca="1" si="123"/>
        <v>118.55734178780823</v>
      </c>
    </row>
    <row r="818" spans="2:17" x14ac:dyDescent="0.3">
      <c r="B818" s="6">
        <f ca="1">RANDBETWEEN(ranges!B$2,ranges!B$3)</f>
        <v>14902</v>
      </c>
      <c r="C818" s="9">
        <f ca="1">LOOKUP(B818,geomorph!A:A,geomorph!B:B)</f>
        <v>1507</v>
      </c>
      <c r="D818">
        <f t="shared" si="116"/>
        <v>1.13E-4</v>
      </c>
      <c r="E818" s="9">
        <f ca="1">'[2]Q_GEV(random)'!$J818</f>
        <v>7219.076846888207</v>
      </c>
      <c r="F818" s="26">
        <f ca="1">RANDBETWEEN(ranges!F$2*1000,ranges!F$3*1000)/1000</f>
        <v>9.8000000000000004E-2</v>
      </c>
      <c r="G818" s="3">
        <f t="shared" ca="1" si="117"/>
        <v>4.7903628711932367</v>
      </c>
      <c r="H818" s="4">
        <f t="shared" ca="1" si="118"/>
        <v>7.9755889608358919</v>
      </c>
      <c r="I818" s="4">
        <f t="shared" ca="1" si="119"/>
        <v>161.25593447351031</v>
      </c>
      <c r="J818" s="26">
        <f ca="1">RANDBETWEEN(ranges!J$2*1000,ranges!J$3*1000)/1000</f>
        <v>0.61099999999999999</v>
      </c>
      <c r="K818" s="26">
        <f ca="1">RANDBETWEEN(ranges!K$2*1000,ranges!K$3*1000)/1000</f>
        <v>0.93700000000000006</v>
      </c>
      <c r="L818">
        <f t="shared" ca="1" si="120"/>
        <v>78.681269212243862</v>
      </c>
      <c r="M818">
        <f t="shared" ca="1" si="121"/>
        <v>13.39871201542222</v>
      </c>
      <c r="N818" s="4">
        <f t="shared" ca="1" si="122"/>
        <v>5.8946989723764434</v>
      </c>
      <c r="O818" s="4"/>
      <c r="P818" s="1">
        <f ca="1">LOOKUP(B818,geomorph!$A:$A,geomorph!$G:$G)</f>
        <v>104.842061</v>
      </c>
      <c r="Q818" s="1">
        <f t="shared" ca="1" si="123"/>
        <v>118.24077301542222</v>
      </c>
    </row>
    <row r="819" spans="2:17" x14ac:dyDescent="0.3">
      <c r="B819" s="6">
        <f ca="1">RANDBETWEEN(ranges!B$2,ranges!B$3)</f>
        <v>10295</v>
      </c>
      <c r="C819" s="9">
        <f ca="1">LOOKUP(B819,geomorph!A:A,geomorph!B:B)</f>
        <v>1657.3</v>
      </c>
      <c r="D819">
        <f t="shared" si="116"/>
        <v>1.13E-4</v>
      </c>
      <c r="E819" s="9">
        <f ca="1">'[2]Q_GEV(random)'!$J819</f>
        <v>7208.2259845374638</v>
      </c>
      <c r="F819" s="26">
        <f ca="1">RANDBETWEEN(ranges!F$2*1000,ranges!F$3*1000)/1000</f>
        <v>0.10100000000000001</v>
      </c>
      <c r="G819" s="3">
        <f t="shared" ca="1" si="117"/>
        <v>4.3493791012716247</v>
      </c>
      <c r="H819" s="4">
        <f t="shared" ca="1" si="118"/>
        <v>7.5538280876624748</v>
      </c>
      <c r="I819" s="4">
        <f t="shared" ca="1" si="119"/>
        <v>137.48871790200204</v>
      </c>
      <c r="J819" s="26">
        <f ca="1">RANDBETWEEN(ranges!J$2*1000,ranges!J$3*1000)/1000</f>
        <v>0.69299999999999995</v>
      </c>
      <c r="K819" s="26">
        <f ca="1">RANDBETWEEN(ranges!K$2*1000,ranges!K$3*1000)/1000</f>
        <v>0.95899999999999996</v>
      </c>
      <c r="L819">
        <f t="shared" ca="1" si="120"/>
        <v>68.411308635543634</v>
      </c>
      <c r="M819">
        <f t="shared" ca="1" si="121"/>
        <v>12.81172098359057</v>
      </c>
      <c r="N819" s="4">
        <f t="shared" ca="1" si="122"/>
        <v>5.7151009738348861</v>
      </c>
      <c r="O819" s="4"/>
      <c r="P819" s="1">
        <f ca="1">LOOKUP(B819,geomorph!$A:$A,geomorph!$G:$G)</f>
        <v>105.36299100000001</v>
      </c>
      <c r="Q819" s="1">
        <f t="shared" ca="1" si="123"/>
        <v>118.17471198359058</v>
      </c>
    </row>
    <row r="820" spans="2:17" x14ac:dyDescent="0.3">
      <c r="B820" s="6">
        <f ca="1">RANDBETWEEN(ranges!B$2,ranges!B$3)</f>
        <v>14695</v>
      </c>
      <c r="C820" s="9">
        <f ca="1">LOOKUP(B820,geomorph!A:A,geomorph!B:B)</f>
        <v>1456.5</v>
      </c>
      <c r="D820">
        <f t="shared" si="116"/>
        <v>1.13E-4</v>
      </c>
      <c r="E820" s="9">
        <f ca="1">'[2]Q_GEV(random)'!$J820</f>
        <v>7201.8157194931491</v>
      </c>
      <c r="F820" s="26">
        <f ca="1">RANDBETWEEN(ranges!F$2*1000,ranges!F$3*1000)/1000</f>
        <v>0.108</v>
      </c>
      <c r="G820" s="3">
        <f t="shared" ca="1" si="117"/>
        <v>4.9446039955325434</v>
      </c>
      <c r="H820" s="4">
        <f t="shared" ca="1" si="118"/>
        <v>8.4140300506783241</v>
      </c>
      <c r="I820" s="4">
        <f t="shared" ca="1" si="119"/>
        <v>170.40952723734259</v>
      </c>
      <c r="J820" s="26">
        <f ca="1">RANDBETWEEN(ranges!J$2*1000,ranges!J$3*1000)/1000</f>
        <v>0.79500000000000004</v>
      </c>
      <c r="K820" s="26">
        <f ca="1">RANDBETWEEN(ranges!K$2*1000,ranges!K$3*1000)/1000</f>
        <v>0.84899999999999998</v>
      </c>
      <c r="L820">
        <f t="shared" ca="1" si="120"/>
        <v>77.529075832080906</v>
      </c>
      <c r="M820">
        <f t="shared" ca="1" si="121"/>
        <v>12.760084181285119</v>
      </c>
      <c r="N820" s="4">
        <f t="shared" ca="1" si="122"/>
        <v>4.7239718810943421</v>
      </c>
      <c r="O820" s="4"/>
      <c r="P820" s="1">
        <f ca="1">LOOKUP(B820,geomorph!$A:$A,geomorph!$G:$G)</f>
        <v>104.865791</v>
      </c>
      <c r="Q820" s="1">
        <f t="shared" ca="1" si="123"/>
        <v>117.62587518128512</v>
      </c>
    </row>
    <row r="821" spans="2:17" x14ac:dyDescent="0.3">
      <c r="B821" s="6">
        <f ca="1">RANDBETWEEN(ranges!B$2,ranges!B$3)</f>
        <v>12801</v>
      </c>
      <c r="C821" s="9">
        <f ca="1">LOOKUP(B821,geomorph!A:A,geomorph!B:B)</f>
        <v>1133</v>
      </c>
      <c r="D821">
        <f t="shared" si="116"/>
        <v>1.13E-4</v>
      </c>
      <c r="E821" s="9">
        <f ca="1">'[2]Q_GEV(random)'!$J821</f>
        <v>7182.2840544107148</v>
      </c>
      <c r="F821" s="26">
        <f ca="1">RANDBETWEEN(ranges!F$2*1000,ranges!F$3*1000)/1000</f>
        <v>9.9000000000000005E-2</v>
      </c>
      <c r="G821" s="3">
        <f t="shared" ca="1" si="117"/>
        <v>6.3391739226925994</v>
      </c>
      <c r="H821" s="4">
        <f t="shared" ca="1" si="118"/>
        <v>9.6458826270387306</v>
      </c>
      <c r="I821" s="4">
        <f t="shared" ca="1" si="119"/>
        <v>258.52857473689164</v>
      </c>
      <c r="J821" s="26">
        <f ca="1">RANDBETWEEN(ranges!J$2*1000,ranges!J$3*1000)/1000</f>
        <v>0.625</v>
      </c>
      <c r="K821" s="26">
        <f ca="1">RANDBETWEEN(ranges!K$2*1000,ranges!K$3*1000)/1000</f>
        <v>0.93899999999999995</v>
      </c>
      <c r="L821">
        <f t="shared" ca="1" si="120"/>
        <v>111.71452705974801</v>
      </c>
      <c r="M821">
        <f t="shared" ca="1" si="121"/>
        <v>14.302699184932477</v>
      </c>
      <c r="N821" s="4">
        <f t="shared" ca="1" si="122"/>
        <v>5.0617571281453762</v>
      </c>
      <c r="O821" s="4"/>
      <c r="P821" s="1">
        <f ca="1">LOOKUP(B821,geomorph!$A:$A,geomorph!$G:$G)</f>
        <v>105.07936100000001</v>
      </c>
      <c r="Q821" s="1">
        <f t="shared" ca="1" si="123"/>
        <v>119.38206018493248</v>
      </c>
    </row>
    <row r="822" spans="2:17" x14ac:dyDescent="0.3">
      <c r="B822" s="6">
        <f ca="1">RANDBETWEEN(ranges!B$2,ranges!B$3)</f>
        <v>12157</v>
      </c>
      <c r="C822" s="9">
        <f ca="1">LOOKUP(B822,geomorph!A:A,geomorph!B:B)</f>
        <v>1302.4000000000001</v>
      </c>
      <c r="D822">
        <f t="shared" si="116"/>
        <v>1.13E-4</v>
      </c>
      <c r="E822" s="9">
        <f ca="1">'[2]Q_GEV(random)'!$J822</f>
        <v>7171.7101805016118</v>
      </c>
      <c r="F822" s="26">
        <f ca="1">RANDBETWEEN(ranges!F$2*1000,ranges!F$3*1000)/1000</f>
        <v>9.1999999999999998E-2</v>
      </c>
      <c r="G822" s="3">
        <f t="shared" ca="1" si="117"/>
        <v>5.5065342295006232</v>
      </c>
      <c r="H822" s="4">
        <f t="shared" ca="1" si="118"/>
        <v>8.569522720181725</v>
      </c>
      <c r="I822" s="4">
        <f t="shared" ca="1" si="119"/>
        <v>204.75028967085234</v>
      </c>
      <c r="J822" s="26">
        <f ca="1">RANDBETWEEN(ranges!J$2*1000,ranges!J$3*1000)/1000</f>
        <v>0.76100000000000001</v>
      </c>
      <c r="K822" s="26">
        <f ca="1">RANDBETWEEN(ranges!K$2*1000,ranges!K$3*1000)/1000</f>
        <v>0.95499999999999996</v>
      </c>
      <c r="L822">
        <f t="shared" ca="1" si="120"/>
        <v>87.672682871927734</v>
      </c>
      <c r="M822">
        <f t="shared" ca="1" si="121"/>
        <v>12.902893945481052</v>
      </c>
      <c r="N822" s="4">
        <f t="shared" ca="1" si="122"/>
        <v>4.7101861144557899</v>
      </c>
      <c r="O822" s="4"/>
      <c r="P822" s="1">
        <f ca="1">LOOKUP(B822,geomorph!$A:$A,geomorph!$G:$G)</f>
        <v>105.152811</v>
      </c>
      <c r="Q822" s="1">
        <f t="shared" ca="1" si="123"/>
        <v>118.05570494548105</v>
      </c>
    </row>
    <row r="823" spans="2:17" x14ac:dyDescent="0.3">
      <c r="B823" s="6">
        <f ca="1">RANDBETWEEN(ranges!B$2,ranges!B$3)</f>
        <v>12090</v>
      </c>
      <c r="C823" s="9">
        <f ca="1">LOOKUP(B823,geomorph!A:A,geomorph!B:B)</f>
        <v>1322.2</v>
      </c>
      <c r="D823">
        <f t="shared" si="116"/>
        <v>1.13E-4</v>
      </c>
      <c r="E823" s="9">
        <f ca="1">'[2]Q_GEV(random)'!$J823</f>
        <v>7170.880301473323</v>
      </c>
      <c r="F823" s="26">
        <f ca="1">RANDBETWEEN(ranges!F$2*1000,ranges!F$3*1000)/1000</f>
        <v>9.6000000000000002E-2</v>
      </c>
      <c r="G823" s="3">
        <f t="shared" ca="1" si="117"/>
        <v>5.4234460002067184</v>
      </c>
      <c r="H823" s="4">
        <f t="shared" ca="1" si="118"/>
        <v>8.6043041671710281</v>
      </c>
      <c r="I823" s="4">
        <f t="shared" ca="1" si="119"/>
        <v>199.65019758736037</v>
      </c>
      <c r="J823" s="26">
        <f ca="1">RANDBETWEEN(ranges!J$2*1000,ranges!J$3*1000)/1000</f>
        <v>0.64100000000000001</v>
      </c>
      <c r="K823" s="26">
        <f ca="1">RANDBETWEEN(ranges!K$2*1000,ranges!K$3*1000)/1000</f>
        <v>0.95499999999999996</v>
      </c>
      <c r="L823">
        <f t="shared" ca="1" si="120"/>
        <v>90.558967699545462</v>
      </c>
      <c r="M823">
        <f t="shared" ca="1" si="121"/>
        <v>13.530288581434307</v>
      </c>
      <c r="N823" s="4">
        <f t="shared" ca="1" si="122"/>
        <v>5.3543308850687819</v>
      </c>
      <c r="O823" s="4"/>
      <c r="P823" s="1">
        <f ca="1">LOOKUP(B823,geomorph!$A:$A,geomorph!$G:$G)</f>
        <v>105.15959100000001</v>
      </c>
      <c r="Q823" s="1">
        <f t="shared" ca="1" si="123"/>
        <v>118.68987958143431</v>
      </c>
    </row>
    <row r="824" spans="2:17" x14ac:dyDescent="0.3">
      <c r="B824" s="6">
        <f ca="1">RANDBETWEEN(ranges!B$2,ranges!B$3)</f>
        <v>14437</v>
      </c>
      <c r="C824" s="9">
        <f ca="1">LOOKUP(B824,geomorph!A:A,geomorph!B:B)</f>
        <v>1384.1</v>
      </c>
      <c r="D824">
        <f t="shared" si="116"/>
        <v>1.13E-4</v>
      </c>
      <c r="E824" s="9">
        <f ca="1">'[2]Q_GEV(random)'!$J824</f>
        <v>7162.8853218109625</v>
      </c>
      <c r="F824" s="26">
        <f ca="1">RANDBETWEEN(ranges!F$2*1000,ranges!F$3*1000)/1000</f>
        <v>9.8000000000000004E-2</v>
      </c>
      <c r="G824" s="3">
        <f t="shared" ca="1" si="117"/>
        <v>5.1751212497731114</v>
      </c>
      <c r="H824" s="4">
        <f t="shared" ca="1" si="118"/>
        <v>8.3971293186461526</v>
      </c>
      <c r="I824" s="4">
        <f t="shared" ca="1" si="119"/>
        <v>184.8543044863965</v>
      </c>
      <c r="J824" s="26">
        <f ca="1">RANDBETWEEN(ranges!J$2*1000,ranges!J$3*1000)/1000</f>
        <v>0.71099999999999997</v>
      </c>
      <c r="K824" s="26">
        <f ca="1">RANDBETWEEN(ranges!K$2*1000,ranges!K$3*1000)/1000</f>
        <v>0.97</v>
      </c>
      <c r="L824">
        <f t="shared" ca="1" si="120"/>
        <v>83.876308771408759</v>
      </c>
      <c r="M824">
        <f t="shared" ca="1" si="121"/>
        <v>13.118531483667274</v>
      </c>
      <c r="N824" s="4">
        <f t="shared" ca="1" si="122"/>
        <v>5.1319588750229581</v>
      </c>
      <c r="O824" s="4"/>
      <c r="P824" s="1">
        <f ca="1">LOOKUP(B824,geomorph!$A:$A,geomorph!$G:$G)</f>
        <v>104.895171</v>
      </c>
      <c r="Q824" s="1">
        <f t="shared" ca="1" si="123"/>
        <v>118.01370248366727</v>
      </c>
    </row>
    <row r="825" spans="2:17" x14ac:dyDescent="0.3">
      <c r="B825" s="6">
        <f ca="1">RANDBETWEEN(ranges!B$2,ranges!B$3)</f>
        <v>10448</v>
      </c>
      <c r="C825" s="9">
        <f ca="1">LOOKUP(B825,geomorph!A:A,geomorph!B:B)</f>
        <v>1759.3</v>
      </c>
      <c r="D825">
        <f t="shared" si="116"/>
        <v>1.13E-4</v>
      </c>
      <c r="E825" s="9">
        <f ca="1">'[2]Q_GEV(random)'!$J825</f>
        <v>7147.7952697023838</v>
      </c>
      <c r="F825" s="26">
        <f ca="1">RANDBETWEEN(ranges!F$2*1000,ranges!F$3*1000)/1000</f>
        <v>0.10100000000000001</v>
      </c>
      <c r="G825" s="3">
        <f t="shared" ca="1" si="117"/>
        <v>4.0628632238403819</v>
      </c>
      <c r="H825" s="4">
        <f t="shared" ca="1" si="118"/>
        <v>7.2183353708150815</v>
      </c>
      <c r="I825" s="4">
        <f t="shared" ca="1" si="119"/>
        <v>123.76511477963906</v>
      </c>
      <c r="J825" s="26">
        <f ca="1">RANDBETWEEN(ranges!J$2*1000,ranges!J$3*1000)/1000</f>
        <v>0.75800000000000001</v>
      </c>
      <c r="K825" s="26">
        <f ca="1">RANDBETWEEN(ranges!K$2*1000,ranges!K$3*1000)/1000</f>
        <v>0.93300000000000005</v>
      </c>
      <c r="L825">
        <f t="shared" ca="1" si="120"/>
        <v>61.661387575263475</v>
      </c>
      <c r="M825">
        <f t="shared" ca="1" si="121"/>
        <v>12.258339345211196</v>
      </c>
      <c r="N825" s="4">
        <f t="shared" ca="1" si="122"/>
        <v>5.478265189560994</v>
      </c>
      <c r="O825" s="4"/>
      <c r="P825" s="1">
        <f ca="1">LOOKUP(B825,geomorph!$A:$A,geomorph!$G:$G)</f>
        <v>105.346041</v>
      </c>
      <c r="Q825" s="1">
        <f t="shared" ca="1" si="123"/>
        <v>117.6043803452112</v>
      </c>
    </row>
    <row r="826" spans="2:17" x14ac:dyDescent="0.3">
      <c r="B826" s="6">
        <f ca="1">RANDBETWEEN(ranges!B$2,ranges!B$3)</f>
        <v>14852</v>
      </c>
      <c r="C826" s="9">
        <f ca="1">LOOKUP(B826,geomorph!A:A,geomorph!B:B)</f>
        <v>1500.1</v>
      </c>
      <c r="D826">
        <f t="shared" si="116"/>
        <v>1.13E-4</v>
      </c>
      <c r="E826" s="9">
        <f ca="1">'[2]Q_GEV(random)'!$J826</f>
        <v>7136.1490831091505</v>
      </c>
      <c r="F826" s="26">
        <f ca="1">RANDBETWEEN(ranges!F$2*1000,ranges!F$3*1000)/1000</f>
        <v>9.2999999999999999E-2</v>
      </c>
      <c r="G826" s="3">
        <f t="shared" ca="1" si="117"/>
        <v>4.7571155810340313</v>
      </c>
      <c r="H826" s="4">
        <f t="shared" ca="1" si="118"/>
        <v>7.8012689115291707</v>
      </c>
      <c r="I826" s="4">
        <f t="shared" ca="1" si="119"/>
        <v>161.24723444439786</v>
      </c>
      <c r="J826" s="26">
        <f ca="1">RANDBETWEEN(ranges!J$2*1000,ranges!J$3*1000)/1000</f>
        <v>0.68200000000000005</v>
      </c>
      <c r="K826" s="26">
        <f ca="1">RANDBETWEEN(ranges!K$2*1000,ranges!K$3*1000)/1000</f>
        <v>0.80100000000000005</v>
      </c>
      <c r="L826">
        <f t="shared" ca="1" si="120"/>
        <v>74.029977101523684</v>
      </c>
      <c r="M826">
        <f t="shared" ca="1" si="121"/>
        <v>12.548917657449509</v>
      </c>
      <c r="N826" s="4">
        <f t="shared" ca="1" si="122"/>
        <v>5.1604877673047156</v>
      </c>
      <c r="O826" s="4"/>
      <c r="P826" s="1">
        <f ca="1">LOOKUP(B826,geomorph!$A:$A,geomorph!$G:$G)</f>
        <v>104.847711</v>
      </c>
      <c r="Q826" s="1">
        <f t="shared" ca="1" si="123"/>
        <v>117.39662865744951</v>
      </c>
    </row>
    <row r="827" spans="2:17" x14ac:dyDescent="0.3">
      <c r="B827" s="6">
        <f ca="1">RANDBETWEEN(ranges!B$2,ranges!B$3)</f>
        <v>12308</v>
      </c>
      <c r="C827" s="9">
        <f ca="1">LOOKUP(B827,geomorph!A:A,geomorph!B:B)</f>
        <v>1263.0999999999999</v>
      </c>
      <c r="D827">
        <f t="shared" si="116"/>
        <v>1.13E-4</v>
      </c>
      <c r="E827" s="9">
        <f ca="1">'[2]Q_GEV(random)'!$J827</f>
        <v>7129.4501350920264</v>
      </c>
      <c r="F827" s="26">
        <f ca="1">RANDBETWEEN(ranges!F$2*1000,ranges!F$3*1000)/1000</f>
        <v>9.7000000000000003E-2</v>
      </c>
      <c r="G827" s="3">
        <f t="shared" ca="1" si="117"/>
        <v>5.6444067255894446</v>
      </c>
      <c r="H827" s="4">
        <f t="shared" ca="1" si="118"/>
        <v>8.8670245011883022</v>
      </c>
      <c r="I827" s="4">
        <f t="shared" ca="1" si="119"/>
        <v>214.63035747230035</v>
      </c>
      <c r="J827" s="26">
        <f ca="1">RANDBETWEEN(ranges!J$2*1000,ranges!J$3*1000)/1000</f>
        <v>0.61399999999999999</v>
      </c>
      <c r="K827" s="26">
        <f ca="1">RANDBETWEEN(ranges!K$2*1000,ranges!K$3*1000)/1000</f>
        <v>0.96599999999999997</v>
      </c>
      <c r="L827">
        <f t="shared" ca="1" si="120"/>
        <v>97.02670951354412</v>
      </c>
      <c r="M827">
        <f t="shared" ca="1" si="121"/>
        <v>13.848651356881003</v>
      </c>
      <c r="N827" s="4">
        <f t="shared" ca="1" si="122"/>
        <v>5.414811799665979</v>
      </c>
      <c r="O827" s="4"/>
      <c r="P827" s="1">
        <f ca="1">LOOKUP(B827,geomorph!$A:$A,geomorph!$G:$G)</f>
        <v>105.13586100000001</v>
      </c>
      <c r="Q827" s="1">
        <f t="shared" ca="1" si="123"/>
        <v>118.98451235688101</v>
      </c>
    </row>
    <row r="828" spans="2:17" x14ac:dyDescent="0.3">
      <c r="B828" s="6">
        <f ca="1">RANDBETWEEN(ranges!B$2,ranges!B$3)</f>
        <v>11409</v>
      </c>
      <c r="C828" s="9">
        <f ca="1">LOOKUP(B828,geomorph!A:A,geomorph!B:B)</f>
        <v>1537.9</v>
      </c>
      <c r="D828">
        <f t="shared" si="116"/>
        <v>1.13E-4</v>
      </c>
      <c r="E828" s="9">
        <f ca="1">'[2]Q_GEV(random)'!$J828</f>
        <v>7127.8038423079515</v>
      </c>
      <c r="F828" s="26">
        <f ca="1">RANDBETWEEN(ranges!F$2*1000,ranges!F$3*1000)/1000</f>
        <v>9.5000000000000001E-2</v>
      </c>
      <c r="G828" s="3">
        <f t="shared" ca="1" si="117"/>
        <v>4.6347641864282147</v>
      </c>
      <c r="H828" s="4">
        <f t="shared" ca="1" si="118"/>
        <v>7.7214955712463613</v>
      </c>
      <c r="I828" s="4">
        <f t="shared" ca="1" si="119"/>
        <v>154.57538906288417</v>
      </c>
      <c r="J828" s="26">
        <f ca="1">RANDBETWEEN(ranges!J$2*1000,ranges!J$3*1000)/1000</f>
        <v>0.628</v>
      </c>
      <c r="K828" s="26">
        <f ca="1">RANDBETWEEN(ranges!K$2*1000,ranges!K$3*1000)/1000</f>
        <v>0.96299999999999997</v>
      </c>
      <c r="L828">
        <f t="shared" ca="1" si="120"/>
        <v>75.435206614113298</v>
      </c>
      <c r="M828">
        <f t="shared" ca="1" si="121"/>
        <v>13.109333880458468</v>
      </c>
      <c r="N828" s="4">
        <f t="shared" ca="1" si="122"/>
        <v>5.856345988274029</v>
      </c>
      <c r="O828" s="4"/>
      <c r="P828" s="1">
        <f ca="1">LOOKUP(B828,geomorph!$A:$A,geomorph!$G:$G)</f>
        <v>105.237561</v>
      </c>
      <c r="Q828" s="1">
        <f t="shared" ca="1" si="123"/>
        <v>118.34689488045846</v>
      </c>
    </row>
    <row r="829" spans="2:17" x14ac:dyDescent="0.3">
      <c r="B829" s="6">
        <f ca="1">RANDBETWEEN(ranges!B$2,ranges!B$3)</f>
        <v>13029</v>
      </c>
      <c r="C829" s="9">
        <f ca="1">LOOKUP(B829,geomorph!A:A,geomorph!B:B)</f>
        <v>1145.5999999999999</v>
      </c>
      <c r="D829">
        <f t="shared" si="116"/>
        <v>1.13E-4</v>
      </c>
      <c r="E829" s="9">
        <f ca="1">'[2]Q_GEV(random)'!$J829</f>
        <v>7119.1328622580149</v>
      </c>
      <c r="F829" s="26">
        <f ca="1">RANDBETWEEN(ranges!F$2*1000,ranges!F$3*1000)/1000</f>
        <v>9.5000000000000001E-2</v>
      </c>
      <c r="G829" s="3">
        <f t="shared" ca="1" si="117"/>
        <v>6.2143268699877927</v>
      </c>
      <c r="H829" s="4">
        <f t="shared" ca="1" si="118"/>
        <v>9.3888498524976516</v>
      </c>
      <c r="I829" s="4">
        <f t="shared" ca="1" si="119"/>
        <v>252.31693903064303</v>
      </c>
      <c r="J829" s="26">
        <f ca="1">RANDBETWEEN(ranges!J$2*1000,ranges!J$3*1000)/1000</f>
        <v>0.68700000000000006</v>
      </c>
      <c r="K829" s="26">
        <f ca="1">RANDBETWEEN(ranges!K$2*1000,ranges!K$3*1000)/1000</f>
        <v>0.999</v>
      </c>
      <c r="L829">
        <f t="shared" ca="1" si="120"/>
        <v>106.95761504976063</v>
      </c>
      <c r="M829">
        <f t="shared" ca="1" si="121"/>
        <v>13.845962749513651</v>
      </c>
      <c r="N829" s="4">
        <f t="shared" ca="1" si="122"/>
        <v>4.8446879315391298</v>
      </c>
      <c r="O829" s="4"/>
      <c r="P829" s="1">
        <f ca="1">LOOKUP(B829,geomorph!$A:$A,geomorph!$G:$G)</f>
        <v>105.054501</v>
      </c>
      <c r="Q829" s="1">
        <f t="shared" ca="1" si="123"/>
        <v>118.90046374951365</v>
      </c>
    </row>
    <row r="830" spans="2:17" x14ac:dyDescent="0.3">
      <c r="B830" s="6">
        <f ca="1">RANDBETWEEN(ranges!B$2,ranges!B$3)</f>
        <v>13219</v>
      </c>
      <c r="C830" s="9">
        <f ca="1">LOOKUP(B830,geomorph!A:A,geomorph!B:B)</f>
        <v>1164.4000000000001</v>
      </c>
      <c r="D830">
        <f t="shared" si="116"/>
        <v>1.13E-4</v>
      </c>
      <c r="E830" s="9">
        <f ca="1">'[2]Q_GEV(random)'!$J830</f>
        <v>7114.6588714857598</v>
      </c>
      <c r="F830" s="26">
        <f ca="1">RANDBETWEEN(ranges!F$2*1000,ranges!F$3*1000)/1000</f>
        <v>0.108</v>
      </c>
      <c r="G830" s="3">
        <f t="shared" ca="1" si="117"/>
        <v>6.1101501816263823</v>
      </c>
      <c r="H830" s="4">
        <f t="shared" ca="1" si="118"/>
        <v>9.6891193392006993</v>
      </c>
      <c r="I830" s="4">
        <f t="shared" ca="1" si="119"/>
        <v>245.46094964782898</v>
      </c>
      <c r="J830" s="26">
        <f ca="1">RANDBETWEEN(ranges!J$2*1000,ranges!J$3*1000)/1000</f>
        <v>0.72</v>
      </c>
      <c r="K830" s="26">
        <f ca="1">RANDBETWEEN(ranges!K$2*1000,ranges!K$3*1000)/1000</f>
        <v>0.96899999999999997</v>
      </c>
      <c r="L830">
        <f t="shared" ca="1" si="120"/>
        <v>106.84662482161241</v>
      </c>
      <c r="M830">
        <f t="shared" ca="1" si="121"/>
        <v>14.05857972347826</v>
      </c>
      <c r="N830" s="4">
        <f t="shared" ca="1" si="122"/>
        <v>4.7494134611712617</v>
      </c>
      <c r="O830" s="4"/>
      <c r="P830" s="1">
        <f ca="1">LOOKUP(B830,geomorph!$A:$A,geomorph!$G:$G)</f>
        <v>105.03303100000001</v>
      </c>
      <c r="Q830" s="1">
        <f t="shared" ca="1" si="123"/>
        <v>119.09161072347827</v>
      </c>
    </row>
    <row r="831" spans="2:17" x14ac:dyDescent="0.3">
      <c r="B831" s="6">
        <f ca="1">RANDBETWEEN(ranges!B$2,ranges!B$3)</f>
        <v>13183</v>
      </c>
      <c r="C831" s="9">
        <f ca="1">LOOKUP(B831,geomorph!A:A,geomorph!B:B)</f>
        <v>1161</v>
      </c>
      <c r="D831">
        <f t="shared" si="116"/>
        <v>1.13E-4</v>
      </c>
      <c r="E831" s="9">
        <f ca="1">'[2]Q_GEV(random)'!$J831</f>
        <v>7036.3925365319428</v>
      </c>
      <c r="F831" s="26">
        <f ca="1">RANDBETWEEN(ranges!F$2*1000,ranges!F$3*1000)/1000</f>
        <v>9.0999999999999998E-2</v>
      </c>
      <c r="G831" s="3">
        <f t="shared" ca="1" si="117"/>
        <v>6.060630953085222</v>
      </c>
      <c r="H831" s="4">
        <f t="shared" ca="1" si="118"/>
        <v>9.1019438867604112</v>
      </c>
      <c r="I831" s="4">
        <f t="shared" ca="1" si="119"/>
        <v>244.84788497224869</v>
      </c>
      <c r="J831" s="26">
        <f ca="1">RANDBETWEEN(ranges!J$2*1000,ranges!J$3*1000)/1000</f>
        <v>0.69399999999999995</v>
      </c>
      <c r="K831" s="26">
        <f ca="1">RANDBETWEEN(ranges!K$2*1000,ranges!K$3*1000)/1000</f>
        <v>0.85799999999999998</v>
      </c>
      <c r="L831">
        <f t="shared" ca="1" si="120"/>
        <v>101.41302753142692</v>
      </c>
      <c r="M831">
        <f t="shared" ca="1" si="121"/>
        <v>13.304679320930491</v>
      </c>
      <c r="N831" s="4">
        <f t="shared" ca="1" si="122"/>
        <v>4.5681906893153039</v>
      </c>
      <c r="O831" s="4"/>
      <c r="P831" s="1">
        <f ca="1">LOOKUP(B831,geomorph!$A:$A,geomorph!$G:$G)</f>
        <v>105.036421</v>
      </c>
      <c r="Q831" s="1">
        <f t="shared" ca="1" si="123"/>
        <v>118.34110032093049</v>
      </c>
    </row>
    <row r="832" spans="2:17" x14ac:dyDescent="0.3">
      <c r="B832" s="6">
        <f ca="1">RANDBETWEEN(ranges!B$2,ranges!B$3)</f>
        <v>11507</v>
      </c>
      <c r="C832" s="9">
        <f ca="1">LOOKUP(B832,geomorph!A:A,geomorph!B:B)</f>
        <v>1489.9</v>
      </c>
      <c r="D832">
        <f t="shared" si="116"/>
        <v>1.13E-4</v>
      </c>
      <c r="E832" s="9">
        <f ca="1">'[2]Q_GEV(random)'!$J832</f>
        <v>7013.4957676437698</v>
      </c>
      <c r="F832" s="26">
        <f ca="1">RANDBETWEEN(ranges!F$2*1000,ranges!F$3*1000)/1000</f>
        <v>0.10100000000000001</v>
      </c>
      <c r="G832" s="3">
        <f t="shared" ca="1" si="117"/>
        <v>4.7073600695642455</v>
      </c>
      <c r="H832" s="4">
        <f t="shared" ca="1" si="118"/>
        <v>7.9628255378116748</v>
      </c>
      <c r="I832" s="4">
        <f t="shared" ca="1" si="119"/>
        <v>161.21712651915337</v>
      </c>
      <c r="J832" s="26">
        <f ca="1">RANDBETWEEN(ranges!J$2*1000,ranges!J$3*1000)/1000</f>
        <v>0.65600000000000003</v>
      </c>
      <c r="K832" s="26">
        <f ca="1">RANDBETWEEN(ranges!K$2*1000,ranges!K$3*1000)/1000</f>
        <v>0.98099999999999998</v>
      </c>
      <c r="L832">
        <f t="shared" ca="1" si="120"/>
        <v>78.091342797452171</v>
      </c>
      <c r="M832">
        <f t="shared" ca="1" si="121"/>
        <v>13.147356954633413</v>
      </c>
      <c r="N832" s="4">
        <f t="shared" ca="1" si="122"/>
        <v>5.6353602356758019</v>
      </c>
      <c r="O832" s="4"/>
      <c r="P832" s="1">
        <f ca="1">LOOKUP(B832,geomorph!$A:$A,geomorph!$G:$G)</f>
        <v>105.22626100000001</v>
      </c>
      <c r="Q832" s="1">
        <f t="shared" ca="1" si="123"/>
        <v>118.37361795463342</v>
      </c>
    </row>
    <row r="833" spans="2:17" x14ac:dyDescent="0.3">
      <c r="B833" s="6">
        <f ca="1">RANDBETWEEN(ranges!B$2,ranges!B$3)</f>
        <v>14604</v>
      </c>
      <c r="C833" s="9">
        <f ca="1">LOOKUP(B833,geomorph!A:A,geomorph!B:B)</f>
        <v>1427.1</v>
      </c>
      <c r="D833">
        <f t="shared" si="116"/>
        <v>1.13E-4</v>
      </c>
      <c r="E833" s="9">
        <f ca="1">'[2]Q_GEV(random)'!$J833</f>
        <v>7000.896991185291</v>
      </c>
      <c r="F833" s="26">
        <f ca="1">RANDBETWEEN(ranges!F$2*1000,ranges!F$3*1000)/1000</f>
        <v>0.105</v>
      </c>
      <c r="G833" s="3">
        <f t="shared" ca="1" si="117"/>
        <v>4.905680744997051</v>
      </c>
      <c r="H833" s="4">
        <f t="shared" ca="1" si="118"/>
        <v>8.2915886933241598</v>
      </c>
      <c r="I833" s="4">
        <f t="shared" ca="1" si="119"/>
        <v>173.00625229978016</v>
      </c>
      <c r="J833" s="26">
        <f ca="1">RANDBETWEEN(ranges!J$2*1000,ranges!J$3*1000)/1000</f>
        <v>0.60899999999999999</v>
      </c>
      <c r="K833" s="26">
        <f ca="1">RANDBETWEEN(ranges!K$2*1000,ranges!K$3*1000)/1000</f>
        <v>0.92900000000000005</v>
      </c>
      <c r="L833">
        <f t="shared" ca="1" si="120"/>
        <v>84.141710455087392</v>
      </c>
      <c r="M833">
        <f t="shared" ca="1" si="121"/>
        <v>13.568885753921437</v>
      </c>
      <c r="N833" s="4">
        <f t="shared" ca="1" si="122"/>
        <v>5.7361924571709535</v>
      </c>
      <c r="O833" s="4"/>
      <c r="P833" s="1">
        <f ca="1">LOOKUP(B833,geomorph!$A:$A,geomorph!$G:$G)</f>
        <v>104.875961</v>
      </c>
      <c r="Q833" s="1">
        <f t="shared" ca="1" si="123"/>
        <v>118.44484675392144</v>
      </c>
    </row>
    <row r="834" spans="2:17" x14ac:dyDescent="0.3">
      <c r="B834" s="6">
        <f ca="1">RANDBETWEEN(ranges!B$2,ranges!B$3)</f>
        <v>14759</v>
      </c>
      <c r="C834" s="9">
        <f ca="1">LOOKUP(B834,geomorph!A:A,geomorph!B:B)</f>
        <v>1476.3</v>
      </c>
      <c r="D834">
        <f t="shared" si="116"/>
        <v>1.13E-4</v>
      </c>
      <c r="E834" s="9">
        <f ca="1">'[2]Q_GEV(random)'!$J834</f>
        <v>6961.5492488247601</v>
      </c>
      <c r="F834" s="26">
        <f ca="1">RANDBETWEEN(ranges!F$2*1000,ranges!F$3*1000)/1000</f>
        <v>9.5000000000000001E-2</v>
      </c>
      <c r="G834" s="3">
        <f t="shared" ca="1" si="117"/>
        <v>4.7155383382948992</v>
      </c>
      <c r="H834" s="4">
        <f t="shared" ca="1" si="118"/>
        <v>7.8109498924294343</v>
      </c>
      <c r="I834" s="4">
        <f t="shared" ca="1" si="119"/>
        <v>162.89068535293077</v>
      </c>
      <c r="J834" s="26">
        <f ca="1">RANDBETWEEN(ranges!J$2*1000,ranges!J$3*1000)/1000</f>
        <v>0.61599999999999999</v>
      </c>
      <c r="K834" s="26">
        <f ca="1">RANDBETWEEN(ranges!K$2*1000,ranges!K$3*1000)/1000</f>
        <v>0.8</v>
      </c>
      <c r="L834">
        <f t="shared" ca="1" si="120"/>
        <v>77.092337946433133</v>
      </c>
      <c r="M834">
        <f t="shared" ca="1" si="121"/>
        <v>12.860690291666073</v>
      </c>
      <c r="N834" s="4">
        <f t="shared" ca="1" si="122"/>
        <v>5.4888482600398243</v>
      </c>
      <c r="O834" s="4"/>
      <c r="P834" s="1">
        <f ca="1">LOOKUP(B834,geomorph!$A:$A,geomorph!$G:$G)</f>
        <v>104.85901100000001</v>
      </c>
      <c r="Q834" s="1">
        <f t="shared" ca="1" si="123"/>
        <v>117.71970129166608</v>
      </c>
    </row>
    <row r="835" spans="2:17" x14ac:dyDescent="0.3">
      <c r="B835" s="6">
        <f ca="1">RANDBETWEEN(ranges!B$2,ranges!B$3)</f>
        <v>11167</v>
      </c>
      <c r="C835" s="9">
        <f ca="1">LOOKUP(B835,geomorph!A:A,geomorph!B:B)</f>
        <v>1676.1</v>
      </c>
      <c r="D835">
        <f t="shared" si="116"/>
        <v>1.13E-4</v>
      </c>
      <c r="E835" s="9">
        <f ca="1">'[2]Q_GEV(random)'!$J835</f>
        <v>6941.3170403681288</v>
      </c>
      <c r="F835" s="26">
        <f ca="1">RANDBETWEEN(ranges!F$2*1000,ranges!F$3*1000)/1000</f>
        <v>0.108</v>
      </c>
      <c r="G835" s="3">
        <f t="shared" ca="1" si="117"/>
        <v>4.1413501821896839</v>
      </c>
      <c r="H835" s="4">
        <f t="shared" ca="1" si="118"/>
        <v>7.4761444684859191</v>
      </c>
      <c r="I835" s="4">
        <f t="shared" ca="1" si="119"/>
        <v>131.57641850640277</v>
      </c>
      <c r="J835" s="26">
        <f ca="1">RANDBETWEEN(ranges!J$2*1000,ranges!J$3*1000)/1000</f>
        <v>0.78400000000000003</v>
      </c>
      <c r="K835" s="26">
        <f ca="1">RANDBETWEEN(ranges!K$2*1000,ranges!K$3*1000)/1000</f>
        <v>0.90800000000000003</v>
      </c>
      <c r="L835">
        <f t="shared" ca="1" si="120"/>
        <v>64.634212959811776</v>
      </c>
      <c r="M835">
        <f t="shared" ca="1" si="121"/>
        <v>12.241674690639277</v>
      </c>
      <c r="N835" s="4">
        <f t="shared" ca="1" si="122"/>
        <v>5.1799241545145192</v>
      </c>
      <c r="O835" s="4"/>
      <c r="P835" s="1">
        <f ca="1">LOOKUP(B835,geomorph!$A:$A,geomorph!$G:$G)</f>
        <v>105.264681</v>
      </c>
      <c r="Q835" s="1">
        <f t="shared" ca="1" si="123"/>
        <v>117.50635569063927</v>
      </c>
    </row>
    <row r="836" spans="2:17" x14ac:dyDescent="0.3">
      <c r="B836" s="6">
        <f ca="1">RANDBETWEEN(ranges!B$2,ranges!B$3)</f>
        <v>11795</v>
      </c>
      <c r="C836" s="9">
        <f ca="1">LOOKUP(B836,geomorph!A:A,geomorph!B:B)</f>
        <v>1413.8</v>
      </c>
      <c r="D836">
        <f t="shared" si="116"/>
        <v>1.13E-4</v>
      </c>
      <c r="E836" s="9">
        <f ca="1">'[2]Q_GEV(random)'!$J836</f>
        <v>6940.2005676432636</v>
      </c>
      <c r="F836" s="26">
        <f ca="1">RANDBETWEEN(ranges!F$2*1000,ranges!F$3*1000)/1000</f>
        <v>0.105</v>
      </c>
      <c r="G836" s="3">
        <f t="shared" ca="1" si="117"/>
        <v>4.9088984068773973</v>
      </c>
      <c r="H836" s="4">
        <f t="shared" ca="1" si="118"/>
        <v>8.2952139616014851</v>
      </c>
      <c r="I836" s="4">
        <f t="shared" ca="1" si="119"/>
        <v>174.71012282666359</v>
      </c>
      <c r="J836" s="26">
        <f ca="1">RANDBETWEEN(ranges!J$2*1000,ranges!J$3*1000)/1000</f>
        <v>0.748</v>
      </c>
      <c r="K836" s="26">
        <f ca="1">RANDBETWEEN(ranges!K$2*1000,ranges!K$3*1000)/1000</f>
        <v>0.81899999999999995</v>
      </c>
      <c r="L836">
        <f t="shared" ca="1" si="120"/>
        <v>79.293717868578398</v>
      </c>
      <c r="M836">
        <f t="shared" ca="1" si="121"/>
        <v>12.667916790453363</v>
      </c>
      <c r="N836" s="4">
        <f t="shared" ca="1" si="122"/>
        <v>4.7529378574476935</v>
      </c>
      <c r="O836" s="4"/>
      <c r="P836" s="1">
        <f ca="1">LOOKUP(B836,geomorph!$A:$A,geomorph!$G:$G)</f>
        <v>105.19349100000001</v>
      </c>
      <c r="Q836" s="1">
        <f t="shared" ca="1" si="123"/>
        <v>117.86140779045337</v>
      </c>
    </row>
    <row r="837" spans="2:17" x14ac:dyDescent="0.3">
      <c r="B837" s="6">
        <f ca="1">RANDBETWEEN(ranges!B$2,ranges!B$3)</f>
        <v>11767</v>
      </c>
      <c r="C837" s="9">
        <f ca="1">LOOKUP(B837,geomorph!A:A,geomorph!B:B)</f>
        <v>1422.4</v>
      </c>
      <c r="D837">
        <f t="shared" si="116"/>
        <v>1.13E-4</v>
      </c>
      <c r="E837" s="9">
        <f ca="1">'[2]Q_GEV(random)'!$J837</f>
        <v>6938.4698349428299</v>
      </c>
      <c r="F837" s="26">
        <f ca="1">RANDBETWEEN(ranges!F$2*1000,ranges!F$3*1000)/1000</f>
        <v>0.11</v>
      </c>
      <c r="G837" s="3">
        <f t="shared" ca="1" si="117"/>
        <v>4.878001852462619</v>
      </c>
      <c r="H837" s="4">
        <f t="shared" ca="1" si="118"/>
        <v>8.3894598305937365</v>
      </c>
      <c r="I837" s="4">
        <f t="shared" ca="1" si="119"/>
        <v>172.92438795974903</v>
      </c>
      <c r="J837" s="26">
        <f ca="1">RANDBETWEEN(ranges!J$2*1000,ranges!J$3*1000)/1000</f>
        <v>0.751</v>
      </c>
      <c r="K837" s="26">
        <f ca="1">RANDBETWEEN(ranges!K$2*1000,ranges!K$3*1000)/1000</f>
        <v>0.85799999999999998</v>
      </c>
      <c r="L837">
        <f t="shared" ca="1" si="120"/>
        <v>79.927413648925551</v>
      </c>
      <c r="M837">
        <f t="shared" ca="1" si="121"/>
        <v>12.846829108688182</v>
      </c>
      <c r="N837" s="4">
        <f t="shared" ca="1" si="122"/>
        <v>4.8449666066243964</v>
      </c>
      <c r="O837" s="4"/>
      <c r="P837" s="1">
        <f ca="1">LOOKUP(B837,geomorph!$A:$A,geomorph!$G:$G)</f>
        <v>105.196881</v>
      </c>
      <c r="Q837" s="1">
        <f t="shared" ca="1" si="123"/>
        <v>118.04371010868819</v>
      </c>
    </row>
    <row r="838" spans="2:17" x14ac:dyDescent="0.3">
      <c r="B838" s="6">
        <f ca="1">RANDBETWEEN(ranges!B$2,ranges!B$3)</f>
        <v>13382</v>
      </c>
      <c r="C838" s="9">
        <f ca="1">LOOKUP(B838,geomorph!A:A,geomorph!B:B)</f>
        <v>1183.5999999999999</v>
      </c>
      <c r="D838">
        <f t="shared" si="116"/>
        <v>1.13E-4</v>
      </c>
      <c r="E838" s="9">
        <f ca="1">'[2]Q_GEV(random)'!$J838</f>
        <v>6925.3396590098564</v>
      </c>
      <c r="F838" s="26">
        <f ca="1">RANDBETWEEN(ranges!F$2*1000,ranges!F$3*1000)/1000</f>
        <v>0.104</v>
      </c>
      <c r="G838" s="3">
        <f t="shared" ca="1" si="117"/>
        <v>5.8510811583388449</v>
      </c>
      <c r="H838" s="4">
        <f t="shared" ca="1" si="118"/>
        <v>9.295590664829394</v>
      </c>
      <c r="I838" s="4">
        <f t="shared" ca="1" si="119"/>
        <v>234.60421388234292</v>
      </c>
      <c r="J838" s="26">
        <f ca="1">RANDBETWEEN(ranges!J$2*1000,ranges!J$3*1000)/1000</f>
        <v>0.60599999999999998</v>
      </c>
      <c r="K838" s="26">
        <f ca="1">RANDBETWEEN(ranges!K$2*1000,ranges!K$3*1000)/1000</f>
        <v>0.84</v>
      </c>
      <c r="L838">
        <f t="shared" ca="1" si="120"/>
        <v>104.41488209401203</v>
      </c>
      <c r="M838">
        <f t="shared" ca="1" si="121"/>
        <v>13.965156352451407</v>
      </c>
      <c r="N838" s="4">
        <f t="shared" ca="1" si="122"/>
        <v>5.0756148778500139</v>
      </c>
      <c r="O838" s="4"/>
      <c r="P838" s="1">
        <f ca="1">LOOKUP(B838,geomorph!$A:$A,geomorph!$G:$G)</f>
        <v>105.01382100000001</v>
      </c>
      <c r="Q838" s="1">
        <f t="shared" ca="1" si="123"/>
        <v>118.97897735245141</v>
      </c>
    </row>
    <row r="839" spans="2:17" x14ac:dyDescent="0.3">
      <c r="B839" s="6">
        <f ca="1">RANDBETWEEN(ranges!B$2,ranges!B$3)</f>
        <v>14948</v>
      </c>
      <c r="C839" s="9">
        <f ca="1">LOOKUP(B839,geomorph!A:A,geomorph!B:B)</f>
        <v>1512.4</v>
      </c>
      <c r="D839">
        <f t="shared" si="116"/>
        <v>1.13E-4</v>
      </c>
      <c r="E839" s="9">
        <f ca="1">'[2]Q_GEV(random)'!$J839</f>
        <v>6924.9666555715867</v>
      </c>
      <c r="F839" s="26">
        <f ca="1">RANDBETWEEN(ranges!F$2*1000,ranges!F$3*1000)/1000</f>
        <v>9.7000000000000003E-2</v>
      </c>
      <c r="G839" s="3">
        <f t="shared" ca="1" si="117"/>
        <v>4.5787930809121837</v>
      </c>
      <c r="H839" s="4">
        <f t="shared" ca="1" si="118"/>
        <v>7.7125806768819132</v>
      </c>
      <c r="I839" s="4">
        <f t="shared" ca="1" si="119"/>
        <v>155.91360984557807</v>
      </c>
      <c r="J839" s="26">
        <f ca="1">RANDBETWEEN(ranges!J$2*1000,ranges!J$3*1000)/1000</f>
        <v>0.60899999999999999</v>
      </c>
      <c r="K839" s="26">
        <f ca="1">RANDBETWEEN(ranges!K$2*1000,ranges!K$3*1000)/1000</f>
        <v>0.91600000000000004</v>
      </c>
      <c r="L839">
        <f t="shared" ca="1" si="120"/>
        <v>76.505614004016692</v>
      </c>
      <c r="M839">
        <f t="shared" ca="1" si="121"/>
        <v>13.074901240023259</v>
      </c>
      <c r="N839" s="4">
        <f t="shared" ca="1" si="122"/>
        <v>5.8286093077623322</v>
      </c>
      <c r="O839" s="4"/>
      <c r="P839" s="1">
        <f ca="1">LOOKUP(B839,geomorph!$A:$A,geomorph!$G:$G)</f>
        <v>104.837541</v>
      </c>
      <c r="Q839" s="1">
        <f t="shared" ca="1" si="123"/>
        <v>117.91244224002327</v>
      </c>
    </row>
    <row r="840" spans="2:17" x14ac:dyDescent="0.3">
      <c r="B840" s="6">
        <f ca="1">RANDBETWEEN(ranges!B$2,ranges!B$3)</f>
        <v>12062</v>
      </c>
      <c r="C840" s="9">
        <f ca="1">LOOKUP(B840,geomorph!A:A,geomorph!B:B)</f>
        <v>1331.7</v>
      </c>
      <c r="D840">
        <f t="shared" si="116"/>
        <v>1.13E-4</v>
      </c>
      <c r="E840" s="9">
        <f ca="1">'[2]Q_GEV(random)'!$J840</f>
        <v>6895.6481515686892</v>
      </c>
      <c r="F840" s="26">
        <f ca="1">RANDBETWEEN(ranges!F$2*1000,ranges!F$3*1000)/1000</f>
        <v>9.2999999999999999E-2</v>
      </c>
      <c r="G840" s="3">
        <f t="shared" ca="1" si="117"/>
        <v>5.1780792607709607</v>
      </c>
      <c r="H840" s="4">
        <f t="shared" ca="1" si="118"/>
        <v>8.2549651106893656</v>
      </c>
      <c r="I840" s="4">
        <f t="shared" ca="1" si="119"/>
        <v>192.20119333016819</v>
      </c>
      <c r="J840" s="26">
        <f ca="1">RANDBETWEEN(ranges!J$2*1000,ranges!J$3*1000)/1000</f>
        <v>0.71699999999999997</v>
      </c>
      <c r="K840" s="26">
        <f ca="1">RANDBETWEEN(ranges!K$2*1000,ranges!K$3*1000)/1000</f>
        <v>0.98799999999999999</v>
      </c>
      <c r="L840">
        <f t="shared" ca="1" si="120"/>
        <v>85.256332914113955</v>
      </c>
      <c r="M840">
        <f t="shared" ca="1" si="121"/>
        <v>12.829552015214986</v>
      </c>
      <c r="N840" s="4">
        <f t="shared" ca="1" si="122"/>
        <v>4.9723770701365444</v>
      </c>
      <c r="O840" s="4"/>
      <c r="P840" s="1">
        <f ca="1">LOOKUP(B840,geomorph!$A:$A,geomorph!$G:$G)</f>
        <v>105.162981</v>
      </c>
      <c r="Q840" s="1">
        <f t="shared" ca="1" si="123"/>
        <v>117.99253301521499</v>
      </c>
    </row>
    <row r="841" spans="2:17" x14ac:dyDescent="0.3">
      <c r="B841" s="6">
        <f ca="1">RANDBETWEEN(ranges!B$2,ranges!B$3)</f>
        <v>12847</v>
      </c>
      <c r="C841" s="9">
        <f ca="1">LOOKUP(B841,geomorph!A:A,geomorph!B:B)</f>
        <v>1133.5</v>
      </c>
      <c r="D841">
        <f t="shared" si="116"/>
        <v>1.13E-4</v>
      </c>
      <c r="E841" s="9">
        <f ca="1">'[2]Q_GEV(random)'!$J841</f>
        <v>6891.5852942842666</v>
      </c>
      <c r="F841" s="26">
        <f ca="1">RANDBETWEEN(ranges!F$2*1000,ranges!F$3*1000)/1000</f>
        <v>0.104</v>
      </c>
      <c r="G841" s="3">
        <f t="shared" ca="1" si="117"/>
        <v>6.0799164484201738</v>
      </c>
      <c r="H841" s="4">
        <f t="shared" ca="1" si="118"/>
        <v>9.5364042033920562</v>
      </c>
      <c r="I841" s="4">
        <f t="shared" ca="1" si="119"/>
        <v>251.31991252771695</v>
      </c>
      <c r="J841" s="26">
        <f ca="1">RANDBETWEEN(ranges!J$2*1000,ranges!J$3*1000)/1000</f>
        <v>0.622</v>
      </c>
      <c r="K841" s="26">
        <f ca="1">RANDBETWEEN(ranges!K$2*1000,ranges!K$3*1000)/1000</f>
        <v>0.95099999999999996</v>
      </c>
      <c r="L841">
        <f t="shared" ca="1" si="120"/>
        <v>110.95401005554481</v>
      </c>
      <c r="M841">
        <f t="shared" ca="1" si="121"/>
        <v>14.211599854969483</v>
      </c>
      <c r="N841" s="4">
        <f t="shared" ca="1" si="122"/>
        <v>5.0817344038885075</v>
      </c>
      <c r="O841" s="4"/>
      <c r="P841" s="1">
        <f ca="1">LOOKUP(B841,geomorph!$A:$A,geomorph!$G:$G)</f>
        <v>105.07484100000001</v>
      </c>
      <c r="Q841" s="1">
        <f t="shared" ca="1" si="123"/>
        <v>119.28644085496948</v>
      </c>
    </row>
    <row r="842" spans="2:17" x14ac:dyDescent="0.3">
      <c r="B842" s="6">
        <f ca="1">RANDBETWEEN(ranges!B$2,ranges!B$3)</f>
        <v>13886</v>
      </c>
      <c r="C842" s="9">
        <f ca="1">LOOKUP(B842,geomorph!A:A,geomorph!B:B)</f>
        <v>1297.9000000000001</v>
      </c>
      <c r="D842">
        <f t="shared" si="116"/>
        <v>1.13E-4</v>
      </c>
      <c r="E842" s="9">
        <f ca="1">'[2]Q_GEV(random)'!$J842</f>
        <v>6847.2924049093335</v>
      </c>
      <c r="F842" s="26">
        <f ca="1">RANDBETWEEN(ranges!F$2*1000,ranges!F$3*1000)/1000</f>
        <v>0.104</v>
      </c>
      <c r="G842" s="3">
        <f t="shared" ca="1" si="117"/>
        <v>5.2756702403184628</v>
      </c>
      <c r="H842" s="4">
        <f t="shared" ca="1" si="118"/>
        <v>8.675702895816185</v>
      </c>
      <c r="I842" s="4">
        <f t="shared" ca="1" si="119"/>
        <v>199.67661805558114</v>
      </c>
      <c r="J842" s="26">
        <f ca="1">RANDBETWEEN(ranges!J$2*1000,ranges!J$3*1000)/1000</f>
        <v>0.8</v>
      </c>
      <c r="K842" s="26">
        <f ca="1">RANDBETWEEN(ranges!K$2*1000,ranges!K$3*1000)/1000</f>
        <v>0.93500000000000005</v>
      </c>
      <c r="L842">
        <f t="shared" ca="1" si="120"/>
        <v>87.577303453176143</v>
      </c>
      <c r="M842">
        <f t="shared" ca="1" si="121"/>
        <v>12.844323783162137</v>
      </c>
      <c r="N842" s="4">
        <f t="shared" ca="1" si="122"/>
        <v>4.5311096601586431</v>
      </c>
      <c r="O842" s="4"/>
      <c r="P842" s="1">
        <f ca="1">LOOKUP(B842,geomorph!$A:$A,geomorph!$G:$G)</f>
        <v>104.95732100000001</v>
      </c>
      <c r="Q842" s="1">
        <f t="shared" ca="1" si="123"/>
        <v>117.80164478316215</v>
      </c>
    </row>
    <row r="843" spans="2:17" x14ac:dyDescent="0.3">
      <c r="B843" s="6">
        <f ca="1">RANDBETWEEN(ranges!B$2,ranges!B$3)</f>
        <v>10559</v>
      </c>
      <c r="C843" s="9">
        <f ca="1">LOOKUP(B843,geomorph!A:A,geomorph!B:B)</f>
        <v>1754.1</v>
      </c>
      <c r="D843">
        <f t="shared" ref="D843:D906" si="124">D842</f>
        <v>1.13E-4</v>
      </c>
      <c r="E843" s="9">
        <f ca="1">'[2]Q_GEV(random)'!$J843</f>
        <v>6817.5946890050236</v>
      </c>
      <c r="F843" s="26">
        <f ca="1">RANDBETWEEN(ranges!F$2*1000,ranges!F$3*1000)/1000</f>
        <v>9.5000000000000001E-2</v>
      </c>
      <c r="G843" s="3">
        <f t="shared" ref="G843:G906" ca="1" si="125">E843/C843</f>
        <v>3.8866624987201552</v>
      </c>
      <c r="H843" s="4">
        <f t="shared" ref="H843:H906" ca="1" si="126">POWER(G843/SQRT(4*9.807*D843/F843),2/3)</f>
        <v>6.8664809320811573</v>
      </c>
      <c r="I843" s="4">
        <f t="shared" ref="I843:I906" ca="1" si="127">POWER(G843*G843/9.807/D843,1/3)/C843/D843</f>
        <v>120.51660483987311</v>
      </c>
      <c r="J843" s="26">
        <f ca="1">RANDBETWEEN(ranges!J$2*1000,ranges!J$3*1000)/1000</f>
        <v>0.79400000000000004</v>
      </c>
      <c r="K843" s="26">
        <f ca="1">RANDBETWEEN(ranges!K$2*1000,ranges!K$3*1000)/1000</f>
        <v>0.98599999999999999</v>
      </c>
      <c r="L843">
        <f t="shared" ref="L843:L906" ca="1" si="128">0.63*POWER(F843,1/3)*I843+5.75*(1+SQRT(1+0.11*J843*POWER(F843,1/3)*K843*I843))/J843</f>
        <v>59.229415695852971</v>
      </c>
      <c r="M843">
        <f t="shared" ref="M843:M906" ca="1" si="129">L843*C843*D843</f>
        <v>11.740057942146812</v>
      </c>
      <c r="N843" s="4">
        <f t="shared" ref="N843:N906" ca="1" si="130">(M843-H843)/0.92</f>
        <v>5.2973663152887553</v>
      </c>
      <c r="O843" s="4"/>
      <c r="P843" s="1">
        <f ca="1">LOOKUP(B843,geomorph!$A:$A,geomorph!$G:$G)</f>
        <v>105.333611</v>
      </c>
      <c r="Q843" s="1">
        <f t="shared" ref="Q843:Q906" ca="1" si="131">M843+P843</f>
        <v>117.07366894214681</v>
      </c>
    </row>
    <row r="844" spans="2:17" x14ac:dyDescent="0.3">
      <c r="B844" s="6">
        <f ca="1">RANDBETWEEN(ranges!B$2,ranges!B$3)</f>
        <v>12139</v>
      </c>
      <c r="C844" s="9">
        <f ca="1">LOOKUP(B844,geomorph!A:A,geomorph!B:B)</f>
        <v>1309.0999999999999</v>
      </c>
      <c r="D844">
        <f t="shared" si="124"/>
        <v>1.13E-4</v>
      </c>
      <c r="E844" s="9">
        <f ca="1">'[2]Q_GEV(random)'!$J844</f>
        <v>6813.1368800783166</v>
      </c>
      <c r="F844" s="26">
        <f ca="1">RANDBETWEEN(ranges!F$2*1000,ranges!F$3*1000)/1000</f>
        <v>0.104</v>
      </c>
      <c r="G844" s="3">
        <f t="shared" ca="1" si="125"/>
        <v>5.2044434192027476</v>
      </c>
      <c r="H844" s="4">
        <f t="shared" ca="1" si="126"/>
        <v>8.597439017311407</v>
      </c>
      <c r="I844" s="4">
        <f t="shared" ca="1" si="127"/>
        <v>196.1824053404809</v>
      </c>
      <c r="J844" s="26">
        <f ca="1">RANDBETWEEN(ranges!J$2*1000,ranges!J$3*1000)/1000</f>
        <v>0.62</v>
      </c>
      <c r="K844" s="26">
        <f ca="1">RANDBETWEEN(ranges!K$2*1000,ranges!K$3*1000)/1000</f>
        <v>0.82899999999999996</v>
      </c>
      <c r="L844">
        <f t="shared" ca="1" si="128"/>
        <v>90.519259340927178</v>
      </c>
      <c r="M844">
        <f t="shared" ca="1" si="129"/>
        <v>13.390360151562476</v>
      </c>
      <c r="N844" s="4">
        <f t="shared" ca="1" si="130"/>
        <v>5.209696885055509</v>
      </c>
      <c r="O844" s="4"/>
      <c r="P844" s="1">
        <f ca="1">LOOKUP(B844,geomorph!$A:$A,geomorph!$G:$G)</f>
        <v>105.15507100000001</v>
      </c>
      <c r="Q844" s="1">
        <f t="shared" ca="1" si="131"/>
        <v>118.54543115156248</v>
      </c>
    </row>
    <row r="845" spans="2:17" x14ac:dyDescent="0.3">
      <c r="B845" s="6">
        <f ca="1">RANDBETWEEN(ranges!B$2,ranges!B$3)</f>
        <v>14920</v>
      </c>
      <c r="C845" s="9">
        <f ca="1">LOOKUP(B845,geomorph!A:A,geomorph!B:B)</f>
        <v>1509.8</v>
      </c>
      <c r="D845">
        <f t="shared" si="124"/>
        <v>1.13E-4</v>
      </c>
      <c r="E845" s="9">
        <f ca="1">'[2]Q_GEV(random)'!$J845</f>
        <v>6801.9509116341196</v>
      </c>
      <c r="F845" s="26">
        <f ca="1">RANDBETWEEN(ranges!F$2*1000,ranges!F$3*1000)/1000</f>
        <v>9.2999999999999999E-2</v>
      </c>
      <c r="G845" s="3">
        <f t="shared" ca="1" si="125"/>
        <v>4.5051999679653729</v>
      </c>
      <c r="H845" s="4">
        <f t="shared" ca="1" si="126"/>
        <v>7.5233654970830361</v>
      </c>
      <c r="I845" s="4">
        <f t="shared" ca="1" si="127"/>
        <v>154.50408892901112</v>
      </c>
      <c r="J845" s="26">
        <f ca="1">RANDBETWEEN(ranges!J$2*1000,ranges!J$3*1000)/1000</f>
        <v>0.63500000000000001</v>
      </c>
      <c r="K845" s="26">
        <f ca="1">RANDBETWEEN(ranges!K$2*1000,ranges!K$3*1000)/1000</f>
        <v>0.80800000000000005</v>
      </c>
      <c r="L845">
        <f t="shared" ca="1" si="128"/>
        <v>73.303291672535465</v>
      </c>
      <c r="M845">
        <f t="shared" ca="1" si="129"/>
        <v>12.506084003692926</v>
      </c>
      <c r="N845" s="4">
        <f t="shared" ca="1" si="130"/>
        <v>5.4159983767498803</v>
      </c>
      <c r="O845" s="4"/>
      <c r="P845" s="1">
        <f ca="1">LOOKUP(B845,geomorph!$A:$A,geomorph!$G:$G)</f>
        <v>104.83980100000001</v>
      </c>
      <c r="Q845" s="1">
        <f t="shared" ca="1" si="131"/>
        <v>117.34588500369293</v>
      </c>
    </row>
    <row r="846" spans="2:17" x14ac:dyDescent="0.3">
      <c r="B846" s="6">
        <f ca="1">RANDBETWEEN(ranges!B$2,ranges!B$3)</f>
        <v>14943</v>
      </c>
      <c r="C846" s="9">
        <f ca="1">LOOKUP(B846,geomorph!A:A,geomorph!B:B)</f>
        <v>1512.4</v>
      </c>
      <c r="D846">
        <f t="shared" si="124"/>
        <v>1.13E-4</v>
      </c>
      <c r="E846" s="9">
        <f ca="1">'[2]Q_GEV(random)'!$J846</f>
        <v>6781.0570484387008</v>
      </c>
      <c r="F846" s="26">
        <f ca="1">RANDBETWEEN(ranges!F$2*1000,ranges!F$3*1000)/1000</f>
        <v>9.1999999999999998E-2</v>
      </c>
      <c r="G846" s="3">
        <f t="shared" ca="1" si="125"/>
        <v>4.4836399421044035</v>
      </c>
      <c r="H846" s="4">
        <f t="shared" ca="1" si="126"/>
        <v>7.4723675423699918</v>
      </c>
      <c r="I846" s="4">
        <f t="shared" ca="1" si="127"/>
        <v>153.74600315244635</v>
      </c>
      <c r="J846" s="26">
        <f ca="1">RANDBETWEEN(ranges!J$2*1000,ranges!J$3*1000)/1000</f>
        <v>0.71399999999999997</v>
      </c>
      <c r="K846" s="26">
        <f ca="1">RANDBETWEEN(ranges!K$2*1000,ranges!K$3*1000)/1000</f>
        <v>0.95499999999999996</v>
      </c>
      <c r="L846">
        <f t="shared" ca="1" si="128"/>
        <v>71.841142934563521</v>
      </c>
      <c r="M846">
        <f t="shared" ca="1" si="129"/>
        <v>12.277737536888427</v>
      </c>
      <c r="N846" s="4">
        <f t="shared" ca="1" si="130"/>
        <v>5.2232282549113425</v>
      </c>
      <c r="O846" s="4"/>
      <c r="P846" s="1">
        <f ca="1">LOOKUP(B846,geomorph!$A:$A,geomorph!$G:$G)</f>
        <v>104.837541</v>
      </c>
      <c r="Q846" s="1">
        <f t="shared" ca="1" si="131"/>
        <v>117.11527853688843</v>
      </c>
    </row>
    <row r="847" spans="2:17" x14ac:dyDescent="0.3">
      <c r="B847" s="6">
        <f ca="1">RANDBETWEEN(ranges!B$2,ranges!B$3)</f>
        <v>12622</v>
      </c>
      <c r="C847" s="9">
        <f ca="1">LOOKUP(B847,geomorph!A:A,geomorph!B:B)</f>
        <v>1178.5</v>
      </c>
      <c r="D847">
        <f t="shared" si="124"/>
        <v>1.13E-4</v>
      </c>
      <c r="E847" s="9">
        <f ca="1">'[2]Q_GEV(random)'!$J847</f>
        <v>6770.7206830203886</v>
      </c>
      <c r="F847" s="26">
        <f ca="1">RANDBETWEEN(ranges!F$2*1000,ranges!F$3*1000)/1000</f>
        <v>0.10100000000000001</v>
      </c>
      <c r="G847" s="3">
        <f t="shared" ca="1" si="125"/>
        <v>5.7452021069328714</v>
      </c>
      <c r="H847" s="4">
        <f t="shared" ca="1" si="126"/>
        <v>9.0939479035998314</v>
      </c>
      <c r="I847" s="4">
        <f t="shared" ca="1" si="127"/>
        <v>232.76837289345863</v>
      </c>
      <c r="J847" s="26">
        <f ca="1">RANDBETWEEN(ranges!J$2*1000,ranges!J$3*1000)/1000</f>
        <v>0.77</v>
      </c>
      <c r="K847" s="26">
        <f ca="1">RANDBETWEEN(ranges!K$2*1000,ranges!K$3*1000)/1000</f>
        <v>0.80600000000000005</v>
      </c>
      <c r="L847">
        <f t="shared" ca="1" si="128"/>
        <v>97.403174198219773</v>
      </c>
      <c r="M847">
        <f t="shared" ca="1" si="129"/>
        <v>12.971229409564026</v>
      </c>
      <c r="N847" s="4">
        <f t="shared" ca="1" si="130"/>
        <v>4.2144364195262991</v>
      </c>
      <c r="O847" s="4"/>
      <c r="P847" s="1">
        <f ca="1">LOOKUP(B847,geomorph!$A:$A,geomorph!$G:$G)</f>
        <v>105.099701</v>
      </c>
      <c r="Q847" s="1">
        <f t="shared" ca="1" si="131"/>
        <v>118.07093040956403</v>
      </c>
    </row>
    <row r="848" spans="2:17" x14ac:dyDescent="0.3">
      <c r="B848" s="6">
        <f ca="1">RANDBETWEEN(ranges!B$2,ranges!B$3)</f>
        <v>11444</v>
      </c>
      <c r="C848" s="9">
        <f ca="1">LOOKUP(B848,geomorph!A:A,geomorph!B:B)</f>
        <v>1507.1</v>
      </c>
      <c r="D848">
        <f t="shared" si="124"/>
        <v>1.13E-4</v>
      </c>
      <c r="E848" s="9">
        <f ca="1">'[2]Q_GEV(random)'!$J848</f>
        <v>6768.5897957789748</v>
      </c>
      <c r="F848" s="26">
        <f ca="1">RANDBETWEEN(ranges!F$2*1000,ranges!F$3*1000)/1000</f>
        <v>9.5000000000000001E-2</v>
      </c>
      <c r="G848" s="3">
        <f t="shared" ca="1" si="125"/>
        <v>4.4911351574407643</v>
      </c>
      <c r="H848" s="4">
        <f t="shared" ca="1" si="126"/>
        <v>7.561136558618732</v>
      </c>
      <c r="I848" s="4">
        <f t="shared" ca="1" si="127"/>
        <v>154.45857735566599</v>
      </c>
      <c r="J848" s="26">
        <f ca="1">RANDBETWEEN(ranges!J$2*1000,ranges!J$3*1000)/1000</f>
        <v>0.69599999999999995</v>
      </c>
      <c r="K848" s="26">
        <f ca="1">RANDBETWEEN(ranges!K$2*1000,ranges!K$3*1000)/1000</f>
        <v>0.89700000000000002</v>
      </c>
      <c r="L848">
        <f t="shared" ca="1" si="128"/>
        <v>72.627445195877215</v>
      </c>
      <c r="M848">
        <f t="shared" ca="1" si="129"/>
        <v>12.368620959981838</v>
      </c>
      <c r="N848" s="4">
        <f t="shared" ca="1" si="130"/>
        <v>5.2255265232207675</v>
      </c>
      <c r="O848" s="4"/>
      <c r="P848" s="1">
        <f ca="1">LOOKUP(B848,geomorph!$A:$A,geomorph!$G:$G)</f>
        <v>105.233041</v>
      </c>
      <c r="Q848" s="1">
        <f t="shared" ca="1" si="131"/>
        <v>117.60166195998184</v>
      </c>
    </row>
    <row r="849" spans="2:17" x14ac:dyDescent="0.3">
      <c r="B849" s="6">
        <f ca="1">RANDBETWEEN(ranges!B$2,ranges!B$3)</f>
        <v>11498</v>
      </c>
      <c r="C849" s="9">
        <f ca="1">LOOKUP(B849,geomorph!A:A,geomorph!B:B)</f>
        <v>1492.7</v>
      </c>
      <c r="D849">
        <f t="shared" si="124"/>
        <v>1.13E-4</v>
      </c>
      <c r="E849" s="9">
        <f ca="1">'[2]Q_GEV(random)'!$J849</f>
        <v>6762.5154290557575</v>
      </c>
      <c r="F849" s="26">
        <f ca="1">RANDBETWEEN(ranges!F$2*1000,ranges!F$3*1000)/1000</f>
        <v>0.109</v>
      </c>
      <c r="G849" s="3">
        <f t="shared" ca="1" si="125"/>
        <v>4.5303915247911553</v>
      </c>
      <c r="H849" s="4">
        <f t="shared" ca="1" si="126"/>
        <v>7.9617362535168974</v>
      </c>
      <c r="I849" s="4">
        <f t="shared" ca="1" si="127"/>
        <v>156.85606226077752</v>
      </c>
      <c r="J849" s="26">
        <f ca="1">RANDBETWEEN(ranges!J$2*1000,ranges!J$3*1000)/1000</f>
        <v>0.61399999999999999</v>
      </c>
      <c r="K849" s="26">
        <f ca="1">RANDBETWEEN(ranges!K$2*1000,ranges!K$3*1000)/1000</f>
        <v>0.91100000000000003</v>
      </c>
      <c r="L849">
        <f t="shared" ca="1" si="128"/>
        <v>78.750838611147884</v>
      </c>
      <c r="M849">
        <f t="shared" ca="1" si="129"/>
        <v>13.283305577819231</v>
      </c>
      <c r="N849" s="4">
        <f t="shared" ca="1" si="130"/>
        <v>5.7843144829373188</v>
      </c>
      <c r="O849" s="4"/>
      <c r="P849" s="1">
        <f ca="1">LOOKUP(B849,geomorph!$A:$A,geomorph!$G:$G)</f>
        <v>105.227391</v>
      </c>
      <c r="Q849" s="1">
        <f t="shared" ca="1" si="131"/>
        <v>118.51069657781923</v>
      </c>
    </row>
    <row r="850" spans="2:17" x14ac:dyDescent="0.3">
      <c r="B850" s="6">
        <f ca="1">RANDBETWEEN(ranges!B$2,ranges!B$3)</f>
        <v>10708</v>
      </c>
      <c r="C850" s="9">
        <f ca="1">LOOKUP(B850,geomorph!A:A,geomorph!B:B)</f>
        <v>1711.6</v>
      </c>
      <c r="D850">
        <f t="shared" si="124"/>
        <v>1.13E-4</v>
      </c>
      <c r="E850" s="9">
        <f ca="1">'[2]Q_GEV(random)'!$J850</f>
        <v>6746.5792670378778</v>
      </c>
      <c r="F850" s="26">
        <f ca="1">RANDBETWEEN(ranges!F$2*1000,ranges!F$3*1000)/1000</f>
        <v>0.10100000000000001</v>
      </c>
      <c r="G850" s="3">
        <f t="shared" ca="1" si="125"/>
        <v>3.9416798709031773</v>
      </c>
      <c r="H850" s="4">
        <f t="shared" ca="1" si="126"/>
        <v>7.0740776221632462</v>
      </c>
      <c r="I850" s="4">
        <f t="shared" ca="1" si="127"/>
        <v>124.67191740325208</v>
      </c>
      <c r="J850" s="26">
        <f ca="1">RANDBETWEEN(ranges!J$2*1000,ranges!J$3*1000)/1000</f>
        <v>0.70499999999999996</v>
      </c>
      <c r="K850" s="26">
        <f ca="1">RANDBETWEEN(ranges!K$2*1000,ranges!K$3*1000)/1000</f>
        <v>0.92700000000000005</v>
      </c>
      <c r="L850">
        <f t="shared" ca="1" si="128"/>
        <v>63.285512050776163</v>
      </c>
      <c r="M850">
        <f t="shared" ca="1" si="129"/>
        <v>12.240101514150258</v>
      </c>
      <c r="N850" s="4">
        <f t="shared" ca="1" si="130"/>
        <v>5.6152433608554473</v>
      </c>
      <c r="O850" s="4"/>
      <c r="P850" s="1">
        <f ca="1">LOOKUP(B850,geomorph!$A:$A,geomorph!$G:$G)</f>
        <v>105.316661</v>
      </c>
      <c r="Q850" s="1">
        <f t="shared" ca="1" si="131"/>
        <v>117.55676251415025</v>
      </c>
    </row>
    <row r="851" spans="2:17" x14ac:dyDescent="0.3">
      <c r="B851" s="6">
        <f ca="1">RANDBETWEEN(ranges!B$2,ranges!B$3)</f>
        <v>14073</v>
      </c>
      <c r="C851" s="9">
        <f ca="1">LOOKUP(B851,geomorph!A:A,geomorph!B:B)</f>
        <v>1344.6</v>
      </c>
      <c r="D851">
        <f t="shared" si="124"/>
        <v>1.13E-4</v>
      </c>
      <c r="E851" s="9">
        <f ca="1">'[2]Q_GEV(random)'!$J851</f>
        <v>6720.2485148716623</v>
      </c>
      <c r="F851" s="26">
        <f ca="1">RANDBETWEEN(ranges!F$2*1000,ranges!F$3*1000)/1000</f>
        <v>0.10299999999999999</v>
      </c>
      <c r="G851" s="3">
        <f t="shared" ca="1" si="125"/>
        <v>4.9979536775782112</v>
      </c>
      <c r="H851" s="4">
        <f t="shared" ca="1" si="126"/>
        <v>8.341593509809444</v>
      </c>
      <c r="I851" s="4">
        <f t="shared" ca="1" si="127"/>
        <v>185.91669671796004</v>
      </c>
      <c r="J851" s="26">
        <f ca="1">RANDBETWEEN(ranges!J$2*1000,ranges!J$3*1000)/1000</f>
        <v>0.62</v>
      </c>
      <c r="K851" s="26">
        <f ca="1">RANDBETWEEN(ranges!K$2*1000,ranges!K$3*1000)/1000</f>
        <v>0.95099999999999996</v>
      </c>
      <c r="L851">
        <f t="shared" ca="1" si="128"/>
        <v>88.098420642036231</v>
      </c>
      <c r="M851">
        <f t="shared" ca="1" si="129"/>
        <v>13.385656412666854</v>
      </c>
      <c r="N851" s="4">
        <f t="shared" ca="1" si="130"/>
        <v>5.4826770683232722</v>
      </c>
      <c r="O851" s="4"/>
      <c r="P851" s="1">
        <f ca="1">LOOKUP(B851,geomorph!$A:$A,geomorph!$G:$G)</f>
        <v>104.935851</v>
      </c>
      <c r="Q851" s="1">
        <f t="shared" ca="1" si="131"/>
        <v>118.32150741266685</v>
      </c>
    </row>
    <row r="852" spans="2:17" x14ac:dyDescent="0.3">
      <c r="B852" s="6">
        <f ca="1">RANDBETWEEN(ranges!B$2,ranges!B$3)</f>
        <v>10364</v>
      </c>
      <c r="C852" s="9">
        <f ca="1">LOOKUP(B852,geomorph!A:A,geomorph!B:B)</f>
        <v>1692.2</v>
      </c>
      <c r="D852">
        <f t="shared" si="124"/>
        <v>1.13E-4</v>
      </c>
      <c r="E852" s="9">
        <f ca="1">'[2]Q_GEV(random)'!$J852</f>
        <v>6719.0432588025287</v>
      </c>
      <c r="F852" s="26">
        <f ca="1">RANDBETWEEN(ranges!F$2*1000,ranges!F$3*1000)/1000</f>
        <v>9.5000000000000001E-2</v>
      </c>
      <c r="G852" s="3">
        <f t="shared" ca="1" si="125"/>
        <v>3.9705964181553766</v>
      </c>
      <c r="H852" s="4">
        <f t="shared" ca="1" si="126"/>
        <v>6.9649846352798077</v>
      </c>
      <c r="I852" s="4">
        <f t="shared" ca="1" si="127"/>
        <v>126.71717739859378</v>
      </c>
      <c r="J852" s="26">
        <f ca="1">RANDBETWEEN(ranges!J$2*1000,ranges!J$3*1000)/1000</f>
        <v>0.66300000000000003</v>
      </c>
      <c r="K852" s="26">
        <f ca="1">RANDBETWEEN(ranges!K$2*1000,ranges!K$3*1000)/1000</f>
        <v>0.88900000000000001</v>
      </c>
      <c r="L852">
        <f t="shared" ca="1" si="128"/>
        <v>63.998375590510051</v>
      </c>
      <c r="M852">
        <f t="shared" ca="1" si="129"/>
        <v>12.237679782691504</v>
      </c>
      <c r="N852" s="4">
        <f t="shared" ca="1" si="130"/>
        <v>5.7311903776214095</v>
      </c>
      <c r="O852" s="4"/>
      <c r="P852" s="1">
        <f ca="1">LOOKUP(B852,geomorph!$A:$A,geomorph!$G:$G)</f>
        <v>105.355081</v>
      </c>
      <c r="Q852" s="1">
        <f t="shared" ca="1" si="131"/>
        <v>117.5927607826915</v>
      </c>
    </row>
    <row r="853" spans="2:17" x14ac:dyDescent="0.3">
      <c r="B853" s="6">
        <f ca="1">RANDBETWEEN(ranges!B$2,ranges!B$3)</f>
        <v>12500</v>
      </c>
      <c r="C853" s="9">
        <f ca="1">LOOKUP(B853,geomorph!A:A,geomorph!B:B)</f>
        <v>1209.7</v>
      </c>
      <c r="D853">
        <f t="shared" si="124"/>
        <v>1.13E-4</v>
      </c>
      <c r="E853" s="9">
        <f ca="1">'[2]Q_GEV(random)'!$J853</f>
        <v>6680.8793437846871</v>
      </c>
      <c r="F853" s="26">
        <f ca="1">RANDBETWEEN(ranges!F$2*1000,ranges!F$3*1000)/1000</f>
        <v>0.106</v>
      </c>
      <c r="G853" s="3">
        <f t="shared" ca="1" si="125"/>
        <v>5.5227571660615746</v>
      </c>
      <c r="H853" s="4">
        <f t="shared" ca="1" si="126"/>
        <v>9.0014895909416683</v>
      </c>
      <c r="I853" s="4">
        <f t="shared" ca="1" si="127"/>
        <v>220.87317198462171</v>
      </c>
      <c r="J853" s="26">
        <f ca="1">RANDBETWEEN(ranges!J$2*1000,ranges!J$3*1000)/1000</f>
        <v>0.76700000000000002</v>
      </c>
      <c r="K853" s="26">
        <f ca="1">RANDBETWEEN(ranges!K$2*1000,ranges!K$3*1000)/1000</f>
        <v>0.95899999999999996</v>
      </c>
      <c r="L853">
        <f t="shared" ca="1" si="128"/>
        <v>96.406232865122519</v>
      </c>
      <c r="M853">
        <f t="shared" ca="1" si="129"/>
        <v>13.178356048354075</v>
      </c>
      <c r="N853" s="4">
        <f t="shared" ca="1" si="130"/>
        <v>4.5400722363178332</v>
      </c>
      <c r="O853" s="4"/>
      <c r="P853" s="1">
        <f ca="1">LOOKUP(B853,geomorph!$A:$A,geomorph!$G:$G)</f>
        <v>105.11326100000001</v>
      </c>
      <c r="Q853" s="1">
        <f t="shared" ca="1" si="131"/>
        <v>118.29161704835408</v>
      </c>
    </row>
    <row r="854" spans="2:17" x14ac:dyDescent="0.3">
      <c r="B854" s="6">
        <f ca="1">RANDBETWEEN(ranges!B$2,ranges!B$3)</f>
        <v>12193</v>
      </c>
      <c r="C854" s="9">
        <f ca="1">LOOKUP(B854,geomorph!A:A,geomorph!B:B)</f>
        <v>1293.0999999999999</v>
      </c>
      <c r="D854">
        <f t="shared" si="124"/>
        <v>1.13E-4</v>
      </c>
      <c r="E854" s="9">
        <f ca="1">'[2]Q_GEV(random)'!$J854</f>
        <v>6670.1282206901551</v>
      </c>
      <c r="F854" s="26">
        <f ca="1">RANDBETWEEN(ranges!F$2*1000,ranges!F$3*1000)/1000</f>
        <v>0.108</v>
      </c>
      <c r="G854" s="3">
        <f t="shared" ca="1" si="125"/>
        <v>5.1582462459903766</v>
      </c>
      <c r="H854" s="4">
        <f t="shared" ca="1" si="126"/>
        <v>8.6546816109358407</v>
      </c>
      <c r="I854" s="4">
        <f t="shared" ca="1" si="127"/>
        <v>197.4327913583497</v>
      </c>
      <c r="J854" s="26">
        <f ca="1">RANDBETWEEN(ranges!J$2*1000,ranges!J$3*1000)/1000</f>
        <v>0.64200000000000002</v>
      </c>
      <c r="K854" s="26">
        <f ca="1">RANDBETWEEN(ranges!K$2*1000,ranges!K$3*1000)/1000</f>
        <v>0.875</v>
      </c>
      <c r="L854">
        <f t="shared" ca="1" si="128"/>
        <v>91.562197847433382</v>
      </c>
      <c r="M854">
        <f t="shared" ca="1" si="129"/>
        <v>13.37909581812632</v>
      </c>
      <c r="N854" s="4">
        <f t="shared" ca="1" si="130"/>
        <v>5.1352328339026947</v>
      </c>
      <c r="O854" s="4"/>
      <c r="P854" s="1">
        <f ca="1">LOOKUP(B854,geomorph!$A:$A,geomorph!$G:$G)</f>
        <v>105.148291</v>
      </c>
      <c r="Q854" s="1">
        <f t="shared" ca="1" si="131"/>
        <v>118.52738681812632</v>
      </c>
    </row>
    <row r="855" spans="2:17" x14ac:dyDescent="0.3">
      <c r="B855" s="6">
        <f ca="1">RANDBETWEEN(ranges!B$2,ranges!B$3)</f>
        <v>11114</v>
      </c>
      <c r="C855" s="9">
        <f ca="1">LOOKUP(B855,geomorph!A:A,geomorph!B:B)</f>
        <v>1683</v>
      </c>
      <c r="D855">
        <f t="shared" si="124"/>
        <v>1.13E-4</v>
      </c>
      <c r="E855" s="9">
        <f ca="1">'[2]Q_GEV(random)'!$J855</f>
        <v>6632.6269154523343</v>
      </c>
      <c r="F855" s="26">
        <f ca="1">RANDBETWEEN(ranges!F$2*1000,ranges!F$3*1000)/1000</f>
        <v>0.1</v>
      </c>
      <c r="G855" s="3">
        <f t="shared" ca="1" si="125"/>
        <v>3.940954792306794</v>
      </c>
      <c r="H855" s="4">
        <f t="shared" ca="1" si="126"/>
        <v>7.0497886730834534</v>
      </c>
      <c r="I855" s="4">
        <f t="shared" ca="1" si="127"/>
        <v>126.77497578730072</v>
      </c>
      <c r="J855" s="26">
        <f ca="1">RANDBETWEEN(ranges!J$2*1000,ranges!J$3*1000)/1000</f>
        <v>0.64600000000000002</v>
      </c>
      <c r="K855" s="26">
        <f ca="1">RANDBETWEEN(ranges!K$2*1000,ranges!K$3*1000)/1000</f>
        <v>0.92500000000000004</v>
      </c>
      <c r="L855">
        <f t="shared" ca="1" si="128"/>
        <v>65.610736180266201</v>
      </c>
      <c r="M855">
        <f t="shared" ca="1" si="129"/>
        <v>12.477784196026846</v>
      </c>
      <c r="N855" s="4">
        <f t="shared" ca="1" si="130"/>
        <v>5.8999951336341221</v>
      </c>
      <c r="O855" s="4"/>
      <c r="P855" s="1">
        <f ca="1">LOOKUP(B855,geomorph!$A:$A,geomorph!$G:$G)</f>
        <v>105.270331</v>
      </c>
      <c r="Q855" s="1">
        <f t="shared" ca="1" si="131"/>
        <v>117.74811519602684</v>
      </c>
    </row>
    <row r="856" spans="2:17" x14ac:dyDescent="0.3">
      <c r="B856" s="6">
        <f ca="1">RANDBETWEEN(ranges!B$2,ranges!B$3)</f>
        <v>13095</v>
      </c>
      <c r="C856" s="9">
        <f ca="1">LOOKUP(B856,geomorph!A:A,geomorph!B:B)</f>
        <v>1151.4000000000001</v>
      </c>
      <c r="D856">
        <f t="shared" si="124"/>
        <v>1.13E-4</v>
      </c>
      <c r="E856" s="9">
        <f ca="1">'[2]Q_GEV(random)'!$J856</f>
        <v>6631.5160315331796</v>
      </c>
      <c r="F856" s="26">
        <f ca="1">RANDBETWEEN(ranges!F$2*1000,ranges!F$3*1000)/1000</f>
        <v>9.6000000000000002E-2</v>
      </c>
      <c r="G856" s="3">
        <f t="shared" ca="1" si="125"/>
        <v>5.7595240850557401</v>
      </c>
      <c r="H856" s="4">
        <f t="shared" ca="1" si="126"/>
        <v>8.9561894881027833</v>
      </c>
      <c r="I856" s="4">
        <f t="shared" ca="1" si="127"/>
        <v>238.64272032034506</v>
      </c>
      <c r="J856" s="26">
        <f ca="1">RANDBETWEEN(ranges!J$2*1000,ranges!J$3*1000)/1000</f>
        <v>0.70599999999999996</v>
      </c>
      <c r="K856" s="26">
        <f ca="1">RANDBETWEEN(ranges!K$2*1000,ranges!K$3*1000)/1000</f>
        <v>0.86499999999999999</v>
      </c>
      <c r="L856">
        <f t="shared" ca="1" si="128"/>
        <v>100.50628200037809</v>
      </c>
      <c r="M856">
        <f t="shared" ca="1" si="129"/>
        <v>13.076691439761595</v>
      </c>
      <c r="N856" s="4">
        <f t="shared" ca="1" si="130"/>
        <v>4.4788064691943603</v>
      </c>
      <c r="O856" s="4"/>
      <c r="P856" s="1">
        <f ca="1">LOOKUP(B856,geomorph!$A:$A,geomorph!$G:$G)</f>
        <v>105.04659100000001</v>
      </c>
      <c r="Q856" s="1">
        <f t="shared" ca="1" si="131"/>
        <v>118.1232824397616</v>
      </c>
    </row>
    <row r="857" spans="2:17" x14ac:dyDescent="0.3">
      <c r="B857" s="6">
        <f ca="1">RANDBETWEEN(ranges!B$2,ranges!B$3)</f>
        <v>13895</v>
      </c>
      <c r="C857" s="9">
        <f ca="1">LOOKUP(B857,geomorph!A:A,geomorph!B:B)</f>
        <v>1300.3</v>
      </c>
      <c r="D857">
        <f t="shared" si="124"/>
        <v>1.13E-4</v>
      </c>
      <c r="E857" s="9">
        <f ca="1">'[2]Q_GEV(random)'!$J857</f>
        <v>6629.5236236545006</v>
      </c>
      <c r="F857" s="26">
        <f ca="1">RANDBETWEEN(ranges!F$2*1000,ranges!F$3*1000)/1000</f>
        <v>0.10100000000000001</v>
      </c>
      <c r="G857" s="3">
        <f t="shared" ca="1" si="125"/>
        <v>5.0984569896596943</v>
      </c>
      <c r="H857" s="4">
        <f t="shared" ca="1" si="126"/>
        <v>8.3979785532309315</v>
      </c>
      <c r="I857" s="4">
        <f t="shared" ca="1" si="127"/>
        <v>194.81944166018874</v>
      </c>
      <c r="J857" s="26">
        <f ca="1">RANDBETWEEN(ranges!J$2*1000,ranges!J$3*1000)/1000</f>
        <v>0.64200000000000002</v>
      </c>
      <c r="K857" s="26">
        <f ca="1">RANDBETWEEN(ranges!K$2*1000,ranges!K$3*1000)/1000</f>
        <v>0.80700000000000005</v>
      </c>
      <c r="L857">
        <f t="shared" ca="1" si="128"/>
        <v>88.363051605958219</v>
      </c>
      <c r="M857">
        <f t="shared" ca="1" si="129"/>
        <v>12.983527788364704</v>
      </c>
      <c r="N857" s="4">
        <f t="shared" ca="1" si="130"/>
        <v>4.9842926468845352</v>
      </c>
      <c r="O857" s="4"/>
      <c r="P857" s="1">
        <f ca="1">LOOKUP(B857,geomorph!$A:$A,geomorph!$G:$G)</f>
        <v>104.956191</v>
      </c>
      <c r="Q857" s="1">
        <f t="shared" ca="1" si="131"/>
        <v>117.9397187883647</v>
      </c>
    </row>
    <row r="858" spans="2:17" x14ac:dyDescent="0.3">
      <c r="B858" s="6">
        <f ca="1">RANDBETWEEN(ranges!B$2,ranges!B$3)</f>
        <v>11047</v>
      </c>
      <c r="C858" s="9">
        <f ca="1">LOOKUP(B858,geomorph!A:A,geomorph!B:B)</f>
        <v>1687.2</v>
      </c>
      <c r="D858">
        <f t="shared" si="124"/>
        <v>1.13E-4</v>
      </c>
      <c r="E858" s="9">
        <f ca="1">'[2]Q_GEV(random)'!$J858</f>
        <v>6614.7647217132653</v>
      </c>
      <c r="F858" s="26">
        <f ca="1">RANDBETWEEN(ranges!F$2*1000,ranges!F$3*1000)/1000</f>
        <v>0.108</v>
      </c>
      <c r="G858" s="3">
        <f t="shared" ca="1" si="125"/>
        <v>3.9205575638414327</v>
      </c>
      <c r="H858" s="4">
        <f t="shared" ca="1" si="126"/>
        <v>7.2080026613602977</v>
      </c>
      <c r="I858" s="4">
        <f t="shared" ca="1" si="127"/>
        <v>126.02266905984281</v>
      </c>
      <c r="J858" s="26">
        <f ca="1">RANDBETWEEN(ranges!J$2*1000,ranges!J$3*1000)/1000</f>
        <v>0.71699999999999997</v>
      </c>
      <c r="K858" s="26">
        <f ca="1">RANDBETWEEN(ranges!K$2*1000,ranges!K$3*1000)/1000</f>
        <v>0.96</v>
      </c>
      <c r="L858">
        <f t="shared" ca="1" si="128"/>
        <v>64.711254591682035</v>
      </c>
      <c r="M858">
        <f t="shared" ca="1" si="129"/>
        <v>12.33743364842071</v>
      </c>
      <c r="N858" s="4">
        <f t="shared" ca="1" si="130"/>
        <v>5.5754684641961001</v>
      </c>
      <c r="O858" s="4"/>
      <c r="P858" s="1">
        <f ca="1">LOOKUP(B858,geomorph!$A:$A,geomorph!$G:$G)</f>
        <v>105.27824100000001</v>
      </c>
      <c r="Q858" s="1">
        <f t="shared" ca="1" si="131"/>
        <v>117.61567464842072</v>
      </c>
    </row>
    <row r="859" spans="2:17" x14ac:dyDescent="0.3">
      <c r="B859" s="6">
        <f ca="1">RANDBETWEEN(ranges!B$2,ranges!B$3)</f>
        <v>11633</v>
      </c>
      <c r="C859" s="9">
        <f ca="1">LOOKUP(B859,geomorph!A:A,geomorph!B:B)</f>
        <v>1457.4</v>
      </c>
      <c r="D859">
        <f t="shared" si="124"/>
        <v>1.13E-4</v>
      </c>
      <c r="E859" s="9">
        <f ca="1">'[2]Q_GEV(random)'!$J859</f>
        <v>6592.9283620354399</v>
      </c>
      <c r="F859" s="26">
        <f ca="1">RANDBETWEEN(ranges!F$2*1000,ranges!F$3*1000)/1000</f>
        <v>9.4E-2</v>
      </c>
      <c r="G859" s="3">
        <f t="shared" ca="1" si="125"/>
        <v>4.5237603691748589</v>
      </c>
      <c r="H859" s="4">
        <f t="shared" ca="1" si="126"/>
        <v>7.5709575110607714</v>
      </c>
      <c r="I859" s="4">
        <f t="shared" ca="1" si="127"/>
        <v>160.49850057814041</v>
      </c>
      <c r="J859" s="26">
        <f ca="1">RANDBETWEEN(ranges!J$2*1000,ranges!J$3*1000)/1000</f>
        <v>0.64100000000000001</v>
      </c>
      <c r="K859" s="26">
        <f ca="1">RANDBETWEEN(ranges!K$2*1000,ranges!K$3*1000)/1000</f>
        <v>0.85699999999999998</v>
      </c>
      <c r="L859">
        <f t="shared" ca="1" si="128"/>
        <v>75.809258795461787</v>
      </c>
      <c r="M859">
        <f t="shared" ca="1" si="129"/>
        <v>12.484738755841178</v>
      </c>
      <c r="N859" s="4">
        <f t="shared" ca="1" si="130"/>
        <v>5.341066570413485</v>
      </c>
      <c r="O859" s="4"/>
      <c r="P859" s="1">
        <f ca="1">LOOKUP(B859,geomorph!$A:$A,geomorph!$G:$G)</f>
        <v>105.21157100000001</v>
      </c>
      <c r="Q859" s="1">
        <f t="shared" ca="1" si="131"/>
        <v>117.69630975584118</v>
      </c>
    </row>
    <row r="860" spans="2:17" x14ac:dyDescent="0.3">
      <c r="B860" s="6">
        <f ca="1">RANDBETWEEN(ranges!B$2,ranges!B$3)</f>
        <v>12691</v>
      </c>
      <c r="C860" s="9">
        <f ca="1">LOOKUP(B860,geomorph!A:A,geomorph!B:B)</f>
        <v>1160.5999999999999</v>
      </c>
      <c r="D860">
        <f t="shared" si="124"/>
        <v>1.13E-4</v>
      </c>
      <c r="E860" s="9">
        <f ca="1">'[2]Q_GEV(random)'!$J860</f>
        <v>6590.0518180804293</v>
      </c>
      <c r="F860" s="26">
        <f ca="1">RANDBETWEEN(ranges!F$2*1000,ranges!F$3*1000)/1000</f>
        <v>0.107</v>
      </c>
      <c r="G860" s="3">
        <f t="shared" ca="1" si="125"/>
        <v>5.6781421834227377</v>
      </c>
      <c r="H860" s="4">
        <f t="shared" ca="1" si="126"/>
        <v>9.1982928307880698</v>
      </c>
      <c r="I860" s="4">
        <f t="shared" ca="1" si="127"/>
        <v>234.51553999847206</v>
      </c>
      <c r="J860" s="26">
        <f ca="1">RANDBETWEEN(ranges!J$2*1000,ranges!J$3*1000)/1000</f>
        <v>0.75900000000000001</v>
      </c>
      <c r="K860" s="26">
        <f ca="1">RANDBETWEEN(ranges!K$2*1000,ranges!K$3*1000)/1000</f>
        <v>0.89900000000000002</v>
      </c>
      <c r="L860">
        <f t="shared" ca="1" si="128"/>
        <v>100.89008694827702</v>
      </c>
      <c r="M860">
        <f t="shared" ca="1" si="129"/>
        <v>13.231512945075242</v>
      </c>
      <c r="N860" s="4">
        <f t="shared" ca="1" si="130"/>
        <v>4.3839349068338818</v>
      </c>
      <c r="O860" s="4"/>
      <c r="P860" s="1">
        <f ca="1">LOOKUP(B860,geomorph!$A:$A,geomorph!$G:$G)</f>
        <v>105.091791</v>
      </c>
      <c r="Q860" s="1">
        <f t="shared" ca="1" si="131"/>
        <v>118.32330394507524</v>
      </c>
    </row>
    <row r="861" spans="2:17" x14ac:dyDescent="0.3">
      <c r="B861" s="6">
        <f ca="1">RANDBETWEEN(ranges!B$2,ranges!B$3)</f>
        <v>11055</v>
      </c>
      <c r="C861" s="9">
        <f ca="1">LOOKUP(B861,geomorph!A:A,geomorph!B:B)</f>
        <v>1686.9</v>
      </c>
      <c r="D861">
        <f t="shared" si="124"/>
        <v>1.13E-4</v>
      </c>
      <c r="E861" s="9">
        <f ca="1">'[2]Q_GEV(random)'!$J861</f>
        <v>6583.9503090459075</v>
      </c>
      <c r="F861" s="26">
        <f ca="1">RANDBETWEEN(ranges!F$2*1000,ranges!F$3*1000)/1000</f>
        <v>9.7000000000000003E-2</v>
      </c>
      <c r="G861" s="3">
        <f t="shared" ca="1" si="125"/>
        <v>3.9029879121737547</v>
      </c>
      <c r="H861" s="4">
        <f t="shared" ca="1" si="126"/>
        <v>6.9336808161919734</v>
      </c>
      <c r="I861" s="4">
        <f t="shared" ca="1" si="127"/>
        <v>125.66822555566361</v>
      </c>
      <c r="J861" s="26">
        <f ca="1">RANDBETWEEN(ranges!J$2*1000,ranges!J$3*1000)/1000</f>
        <v>0.67300000000000004</v>
      </c>
      <c r="K861" s="26">
        <f ca="1">RANDBETWEEN(ranges!K$2*1000,ranges!K$3*1000)/1000</f>
        <v>0.874</v>
      </c>
      <c r="L861">
        <f t="shared" ca="1" si="128"/>
        <v>63.513840145726284</v>
      </c>
      <c r="M861">
        <f t="shared" ca="1" si="129"/>
        <v>12.106989154426302</v>
      </c>
      <c r="N861" s="4">
        <f t="shared" ca="1" si="130"/>
        <v>5.6231612372112263</v>
      </c>
      <c r="O861" s="4"/>
      <c r="P861" s="1">
        <f ca="1">LOOKUP(B861,geomorph!$A:$A,geomorph!$G:$G)</f>
        <v>105.277111</v>
      </c>
      <c r="Q861" s="1">
        <f t="shared" ca="1" si="131"/>
        <v>117.38410015442631</v>
      </c>
    </row>
    <row r="862" spans="2:17" x14ac:dyDescent="0.3">
      <c r="B862" s="6">
        <f ca="1">RANDBETWEEN(ranges!B$2,ranges!B$3)</f>
        <v>13788</v>
      </c>
      <c r="C862" s="9">
        <f ca="1">LOOKUP(B862,geomorph!A:A,geomorph!B:B)</f>
        <v>1273.3</v>
      </c>
      <c r="D862">
        <f t="shared" si="124"/>
        <v>1.13E-4</v>
      </c>
      <c r="E862" s="9">
        <f ca="1">'[2]Q_GEV(random)'!$J862</f>
        <v>6582.7650882940598</v>
      </c>
      <c r="F862" s="26">
        <f ca="1">RANDBETWEEN(ranges!F$2*1000,ranges!F$3*1000)/1000</f>
        <v>9.4E-2</v>
      </c>
      <c r="G862" s="3">
        <f t="shared" ca="1" si="125"/>
        <v>5.1698461386115291</v>
      </c>
      <c r="H862" s="4">
        <f t="shared" ca="1" si="126"/>
        <v>8.2756635616953709</v>
      </c>
      <c r="I862" s="4">
        <f t="shared" ca="1" si="127"/>
        <v>200.80338208380803</v>
      </c>
      <c r="J862" s="26">
        <f ca="1">RANDBETWEEN(ranges!J$2*1000,ranges!J$3*1000)/1000</f>
        <v>0.77100000000000002</v>
      </c>
      <c r="K862" s="26">
        <f ca="1">RANDBETWEEN(ranges!K$2*1000,ranges!K$3*1000)/1000</f>
        <v>0.878</v>
      </c>
      <c r="L862">
        <f t="shared" ca="1" si="128"/>
        <v>85.804922968813642</v>
      </c>
      <c r="M862">
        <f t="shared" ca="1" si="129"/>
        <v>12.345861151029515</v>
      </c>
      <c r="N862" s="4">
        <f t="shared" ca="1" si="130"/>
        <v>4.4241278144936347</v>
      </c>
      <c r="O862" s="4"/>
      <c r="P862" s="1">
        <f ca="1">LOOKUP(B862,geomorph!$A:$A,geomorph!$G:$G)</f>
        <v>104.968621</v>
      </c>
      <c r="Q862" s="1">
        <f t="shared" ca="1" si="131"/>
        <v>117.31448215102951</v>
      </c>
    </row>
    <row r="863" spans="2:17" x14ac:dyDescent="0.3">
      <c r="B863" s="6">
        <f ca="1">RANDBETWEEN(ranges!B$2,ranges!B$3)</f>
        <v>11474</v>
      </c>
      <c r="C863" s="9">
        <f ca="1">LOOKUP(B863,geomorph!A:A,geomorph!B:B)</f>
        <v>1498.4</v>
      </c>
      <c r="D863">
        <f t="shared" si="124"/>
        <v>1.13E-4</v>
      </c>
      <c r="E863" s="9">
        <f ca="1">'[2]Q_GEV(random)'!$J863</f>
        <v>6513.1486826971241</v>
      </c>
      <c r="F863" s="26">
        <f ca="1">RANDBETWEEN(ranges!F$2*1000,ranges!F$3*1000)/1000</f>
        <v>0.09</v>
      </c>
      <c r="G863" s="3">
        <f t="shared" ca="1" si="125"/>
        <v>4.3467356398138843</v>
      </c>
      <c r="H863" s="4">
        <f t="shared" ca="1" si="126"/>
        <v>7.2660455899156018</v>
      </c>
      <c r="I863" s="4">
        <f t="shared" ca="1" si="127"/>
        <v>152.0072858481758</v>
      </c>
      <c r="J863" s="26">
        <f ca="1">RANDBETWEEN(ranges!J$2*1000,ranges!J$3*1000)/1000</f>
        <v>0.76700000000000002</v>
      </c>
      <c r="K863" s="26">
        <f ca="1">RANDBETWEEN(ranges!K$2*1000,ranges!K$3*1000)/1000</f>
        <v>0.97399999999999998</v>
      </c>
      <c r="L863">
        <f t="shared" ca="1" si="128"/>
        <v>69.669148693078768</v>
      </c>
      <c r="M863">
        <f t="shared" ca="1" si="129"/>
        <v>11.796324521393144</v>
      </c>
      <c r="N863" s="4">
        <f t="shared" ca="1" si="130"/>
        <v>4.9242162298668939</v>
      </c>
      <c r="O863" s="4"/>
      <c r="P863" s="1">
        <f ca="1">LOOKUP(B863,geomorph!$A:$A,geomorph!$G:$G)</f>
        <v>105.229651</v>
      </c>
      <c r="Q863" s="1">
        <f t="shared" ca="1" si="131"/>
        <v>117.02597552139315</v>
      </c>
    </row>
    <row r="864" spans="2:17" x14ac:dyDescent="0.3">
      <c r="B864" s="6">
        <f ca="1">RANDBETWEEN(ranges!B$2,ranges!B$3)</f>
        <v>10124</v>
      </c>
      <c r="C864" s="9">
        <f ca="1">LOOKUP(B864,geomorph!A:A,geomorph!B:B)</f>
        <v>1597.3</v>
      </c>
      <c r="D864">
        <f t="shared" si="124"/>
        <v>1.13E-4</v>
      </c>
      <c r="E864" s="9">
        <f ca="1">'[2]Q_GEV(random)'!$J864</f>
        <v>6505.7856524608269</v>
      </c>
      <c r="F864" s="26">
        <f ca="1">RANDBETWEEN(ranges!F$2*1000,ranges!F$3*1000)/1000</f>
        <v>0.10199999999999999</v>
      </c>
      <c r="G864" s="3">
        <f t="shared" ca="1" si="125"/>
        <v>4.0729892020665037</v>
      </c>
      <c r="H864" s="4">
        <f t="shared" ca="1" si="126"/>
        <v>7.2541081544784021</v>
      </c>
      <c r="I864" s="4">
        <f t="shared" ca="1" si="127"/>
        <v>136.54391927143345</v>
      </c>
      <c r="J864" s="26">
        <f ca="1">RANDBETWEEN(ranges!J$2*1000,ranges!J$3*1000)/1000</f>
        <v>0.65</v>
      </c>
      <c r="K864" s="26">
        <f ca="1">RANDBETWEEN(ranges!K$2*1000,ranges!K$3*1000)/1000</f>
        <v>0.97</v>
      </c>
      <c r="L864">
        <f t="shared" ca="1" si="128"/>
        <v>69.642330878054224</v>
      </c>
      <c r="M864">
        <f t="shared" ca="1" si="129"/>
        <v>12.570085547601307</v>
      </c>
      <c r="N864" s="4">
        <f t="shared" ca="1" si="130"/>
        <v>5.7782362968727226</v>
      </c>
      <c r="O864" s="4"/>
      <c r="P864" s="1">
        <f ca="1">LOOKUP(B864,geomorph!$A:$A,geomorph!$G:$G)</f>
        <v>105.38220100000001</v>
      </c>
      <c r="Q864" s="1">
        <f t="shared" ca="1" si="131"/>
        <v>117.95228654760132</v>
      </c>
    </row>
    <row r="865" spans="2:17" x14ac:dyDescent="0.3">
      <c r="B865" s="6">
        <f ca="1">RANDBETWEEN(ranges!B$2,ranges!B$3)</f>
        <v>10297</v>
      </c>
      <c r="C865" s="9">
        <f ca="1">LOOKUP(B865,geomorph!A:A,geomorph!B:B)</f>
        <v>1657.3</v>
      </c>
      <c r="D865">
        <f t="shared" si="124"/>
        <v>1.13E-4</v>
      </c>
      <c r="E865" s="9">
        <f ca="1">'[2]Q_GEV(random)'!$J865</f>
        <v>6467.6335500548776</v>
      </c>
      <c r="F865" s="26">
        <f ca="1">RANDBETWEEN(ranges!F$2*1000,ranges!F$3*1000)/1000</f>
        <v>0.09</v>
      </c>
      <c r="G865" s="3">
        <f t="shared" ca="1" si="125"/>
        <v>3.9025122488715849</v>
      </c>
      <c r="H865" s="4">
        <f t="shared" ca="1" si="126"/>
        <v>6.762160632015501</v>
      </c>
      <c r="I865" s="4">
        <f t="shared" ca="1" si="127"/>
        <v>127.90231440163762</v>
      </c>
      <c r="J865" s="26">
        <f ca="1">RANDBETWEEN(ranges!J$2*1000,ranges!J$3*1000)/1000</f>
        <v>0.60599999999999998</v>
      </c>
      <c r="K865" s="26">
        <f ca="1">RANDBETWEEN(ranges!K$2*1000,ranges!K$3*1000)/1000</f>
        <v>0.86199999999999999</v>
      </c>
      <c r="L865">
        <f t="shared" ca="1" si="128"/>
        <v>65.259836710047352</v>
      </c>
      <c r="M865">
        <f t="shared" ca="1" si="129"/>
        <v>12.221529393890446</v>
      </c>
      <c r="N865" s="4">
        <f t="shared" ca="1" si="130"/>
        <v>5.9340964802988525</v>
      </c>
      <c r="O865" s="4"/>
      <c r="P865" s="1">
        <f ca="1">LOOKUP(B865,geomorph!$A:$A,geomorph!$G:$G)</f>
        <v>105.36299100000001</v>
      </c>
      <c r="Q865" s="1">
        <f t="shared" ca="1" si="131"/>
        <v>117.58452039389046</v>
      </c>
    </row>
    <row r="866" spans="2:17" x14ac:dyDescent="0.3">
      <c r="B866" s="6">
        <f ca="1">RANDBETWEEN(ranges!B$2,ranges!B$3)</f>
        <v>10378</v>
      </c>
      <c r="C866" s="9">
        <f ca="1">LOOKUP(B866,geomorph!A:A,geomorph!B:B)</f>
        <v>1712.8</v>
      </c>
      <c r="D866">
        <f t="shared" si="124"/>
        <v>1.13E-4</v>
      </c>
      <c r="E866" s="9">
        <f ca="1">'[2]Q_GEV(random)'!$J866</f>
        <v>6459.8020653926415</v>
      </c>
      <c r="F866" s="26">
        <f ca="1">RANDBETWEEN(ranges!F$2*1000,ranges!F$3*1000)/1000</f>
        <v>9.4E-2</v>
      </c>
      <c r="G866" s="3">
        <f t="shared" ca="1" si="125"/>
        <v>3.7714864931063996</v>
      </c>
      <c r="H866" s="4">
        <f t="shared" ca="1" si="126"/>
        <v>6.7064514606054857</v>
      </c>
      <c r="I866" s="4">
        <f t="shared" ca="1" si="127"/>
        <v>120.97205746941705</v>
      </c>
      <c r="J866" s="26">
        <f ca="1">RANDBETWEEN(ranges!J$2*1000,ranges!J$3*1000)/1000</f>
        <v>0.63</v>
      </c>
      <c r="K866" s="26">
        <f ca="1">RANDBETWEEN(ranges!K$2*1000,ranges!K$3*1000)/1000</f>
        <v>0.90500000000000003</v>
      </c>
      <c r="L866">
        <f t="shared" ca="1" si="128"/>
        <v>63.032166750596502</v>
      </c>
      <c r="M866">
        <f t="shared" ca="1" si="129"/>
        <v>12.199648958777651</v>
      </c>
      <c r="N866" s="4">
        <f t="shared" ca="1" si="130"/>
        <v>5.9708668458393097</v>
      </c>
      <c r="O866" s="4"/>
      <c r="P866" s="1">
        <f ca="1">LOOKUP(B866,geomorph!$A:$A,geomorph!$G:$G)</f>
        <v>105.35395100000001</v>
      </c>
      <c r="Q866" s="1">
        <f t="shared" ca="1" si="131"/>
        <v>117.55359995877765</v>
      </c>
    </row>
    <row r="867" spans="2:17" x14ac:dyDescent="0.3">
      <c r="B867" s="6">
        <f ca="1">RANDBETWEEN(ranges!B$2,ranges!B$3)</f>
        <v>10848</v>
      </c>
      <c r="C867" s="9">
        <f ca="1">LOOKUP(B867,geomorph!A:A,geomorph!B:B)</f>
        <v>1663</v>
      </c>
      <c r="D867">
        <f t="shared" si="124"/>
        <v>1.13E-4</v>
      </c>
      <c r="E867" s="9">
        <f ca="1">'[2]Q_GEV(random)'!$J867</f>
        <v>6453.6637493775252</v>
      </c>
      <c r="F867" s="26">
        <f ca="1">RANDBETWEEN(ranges!F$2*1000,ranges!F$3*1000)/1000</f>
        <v>9.5000000000000001E-2</v>
      </c>
      <c r="G867" s="3">
        <f t="shared" ca="1" si="125"/>
        <v>3.8807358685372972</v>
      </c>
      <c r="H867" s="4">
        <f t="shared" ca="1" si="126"/>
        <v>6.8594988589730965</v>
      </c>
      <c r="I867" s="4">
        <f t="shared" ca="1" si="127"/>
        <v>126.98930826196261</v>
      </c>
      <c r="J867" s="26">
        <f ca="1">RANDBETWEEN(ranges!J$2*1000,ranges!J$3*1000)/1000</f>
        <v>0.66500000000000004</v>
      </c>
      <c r="K867" s="26">
        <f ca="1">RANDBETWEEN(ranges!K$2*1000,ranges!K$3*1000)/1000</f>
        <v>0.871</v>
      </c>
      <c r="L867">
        <f t="shared" ca="1" si="128"/>
        <v>63.880430951219495</v>
      </c>
      <c r="M867">
        <f t="shared" ca="1" si="129"/>
        <v>12.004346703922216</v>
      </c>
      <c r="N867" s="4">
        <f t="shared" ca="1" si="130"/>
        <v>5.5922259184229564</v>
      </c>
      <c r="O867" s="4"/>
      <c r="P867" s="1">
        <f ca="1">LOOKUP(B867,geomorph!$A:$A,geomorph!$G:$G)</f>
        <v>105.30084100000001</v>
      </c>
      <c r="Q867" s="1">
        <f t="shared" ca="1" si="131"/>
        <v>117.30518770392223</v>
      </c>
    </row>
    <row r="868" spans="2:17" x14ac:dyDescent="0.3">
      <c r="B868" s="6">
        <f ca="1">RANDBETWEEN(ranges!B$2,ranges!B$3)</f>
        <v>12276</v>
      </c>
      <c r="C868" s="9">
        <f ca="1">LOOKUP(B868,geomorph!A:A,geomorph!B:B)</f>
        <v>1271.3</v>
      </c>
      <c r="D868">
        <f t="shared" si="124"/>
        <v>1.13E-4</v>
      </c>
      <c r="E868" s="9">
        <f ca="1">'[2]Q_GEV(random)'!$J868</f>
        <v>6447.534417236724</v>
      </c>
      <c r="F868" s="26">
        <f ca="1">RANDBETWEEN(ranges!F$2*1000,ranges!F$3*1000)/1000</f>
        <v>9.6000000000000002E-2</v>
      </c>
      <c r="G868" s="3">
        <f t="shared" ca="1" si="125"/>
        <v>5.0716073446367691</v>
      </c>
      <c r="H868" s="4">
        <f t="shared" ca="1" si="126"/>
        <v>8.2280316903544417</v>
      </c>
      <c r="I868" s="4">
        <f t="shared" ca="1" si="127"/>
        <v>198.56333173768763</v>
      </c>
      <c r="J868" s="26">
        <f ca="1">RANDBETWEEN(ranges!J$2*1000,ranges!J$3*1000)/1000</f>
        <v>0.64700000000000002</v>
      </c>
      <c r="K868" s="26">
        <f ca="1">RANDBETWEEN(ranges!K$2*1000,ranges!K$3*1000)/1000</f>
        <v>0.88800000000000001</v>
      </c>
      <c r="L868">
        <f t="shared" ca="1" si="128"/>
        <v>89.249053174654591</v>
      </c>
      <c r="M868">
        <f t="shared" ca="1" si="129"/>
        <v>12.821242307006036</v>
      </c>
      <c r="N868" s="4">
        <f t="shared" ca="1" si="130"/>
        <v>4.9926202354908638</v>
      </c>
      <c r="O868" s="4"/>
      <c r="P868" s="1">
        <f ca="1">LOOKUP(B868,geomorph!$A:$A,geomorph!$G:$G)</f>
        <v>105.139251</v>
      </c>
      <c r="Q868" s="1">
        <f t="shared" ca="1" si="131"/>
        <v>117.96049330700603</v>
      </c>
    </row>
    <row r="869" spans="2:17" x14ac:dyDescent="0.3">
      <c r="B869" s="6">
        <f ca="1">RANDBETWEEN(ranges!B$2,ranges!B$3)</f>
        <v>13184</v>
      </c>
      <c r="C869" s="9">
        <f ca="1">LOOKUP(B869,geomorph!A:A,geomorph!B:B)</f>
        <v>1161</v>
      </c>
      <c r="D869">
        <f t="shared" si="124"/>
        <v>1.13E-4</v>
      </c>
      <c r="E869" s="9">
        <f ca="1">'[2]Q_GEV(random)'!$J869</f>
        <v>6419.307711066328</v>
      </c>
      <c r="F869" s="26">
        <f ca="1">RANDBETWEEN(ranges!F$2*1000,ranges!F$3*1000)/1000</f>
        <v>9.5000000000000001E-2</v>
      </c>
      <c r="G869" s="3">
        <f t="shared" ca="1" si="125"/>
        <v>5.5291194755093267</v>
      </c>
      <c r="H869" s="4">
        <f t="shared" ca="1" si="126"/>
        <v>8.6853431432251949</v>
      </c>
      <c r="I869" s="4">
        <f t="shared" ca="1" si="127"/>
        <v>230.31476477849694</v>
      </c>
      <c r="J869" s="26">
        <f ca="1">RANDBETWEEN(ranges!J$2*1000,ranges!J$3*1000)/1000</f>
        <v>0.71599999999999997</v>
      </c>
      <c r="K869" s="26">
        <f ca="1">RANDBETWEEN(ranges!K$2*1000,ranges!K$3*1000)/1000</f>
        <v>0.97099999999999997</v>
      </c>
      <c r="L869">
        <f t="shared" ca="1" si="128"/>
        <v>98.37916989525138</v>
      </c>
      <c r="M869">
        <f t="shared" ca="1" si="129"/>
        <v>12.906658436067714</v>
      </c>
      <c r="N869" s="4">
        <f t="shared" ca="1" si="130"/>
        <v>4.5883861878723025</v>
      </c>
      <c r="O869" s="4"/>
      <c r="P869" s="1">
        <f ca="1">LOOKUP(B869,geomorph!$A:$A,geomorph!$G:$G)</f>
        <v>105.036421</v>
      </c>
      <c r="Q869" s="1">
        <f t="shared" ca="1" si="131"/>
        <v>117.94307943606772</v>
      </c>
    </row>
    <row r="870" spans="2:17" x14ac:dyDescent="0.3">
      <c r="B870" s="6">
        <f ca="1">RANDBETWEEN(ranges!B$2,ranges!B$3)</f>
        <v>11029</v>
      </c>
      <c r="C870" s="9">
        <f ca="1">LOOKUP(B870,geomorph!A:A,geomorph!B:B)</f>
        <v>1687.4</v>
      </c>
      <c r="D870">
        <f t="shared" si="124"/>
        <v>1.13E-4</v>
      </c>
      <c r="E870" s="9">
        <f ca="1">'[2]Q_GEV(random)'!$J870</f>
        <v>6402.337705529344</v>
      </c>
      <c r="F870" s="26">
        <f ca="1">RANDBETWEEN(ranges!F$2*1000,ranges!F$3*1000)/1000</f>
        <v>9.0999999999999998E-2</v>
      </c>
      <c r="G870" s="3">
        <f t="shared" ca="1" si="125"/>
        <v>3.7942027412168682</v>
      </c>
      <c r="H870" s="4">
        <f t="shared" ca="1" si="126"/>
        <v>6.6609465651987563</v>
      </c>
      <c r="I870" s="4">
        <f t="shared" ca="1" si="127"/>
        <v>123.28559281408143</v>
      </c>
      <c r="J870" s="26">
        <f ca="1">RANDBETWEEN(ranges!J$2*1000,ranges!J$3*1000)/1000</f>
        <v>0.629</v>
      </c>
      <c r="K870" s="26">
        <f ca="1">RANDBETWEEN(ranges!K$2*1000,ranges!K$3*1000)/1000</f>
        <v>0.93600000000000005</v>
      </c>
      <c r="L870">
        <f t="shared" ca="1" si="128"/>
        <v>63.664630414270512</v>
      </c>
      <c r="M870">
        <f t="shared" ca="1" si="129"/>
        <v>12.139329801797528</v>
      </c>
      <c r="N870" s="4">
        <f t="shared" ca="1" si="130"/>
        <v>5.9547643876073604</v>
      </c>
      <c r="O870" s="4"/>
      <c r="P870" s="1">
        <f ca="1">LOOKUP(B870,geomorph!$A:$A,geomorph!$G:$G)</f>
        <v>105.280501</v>
      </c>
      <c r="Q870" s="1">
        <f t="shared" ca="1" si="131"/>
        <v>117.41983080179753</v>
      </c>
    </row>
    <row r="871" spans="2:17" x14ac:dyDescent="0.3">
      <c r="B871" s="6">
        <f ca="1">RANDBETWEEN(ranges!B$2,ranges!B$3)</f>
        <v>13482</v>
      </c>
      <c r="C871" s="9">
        <f ca="1">LOOKUP(B871,geomorph!A:A,geomorph!B:B)</f>
        <v>1197.4000000000001</v>
      </c>
      <c r="D871">
        <f t="shared" si="124"/>
        <v>1.13E-4</v>
      </c>
      <c r="E871" s="9">
        <f ca="1">'[2]Q_GEV(random)'!$J871</f>
        <v>6392.898472588131</v>
      </c>
      <c r="F871" s="26">
        <f ca="1">RANDBETWEEN(ranges!F$2*1000,ranges!F$3*1000)/1000</f>
        <v>0.104</v>
      </c>
      <c r="G871" s="3">
        <f t="shared" ca="1" si="125"/>
        <v>5.3389831907367054</v>
      </c>
      <c r="H871" s="4">
        <f t="shared" ca="1" si="126"/>
        <v>8.7449758017794892</v>
      </c>
      <c r="I871" s="4">
        <f t="shared" ca="1" si="127"/>
        <v>218.16402230787301</v>
      </c>
      <c r="J871" s="26">
        <f ca="1">RANDBETWEEN(ranges!J$2*1000,ranges!J$3*1000)/1000</f>
        <v>0.72299999999999998</v>
      </c>
      <c r="K871" s="26">
        <f ca="1">RANDBETWEEN(ranges!K$2*1000,ranges!K$3*1000)/1000</f>
        <v>0.93600000000000005</v>
      </c>
      <c r="L871">
        <f t="shared" ca="1" si="128"/>
        <v>95.961120199881748</v>
      </c>
      <c r="M871">
        <f t="shared" ca="1" si="129"/>
        <v>12.98413452198924</v>
      </c>
      <c r="N871" s="4">
        <f t="shared" ca="1" si="130"/>
        <v>4.6077812176192943</v>
      </c>
      <c r="O871" s="4"/>
      <c r="P871" s="1">
        <f ca="1">LOOKUP(B871,geomorph!$A:$A,geomorph!$G:$G)</f>
        <v>105.002521</v>
      </c>
      <c r="Q871" s="1">
        <f t="shared" ca="1" si="131"/>
        <v>117.98665552198923</v>
      </c>
    </row>
    <row r="872" spans="2:17" x14ac:dyDescent="0.3">
      <c r="B872" s="6">
        <f ca="1">RANDBETWEEN(ranges!B$2,ranges!B$3)</f>
        <v>13299</v>
      </c>
      <c r="C872" s="9">
        <f ca="1">LOOKUP(B872,geomorph!A:A,geomorph!B:B)</f>
        <v>1173.0999999999999</v>
      </c>
      <c r="D872">
        <f t="shared" si="124"/>
        <v>1.13E-4</v>
      </c>
      <c r="E872" s="9">
        <f ca="1">'[2]Q_GEV(random)'!$J872</f>
        <v>6349.7354385055178</v>
      </c>
      <c r="F872" s="26">
        <f ca="1">RANDBETWEEN(ranges!F$2*1000,ranges!F$3*1000)/1000</f>
        <v>9.2999999999999999E-2</v>
      </c>
      <c r="G872" s="3">
        <f t="shared" ca="1" si="125"/>
        <v>5.4127827452949608</v>
      </c>
      <c r="H872" s="4">
        <f t="shared" ca="1" si="126"/>
        <v>8.5025627054733217</v>
      </c>
      <c r="I872" s="4">
        <f t="shared" ca="1" si="127"/>
        <v>224.73051453776179</v>
      </c>
      <c r="J872" s="26">
        <f ca="1">RANDBETWEEN(ranges!J$2*1000,ranges!J$3*1000)/1000</f>
        <v>0.68700000000000006</v>
      </c>
      <c r="K872" s="26">
        <f ca="1">RANDBETWEEN(ranges!K$2*1000,ranges!K$3*1000)/1000</f>
        <v>0.86799999999999999</v>
      </c>
      <c r="L872">
        <f t="shared" ca="1" si="128"/>
        <v>95.707737385263044</v>
      </c>
      <c r="M872">
        <f t="shared" ca="1" si="129"/>
        <v>12.687046380111683</v>
      </c>
      <c r="N872" s="4">
        <f t="shared" ca="1" si="130"/>
        <v>4.5483518202590885</v>
      </c>
      <c r="O872" s="4"/>
      <c r="P872" s="1">
        <f ca="1">LOOKUP(B872,geomorph!$A:$A,geomorph!$G:$G)</f>
        <v>105.02399100000001</v>
      </c>
      <c r="Q872" s="1">
        <f t="shared" ca="1" si="131"/>
        <v>117.71103738011169</v>
      </c>
    </row>
    <row r="873" spans="2:17" x14ac:dyDescent="0.3">
      <c r="B873" s="6">
        <f ca="1">RANDBETWEEN(ranges!B$2,ranges!B$3)</f>
        <v>10842</v>
      </c>
      <c r="C873" s="9">
        <f ca="1">LOOKUP(B873,geomorph!A:A,geomorph!B:B)</f>
        <v>1663</v>
      </c>
      <c r="D873">
        <f t="shared" si="124"/>
        <v>1.13E-4</v>
      </c>
      <c r="E873" s="9">
        <f ca="1">'[2]Q_GEV(random)'!$J873</f>
        <v>6342.5314801482773</v>
      </c>
      <c r="F873" s="26">
        <f ca="1">RANDBETWEEN(ranges!F$2*1000,ranges!F$3*1000)/1000</f>
        <v>0.09</v>
      </c>
      <c r="G873" s="3">
        <f t="shared" ca="1" si="125"/>
        <v>3.8139094889646885</v>
      </c>
      <c r="H873" s="4">
        <f t="shared" ca="1" si="126"/>
        <v>6.6594171660166257</v>
      </c>
      <c r="I873" s="4">
        <f t="shared" ca="1" si="127"/>
        <v>125.52725229539229</v>
      </c>
      <c r="J873" s="26">
        <f ca="1">RANDBETWEEN(ranges!J$2*1000,ranges!J$3*1000)/1000</f>
        <v>0.76700000000000002</v>
      </c>
      <c r="K873" s="26">
        <f ca="1">RANDBETWEEN(ranges!K$2*1000,ranges!K$3*1000)/1000</f>
        <v>0.85599999999999998</v>
      </c>
      <c r="L873">
        <f t="shared" ca="1" si="128"/>
        <v>59.804649036381065</v>
      </c>
      <c r="M873">
        <f t="shared" ca="1" si="129"/>
        <v>11.238429842267692</v>
      </c>
      <c r="N873" s="4">
        <f t="shared" ca="1" si="130"/>
        <v>4.9771876915772459</v>
      </c>
      <c r="O873" s="4"/>
      <c r="P873" s="1">
        <f ca="1">LOOKUP(B873,geomorph!$A:$A,geomorph!$G:$G)</f>
        <v>105.30084100000001</v>
      </c>
      <c r="Q873" s="1">
        <f t="shared" ca="1" si="131"/>
        <v>116.5392708422677</v>
      </c>
    </row>
    <row r="874" spans="2:17" x14ac:dyDescent="0.3">
      <c r="B874" s="6">
        <f ca="1">RANDBETWEEN(ranges!B$2,ranges!B$3)</f>
        <v>11704</v>
      </c>
      <c r="C874" s="9">
        <f ca="1">LOOKUP(B874,geomorph!A:A,geomorph!B:B)</f>
        <v>1439</v>
      </c>
      <c r="D874">
        <f t="shared" si="124"/>
        <v>1.13E-4</v>
      </c>
      <c r="E874" s="9">
        <f ca="1">'[2]Q_GEV(random)'!$J874</f>
        <v>6339.3455308980219</v>
      </c>
      <c r="F874" s="26">
        <f ca="1">RANDBETWEEN(ranges!F$2*1000,ranges!F$3*1000)/1000</f>
        <v>9.4E-2</v>
      </c>
      <c r="G874" s="3">
        <f t="shared" ca="1" si="125"/>
        <v>4.4053825788033505</v>
      </c>
      <c r="H874" s="4">
        <f t="shared" ca="1" si="126"/>
        <v>7.4382967617945432</v>
      </c>
      <c r="I874" s="4">
        <f t="shared" ca="1" si="127"/>
        <v>159.70247364298777</v>
      </c>
      <c r="J874" s="26">
        <f ca="1">RANDBETWEEN(ranges!J$2*1000,ranges!J$3*1000)/1000</f>
        <v>0.69699999999999995</v>
      </c>
      <c r="K874" s="26">
        <f ca="1">RANDBETWEEN(ranges!K$2*1000,ranges!K$3*1000)/1000</f>
        <v>0.89300000000000002</v>
      </c>
      <c r="L874">
        <f t="shared" ca="1" si="128"/>
        <v>74.15608414697374</v>
      </c>
      <c r="M874">
        <f t="shared" ca="1" si="129"/>
        <v>12.058298374886958</v>
      </c>
      <c r="N874" s="4">
        <f t="shared" ca="1" si="130"/>
        <v>5.0217408837961024</v>
      </c>
      <c r="O874" s="4"/>
      <c r="P874" s="1">
        <f ca="1">LOOKUP(B874,geomorph!$A:$A,geomorph!$G:$G)</f>
        <v>105.203661</v>
      </c>
      <c r="Q874" s="1">
        <f t="shared" ca="1" si="131"/>
        <v>117.26195937488696</v>
      </c>
    </row>
    <row r="875" spans="2:17" x14ac:dyDescent="0.3">
      <c r="B875" s="6">
        <f ca="1">RANDBETWEEN(ranges!B$2,ranges!B$3)</f>
        <v>10438</v>
      </c>
      <c r="C875" s="9">
        <f ca="1">LOOKUP(B875,geomorph!A:A,geomorph!B:B)</f>
        <v>1757.1</v>
      </c>
      <c r="D875">
        <f t="shared" si="124"/>
        <v>1.13E-4</v>
      </c>
      <c r="E875" s="9">
        <f ca="1">'[2]Q_GEV(random)'!$J875</f>
        <v>6335.4862775312276</v>
      </c>
      <c r="F875" s="26">
        <f ca="1">RANDBETWEEN(ranges!F$2*1000,ranges!F$3*1000)/1000</f>
        <v>0.104</v>
      </c>
      <c r="G875" s="3">
        <f t="shared" ca="1" si="125"/>
        <v>3.6056492388203449</v>
      </c>
      <c r="H875" s="4">
        <f t="shared" ca="1" si="126"/>
        <v>6.7314490081516105</v>
      </c>
      <c r="I875" s="4">
        <f t="shared" ca="1" si="127"/>
        <v>114.43947463679102</v>
      </c>
      <c r="J875" s="26">
        <f ca="1">RANDBETWEEN(ranges!J$2*1000,ranges!J$3*1000)/1000</f>
        <v>0.64200000000000002</v>
      </c>
      <c r="K875" s="26">
        <f ca="1">RANDBETWEEN(ranges!K$2*1000,ranges!K$3*1000)/1000</f>
        <v>0.94599999999999995</v>
      </c>
      <c r="L875">
        <f t="shared" ca="1" si="128"/>
        <v>62.060722150091209</v>
      </c>
      <c r="M875">
        <f t="shared" ca="1" si="129"/>
        <v>12.322299122561553</v>
      </c>
      <c r="N875" s="4">
        <f t="shared" ca="1" si="130"/>
        <v>6.0770109939238504</v>
      </c>
      <c r="O875" s="4"/>
      <c r="P875" s="1">
        <f ca="1">LOOKUP(B875,geomorph!$A:$A,geomorph!$G:$G)</f>
        <v>105.347171</v>
      </c>
      <c r="Q875" s="1">
        <f t="shared" ca="1" si="131"/>
        <v>117.66947012256156</v>
      </c>
    </row>
    <row r="876" spans="2:17" x14ac:dyDescent="0.3">
      <c r="B876" s="6">
        <f ca="1">RANDBETWEEN(ranges!B$2,ranges!B$3)</f>
        <v>12232</v>
      </c>
      <c r="C876" s="9">
        <f ca="1">LOOKUP(B876,geomorph!A:A,geomorph!B:B)</f>
        <v>1282.2</v>
      </c>
      <c r="D876">
        <f t="shared" si="124"/>
        <v>1.13E-4</v>
      </c>
      <c r="E876" s="9">
        <f ca="1">'[2]Q_GEV(random)'!$J876</f>
        <v>6325.9995731466024</v>
      </c>
      <c r="F876" s="26">
        <f ca="1">RANDBETWEEN(ranges!F$2*1000,ranges!F$3*1000)/1000</f>
        <v>0.10199999999999999</v>
      </c>
      <c r="G876" s="3">
        <f t="shared" ca="1" si="125"/>
        <v>4.9337073570009373</v>
      </c>
      <c r="H876" s="4">
        <f t="shared" ca="1" si="126"/>
        <v>8.2431039715477503</v>
      </c>
      <c r="I876" s="4">
        <f t="shared" ca="1" si="127"/>
        <v>193.29019974308324</v>
      </c>
      <c r="J876" s="26">
        <f ca="1">RANDBETWEEN(ranges!J$2*1000,ranges!J$3*1000)/1000</f>
        <v>0.69399999999999995</v>
      </c>
      <c r="K876" s="26">
        <f ca="1">RANDBETWEEN(ranges!K$2*1000,ranges!K$3*1000)/1000</f>
        <v>0.99099999999999999</v>
      </c>
      <c r="L876">
        <f t="shared" ca="1" si="128"/>
        <v>88.369071104699202</v>
      </c>
      <c r="M876">
        <f t="shared" ca="1" si="129"/>
        <v>12.803670995660321</v>
      </c>
      <c r="N876" s="4">
        <f t="shared" ca="1" si="130"/>
        <v>4.9571380696875762</v>
      </c>
      <c r="O876" s="4"/>
      <c r="P876" s="1">
        <f ca="1">LOOKUP(B876,geomorph!$A:$A,geomorph!$G:$G)</f>
        <v>105.143771</v>
      </c>
      <c r="Q876" s="1">
        <f t="shared" ca="1" si="131"/>
        <v>117.94744199566033</v>
      </c>
    </row>
    <row r="877" spans="2:17" x14ac:dyDescent="0.3">
      <c r="B877" s="6">
        <f ca="1">RANDBETWEEN(ranges!B$2,ranges!B$3)</f>
        <v>12875</v>
      </c>
      <c r="C877" s="9">
        <f ca="1">LOOKUP(B877,geomorph!A:A,geomorph!B:B)</f>
        <v>1135.3</v>
      </c>
      <c r="D877">
        <f t="shared" si="124"/>
        <v>1.13E-4</v>
      </c>
      <c r="E877" s="9">
        <f ca="1">'[2]Q_GEV(random)'!$J877</f>
        <v>6324.8075268446009</v>
      </c>
      <c r="F877" s="26">
        <f ca="1">RANDBETWEEN(ranges!F$2*1000,ranges!F$3*1000)/1000</f>
        <v>0.106</v>
      </c>
      <c r="G877" s="3">
        <f t="shared" ca="1" si="125"/>
        <v>5.5710451218573072</v>
      </c>
      <c r="H877" s="4">
        <f t="shared" ca="1" si="126"/>
        <v>9.0538828138045595</v>
      </c>
      <c r="I877" s="4">
        <f t="shared" ca="1" si="127"/>
        <v>236.7175713171674</v>
      </c>
      <c r="J877" s="26">
        <f ca="1">RANDBETWEEN(ranges!J$2*1000,ranges!J$3*1000)/1000</f>
        <v>0.76</v>
      </c>
      <c r="K877" s="26">
        <f ca="1">RANDBETWEEN(ranges!K$2*1000,ranges!K$3*1000)/1000</f>
        <v>0.80800000000000005</v>
      </c>
      <c r="L877">
        <f t="shared" ca="1" si="128"/>
        <v>100.28961731334994</v>
      </c>
      <c r="M877">
        <f t="shared" ca="1" si="129"/>
        <v>12.866044686550618</v>
      </c>
      <c r="N877" s="4">
        <f t="shared" ca="1" si="130"/>
        <v>4.1436542095065851</v>
      </c>
      <c r="O877" s="4"/>
      <c r="P877" s="1">
        <f ca="1">LOOKUP(B877,geomorph!$A:$A,geomorph!$G:$G)</f>
        <v>105.071451</v>
      </c>
      <c r="Q877" s="1">
        <f t="shared" ca="1" si="131"/>
        <v>117.93749568655062</v>
      </c>
    </row>
    <row r="878" spans="2:17" x14ac:dyDescent="0.3">
      <c r="B878" s="6">
        <f ca="1">RANDBETWEEN(ranges!B$2,ranges!B$3)</f>
        <v>14795</v>
      </c>
      <c r="C878" s="9">
        <f ca="1">LOOKUP(B878,geomorph!A:A,geomorph!B:B)</f>
        <v>1490.3</v>
      </c>
      <c r="D878">
        <f t="shared" si="124"/>
        <v>1.13E-4</v>
      </c>
      <c r="E878" s="9">
        <f ca="1">'[2]Q_GEV(random)'!$J878</f>
        <v>6320.2944971246598</v>
      </c>
      <c r="F878" s="26">
        <f ca="1">RANDBETWEEN(ranges!F$2*1000,ranges!F$3*1000)/1000</f>
        <v>0.10100000000000001</v>
      </c>
      <c r="G878" s="3">
        <f t="shared" ca="1" si="125"/>
        <v>4.2409545038748302</v>
      </c>
      <c r="H878" s="4">
        <f t="shared" ca="1" si="126"/>
        <v>7.4277622944411865</v>
      </c>
      <c r="I878" s="4">
        <f t="shared" ca="1" si="127"/>
        <v>150.34375433630373</v>
      </c>
      <c r="J878" s="26">
        <f ca="1">RANDBETWEEN(ranges!J$2*1000,ranges!J$3*1000)/1000</f>
        <v>0.67100000000000004</v>
      </c>
      <c r="K878" s="26">
        <f ca="1">RANDBETWEEN(ranges!K$2*1000,ranges!K$3*1000)/1000</f>
        <v>0.93100000000000005</v>
      </c>
      <c r="L878">
        <f t="shared" ca="1" si="128"/>
        <v>73.336495187640764</v>
      </c>
      <c r="M878">
        <f t="shared" ca="1" si="129"/>
        <v>12.350151801929934</v>
      </c>
      <c r="N878" s="4">
        <f t="shared" ca="1" si="130"/>
        <v>5.3504233777051606</v>
      </c>
      <c r="O878" s="4"/>
      <c r="P878" s="1">
        <f ca="1">LOOKUP(B878,geomorph!$A:$A,geomorph!$G:$G)</f>
        <v>104.854491</v>
      </c>
      <c r="Q878" s="1">
        <f t="shared" ca="1" si="131"/>
        <v>117.20464280192994</v>
      </c>
    </row>
    <row r="879" spans="2:17" x14ac:dyDescent="0.3">
      <c r="B879" s="6">
        <f ca="1">RANDBETWEEN(ranges!B$2,ranges!B$3)</f>
        <v>13673</v>
      </c>
      <c r="C879" s="9">
        <f ca="1">LOOKUP(B879,geomorph!A:A,geomorph!B:B)</f>
        <v>1245.5999999999999</v>
      </c>
      <c r="D879">
        <f t="shared" si="124"/>
        <v>1.13E-4</v>
      </c>
      <c r="E879" s="9">
        <f ca="1">'[2]Q_GEV(random)'!$J879</f>
        <v>6225.8953827516925</v>
      </c>
      <c r="F879" s="26">
        <f ca="1">RANDBETWEEN(ranges!F$2*1000,ranges!F$3*1000)/1000</f>
        <v>9.8000000000000004E-2</v>
      </c>
      <c r="G879" s="3">
        <f t="shared" ca="1" si="125"/>
        <v>4.9983103586638515</v>
      </c>
      <c r="H879" s="4">
        <f t="shared" ca="1" si="126"/>
        <v>8.2047616260499918</v>
      </c>
      <c r="I879" s="4">
        <f t="shared" ca="1" si="127"/>
        <v>200.70286104865275</v>
      </c>
      <c r="J879" s="26">
        <f ca="1">RANDBETWEEN(ranges!J$2*1000,ranges!J$3*1000)/1000</f>
        <v>0.621</v>
      </c>
      <c r="K879" s="26">
        <f ca="1">RANDBETWEEN(ranges!K$2*1000,ranges!K$3*1000)/1000</f>
        <v>0.871</v>
      </c>
      <c r="L879">
        <f t="shared" ca="1" si="128"/>
        <v>91.171493939015051</v>
      </c>
      <c r="M879">
        <f t="shared" ca="1" si="129"/>
        <v>12.832643052099396</v>
      </c>
      <c r="N879" s="4">
        <f t="shared" ca="1" si="130"/>
        <v>5.0303058978797868</v>
      </c>
      <c r="O879" s="4"/>
      <c r="P879" s="1">
        <f ca="1">LOOKUP(B879,geomorph!$A:$A,geomorph!$G:$G)</f>
        <v>104.98105100000001</v>
      </c>
      <c r="Q879" s="1">
        <f t="shared" ca="1" si="131"/>
        <v>117.81369405209941</v>
      </c>
    </row>
    <row r="880" spans="2:17" x14ac:dyDescent="0.3">
      <c r="B880" s="6">
        <f ca="1">RANDBETWEEN(ranges!B$2,ranges!B$3)</f>
        <v>13750</v>
      </c>
      <c r="C880" s="9">
        <f ca="1">LOOKUP(B880,geomorph!A:A,geomorph!B:B)</f>
        <v>1265.7</v>
      </c>
      <c r="D880">
        <f t="shared" si="124"/>
        <v>1.13E-4</v>
      </c>
      <c r="E880" s="9">
        <f ca="1">'[2]Q_GEV(random)'!$J880</f>
        <v>6164.3716665972279</v>
      </c>
      <c r="F880" s="26">
        <f ca="1">RANDBETWEEN(ranges!F$2*1000,ranges!F$3*1000)/1000</f>
        <v>9.9000000000000005E-2</v>
      </c>
      <c r="G880" s="3">
        <f t="shared" ca="1" si="125"/>
        <v>4.8703260382375193</v>
      </c>
      <c r="H880" s="4">
        <f t="shared" ca="1" si="126"/>
        <v>8.0914350397131276</v>
      </c>
      <c r="I880" s="4">
        <f t="shared" ca="1" si="127"/>
        <v>194.12937686339748</v>
      </c>
      <c r="J880" s="26">
        <f ca="1">RANDBETWEEN(ranges!J$2*1000,ranges!J$3*1000)/1000</f>
        <v>0.71699999999999997</v>
      </c>
      <c r="K880" s="26">
        <f ca="1">RANDBETWEEN(ranges!K$2*1000,ranges!K$3*1000)/1000</f>
        <v>0.80300000000000005</v>
      </c>
      <c r="L880">
        <f t="shared" ca="1" si="128"/>
        <v>85.335835305110237</v>
      </c>
      <c r="M880">
        <f t="shared" ca="1" si="129"/>
        <v>12.205081042261618</v>
      </c>
      <c r="N880" s="4">
        <f t="shared" ca="1" si="130"/>
        <v>4.4713543505961848</v>
      </c>
      <c r="O880" s="4"/>
      <c r="P880" s="1">
        <f ca="1">LOOKUP(B880,geomorph!$A:$A,geomorph!$G:$G)</f>
        <v>104.97201100000001</v>
      </c>
      <c r="Q880" s="1">
        <f t="shared" ca="1" si="131"/>
        <v>117.17709204226162</v>
      </c>
    </row>
    <row r="881" spans="2:17" x14ac:dyDescent="0.3">
      <c r="B881" s="6">
        <f ca="1">RANDBETWEEN(ranges!B$2,ranges!B$3)</f>
        <v>11783</v>
      </c>
      <c r="C881" s="9">
        <f ca="1">LOOKUP(B881,geomorph!A:A,geomorph!B:B)</f>
        <v>1416.6</v>
      </c>
      <c r="D881">
        <f t="shared" si="124"/>
        <v>1.13E-4</v>
      </c>
      <c r="E881" s="9">
        <f ca="1">'[2]Q_GEV(random)'!$J881</f>
        <v>6145.5069083030512</v>
      </c>
      <c r="F881" s="26">
        <f ca="1">RANDBETWEEN(ranges!F$2*1000,ranges!F$3*1000)/1000</f>
        <v>0.109</v>
      </c>
      <c r="G881" s="3">
        <f t="shared" ca="1" si="125"/>
        <v>4.3382090274622698</v>
      </c>
      <c r="H881" s="4">
        <f t="shared" ca="1" si="126"/>
        <v>7.7349518003000997</v>
      </c>
      <c r="I881" s="4">
        <f t="shared" ca="1" si="127"/>
        <v>160.57444463224334</v>
      </c>
      <c r="J881" s="26">
        <f ca="1">RANDBETWEEN(ranges!J$2*1000,ranges!J$3*1000)/1000</f>
        <v>0.65800000000000003</v>
      </c>
      <c r="K881" s="26">
        <f ca="1">RANDBETWEEN(ranges!K$2*1000,ranges!K$3*1000)/1000</f>
        <v>0.95799999999999996</v>
      </c>
      <c r="L881">
        <f t="shared" ca="1" si="128"/>
        <v>79.028371546123537</v>
      </c>
      <c r="M881">
        <f t="shared" ca="1" si="129"/>
        <v>12.65052979794296</v>
      </c>
      <c r="N881" s="4">
        <f t="shared" ca="1" si="130"/>
        <v>5.3430195626552832</v>
      </c>
      <c r="O881" s="4"/>
      <c r="P881" s="1">
        <f ca="1">LOOKUP(B881,geomorph!$A:$A,geomorph!$G:$G)</f>
        <v>105.194621</v>
      </c>
      <c r="Q881" s="1">
        <f t="shared" ca="1" si="131"/>
        <v>117.84515079794296</v>
      </c>
    </row>
    <row r="882" spans="2:17" x14ac:dyDescent="0.3">
      <c r="B882" s="6">
        <f ca="1">RANDBETWEEN(ranges!B$2,ranges!B$3)</f>
        <v>14150</v>
      </c>
      <c r="C882" s="9">
        <f ca="1">LOOKUP(B882,geomorph!A:A,geomorph!B:B)</f>
        <v>1293.8</v>
      </c>
      <c r="D882">
        <f t="shared" si="124"/>
        <v>1.13E-4</v>
      </c>
      <c r="E882" s="9">
        <f ca="1">'[2]Q_GEV(random)'!$J882</f>
        <v>6064.5826093461092</v>
      </c>
      <c r="F882" s="26">
        <f ca="1">RANDBETWEEN(ranges!F$2*1000,ranges!F$3*1000)/1000</f>
        <v>0.10199999999999999</v>
      </c>
      <c r="G882" s="3">
        <f t="shared" ca="1" si="125"/>
        <v>4.6874189282316507</v>
      </c>
      <c r="H882" s="4">
        <f t="shared" ca="1" si="126"/>
        <v>7.9664414173665969</v>
      </c>
      <c r="I882" s="4">
        <f t="shared" ca="1" si="127"/>
        <v>185.12797459245178</v>
      </c>
      <c r="J882" s="26">
        <f ca="1">RANDBETWEEN(ranges!J$2*1000,ranges!J$3*1000)/1000</f>
        <v>0.66100000000000003</v>
      </c>
      <c r="K882" s="26">
        <f ca="1">RANDBETWEEN(ranges!K$2*1000,ranges!K$3*1000)/1000</f>
        <v>0.93400000000000005</v>
      </c>
      <c r="L882">
        <f t="shared" ca="1" si="128"/>
        <v>86.000040248261413</v>
      </c>
      <c r="M882">
        <f t="shared" ca="1" si="129"/>
        <v>12.573154284271668</v>
      </c>
      <c r="N882" s="4">
        <f t="shared" ca="1" si="130"/>
        <v>5.0072965944620336</v>
      </c>
      <c r="O882" s="4"/>
      <c r="P882" s="1">
        <f ca="1">LOOKUP(B882,geomorph!$A:$A,geomorph!$G:$G)</f>
        <v>104.926811</v>
      </c>
      <c r="Q882" s="1">
        <f t="shared" ca="1" si="131"/>
        <v>117.49996528427167</v>
      </c>
    </row>
    <row r="883" spans="2:17" x14ac:dyDescent="0.3">
      <c r="B883" s="6">
        <f ca="1">RANDBETWEEN(ranges!B$2,ranges!B$3)</f>
        <v>10719</v>
      </c>
      <c r="C883" s="9">
        <f ca="1">LOOKUP(B883,geomorph!A:A,geomorph!B:B)</f>
        <v>1705.7</v>
      </c>
      <c r="D883">
        <f t="shared" si="124"/>
        <v>1.13E-4</v>
      </c>
      <c r="E883" s="9">
        <f ca="1">'[2]Q_GEV(random)'!$J883</f>
        <v>6063.2558549983441</v>
      </c>
      <c r="F883" s="26">
        <f ca="1">RANDBETWEEN(ranges!F$2*1000,ranges!F$3*1000)/1000</f>
        <v>0.107</v>
      </c>
      <c r="G883" s="3">
        <f t="shared" ca="1" si="125"/>
        <v>3.5547023831848179</v>
      </c>
      <c r="H883" s="4">
        <f t="shared" ca="1" si="126"/>
        <v>6.7313972259729216</v>
      </c>
      <c r="I883" s="4">
        <f t="shared" ca="1" si="127"/>
        <v>116.77490725630199</v>
      </c>
      <c r="J883" s="26">
        <f ca="1">RANDBETWEEN(ranges!J$2*1000,ranges!J$3*1000)/1000</f>
        <v>0.78600000000000003</v>
      </c>
      <c r="K883" s="26">
        <f ca="1">RANDBETWEEN(ranges!K$2*1000,ranges!K$3*1000)/1000</f>
        <v>0.98199999999999998</v>
      </c>
      <c r="L883">
        <f t="shared" ca="1" si="128"/>
        <v>59.717900561969621</v>
      </c>
      <c r="M883">
        <f t="shared" ca="1" si="129"/>
        <v>11.510272997706329</v>
      </c>
      <c r="N883" s="4">
        <f t="shared" ca="1" si="130"/>
        <v>5.1944301866667466</v>
      </c>
      <c r="O883" s="4"/>
      <c r="P883" s="1">
        <f ca="1">LOOKUP(B883,geomorph!$A:$A,geomorph!$G:$G)</f>
        <v>105.31553100000001</v>
      </c>
      <c r="Q883" s="1">
        <f t="shared" ca="1" si="131"/>
        <v>116.82580399770633</v>
      </c>
    </row>
    <row r="884" spans="2:17" x14ac:dyDescent="0.3">
      <c r="B884" s="6">
        <f ca="1">RANDBETWEEN(ranges!B$2,ranges!B$3)</f>
        <v>14868</v>
      </c>
      <c r="C884" s="9">
        <f ca="1">LOOKUP(B884,geomorph!A:A,geomorph!B:B)</f>
        <v>1501.6</v>
      </c>
      <c r="D884">
        <f t="shared" si="124"/>
        <v>1.13E-4</v>
      </c>
      <c r="E884" s="9">
        <f ca="1">'[2]Q_GEV(random)'!$J884</f>
        <v>6048.6013041117785</v>
      </c>
      <c r="F884" s="26">
        <f ca="1">RANDBETWEEN(ranges!F$2*1000,ranges!F$3*1000)/1000</f>
        <v>9.6000000000000002E-2</v>
      </c>
      <c r="G884" s="3">
        <f t="shared" ca="1" si="125"/>
        <v>4.0281042249012913</v>
      </c>
      <c r="H884" s="4">
        <f t="shared" ca="1" si="126"/>
        <v>7.0566623950651923</v>
      </c>
      <c r="I884" s="4">
        <f t="shared" ca="1" si="127"/>
        <v>144.17707928370811</v>
      </c>
      <c r="J884" s="26">
        <f ca="1">RANDBETWEEN(ranges!J$2*1000,ranges!J$3*1000)/1000</f>
        <v>0.64</v>
      </c>
      <c r="K884" s="26">
        <f ca="1">RANDBETWEEN(ranges!K$2*1000,ranges!K$3*1000)/1000</f>
        <v>0.82</v>
      </c>
      <c r="L884">
        <f t="shared" ca="1" si="128"/>
        <v>70.281183497528858</v>
      </c>
      <c r="M884">
        <f t="shared" ca="1" si="129"/>
        <v>11.925367440807493</v>
      </c>
      <c r="N884" s="4">
        <f t="shared" ca="1" si="130"/>
        <v>5.2920707018938051</v>
      </c>
      <c r="O884" s="4"/>
      <c r="P884" s="1">
        <f ca="1">LOOKUP(B884,geomorph!$A:$A,geomorph!$G:$G)</f>
        <v>104.846581</v>
      </c>
      <c r="Q884" s="1">
        <f t="shared" ca="1" si="131"/>
        <v>116.77194844080749</v>
      </c>
    </row>
    <row r="885" spans="2:17" x14ac:dyDescent="0.3">
      <c r="B885" s="6">
        <f ca="1">RANDBETWEEN(ranges!B$2,ranges!B$3)</f>
        <v>11806</v>
      </c>
      <c r="C885" s="9">
        <f ca="1">LOOKUP(B885,geomorph!A:A,geomorph!B:B)</f>
        <v>1410.8</v>
      </c>
      <c r="D885">
        <f t="shared" si="124"/>
        <v>1.13E-4</v>
      </c>
      <c r="E885" s="9">
        <f ca="1">'[2]Q_GEV(random)'!$J885</f>
        <v>6047.5070504594496</v>
      </c>
      <c r="F885" s="26">
        <f ca="1">RANDBETWEEN(ranges!F$2*1000,ranges!F$3*1000)/1000</f>
        <v>9.0999999999999998E-2</v>
      </c>
      <c r="G885" s="3">
        <f t="shared" ca="1" si="125"/>
        <v>4.2865799904022186</v>
      </c>
      <c r="H885" s="4">
        <f t="shared" ca="1" si="126"/>
        <v>7.2254164301695187</v>
      </c>
      <c r="I885" s="4">
        <f t="shared" ca="1" si="127"/>
        <v>159.9528026824444</v>
      </c>
      <c r="J885" s="26">
        <f ca="1">RANDBETWEEN(ranges!J$2*1000,ranges!J$3*1000)/1000</f>
        <v>0.68500000000000005</v>
      </c>
      <c r="K885" s="26">
        <f ca="1">RANDBETWEEN(ranges!K$2*1000,ranges!K$3*1000)/1000</f>
        <v>0.97699999999999998</v>
      </c>
      <c r="L885">
        <f t="shared" ca="1" si="128"/>
        <v>74.783246235400668</v>
      </c>
      <c r="M885">
        <f t="shared" ca="1" si="129"/>
        <v>11.921975028146068</v>
      </c>
      <c r="N885" s="4">
        <f t="shared" ca="1" si="130"/>
        <v>5.104954997800597</v>
      </c>
      <c r="O885" s="4"/>
      <c r="P885" s="1">
        <f ca="1">LOOKUP(B885,geomorph!$A:$A,geomorph!$G:$G)</f>
        <v>105.19236100000001</v>
      </c>
      <c r="Q885" s="1">
        <f t="shared" ca="1" si="131"/>
        <v>117.11433602814607</v>
      </c>
    </row>
    <row r="886" spans="2:17" x14ac:dyDescent="0.3">
      <c r="B886" s="6">
        <f ca="1">RANDBETWEEN(ranges!B$2,ranges!B$3)</f>
        <v>12156</v>
      </c>
      <c r="C886" s="9">
        <f ca="1">LOOKUP(B886,geomorph!A:A,geomorph!B:B)</f>
        <v>1302.4000000000001</v>
      </c>
      <c r="D886">
        <f t="shared" si="124"/>
        <v>1.13E-4</v>
      </c>
      <c r="E886" s="9">
        <f ca="1">'[2]Q_GEV(random)'!$J886</f>
        <v>5983.3050736123678</v>
      </c>
      <c r="F886" s="26">
        <f ca="1">RANDBETWEEN(ranges!F$2*1000,ranges!F$3*1000)/1000</f>
        <v>9.7000000000000003E-2</v>
      </c>
      <c r="G886" s="3">
        <f t="shared" ca="1" si="125"/>
        <v>4.5940610208940171</v>
      </c>
      <c r="H886" s="4">
        <f t="shared" ca="1" si="126"/>
        <v>7.7297161783600288</v>
      </c>
      <c r="I886" s="4">
        <f t="shared" ca="1" si="127"/>
        <v>181.45549969415535</v>
      </c>
      <c r="J886" s="26">
        <f ca="1">RANDBETWEEN(ranges!J$2*1000,ranges!J$3*1000)/1000</f>
        <v>0.66900000000000004</v>
      </c>
      <c r="K886" s="26">
        <f ca="1">RANDBETWEEN(ranges!K$2*1000,ranges!K$3*1000)/1000</f>
        <v>0.86299999999999999</v>
      </c>
      <c r="L886">
        <f t="shared" ca="1" si="128"/>
        <v>82.68446615636374</v>
      </c>
      <c r="M886">
        <f t="shared" ca="1" si="129"/>
        <v>12.16877210559144</v>
      </c>
      <c r="N886" s="4">
        <f t="shared" ca="1" si="130"/>
        <v>4.8250607904689256</v>
      </c>
      <c r="O886" s="4"/>
      <c r="P886" s="1">
        <f ca="1">LOOKUP(B886,geomorph!$A:$A,geomorph!$G:$G)</f>
        <v>105.152811</v>
      </c>
      <c r="Q886" s="1">
        <f t="shared" ca="1" si="131"/>
        <v>117.32158310559144</v>
      </c>
    </row>
    <row r="887" spans="2:17" x14ac:dyDescent="0.3">
      <c r="B887" s="6">
        <f ca="1">RANDBETWEEN(ranges!B$2,ranges!B$3)</f>
        <v>10996</v>
      </c>
      <c r="C887" s="9">
        <f ca="1">LOOKUP(B887,geomorph!A:A,geomorph!B:B)</f>
        <v>1686.6</v>
      </c>
      <c r="D887">
        <f t="shared" si="124"/>
        <v>1.13E-4</v>
      </c>
      <c r="E887" s="9">
        <f ca="1">'[2]Q_GEV(random)'!$J887</f>
        <v>5969.587594999768</v>
      </c>
      <c r="F887" s="26">
        <f ca="1">RANDBETWEEN(ranges!F$2*1000,ranges!F$3*1000)/1000</f>
        <v>0.10100000000000001</v>
      </c>
      <c r="G887" s="3">
        <f t="shared" ca="1" si="125"/>
        <v>3.5394210808726245</v>
      </c>
      <c r="H887" s="4">
        <f t="shared" ca="1" si="126"/>
        <v>6.584211051412435</v>
      </c>
      <c r="I887" s="4">
        <f t="shared" ca="1" si="127"/>
        <v>117.75862962799137</v>
      </c>
      <c r="J887" s="26">
        <f ca="1">RANDBETWEEN(ranges!J$2*1000,ranges!J$3*1000)/1000</f>
        <v>0.77800000000000002</v>
      </c>
      <c r="K887" s="26">
        <f ca="1">RANDBETWEEN(ranges!K$2*1000,ranges!K$3*1000)/1000</f>
        <v>0.83699999999999997</v>
      </c>
      <c r="L887">
        <f t="shared" ca="1" si="128"/>
        <v>58.347320710622228</v>
      </c>
      <c r="M887">
        <f t="shared" ca="1" si="129"/>
        <v>11.120170795490505</v>
      </c>
      <c r="N887" s="4">
        <f t="shared" ca="1" si="130"/>
        <v>4.9303910261718151</v>
      </c>
      <c r="O887" s="4"/>
      <c r="P887" s="1">
        <f ca="1">LOOKUP(B887,geomorph!$A:$A,geomorph!$G:$G)</f>
        <v>105.283891</v>
      </c>
      <c r="Q887" s="1">
        <f t="shared" ca="1" si="131"/>
        <v>116.40406179549051</v>
      </c>
    </row>
    <row r="888" spans="2:17" x14ac:dyDescent="0.3">
      <c r="B888" s="6">
        <f ca="1">RANDBETWEEN(ranges!B$2,ranges!B$3)</f>
        <v>12166</v>
      </c>
      <c r="C888" s="9">
        <f ca="1">LOOKUP(B888,geomorph!A:A,geomorph!B:B)</f>
        <v>1300.8</v>
      </c>
      <c r="D888">
        <f t="shared" si="124"/>
        <v>1.13E-4</v>
      </c>
      <c r="E888" s="9">
        <f ca="1">'[2]Q_GEV(random)'!$J888</f>
        <v>5954.4496599898966</v>
      </c>
      <c r="F888" s="26">
        <f ca="1">RANDBETWEEN(ranges!F$2*1000,ranges!F$3*1000)/1000</f>
        <v>0.106</v>
      </c>
      <c r="G888" s="3">
        <f t="shared" ca="1" si="125"/>
        <v>4.5775289514067472</v>
      </c>
      <c r="H888" s="4">
        <f t="shared" ca="1" si="126"/>
        <v>7.9426327994471855</v>
      </c>
      <c r="I888" s="4">
        <f t="shared" ca="1" si="127"/>
        <v>181.242574191361</v>
      </c>
      <c r="J888" s="26">
        <f ca="1">RANDBETWEEN(ranges!J$2*1000,ranges!J$3*1000)/1000</f>
        <v>0.76900000000000002</v>
      </c>
      <c r="K888" s="26">
        <f ca="1">RANDBETWEEN(ranges!K$2*1000,ranges!K$3*1000)/1000</f>
        <v>0.94499999999999995</v>
      </c>
      <c r="L888">
        <f t="shared" ca="1" si="128"/>
        <v>82.474195828728483</v>
      </c>
      <c r="M888">
        <f t="shared" ca="1" si="129"/>
        <v>12.122915034543132</v>
      </c>
      <c r="N888" s="4">
        <f t="shared" ca="1" si="130"/>
        <v>4.5437850381477674</v>
      </c>
      <c r="O888" s="4"/>
      <c r="P888" s="1">
        <f ca="1">LOOKUP(B888,geomorph!$A:$A,geomorph!$G:$G)</f>
        <v>105.151681</v>
      </c>
      <c r="Q888" s="1">
        <f t="shared" ca="1" si="131"/>
        <v>117.27459603454312</v>
      </c>
    </row>
    <row r="889" spans="2:17" x14ac:dyDescent="0.3">
      <c r="B889" s="6">
        <f ca="1">RANDBETWEEN(ranges!B$2,ranges!B$3)</f>
        <v>11825</v>
      </c>
      <c r="C889" s="9">
        <f ca="1">LOOKUP(B889,geomorph!A:A,geomorph!B:B)</f>
        <v>1405</v>
      </c>
      <c r="D889">
        <f t="shared" si="124"/>
        <v>1.13E-4</v>
      </c>
      <c r="E889" s="9">
        <f ca="1">'[2]Q_GEV(random)'!$J889</f>
        <v>5942.5590375852007</v>
      </c>
      <c r="F889" s="26">
        <f ca="1">RANDBETWEEN(ranges!F$2*1000,ranges!F$3*1000)/1000</f>
        <v>9.8000000000000004E-2</v>
      </c>
      <c r="G889" s="3">
        <f t="shared" ca="1" si="125"/>
        <v>4.2295793861816371</v>
      </c>
      <c r="H889" s="4">
        <f t="shared" ca="1" si="126"/>
        <v>7.3403247727698711</v>
      </c>
      <c r="I889" s="4">
        <f t="shared" ca="1" si="127"/>
        <v>159.1861013593776</v>
      </c>
      <c r="J889" s="26">
        <f ca="1">RANDBETWEEN(ranges!J$2*1000,ranges!J$3*1000)/1000</f>
        <v>0.69699999999999995</v>
      </c>
      <c r="K889" s="26">
        <f ca="1">RANDBETWEEN(ranges!K$2*1000,ranges!K$3*1000)/1000</f>
        <v>0.94499999999999995</v>
      </c>
      <c r="L889">
        <f t="shared" ca="1" si="128"/>
        <v>75.221549175145782</v>
      </c>
      <c r="M889">
        <f t="shared" ca="1" si="129"/>
        <v>11.942549254792018</v>
      </c>
      <c r="N889" s="4">
        <f t="shared" ca="1" si="130"/>
        <v>5.0024179152414643</v>
      </c>
      <c r="O889" s="4"/>
      <c r="P889" s="1">
        <f ca="1">LOOKUP(B889,geomorph!$A:$A,geomorph!$G:$G)</f>
        <v>105.190101</v>
      </c>
      <c r="Q889" s="1">
        <f t="shared" ca="1" si="131"/>
        <v>117.13265025479201</v>
      </c>
    </row>
    <row r="890" spans="2:17" x14ac:dyDescent="0.3">
      <c r="B890" s="6">
        <f ca="1">RANDBETWEEN(ranges!B$2,ranges!B$3)</f>
        <v>11312</v>
      </c>
      <c r="C890" s="9">
        <f ca="1">LOOKUP(B890,geomorph!A:A,geomorph!B:B)</f>
        <v>1598.7</v>
      </c>
      <c r="D890">
        <f t="shared" si="124"/>
        <v>1.13E-4</v>
      </c>
      <c r="E890" s="9">
        <f ca="1">'[2]Q_GEV(random)'!$J890</f>
        <v>5911.7845816827794</v>
      </c>
      <c r="F890" s="26">
        <f ca="1">RANDBETWEEN(ranges!F$2*1000,ranges!F$3*1000)/1000</f>
        <v>9.0999999999999998E-2</v>
      </c>
      <c r="G890" s="3">
        <f t="shared" ca="1" si="125"/>
        <v>3.6978698828315375</v>
      </c>
      <c r="H890" s="4">
        <f t="shared" ca="1" si="126"/>
        <v>6.5477186685574615</v>
      </c>
      <c r="I890" s="4">
        <f t="shared" ca="1" si="127"/>
        <v>127.91381710025662</v>
      </c>
      <c r="J890" s="26">
        <f ca="1">RANDBETWEEN(ranges!J$2*1000,ranges!J$3*1000)/1000</f>
        <v>0.73099999999999998</v>
      </c>
      <c r="K890" s="26">
        <f ca="1">RANDBETWEEN(ranges!K$2*1000,ranges!K$3*1000)/1000</f>
        <v>0.85199999999999998</v>
      </c>
      <c r="L890">
        <f t="shared" ca="1" si="128"/>
        <v>61.598799399394039</v>
      </c>
      <c r="M890">
        <f t="shared" ca="1" si="129"/>
        <v>11.12801406777867</v>
      </c>
      <c r="N890" s="4">
        <f t="shared" ca="1" si="130"/>
        <v>4.9785819556752262</v>
      </c>
      <c r="O890" s="4"/>
      <c r="P890" s="1">
        <f ca="1">LOOKUP(B890,geomorph!$A:$A,geomorph!$G:$G)</f>
        <v>105.247731</v>
      </c>
      <c r="Q890" s="1">
        <f t="shared" ca="1" si="131"/>
        <v>116.37574506777867</v>
      </c>
    </row>
    <row r="891" spans="2:17" x14ac:dyDescent="0.3">
      <c r="B891" s="6">
        <f ca="1">RANDBETWEEN(ranges!B$2,ranges!B$3)</f>
        <v>12115</v>
      </c>
      <c r="C891" s="9">
        <f ca="1">LOOKUP(B891,geomorph!A:A,geomorph!B:B)</f>
        <v>1315.7</v>
      </c>
      <c r="D891">
        <f t="shared" si="124"/>
        <v>1.13E-4</v>
      </c>
      <c r="E891" s="9">
        <f ca="1">'[2]Q_GEV(random)'!$J891</f>
        <v>5909.4135909735796</v>
      </c>
      <c r="F891" s="26">
        <f ca="1">RANDBETWEEN(ranges!F$2*1000,ranges!F$3*1000)/1000</f>
        <v>9.1999999999999998E-2</v>
      </c>
      <c r="G891" s="3">
        <f t="shared" ca="1" si="125"/>
        <v>4.4914597484028116</v>
      </c>
      <c r="H891" s="4">
        <f t="shared" ca="1" si="126"/>
        <v>7.4810532672979013</v>
      </c>
      <c r="I891" s="4">
        <f t="shared" ca="1" si="127"/>
        <v>176.93679252894617</v>
      </c>
      <c r="J891" s="26">
        <f ca="1">RANDBETWEEN(ranges!J$2*1000,ranges!J$3*1000)/1000</f>
        <v>0.78300000000000003</v>
      </c>
      <c r="K891" s="26">
        <f ca="1">RANDBETWEEN(ranges!K$2*1000,ranges!K$3*1000)/1000</f>
        <v>0.97899999999999998</v>
      </c>
      <c r="L891">
        <f t="shared" ca="1" si="128"/>
        <v>78.089238360203055</v>
      </c>
      <c r="M891">
        <f t="shared" ca="1" si="129"/>
        <v>11.609847232888665</v>
      </c>
      <c r="N891" s="4">
        <f t="shared" ca="1" si="130"/>
        <v>4.4878195278160478</v>
      </c>
      <c r="O891" s="4"/>
      <c r="P891" s="1">
        <f ca="1">LOOKUP(B891,geomorph!$A:$A,geomorph!$G:$G)</f>
        <v>105.157331</v>
      </c>
      <c r="Q891" s="1">
        <f t="shared" ca="1" si="131"/>
        <v>116.76717823288867</v>
      </c>
    </row>
    <row r="892" spans="2:17" x14ac:dyDescent="0.3">
      <c r="B892" s="6">
        <f ca="1">RANDBETWEEN(ranges!B$2,ranges!B$3)</f>
        <v>11718</v>
      </c>
      <c r="C892" s="9">
        <f ca="1">LOOKUP(B892,geomorph!A:A,geomorph!B:B)</f>
        <v>1436.4</v>
      </c>
      <c r="D892">
        <f t="shared" si="124"/>
        <v>1.13E-4</v>
      </c>
      <c r="E892" s="9">
        <f ca="1">'[2]Q_GEV(random)'!$J892</f>
        <v>5901.9150815602443</v>
      </c>
      <c r="F892" s="26">
        <f ca="1">RANDBETWEEN(ranges!F$2*1000,ranges!F$3*1000)/1000</f>
        <v>0.10299999999999999</v>
      </c>
      <c r="G892" s="3">
        <f t="shared" ca="1" si="125"/>
        <v>4.1088242004735758</v>
      </c>
      <c r="H892" s="4">
        <f t="shared" ca="1" si="126"/>
        <v>7.320362341617054</v>
      </c>
      <c r="I892" s="4">
        <f t="shared" ca="1" si="127"/>
        <v>152.72835020582951</v>
      </c>
      <c r="J892" s="26">
        <f ca="1">RANDBETWEEN(ranges!J$2*1000,ranges!J$3*1000)/1000</f>
        <v>0.64400000000000002</v>
      </c>
      <c r="K892" s="26">
        <f ca="1">RANDBETWEEN(ranges!K$2*1000,ranges!K$3*1000)/1000</f>
        <v>0.95699999999999996</v>
      </c>
      <c r="L892">
        <f t="shared" ca="1" si="128"/>
        <v>75.633435751511897</v>
      </c>
      <c r="M892">
        <f t="shared" ca="1" si="129"/>
        <v>12.276304983822302</v>
      </c>
      <c r="N892" s="4">
        <f t="shared" ca="1" si="130"/>
        <v>5.3868941763100517</v>
      </c>
      <c r="O892" s="4"/>
      <c r="P892" s="1">
        <f ca="1">LOOKUP(B892,geomorph!$A:$A,geomorph!$G:$G)</f>
        <v>105.20253100000001</v>
      </c>
      <c r="Q892" s="1">
        <f t="shared" ca="1" si="131"/>
        <v>117.47883598382231</v>
      </c>
    </row>
    <row r="893" spans="2:17" x14ac:dyDescent="0.3">
      <c r="B893" s="6">
        <f ca="1">RANDBETWEEN(ranges!B$2,ranges!B$3)</f>
        <v>12987</v>
      </c>
      <c r="C893" s="9">
        <f ca="1">LOOKUP(B893,geomorph!A:A,geomorph!B:B)</f>
        <v>1142.5999999999999</v>
      </c>
      <c r="D893">
        <f t="shared" si="124"/>
        <v>1.13E-4</v>
      </c>
      <c r="E893" s="9">
        <f ca="1">'[2]Q_GEV(random)'!$J893</f>
        <v>5896.2715636274752</v>
      </c>
      <c r="F893" s="26">
        <f ca="1">RANDBETWEEN(ranges!F$2*1000,ranges!F$3*1000)/1000</f>
        <v>0.108</v>
      </c>
      <c r="G893" s="3">
        <f t="shared" ca="1" si="125"/>
        <v>5.1603987078833153</v>
      </c>
      <c r="H893" s="4">
        <f t="shared" ca="1" si="126"/>
        <v>8.6570890928746724</v>
      </c>
      <c r="I893" s="4">
        <f t="shared" ca="1" si="127"/>
        <v>223.50022726397614</v>
      </c>
      <c r="J893" s="26">
        <f ca="1">RANDBETWEEN(ranges!J$2*1000,ranges!J$3*1000)/1000</f>
        <v>0.77500000000000002</v>
      </c>
      <c r="K893" s="26">
        <f ca="1">RANDBETWEEN(ranges!K$2*1000,ranges!K$3*1000)/1000</f>
        <v>0.86</v>
      </c>
      <c r="L893">
        <f t="shared" ca="1" si="128"/>
        <v>96.487123675097308</v>
      </c>
      <c r="M893">
        <f t="shared" ca="1" si="129"/>
        <v>12.457819188761778</v>
      </c>
      <c r="N893" s="4">
        <f t="shared" ca="1" si="130"/>
        <v>4.1312283650946799</v>
      </c>
      <c r="O893" s="4"/>
      <c r="P893" s="1">
        <f ca="1">LOOKUP(B893,geomorph!$A:$A,geomorph!$G:$G)</f>
        <v>105.059021</v>
      </c>
      <c r="Q893" s="1">
        <f t="shared" ca="1" si="131"/>
        <v>117.51684018876178</v>
      </c>
    </row>
    <row r="894" spans="2:17" x14ac:dyDescent="0.3">
      <c r="B894" s="6">
        <f ca="1">RANDBETWEEN(ranges!B$2,ranges!B$3)</f>
        <v>11131</v>
      </c>
      <c r="C894" s="9">
        <f ca="1">LOOKUP(B894,geomorph!A:A,geomorph!B:B)</f>
        <v>1680.6</v>
      </c>
      <c r="D894">
        <f t="shared" si="124"/>
        <v>1.13E-4</v>
      </c>
      <c r="E894" s="9">
        <f ca="1">'[2]Q_GEV(random)'!$J894</f>
        <v>5871.4759124202064</v>
      </c>
      <c r="F894" s="26">
        <f ca="1">RANDBETWEEN(ranges!F$2*1000,ranges!F$3*1000)/1000</f>
        <v>0.11</v>
      </c>
      <c r="G894" s="3">
        <f t="shared" ca="1" si="125"/>
        <v>3.4936783960610538</v>
      </c>
      <c r="H894" s="4">
        <f t="shared" ca="1" si="126"/>
        <v>6.7157518631061466</v>
      </c>
      <c r="I894" s="4">
        <f t="shared" ca="1" si="127"/>
        <v>117.15862712429745</v>
      </c>
      <c r="J894" s="26">
        <f ca="1">RANDBETWEEN(ranges!J$2*1000,ranges!J$3*1000)/1000</f>
        <v>0.68400000000000005</v>
      </c>
      <c r="K894" s="26">
        <f ca="1">RANDBETWEEN(ranges!K$2*1000,ranges!K$3*1000)/1000</f>
        <v>0.97299999999999998</v>
      </c>
      <c r="L894">
        <f t="shared" ca="1" si="128"/>
        <v>62.774139068047418</v>
      </c>
      <c r="M894">
        <f t="shared" ca="1" si="129"/>
        <v>11.921298647306934</v>
      </c>
      <c r="N894" s="4">
        <f t="shared" ca="1" si="130"/>
        <v>5.6582030263052028</v>
      </c>
      <c r="O894" s="4"/>
      <c r="P894" s="1">
        <f ca="1">LOOKUP(B894,geomorph!$A:$A,geomorph!$G:$G)</f>
        <v>105.26807100000001</v>
      </c>
      <c r="Q894" s="1">
        <f t="shared" ca="1" si="131"/>
        <v>117.18936964730693</v>
      </c>
    </row>
    <row r="895" spans="2:17" x14ac:dyDescent="0.3">
      <c r="B895" s="6">
        <f ca="1">RANDBETWEEN(ranges!B$2,ranges!B$3)</f>
        <v>11009</v>
      </c>
      <c r="C895" s="9">
        <f ca="1">LOOKUP(B895,geomorph!A:A,geomorph!B:B)</f>
        <v>1687</v>
      </c>
      <c r="D895">
        <f t="shared" si="124"/>
        <v>1.13E-4</v>
      </c>
      <c r="E895" s="9">
        <f ca="1">'[2]Q_GEV(random)'!$J895</f>
        <v>5849.6894900973057</v>
      </c>
      <c r="F895" s="26">
        <f ca="1">RANDBETWEEN(ranges!F$2*1000,ranges!F$3*1000)/1000</f>
        <v>9.1999999999999998E-2</v>
      </c>
      <c r="G895" s="3">
        <f t="shared" ca="1" si="125"/>
        <v>3.4675100711898672</v>
      </c>
      <c r="H895" s="4">
        <f t="shared" ca="1" si="126"/>
        <v>6.2957802351437238</v>
      </c>
      <c r="I895" s="4">
        <f t="shared" ca="1" si="127"/>
        <v>116.13062278740372</v>
      </c>
      <c r="J895" s="26">
        <f ca="1">RANDBETWEEN(ranges!J$2*1000,ranges!J$3*1000)/1000</f>
        <v>0.78</v>
      </c>
      <c r="K895" s="26">
        <f ca="1">RANDBETWEEN(ranges!K$2*1000,ranges!K$3*1000)/1000</f>
        <v>0.91500000000000004</v>
      </c>
      <c r="L895">
        <f t="shared" ca="1" si="128"/>
        <v>57.073444214578409</v>
      </c>
      <c r="M895">
        <f t="shared" ca="1" si="129"/>
        <v>10.879967744069297</v>
      </c>
      <c r="N895" s="4">
        <f t="shared" ca="1" si="130"/>
        <v>4.9828125097017102</v>
      </c>
      <c r="O895" s="4"/>
      <c r="P895" s="1">
        <f ca="1">LOOKUP(B895,geomorph!$A:$A,geomorph!$G:$G)</f>
        <v>105.28276100000001</v>
      </c>
      <c r="Q895" s="1">
        <f t="shared" ca="1" si="131"/>
        <v>116.16272874406931</v>
      </c>
    </row>
    <row r="896" spans="2:17" x14ac:dyDescent="0.3">
      <c r="B896" s="6">
        <f ca="1">RANDBETWEEN(ranges!B$2,ranges!B$3)</f>
        <v>14525</v>
      </c>
      <c r="C896" s="9">
        <f ca="1">LOOKUP(B896,geomorph!A:A,geomorph!B:B)</f>
        <v>1406.1</v>
      </c>
      <c r="D896">
        <f t="shared" si="124"/>
        <v>1.13E-4</v>
      </c>
      <c r="E896" s="9">
        <f ca="1">'[2]Q_GEV(random)'!$J896</f>
        <v>5829.9480072370006</v>
      </c>
      <c r="F896" s="26">
        <f ca="1">RANDBETWEEN(ranges!F$2*1000,ranges!F$3*1000)/1000</f>
        <v>9.1999999999999998E-2</v>
      </c>
      <c r="G896" s="3">
        <f t="shared" ca="1" si="125"/>
        <v>4.1461830646732105</v>
      </c>
      <c r="H896" s="4">
        <f t="shared" ca="1" si="126"/>
        <v>7.0925660357847846</v>
      </c>
      <c r="I896" s="4">
        <f t="shared" ca="1" si="127"/>
        <v>156.96378317345562</v>
      </c>
      <c r="J896" s="26">
        <f ca="1">RANDBETWEEN(ranges!J$2*1000,ranges!J$3*1000)/1000</f>
        <v>0.67400000000000004</v>
      </c>
      <c r="K896" s="26">
        <f ca="1">RANDBETWEEN(ranges!K$2*1000,ranges!K$3*1000)/1000</f>
        <v>0.82399999999999995</v>
      </c>
      <c r="L896">
        <f t="shared" ca="1" si="128"/>
        <v>72.865996463131012</v>
      </c>
      <c r="M896">
        <f t="shared" ca="1" si="129"/>
        <v>11.577627171829361</v>
      </c>
      <c r="N896" s="4">
        <f t="shared" ca="1" si="130"/>
        <v>4.8750664522223657</v>
      </c>
      <c r="O896" s="4"/>
      <c r="P896" s="1">
        <f ca="1">LOOKUP(B896,geomorph!$A:$A,geomorph!$G:$G)</f>
        <v>104.885001</v>
      </c>
      <c r="Q896" s="1">
        <f t="shared" ca="1" si="131"/>
        <v>116.46262817182937</v>
      </c>
    </row>
    <row r="897" spans="2:17" x14ac:dyDescent="0.3">
      <c r="B897" s="6">
        <f ca="1">RANDBETWEEN(ranges!B$2,ranges!B$3)</f>
        <v>13353</v>
      </c>
      <c r="C897" s="9">
        <f ca="1">LOOKUP(B897,geomorph!A:A,geomorph!B:B)</f>
        <v>1179.9000000000001</v>
      </c>
      <c r="D897">
        <f t="shared" si="124"/>
        <v>1.13E-4</v>
      </c>
      <c r="E897" s="9">
        <f ca="1">'[2]Q_GEV(random)'!$J897</f>
        <v>5806.2255449500317</v>
      </c>
      <c r="F897" s="26">
        <f ca="1">RANDBETWEEN(ranges!F$2*1000,ranges!F$3*1000)/1000</f>
        <v>0.106</v>
      </c>
      <c r="G897" s="3">
        <f t="shared" ca="1" si="125"/>
        <v>4.9209471522586927</v>
      </c>
      <c r="H897" s="4">
        <f t="shared" ca="1" si="126"/>
        <v>8.3350757750511786</v>
      </c>
      <c r="I897" s="4">
        <f t="shared" ca="1" si="127"/>
        <v>209.68657038594992</v>
      </c>
      <c r="J897" s="26">
        <f ca="1">RANDBETWEEN(ranges!J$2*1000,ranges!J$3*1000)/1000</f>
        <v>0.621</v>
      </c>
      <c r="K897" s="26">
        <f ca="1">RANDBETWEEN(ranges!K$2*1000,ranges!K$3*1000)/1000</f>
        <v>0.82399999999999995</v>
      </c>
      <c r="L897">
        <f t="shared" ca="1" si="128"/>
        <v>95.540251295966613</v>
      </c>
      <c r="M897">
        <f t="shared" ca="1" si="129"/>
        <v>12.738257502964544</v>
      </c>
      <c r="N897" s="4">
        <f t="shared" ca="1" si="130"/>
        <v>4.7860670955580051</v>
      </c>
      <c r="O897" s="4"/>
      <c r="P897" s="1">
        <f ca="1">LOOKUP(B897,geomorph!$A:$A,geomorph!$G:$G)</f>
        <v>105.017211</v>
      </c>
      <c r="Q897" s="1">
        <f t="shared" ca="1" si="131"/>
        <v>117.75546850296455</v>
      </c>
    </row>
    <row r="898" spans="2:17" x14ac:dyDescent="0.3">
      <c r="B898" s="6">
        <f ca="1">RANDBETWEEN(ranges!B$2,ranges!B$3)</f>
        <v>10664</v>
      </c>
      <c r="C898" s="9">
        <f ca="1">LOOKUP(B898,geomorph!A:A,geomorph!B:B)</f>
        <v>1723.4</v>
      </c>
      <c r="D898">
        <f t="shared" si="124"/>
        <v>1.13E-4</v>
      </c>
      <c r="E898" s="9">
        <f ca="1">'[2]Q_GEV(random)'!$J898</f>
        <v>5779.1862357658683</v>
      </c>
      <c r="F898" s="26">
        <f ca="1">RANDBETWEEN(ranges!F$2*1000,ranges!F$3*1000)/1000</f>
        <v>9.6000000000000002E-2</v>
      </c>
      <c r="G898" s="3">
        <f t="shared" ca="1" si="125"/>
        <v>3.3533632562178646</v>
      </c>
      <c r="H898" s="4">
        <f t="shared" ca="1" si="126"/>
        <v>6.2448106587442149</v>
      </c>
      <c r="I898" s="4">
        <f t="shared" ca="1" si="127"/>
        <v>111.16916130044731</v>
      </c>
      <c r="J898" s="26">
        <f ca="1">RANDBETWEEN(ranges!J$2*1000,ranges!J$3*1000)/1000</f>
        <v>0.65200000000000002</v>
      </c>
      <c r="K898" s="26">
        <f ca="1">RANDBETWEEN(ranges!K$2*1000,ranges!K$3*1000)/1000</f>
        <v>0.91</v>
      </c>
      <c r="L898">
        <f t="shared" ca="1" si="128"/>
        <v>59.222371415047725</v>
      </c>
      <c r="M898">
        <f t="shared" ca="1" si="129"/>
        <v>11.533213343326338</v>
      </c>
      <c r="N898" s="4">
        <f t="shared" ca="1" si="130"/>
        <v>5.7482637875892637</v>
      </c>
      <c r="O898" s="4"/>
      <c r="P898" s="1">
        <f ca="1">LOOKUP(B898,geomorph!$A:$A,geomorph!$G:$G)</f>
        <v>105.321181</v>
      </c>
      <c r="Q898" s="1">
        <f t="shared" ca="1" si="131"/>
        <v>116.85439434332633</v>
      </c>
    </row>
    <row r="899" spans="2:17" x14ac:dyDescent="0.3">
      <c r="B899" s="6">
        <f ca="1">RANDBETWEEN(ranges!B$2,ranges!B$3)</f>
        <v>14169</v>
      </c>
      <c r="C899" s="9">
        <f ca="1">LOOKUP(B899,geomorph!A:A,geomorph!B:B)</f>
        <v>1297.5999999999999</v>
      </c>
      <c r="D899">
        <f t="shared" si="124"/>
        <v>1.13E-4</v>
      </c>
      <c r="E899" s="9">
        <f ca="1">'[2]Q_GEV(random)'!$J899</f>
        <v>5770.6900354149384</v>
      </c>
      <c r="F899" s="26">
        <f ca="1">RANDBETWEEN(ranges!F$2*1000,ranges!F$3*1000)/1000</f>
        <v>9.6000000000000002E-2</v>
      </c>
      <c r="G899" s="3">
        <f t="shared" ca="1" si="125"/>
        <v>4.4472025550361733</v>
      </c>
      <c r="H899" s="4">
        <f t="shared" ca="1" si="126"/>
        <v>7.5380118297457281</v>
      </c>
      <c r="I899" s="4">
        <f t="shared" ca="1" si="127"/>
        <v>178.22438321607558</v>
      </c>
      <c r="J899" s="26">
        <f ca="1">RANDBETWEEN(ranges!J$2*1000,ranges!J$3*1000)/1000</f>
        <v>0.72699999999999998</v>
      </c>
      <c r="K899" s="26">
        <f ca="1">RANDBETWEEN(ranges!K$2*1000,ranges!K$3*1000)/1000</f>
        <v>0.89700000000000002</v>
      </c>
      <c r="L899">
        <f t="shared" ca="1" si="128"/>
        <v>80.027504708890575</v>
      </c>
      <c r="M899">
        <f t="shared" ca="1" si="129"/>
        <v>11.734336982458974</v>
      </c>
      <c r="N899" s="4">
        <f t="shared" ca="1" si="130"/>
        <v>4.5612229920796148</v>
      </c>
      <c r="O899" s="4"/>
      <c r="P899" s="1">
        <f ca="1">LOOKUP(B899,geomorph!$A:$A,geomorph!$G:$G)</f>
        <v>104.925681</v>
      </c>
      <c r="Q899" s="1">
        <f t="shared" ca="1" si="131"/>
        <v>116.66001798245897</v>
      </c>
    </row>
    <row r="900" spans="2:17" x14ac:dyDescent="0.3">
      <c r="B900" s="6">
        <f ca="1">RANDBETWEEN(ranges!B$2,ranges!B$3)</f>
        <v>12067</v>
      </c>
      <c r="C900" s="9">
        <f ca="1">LOOKUP(B900,geomorph!A:A,geomorph!B:B)</f>
        <v>1331.7</v>
      </c>
      <c r="D900">
        <f t="shared" si="124"/>
        <v>1.13E-4</v>
      </c>
      <c r="E900" s="9">
        <f ca="1">'[2]Q_GEV(random)'!$J900</f>
        <v>5763.1516042508683</v>
      </c>
      <c r="F900" s="26">
        <f ca="1">RANDBETWEEN(ranges!F$2*1000,ranges!F$3*1000)/1000</f>
        <v>0.1</v>
      </c>
      <c r="G900" s="3">
        <f t="shared" ca="1" si="125"/>
        <v>4.3276650929269866</v>
      </c>
      <c r="H900" s="4">
        <f t="shared" ca="1" si="126"/>
        <v>7.5037362333914617</v>
      </c>
      <c r="I900" s="4">
        <f t="shared" ca="1" si="127"/>
        <v>170.53468112560626</v>
      </c>
      <c r="J900" s="26">
        <f ca="1">RANDBETWEEN(ranges!J$2*1000,ranges!J$3*1000)/1000</f>
        <v>0.76600000000000001</v>
      </c>
      <c r="K900" s="26">
        <f ca="1">RANDBETWEEN(ranges!K$2*1000,ranges!K$3*1000)/1000</f>
        <v>0.83799999999999997</v>
      </c>
      <c r="L900">
        <f t="shared" ca="1" si="128"/>
        <v>76.643038383589186</v>
      </c>
      <c r="M900">
        <f t="shared" ca="1" si="129"/>
        <v>11.533405366343107</v>
      </c>
      <c r="N900" s="4">
        <f t="shared" ca="1" si="130"/>
        <v>4.3800751445126576</v>
      </c>
      <c r="O900" s="4"/>
      <c r="P900" s="1">
        <f ca="1">LOOKUP(B900,geomorph!$A:$A,geomorph!$G:$G)</f>
        <v>105.162981</v>
      </c>
      <c r="Q900" s="1">
        <f t="shared" ca="1" si="131"/>
        <v>116.69638636634311</v>
      </c>
    </row>
    <row r="901" spans="2:17" x14ac:dyDescent="0.3">
      <c r="B901" s="6">
        <f ca="1">RANDBETWEEN(ranges!B$2,ranges!B$3)</f>
        <v>11635</v>
      </c>
      <c r="C901" s="9">
        <f ca="1">LOOKUP(B901,geomorph!A:A,geomorph!B:B)</f>
        <v>1457.4</v>
      </c>
      <c r="D901">
        <f t="shared" si="124"/>
        <v>1.13E-4</v>
      </c>
      <c r="E901" s="9">
        <f ca="1">'[2]Q_GEV(random)'!$J901</f>
        <v>5761.1743387848483</v>
      </c>
      <c r="F901" s="26">
        <f ca="1">RANDBETWEEN(ranges!F$2*1000,ranges!F$3*1000)/1000</f>
        <v>9.1999999999999998E-2</v>
      </c>
      <c r="G901" s="3">
        <f t="shared" ca="1" si="125"/>
        <v>3.9530494982742197</v>
      </c>
      <c r="H901" s="4">
        <f t="shared" ca="1" si="126"/>
        <v>6.870566919657799</v>
      </c>
      <c r="I901" s="4">
        <f t="shared" ca="1" si="127"/>
        <v>146.69863967244075</v>
      </c>
      <c r="J901" s="26">
        <f ca="1">RANDBETWEEN(ranges!J$2*1000,ranges!J$3*1000)/1000</f>
        <v>0.69099999999999995</v>
      </c>
      <c r="K901" s="26">
        <f ca="1">RANDBETWEEN(ranges!K$2*1000,ranges!K$3*1000)/1000</f>
        <v>0.89600000000000002</v>
      </c>
      <c r="L901">
        <f t="shared" ca="1" si="128"/>
        <v>69.576324659539011</v>
      </c>
      <c r="M901">
        <f t="shared" ca="1" si="129"/>
        <v>11.458260518145774</v>
      </c>
      <c r="N901" s="4">
        <f t="shared" ca="1" si="130"/>
        <v>4.986623476617364</v>
      </c>
      <c r="O901" s="4"/>
      <c r="P901" s="1">
        <f ca="1">LOOKUP(B901,geomorph!$A:$A,geomorph!$G:$G)</f>
        <v>105.21157100000001</v>
      </c>
      <c r="Q901" s="1">
        <f t="shared" ca="1" si="131"/>
        <v>116.66983151814578</v>
      </c>
    </row>
    <row r="902" spans="2:17" x14ac:dyDescent="0.3">
      <c r="B902" s="6">
        <f ca="1">RANDBETWEEN(ranges!B$2,ranges!B$3)</f>
        <v>11009</v>
      </c>
      <c r="C902" s="9">
        <f ca="1">LOOKUP(B902,geomorph!A:A,geomorph!B:B)</f>
        <v>1687</v>
      </c>
      <c r="D902">
        <f t="shared" si="124"/>
        <v>1.13E-4</v>
      </c>
      <c r="E902" s="9">
        <f ca="1">'[2]Q_GEV(random)'!$J902</f>
        <v>5745.4131782177874</v>
      </c>
      <c r="F902" s="26">
        <f ca="1">RANDBETWEEN(ranges!F$2*1000,ranges!F$3*1000)/1000</f>
        <v>0.104</v>
      </c>
      <c r="G902" s="3">
        <f t="shared" ca="1" si="125"/>
        <v>3.4056983866139818</v>
      </c>
      <c r="H902" s="4">
        <f t="shared" ca="1" si="126"/>
        <v>6.4802291807664316</v>
      </c>
      <c r="I902" s="4">
        <f t="shared" ca="1" si="127"/>
        <v>114.74639674131809</v>
      </c>
      <c r="J902" s="26">
        <f ca="1">RANDBETWEEN(ranges!J$2*1000,ranges!J$3*1000)/1000</f>
        <v>0.61699999999999999</v>
      </c>
      <c r="K902" s="26">
        <f ca="1">RANDBETWEEN(ranges!K$2*1000,ranges!K$3*1000)/1000</f>
        <v>0.98099999999999998</v>
      </c>
      <c r="L902">
        <f t="shared" ca="1" si="128"/>
        <v>63.286938627147386</v>
      </c>
      <c r="M902">
        <f t="shared" ca="1" si="129"/>
        <v>12.064452397431733</v>
      </c>
      <c r="N902" s="4">
        <f t="shared" ca="1" si="130"/>
        <v>6.0698078442014145</v>
      </c>
      <c r="O902" s="4"/>
      <c r="P902" s="1">
        <f ca="1">LOOKUP(B902,geomorph!$A:$A,geomorph!$G:$G)</f>
        <v>105.28276100000001</v>
      </c>
      <c r="Q902" s="1">
        <f t="shared" ca="1" si="131"/>
        <v>117.34721339743174</v>
      </c>
    </row>
    <row r="903" spans="2:17" x14ac:dyDescent="0.3">
      <c r="B903" s="6">
        <f ca="1">RANDBETWEEN(ranges!B$2,ranges!B$3)</f>
        <v>11628</v>
      </c>
      <c r="C903" s="9">
        <f ca="1">LOOKUP(B903,geomorph!A:A,geomorph!B:B)</f>
        <v>1460.1</v>
      </c>
      <c r="D903">
        <f t="shared" si="124"/>
        <v>1.13E-4</v>
      </c>
      <c r="E903" s="9">
        <f ca="1">'[2]Q_GEV(random)'!$J903</f>
        <v>5740.5070043982105</v>
      </c>
      <c r="F903" s="26">
        <f ca="1">RANDBETWEEN(ranges!F$2*1000,ranges!F$3*1000)/1000</f>
        <v>0.109</v>
      </c>
      <c r="G903" s="3">
        <f t="shared" ca="1" si="125"/>
        <v>3.9315848259695985</v>
      </c>
      <c r="H903" s="4">
        <f t="shared" ca="1" si="126"/>
        <v>7.2437323664318845</v>
      </c>
      <c r="I903" s="4">
        <f t="shared" ca="1" si="127"/>
        <v>145.89682787105644</v>
      </c>
      <c r="J903" s="26">
        <f ca="1">RANDBETWEEN(ranges!J$2*1000,ranges!J$3*1000)/1000</f>
        <v>0.75900000000000001</v>
      </c>
      <c r="K903" s="26">
        <f ca="1">RANDBETWEEN(ranges!K$2*1000,ranges!K$3*1000)/1000</f>
        <v>0.83499999999999996</v>
      </c>
      <c r="L903">
        <f t="shared" ca="1" si="128"/>
        <v>69.818970035229768</v>
      </c>
      <c r="M903">
        <f t="shared" ca="1" si="129"/>
        <v>11.519522630773604</v>
      </c>
      <c r="N903" s="4">
        <f t="shared" ca="1" si="130"/>
        <v>4.6475981134149125</v>
      </c>
      <c r="O903" s="4"/>
      <c r="P903" s="1">
        <f ca="1">LOOKUP(B903,geomorph!$A:$A,geomorph!$G:$G)</f>
        <v>105.21270100000001</v>
      </c>
      <c r="Q903" s="1">
        <f t="shared" ca="1" si="131"/>
        <v>116.73222363077362</v>
      </c>
    </row>
    <row r="904" spans="2:17" x14ac:dyDescent="0.3">
      <c r="B904" s="6">
        <f ca="1">RANDBETWEEN(ranges!B$2,ranges!B$3)</f>
        <v>14084</v>
      </c>
      <c r="C904" s="9">
        <f ca="1">LOOKUP(B904,geomorph!A:A,geomorph!B:B)</f>
        <v>1347</v>
      </c>
      <c r="D904">
        <f t="shared" si="124"/>
        <v>1.13E-4</v>
      </c>
      <c r="E904" s="9">
        <f ca="1">'[2]Q_GEV(random)'!$J904</f>
        <v>5731.7855908198144</v>
      </c>
      <c r="F904" s="26">
        <f ca="1">RANDBETWEEN(ranges!F$2*1000,ranges!F$3*1000)/1000</f>
        <v>9.0999999999999998E-2</v>
      </c>
      <c r="G904" s="3">
        <f t="shared" ca="1" si="125"/>
        <v>4.2552231557682365</v>
      </c>
      <c r="H904" s="4">
        <f t="shared" ca="1" si="126"/>
        <v>7.1901368184596519</v>
      </c>
      <c r="I904" s="4">
        <f t="shared" ca="1" si="127"/>
        <v>166.71089444960523</v>
      </c>
      <c r="J904" s="26">
        <f ca="1">RANDBETWEEN(ranges!J$2*1000,ranges!J$3*1000)/1000</f>
        <v>0.70099999999999996</v>
      </c>
      <c r="K904" s="26">
        <f ca="1">RANDBETWEEN(ranges!K$2*1000,ranges!K$3*1000)/1000</f>
        <v>0.93200000000000005</v>
      </c>
      <c r="L904">
        <f t="shared" ca="1" si="128"/>
        <v>76.176606323833823</v>
      </c>
      <c r="M904">
        <f t="shared" ca="1" si="129"/>
        <v>11.594917425157071</v>
      </c>
      <c r="N904" s="4">
        <f t="shared" ca="1" si="130"/>
        <v>4.7878050072798031</v>
      </c>
      <c r="O904" s="4"/>
      <c r="P904" s="1">
        <f ca="1">LOOKUP(B904,geomorph!$A:$A,geomorph!$G:$G)</f>
        <v>104.934721</v>
      </c>
      <c r="Q904" s="1">
        <f t="shared" ca="1" si="131"/>
        <v>116.52963842515706</v>
      </c>
    </row>
    <row r="905" spans="2:17" x14ac:dyDescent="0.3">
      <c r="B905" s="6">
        <f ca="1">RANDBETWEEN(ranges!B$2,ranges!B$3)</f>
        <v>13572</v>
      </c>
      <c r="C905" s="9">
        <f ca="1">LOOKUP(B905,geomorph!A:A,geomorph!B:B)</f>
        <v>1220.3</v>
      </c>
      <c r="D905">
        <f t="shared" si="124"/>
        <v>1.13E-4</v>
      </c>
      <c r="E905" s="9">
        <f ca="1">'[2]Q_GEV(random)'!$J905</f>
        <v>5728.5513096808136</v>
      </c>
      <c r="F905" s="26">
        <f ca="1">RANDBETWEEN(ranges!F$2*1000,ranges!F$3*1000)/1000</f>
        <v>0.1</v>
      </c>
      <c r="G905" s="3">
        <f t="shared" ca="1" si="125"/>
        <v>4.6943795047781807</v>
      </c>
      <c r="H905" s="4">
        <f t="shared" ca="1" si="126"/>
        <v>7.9218617814976948</v>
      </c>
      <c r="I905" s="4">
        <f t="shared" ca="1" si="127"/>
        <v>196.4726953006402</v>
      </c>
      <c r="J905" s="26">
        <f ca="1">RANDBETWEEN(ranges!J$2*1000,ranges!J$3*1000)/1000</f>
        <v>0.749</v>
      </c>
      <c r="K905" s="26">
        <f ca="1">RANDBETWEEN(ranges!K$2*1000,ranges!K$3*1000)/1000</f>
        <v>0.996</v>
      </c>
      <c r="L905">
        <f t="shared" ca="1" si="128"/>
        <v>87.489511069741951</v>
      </c>
      <c r="M905">
        <f t="shared" ca="1" si="129"/>
        <v>12.064269890499888</v>
      </c>
      <c r="N905" s="4">
        <f t="shared" ca="1" si="130"/>
        <v>4.5026175097849928</v>
      </c>
      <c r="O905" s="4"/>
      <c r="P905" s="1">
        <f ca="1">LOOKUP(B905,geomorph!$A:$A,geomorph!$G:$G)</f>
        <v>104.992351</v>
      </c>
      <c r="Q905" s="1">
        <f t="shared" ca="1" si="131"/>
        <v>117.05662089049989</v>
      </c>
    </row>
    <row r="906" spans="2:17" x14ac:dyDescent="0.3">
      <c r="B906" s="6">
        <f ca="1">RANDBETWEEN(ranges!B$2,ranges!B$3)</f>
        <v>11354</v>
      </c>
      <c r="C906" s="9">
        <f ca="1">LOOKUP(B906,geomorph!A:A,geomorph!B:B)</f>
        <v>1572.9</v>
      </c>
      <c r="D906">
        <f t="shared" si="124"/>
        <v>1.13E-4</v>
      </c>
      <c r="E906" s="9">
        <f ca="1">'[2]Q_GEV(random)'!$J906</f>
        <v>5720.1892654500225</v>
      </c>
      <c r="F906" s="26">
        <f ca="1">RANDBETWEEN(ranges!F$2*1000,ranges!F$3*1000)/1000</f>
        <v>0.09</v>
      </c>
      <c r="G906" s="3">
        <f t="shared" ca="1" si="125"/>
        <v>3.6367151538241607</v>
      </c>
      <c r="H906" s="4">
        <f t="shared" ca="1" si="126"/>
        <v>6.4515216238108302</v>
      </c>
      <c r="I906" s="4">
        <f t="shared" ca="1" si="127"/>
        <v>128.57457436453623</v>
      </c>
      <c r="J906" s="26">
        <f ca="1">RANDBETWEEN(ranges!J$2*1000,ranges!J$3*1000)/1000</f>
        <v>0.67600000000000005</v>
      </c>
      <c r="K906" s="26">
        <f ca="1">RANDBETWEEN(ranges!K$2*1000,ranges!K$3*1000)/1000</f>
        <v>0.86099999999999999</v>
      </c>
      <c r="L906">
        <f t="shared" ca="1" si="128"/>
        <v>63.225033337058463</v>
      </c>
      <c r="M906">
        <f t="shared" ca="1" si="129"/>
        <v>11.237472007752096</v>
      </c>
      <c r="N906" s="4">
        <f t="shared" ca="1" si="130"/>
        <v>5.2021199825448541</v>
      </c>
      <c r="O906" s="4"/>
      <c r="P906" s="1">
        <f ca="1">LOOKUP(B906,geomorph!$A:$A,geomorph!$G:$G)</f>
        <v>105.243211</v>
      </c>
      <c r="Q906" s="1">
        <f t="shared" ca="1" si="131"/>
        <v>116.48068300775211</v>
      </c>
    </row>
    <row r="907" spans="2:17" x14ac:dyDescent="0.3">
      <c r="B907" s="6">
        <f ca="1">RANDBETWEEN(ranges!B$2,ranges!B$3)</f>
        <v>12355</v>
      </c>
      <c r="C907" s="9">
        <f ca="1">LOOKUP(B907,geomorph!A:A,geomorph!B:B)</f>
        <v>1249.5</v>
      </c>
      <c r="D907">
        <f t="shared" ref="D907:D970" si="132">D906</f>
        <v>1.13E-4</v>
      </c>
      <c r="E907" s="9">
        <f ca="1">'[2]Q_GEV(random)'!$J907</f>
        <v>5718.5673353712555</v>
      </c>
      <c r="F907" s="26">
        <f ca="1">RANDBETWEEN(ranges!F$2*1000,ranges!F$3*1000)/1000</f>
        <v>0.104</v>
      </c>
      <c r="G907" s="3">
        <f t="shared" ref="G907:G970" ca="1" si="133">E907/C907</f>
        <v>4.57668454211385</v>
      </c>
      <c r="H907" s="4">
        <f t="shared" ref="H907:H970" ca="1" si="134">POWER(G907/SQRT(4*9.807*D907/F907),2/3)</f>
        <v>7.8913910009249104</v>
      </c>
      <c r="I907" s="4">
        <f t="shared" ref="I907:I970" ca="1" si="135">POWER(G907*G907/9.807/D907,1/3)/C907/D907</f>
        <v>188.66054106967511</v>
      </c>
      <c r="J907" s="26">
        <f ca="1">RANDBETWEEN(ranges!J$2*1000,ranges!J$3*1000)/1000</f>
        <v>0.74299999999999999</v>
      </c>
      <c r="K907" s="26">
        <f ca="1">RANDBETWEEN(ranges!K$2*1000,ranges!K$3*1000)/1000</f>
        <v>0.96799999999999997</v>
      </c>
      <c r="L907">
        <f t="shared" ref="L907:L970" ca="1" si="136">0.63*POWER(F907,1/3)*I907+5.75*(1+SQRT(1+0.11*J907*POWER(F907,1/3)*K907*I907))/J907</f>
        <v>85.548049389947167</v>
      </c>
      <c r="M907">
        <f t="shared" ref="M907:M970" ca="1" si="137">L907*C907*D907</f>
        <v>12.078828511539504</v>
      </c>
      <c r="N907" s="4">
        <f t="shared" ref="N907:N970" ca="1" si="138">(M907-H907)/0.92</f>
        <v>4.5515625115376013</v>
      </c>
      <c r="O907" s="4"/>
      <c r="P907" s="1">
        <f ca="1">LOOKUP(B907,geomorph!$A:$A,geomorph!$G:$G)</f>
        <v>105.130211</v>
      </c>
      <c r="Q907" s="1">
        <f t="shared" ref="Q907:Q970" ca="1" si="139">M907+P907</f>
        <v>117.2090395115395</v>
      </c>
    </row>
    <row r="908" spans="2:17" x14ac:dyDescent="0.3">
      <c r="B908" s="6">
        <f ca="1">RANDBETWEEN(ranges!B$2,ranges!B$3)</f>
        <v>11553</v>
      </c>
      <c r="C908" s="9">
        <f ca="1">LOOKUP(B908,geomorph!A:A,geomorph!B:B)</f>
        <v>1477</v>
      </c>
      <c r="D908">
        <f t="shared" si="132"/>
        <v>1.13E-4</v>
      </c>
      <c r="E908" s="9">
        <f ca="1">'[2]Q_GEV(random)'!$J908</f>
        <v>5702.9070519022634</v>
      </c>
      <c r="F908" s="26">
        <f ca="1">RANDBETWEEN(ranges!F$2*1000,ranges!F$3*1000)/1000</f>
        <v>0.10100000000000001</v>
      </c>
      <c r="G908" s="3">
        <f t="shared" ca="1" si="133"/>
        <v>3.8611422152351143</v>
      </c>
      <c r="H908" s="4">
        <f t="shared" ca="1" si="134"/>
        <v>6.9773865957743837</v>
      </c>
      <c r="I908" s="4">
        <f t="shared" ca="1" si="135"/>
        <v>142.49951524671172</v>
      </c>
      <c r="J908" s="26">
        <f ca="1">RANDBETWEEN(ranges!J$2*1000,ranges!J$3*1000)/1000</f>
        <v>0.77800000000000002</v>
      </c>
      <c r="K908" s="26">
        <f ca="1">RANDBETWEEN(ranges!K$2*1000,ranges!K$3*1000)/1000</f>
        <v>0.85499999999999998</v>
      </c>
      <c r="L908">
        <f t="shared" ca="1" si="136"/>
        <v>67.083561877123316</v>
      </c>
      <c r="M908">
        <f t="shared" ca="1" si="137"/>
        <v>11.196313560853758</v>
      </c>
      <c r="N908" s="4">
        <f t="shared" ca="1" si="138"/>
        <v>4.5857901794341025</v>
      </c>
      <c r="O908" s="4"/>
      <c r="P908" s="1">
        <f ca="1">LOOKUP(B908,geomorph!$A:$A,geomorph!$G:$G)</f>
        <v>105.22061100000001</v>
      </c>
      <c r="Q908" s="1">
        <f t="shared" ca="1" si="139"/>
        <v>116.41692456085376</v>
      </c>
    </row>
    <row r="909" spans="2:17" x14ac:dyDescent="0.3">
      <c r="B909" s="6">
        <f ca="1">RANDBETWEEN(ranges!B$2,ranges!B$3)</f>
        <v>11270</v>
      </c>
      <c r="C909" s="9">
        <f ca="1">LOOKUP(B909,geomorph!A:A,geomorph!B:B)</f>
        <v>1623</v>
      </c>
      <c r="D909">
        <f t="shared" si="132"/>
        <v>1.13E-4</v>
      </c>
      <c r="E909" s="9">
        <f ca="1">'[2]Q_GEV(random)'!$J909</f>
        <v>5694.0675818581703</v>
      </c>
      <c r="F909" s="26">
        <f ca="1">RANDBETWEEN(ranges!F$2*1000,ranges!F$3*1000)/1000</f>
        <v>9.9000000000000005E-2</v>
      </c>
      <c r="G909" s="3">
        <f t="shared" ca="1" si="133"/>
        <v>3.5083595698448371</v>
      </c>
      <c r="H909" s="4">
        <f t="shared" ca="1" si="134"/>
        <v>6.5021391565455007</v>
      </c>
      <c r="I909" s="4">
        <f t="shared" ca="1" si="135"/>
        <v>121.65619493220863</v>
      </c>
      <c r="J909" s="26">
        <f ca="1">RANDBETWEEN(ranges!J$2*1000,ranges!J$3*1000)/1000</f>
        <v>0.65300000000000002</v>
      </c>
      <c r="K909" s="26">
        <f ca="1">RANDBETWEEN(ranges!K$2*1000,ranges!K$3*1000)/1000</f>
        <v>0.88800000000000001</v>
      </c>
      <c r="L909">
        <f t="shared" ca="1" si="136"/>
        <v>63.125927933930029</v>
      </c>
      <c r="M909">
        <f t="shared" ca="1" si="137"/>
        <v>11.577232057154832</v>
      </c>
      <c r="N909" s="4">
        <f t="shared" ca="1" si="138"/>
        <v>5.5164053267492736</v>
      </c>
      <c r="O909" s="4"/>
      <c r="P909" s="1">
        <f ca="1">LOOKUP(B909,geomorph!$A:$A,geomorph!$G:$G)</f>
        <v>105.252251</v>
      </c>
      <c r="Q909" s="1">
        <f t="shared" ca="1" si="139"/>
        <v>116.82948305715483</v>
      </c>
    </row>
    <row r="910" spans="2:17" x14ac:dyDescent="0.3">
      <c r="B910" s="6">
        <f ca="1">RANDBETWEEN(ranges!B$2,ranges!B$3)</f>
        <v>13132</v>
      </c>
      <c r="C910" s="9">
        <f ca="1">LOOKUP(B910,geomorph!A:A,geomorph!B:B)</f>
        <v>1155.3</v>
      </c>
      <c r="D910">
        <f t="shared" si="132"/>
        <v>1.13E-4</v>
      </c>
      <c r="E910" s="9">
        <f ca="1">'[2]Q_GEV(random)'!$J910</f>
        <v>5629.9588771539866</v>
      </c>
      <c r="F910" s="26">
        <f ca="1">RANDBETWEEN(ranges!F$2*1000,ranges!F$3*1000)/1000</f>
        <v>9.1999999999999998E-2</v>
      </c>
      <c r="G910" s="3">
        <f t="shared" ca="1" si="133"/>
        <v>4.8731575150644737</v>
      </c>
      <c r="H910" s="4">
        <f t="shared" ca="1" si="134"/>
        <v>7.8991077615445899</v>
      </c>
      <c r="I910" s="4">
        <f t="shared" ca="1" si="135"/>
        <v>212.76272457047477</v>
      </c>
      <c r="J910" s="26">
        <f ca="1">RANDBETWEEN(ranges!J$2*1000,ranges!J$3*1000)/1000</f>
        <v>0.76100000000000001</v>
      </c>
      <c r="K910" s="26">
        <f ca="1">RANDBETWEEN(ranges!K$2*1000,ranges!K$3*1000)/1000</f>
        <v>0.88200000000000001</v>
      </c>
      <c r="L910">
        <f t="shared" ca="1" si="136"/>
        <v>89.559545809604131</v>
      </c>
      <c r="M910">
        <f t="shared" ca="1" si="137"/>
        <v>11.691900189943429</v>
      </c>
      <c r="N910" s="4">
        <f t="shared" ca="1" si="138"/>
        <v>4.122600465650911</v>
      </c>
      <c r="O910" s="4"/>
      <c r="P910" s="1">
        <f ca="1">LOOKUP(B910,geomorph!$A:$A,geomorph!$G:$G)</f>
        <v>105.04207100000001</v>
      </c>
      <c r="Q910" s="1">
        <f t="shared" ca="1" si="139"/>
        <v>116.73397118994343</v>
      </c>
    </row>
    <row r="911" spans="2:17" x14ac:dyDescent="0.3">
      <c r="B911" s="6">
        <f ca="1">RANDBETWEEN(ranges!B$2,ranges!B$3)</f>
        <v>14323</v>
      </c>
      <c r="C911" s="9">
        <f ca="1">LOOKUP(B911,geomorph!A:A,geomorph!B:B)</f>
        <v>1352.7</v>
      </c>
      <c r="D911">
        <f t="shared" si="132"/>
        <v>1.13E-4</v>
      </c>
      <c r="E911" s="9">
        <f ca="1">'[2]Q_GEV(random)'!$J911</f>
        <v>5593.8584685462192</v>
      </c>
      <c r="F911" s="26">
        <f ca="1">RANDBETWEEN(ranges!F$2*1000,ranges!F$3*1000)/1000</f>
        <v>0.108</v>
      </c>
      <c r="G911" s="3">
        <f t="shared" ca="1" si="133"/>
        <v>4.1353282091714494</v>
      </c>
      <c r="H911" s="4">
        <f t="shared" ca="1" si="134"/>
        <v>7.4688952934932207</v>
      </c>
      <c r="I911" s="4">
        <f t="shared" ca="1" si="135"/>
        <v>162.87528283307131</v>
      </c>
      <c r="J911" s="26">
        <f ca="1">RANDBETWEEN(ranges!J$2*1000,ranges!J$3*1000)/1000</f>
        <v>0.66600000000000004</v>
      </c>
      <c r="K911" s="26">
        <f ca="1">RANDBETWEEN(ranges!K$2*1000,ranges!K$3*1000)/1000</f>
        <v>0.98699999999999999</v>
      </c>
      <c r="L911">
        <f t="shared" ca="1" si="136"/>
        <v>79.693774496538879</v>
      </c>
      <c r="M911">
        <f t="shared" ca="1" si="137"/>
        <v>12.181599870045901</v>
      </c>
      <c r="N911" s="4">
        <f t="shared" ca="1" si="138"/>
        <v>5.1225049745137818</v>
      </c>
      <c r="O911" s="4"/>
      <c r="P911" s="1">
        <f ca="1">LOOKUP(B911,geomorph!$A:$A,geomorph!$G:$G)</f>
        <v>104.907601</v>
      </c>
      <c r="Q911" s="1">
        <f t="shared" ca="1" si="139"/>
        <v>117.0892008700459</v>
      </c>
    </row>
    <row r="912" spans="2:17" x14ac:dyDescent="0.3">
      <c r="B912" s="6">
        <f ca="1">RANDBETWEEN(ranges!B$2,ranges!B$3)</f>
        <v>11375</v>
      </c>
      <c r="C912" s="9">
        <f ca="1">LOOKUP(B912,geomorph!A:A,geomorph!B:B)</f>
        <v>1558.9</v>
      </c>
      <c r="D912">
        <f t="shared" si="132"/>
        <v>1.13E-4</v>
      </c>
      <c r="E912" s="9">
        <f ca="1">'[2]Q_GEV(random)'!$J912</f>
        <v>5574.5168889198194</v>
      </c>
      <c r="F912" s="26">
        <f ca="1">RANDBETWEEN(ranges!F$2*1000,ranges!F$3*1000)/1000</f>
        <v>0.10100000000000001</v>
      </c>
      <c r="G912" s="3">
        <f t="shared" ca="1" si="133"/>
        <v>3.5759297510551153</v>
      </c>
      <c r="H912" s="4">
        <f t="shared" ca="1" si="134"/>
        <v>6.6294104249681896</v>
      </c>
      <c r="I912" s="4">
        <f t="shared" ca="1" si="135"/>
        <v>128.27964386461278</v>
      </c>
      <c r="J912" s="26">
        <f ca="1">RANDBETWEEN(ranges!J$2*1000,ranges!J$3*1000)/1000</f>
        <v>0.68500000000000005</v>
      </c>
      <c r="K912" s="26">
        <f ca="1">RANDBETWEEN(ranges!K$2*1000,ranges!K$3*1000)/1000</f>
        <v>0.96599999999999997</v>
      </c>
      <c r="L912">
        <f t="shared" ca="1" si="136"/>
        <v>65.443099657131953</v>
      </c>
      <c r="M912">
        <f t="shared" ca="1" si="137"/>
        <v>11.528175030271839</v>
      </c>
      <c r="N912" s="4">
        <f t="shared" ca="1" si="138"/>
        <v>5.3247441361996195</v>
      </c>
      <c r="O912" s="4"/>
      <c r="P912" s="1">
        <f ca="1">LOOKUP(B912,geomorph!$A:$A,geomorph!$G:$G)</f>
        <v>105.24095100000001</v>
      </c>
      <c r="Q912" s="1">
        <f t="shared" ca="1" si="139"/>
        <v>116.76912603027185</v>
      </c>
    </row>
    <row r="913" spans="2:17" x14ac:dyDescent="0.3">
      <c r="B913" s="6">
        <f ca="1">RANDBETWEEN(ranges!B$2,ranges!B$3)</f>
        <v>10194</v>
      </c>
      <c r="C913" s="9">
        <f ca="1">LOOKUP(B913,geomorph!A:A,geomorph!B:B)</f>
        <v>1590.7</v>
      </c>
      <c r="D913">
        <f t="shared" si="132"/>
        <v>1.13E-4</v>
      </c>
      <c r="E913" s="9">
        <f ca="1">'[2]Q_GEV(random)'!$J913</f>
        <v>5560.7381749491451</v>
      </c>
      <c r="F913" s="26">
        <f ca="1">RANDBETWEEN(ranges!F$2*1000,ranges!F$3*1000)/1000</f>
        <v>0.106</v>
      </c>
      <c r="G913" s="3">
        <f t="shared" ca="1" si="133"/>
        <v>3.4957805839876439</v>
      </c>
      <c r="H913" s="4">
        <f t="shared" ca="1" si="134"/>
        <v>6.6360023170261853</v>
      </c>
      <c r="I913" s="4">
        <f t="shared" ca="1" si="135"/>
        <v>123.82961228129851</v>
      </c>
      <c r="J913" s="26">
        <f ca="1">RANDBETWEEN(ranges!J$2*1000,ranges!J$3*1000)/1000</f>
        <v>0.72</v>
      </c>
      <c r="K913" s="26">
        <f ca="1">RANDBETWEEN(ranges!K$2*1000,ranges!K$3*1000)/1000</f>
        <v>0.93400000000000005</v>
      </c>
      <c r="L913">
        <f t="shared" ca="1" si="136"/>
        <v>63.352741566132366</v>
      </c>
      <c r="M913">
        <f t="shared" ca="1" si="137"/>
        <v>11.387598279044884</v>
      </c>
      <c r="N913" s="4">
        <f t="shared" ca="1" si="138"/>
        <v>5.1647782195855418</v>
      </c>
      <c r="O913" s="4"/>
      <c r="P913" s="1">
        <f ca="1">LOOKUP(B913,geomorph!$A:$A,geomorph!$G:$G)</f>
        <v>105.374291</v>
      </c>
      <c r="Q913" s="1">
        <f t="shared" ca="1" si="139"/>
        <v>116.76188927904488</v>
      </c>
    </row>
    <row r="914" spans="2:17" x14ac:dyDescent="0.3">
      <c r="B914" s="6">
        <f ca="1">RANDBETWEEN(ranges!B$2,ranges!B$3)</f>
        <v>14310</v>
      </c>
      <c r="C914" s="9">
        <f ca="1">LOOKUP(B914,geomorph!A:A,geomorph!B:B)</f>
        <v>1349.6</v>
      </c>
      <c r="D914">
        <f t="shared" si="132"/>
        <v>1.13E-4</v>
      </c>
      <c r="E914" s="9">
        <f ca="1">'[2]Q_GEV(random)'!$J914</f>
        <v>5558.3118533475317</v>
      </c>
      <c r="F914" s="26">
        <f ca="1">RANDBETWEEN(ranges!F$2*1000,ranges!F$3*1000)/1000</f>
        <v>0.10100000000000001</v>
      </c>
      <c r="G914" s="3">
        <f t="shared" ca="1" si="133"/>
        <v>4.1184883323559074</v>
      </c>
      <c r="H914" s="4">
        <f t="shared" ca="1" si="134"/>
        <v>7.2840706231108623</v>
      </c>
      <c r="I914" s="4">
        <f t="shared" ca="1" si="135"/>
        <v>162.80591295016967</v>
      </c>
      <c r="J914" s="26">
        <f ca="1">RANDBETWEEN(ranges!J$2*1000,ranges!J$3*1000)/1000</f>
        <v>0.745</v>
      </c>
      <c r="K914" s="26">
        <f ca="1">RANDBETWEEN(ranges!K$2*1000,ranges!K$3*1000)/1000</f>
        <v>0.99299999999999999</v>
      </c>
      <c r="L914">
        <f t="shared" ca="1" si="136"/>
        <v>76.150510854861295</v>
      </c>
      <c r="M914">
        <f t="shared" ca="1" si="137"/>
        <v>11.613318427818449</v>
      </c>
      <c r="N914" s="4">
        <f t="shared" ca="1" si="138"/>
        <v>4.7057041355517244</v>
      </c>
      <c r="O914" s="4"/>
      <c r="P914" s="1">
        <f ca="1">LOOKUP(B914,geomorph!$A:$A,geomorph!$G:$G)</f>
        <v>104.908731</v>
      </c>
      <c r="Q914" s="1">
        <f t="shared" ca="1" si="139"/>
        <v>116.52204942781844</v>
      </c>
    </row>
    <row r="915" spans="2:17" x14ac:dyDescent="0.3">
      <c r="B915" s="6">
        <f ca="1">RANDBETWEEN(ranges!B$2,ranges!B$3)</f>
        <v>10322</v>
      </c>
      <c r="C915" s="9">
        <f ca="1">LOOKUP(B915,geomorph!A:A,geomorph!B:B)</f>
        <v>1660.2</v>
      </c>
      <c r="D915">
        <f t="shared" si="132"/>
        <v>1.13E-4</v>
      </c>
      <c r="E915" s="9">
        <f ca="1">'[2]Q_GEV(random)'!$J915</f>
        <v>5523.6359953702458</v>
      </c>
      <c r="F915" s="26">
        <f ca="1">RANDBETWEEN(ranges!F$2*1000,ranges!F$3*1000)/1000</f>
        <v>9.9000000000000005E-2</v>
      </c>
      <c r="G915" s="3">
        <f t="shared" ca="1" si="133"/>
        <v>3.3270907091737416</v>
      </c>
      <c r="H915" s="4">
        <f t="shared" ca="1" si="134"/>
        <v>6.2761978031832202</v>
      </c>
      <c r="I915" s="4">
        <f t="shared" ca="1" si="135"/>
        <v>114.79757174995447</v>
      </c>
      <c r="J915" s="26">
        <f ca="1">RANDBETWEEN(ranges!J$2*1000,ranges!J$3*1000)/1000</f>
        <v>0.75900000000000001</v>
      </c>
      <c r="K915" s="26">
        <f ca="1">RANDBETWEEN(ranges!K$2*1000,ranges!K$3*1000)/1000</f>
        <v>0.88800000000000001</v>
      </c>
      <c r="L915">
        <f t="shared" ca="1" si="136"/>
        <v>57.865860339143637</v>
      </c>
      <c r="M915">
        <f t="shared" ca="1" si="137"/>
        <v>10.855785850860228</v>
      </c>
      <c r="N915" s="4">
        <f t="shared" ca="1" si="138"/>
        <v>4.9778130953010944</v>
      </c>
      <c r="O915" s="4"/>
      <c r="P915" s="1">
        <f ca="1">LOOKUP(B915,geomorph!$A:$A,geomorph!$G:$G)</f>
        <v>105.359601</v>
      </c>
      <c r="Q915" s="1">
        <f t="shared" ca="1" si="139"/>
        <v>116.21538685086023</v>
      </c>
    </row>
    <row r="916" spans="2:17" x14ac:dyDescent="0.3">
      <c r="B916" s="6">
        <f ca="1">RANDBETWEEN(ranges!B$2,ranges!B$3)</f>
        <v>12173</v>
      </c>
      <c r="C916" s="9">
        <f ca="1">LOOKUP(B916,geomorph!A:A,geomorph!B:B)</f>
        <v>1298.3</v>
      </c>
      <c r="D916">
        <f t="shared" si="132"/>
        <v>1.13E-4</v>
      </c>
      <c r="E916" s="9">
        <f ca="1">'[2]Q_GEV(random)'!$J916</f>
        <v>5498.8294199297179</v>
      </c>
      <c r="F916" s="26">
        <f ca="1">RANDBETWEEN(ranges!F$2*1000,ranges!F$3*1000)/1000</f>
        <v>0.104</v>
      </c>
      <c r="G916" s="3">
        <f t="shared" ca="1" si="133"/>
        <v>4.2354073942307</v>
      </c>
      <c r="H916" s="4">
        <f t="shared" ca="1" si="134"/>
        <v>7.4940462673269694</v>
      </c>
      <c r="I916" s="4">
        <f t="shared" ca="1" si="135"/>
        <v>172.4269264274225</v>
      </c>
      <c r="J916" s="26">
        <f ca="1">RANDBETWEEN(ranges!J$2*1000,ranges!J$3*1000)/1000</f>
        <v>0.748</v>
      </c>
      <c r="K916" s="26">
        <f ca="1">RANDBETWEEN(ranges!K$2*1000,ranges!K$3*1000)/1000</f>
        <v>0.95</v>
      </c>
      <c r="L916">
        <f t="shared" ca="1" si="136"/>
        <v>79.595656159005642</v>
      </c>
      <c r="M916">
        <f t="shared" ca="1" si="137"/>
        <v>11.677311564209782</v>
      </c>
      <c r="N916" s="4">
        <f t="shared" ca="1" si="138"/>
        <v>4.5470274966117534</v>
      </c>
      <c r="O916" s="4"/>
      <c r="P916" s="1">
        <f ca="1">LOOKUP(B916,geomorph!$A:$A,geomorph!$G:$G)</f>
        <v>105.15055100000001</v>
      </c>
      <c r="Q916" s="1">
        <f t="shared" ca="1" si="139"/>
        <v>116.82786256420979</v>
      </c>
    </row>
    <row r="917" spans="2:17" x14ac:dyDescent="0.3">
      <c r="B917" s="6">
        <f ca="1">RANDBETWEEN(ranges!B$2,ranges!B$3)</f>
        <v>10668</v>
      </c>
      <c r="C917" s="9">
        <f ca="1">LOOKUP(B917,geomorph!A:A,geomorph!B:B)</f>
        <v>1723.4</v>
      </c>
      <c r="D917">
        <f t="shared" si="132"/>
        <v>1.13E-4</v>
      </c>
      <c r="E917" s="9">
        <f ca="1">'[2]Q_GEV(random)'!$J917</f>
        <v>5487.9726102954828</v>
      </c>
      <c r="F917" s="26">
        <f ca="1">RANDBETWEEN(ranges!F$2*1000,ranges!F$3*1000)/1000</f>
        <v>0.09</v>
      </c>
      <c r="G917" s="3">
        <f t="shared" ca="1" si="133"/>
        <v>3.1843870316209135</v>
      </c>
      <c r="H917" s="4">
        <f t="shared" ca="1" si="134"/>
        <v>5.9048181989234374</v>
      </c>
      <c r="I917" s="4">
        <f t="shared" ca="1" si="135"/>
        <v>107.40252527078121</v>
      </c>
      <c r="J917" s="26">
        <f ca="1">RANDBETWEEN(ranges!J$2*1000,ranges!J$3*1000)/1000</f>
        <v>0.66900000000000004</v>
      </c>
      <c r="K917" s="26">
        <f ca="1">RANDBETWEEN(ranges!K$2*1000,ranges!K$3*1000)/1000</f>
        <v>1</v>
      </c>
      <c r="L917">
        <f t="shared" ca="1" si="136"/>
        <v>57.235155278975292</v>
      </c>
      <c r="M917">
        <f t="shared" ca="1" si="137"/>
        <v>11.14621452667982</v>
      </c>
      <c r="N917" s="4">
        <f t="shared" ca="1" si="138"/>
        <v>5.6971699214743285</v>
      </c>
      <c r="O917" s="4"/>
      <c r="P917" s="1">
        <f ca="1">LOOKUP(B917,geomorph!$A:$A,geomorph!$G:$G)</f>
        <v>105.321181</v>
      </c>
      <c r="Q917" s="1">
        <f t="shared" ca="1" si="139"/>
        <v>116.46739552667981</v>
      </c>
    </row>
    <row r="918" spans="2:17" x14ac:dyDescent="0.3">
      <c r="B918" s="6">
        <f ca="1">RANDBETWEEN(ranges!B$2,ranges!B$3)</f>
        <v>14234</v>
      </c>
      <c r="C918" s="9">
        <f ca="1">LOOKUP(B918,geomorph!A:A,geomorph!B:B)</f>
        <v>1323.1</v>
      </c>
      <c r="D918">
        <f t="shared" si="132"/>
        <v>1.13E-4</v>
      </c>
      <c r="E918" s="9">
        <f ca="1">'[2]Q_GEV(random)'!$J918</f>
        <v>5453.4571663413826</v>
      </c>
      <c r="F918" s="26">
        <f ca="1">RANDBETWEEN(ranges!F$2*1000,ranges!F$3*1000)/1000</f>
        <v>0.09</v>
      </c>
      <c r="G918" s="3">
        <f t="shared" ca="1" si="133"/>
        <v>4.1217271304824905</v>
      </c>
      <c r="H918" s="4">
        <f t="shared" ca="1" si="134"/>
        <v>7.0130799680566529</v>
      </c>
      <c r="I918" s="4">
        <f t="shared" ca="1" si="135"/>
        <v>166.1537594047214</v>
      </c>
      <c r="J918" s="26">
        <f ca="1">RANDBETWEEN(ranges!J$2*1000,ranges!J$3*1000)/1000</f>
        <v>0.76100000000000001</v>
      </c>
      <c r="K918" s="26">
        <f ca="1">RANDBETWEEN(ranges!K$2*1000,ranges!K$3*1000)/1000</f>
        <v>0.80100000000000005</v>
      </c>
      <c r="L918">
        <f t="shared" ca="1" si="136"/>
        <v>72.962475194076504</v>
      </c>
      <c r="M918">
        <f t="shared" ca="1" si="137"/>
        <v>10.908641555008934</v>
      </c>
      <c r="N918" s="4">
        <f t="shared" ca="1" si="138"/>
        <v>4.2343060727742188</v>
      </c>
      <c r="O918" s="4"/>
      <c r="P918" s="1">
        <f ca="1">LOOKUP(B918,geomorph!$A:$A,geomorph!$G:$G)</f>
        <v>104.917771</v>
      </c>
      <c r="Q918" s="1">
        <f t="shared" ca="1" si="139"/>
        <v>115.82641255500894</v>
      </c>
    </row>
    <row r="919" spans="2:17" x14ac:dyDescent="0.3">
      <c r="B919" s="6">
        <f ca="1">RANDBETWEEN(ranges!B$2,ranges!B$3)</f>
        <v>13438</v>
      </c>
      <c r="C919" s="9">
        <f ca="1">LOOKUP(B919,geomorph!A:A,geomorph!B:B)</f>
        <v>1189.5</v>
      </c>
      <c r="D919">
        <f t="shared" si="132"/>
        <v>1.13E-4</v>
      </c>
      <c r="E919" s="9">
        <f ca="1">'[2]Q_GEV(random)'!$J919</f>
        <v>5428.9723037338626</v>
      </c>
      <c r="F919" s="26">
        <f ca="1">RANDBETWEEN(ranges!F$2*1000,ranges!F$3*1000)/1000</f>
        <v>9.2999999999999999E-2</v>
      </c>
      <c r="G919" s="3">
        <f t="shared" ca="1" si="133"/>
        <v>4.5640792801461645</v>
      </c>
      <c r="H919" s="4">
        <f t="shared" ca="1" si="134"/>
        <v>7.5887730666029869</v>
      </c>
      <c r="I919" s="4">
        <f t="shared" ca="1" si="135"/>
        <v>197.81278482184274</v>
      </c>
      <c r="J919" s="26">
        <f ca="1">RANDBETWEEN(ranges!J$2*1000,ranges!J$3*1000)/1000</f>
        <v>0.73</v>
      </c>
      <c r="K919" s="26">
        <f ca="1">RANDBETWEEN(ranges!K$2*1000,ranges!K$3*1000)/1000</f>
        <v>0.89500000000000002</v>
      </c>
      <c r="L919">
        <f t="shared" ca="1" si="136"/>
        <v>85.824928348260514</v>
      </c>
      <c r="M919">
        <f t="shared" ca="1" si="137"/>
        <v>11.536029006538914</v>
      </c>
      <c r="N919" s="4">
        <f t="shared" ca="1" si="138"/>
        <v>4.2904955868868777</v>
      </c>
      <c r="O919" s="4"/>
      <c r="P919" s="1">
        <f ca="1">LOOKUP(B919,geomorph!$A:$A,geomorph!$G:$G)</f>
        <v>105.008171</v>
      </c>
      <c r="Q919" s="1">
        <f t="shared" ca="1" si="139"/>
        <v>116.54420000653892</v>
      </c>
    </row>
    <row r="920" spans="2:17" x14ac:dyDescent="0.3">
      <c r="B920" s="6">
        <f ca="1">RANDBETWEEN(ranges!B$2,ranges!B$3)</f>
        <v>13785</v>
      </c>
      <c r="C920" s="9">
        <f ca="1">LOOKUP(B920,geomorph!A:A,geomorph!B:B)</f>
        <v>1273.3</v>
      </c>
      <c r="D920">
        <f t="shared" si="132"/>
        <v>1.13E-4</v>
      </c>
      <c r="E920" s="9">
        <f ca="1">'[2]Q_GEV(random)'!$J920</f>
        <v>5333.7366442250241</v>
      </c>
      <c r="F920" s="26">
        <f ca="1">RANDBETWEEN(ranges!F$2*1000,ranges!F$3*1000)/1000</f>
        <v>0.10299999999999999</v>
      </c>
      <c r="G920" s="3">
        <f t="shared" ca="1" si="133"/>
        <v>4.1889080689743379</v>
      </c>
      <c r="H920" s="4">
        <f t="shared" ca="1" si="134"/>
        <v>7.4151753322558305</v>
      </c>
      <c r="I920" s="4">
        <f t="shared" ca="1" si="135"/>
        <v>174.52319862652942</v>
      </c>
      <c r="J920" s="26">
        <f ca="1">RANDBETWEEN(ranges!J$2*1000,ranges!J$3*1000)/1000</f>
        <v>0.76100000000000001</v>
      </c>
      <c r="K920" s="26">
        <f ca="1">RANDBETWEEN(ranges!K$2*1000,ranges!K$3*1000)/1000</f>
        <v>0.83</v>
      </c>
      <c r="L920">
        <f t="shared" ca="1" si="136"/>
        <v>78.62972414076404</v>
      </c>
      <c r="M920">
        <f t="shared" ca="1" si="137"/>
        <v>11.313472735573137</v>
      </c>
      <c r="N920" s="4">
        <f t="shared" ca="1" si="138"/>
        <v>4.2372797862144642</v>
      </c>
      <c r="O920" s="4"/>
      <c r="P920" s="1">
        <f ca="1">LOOKUP(B920,geomorph!$A:$A,geomorph!$G:$G)</f>
        <v>104.968621</v>
      </c>
      <c r="Q920" s="1">
        <f t="shared" ca="1" si="139"/>
        <v>116.28209373557314</v>
      </c>
    </row>
    <row r="921" spans="2:17" x14ac:dyDescent="0.3">
      <c r="B921" s="6">
        <f ca="1">RANDBETWEEN(ranges!B$2,ranges!B$3)</f>
        <v>13696</v>
      </c>
      <c r="C921" s="9">
        <f ca="1">LOOKUP(B921,geomorph!A:A,geomorph!B:B)</f>
        <v>1250.5999999999999</v>
      </c>
      <c r="D921">
        <f t="shared" si="132"/>
        <v>1.13E-4</v>
      </c>
      <c r="E921" s="9">
        <f ca="1">'[2]Q_GEV(random)'!$J921</f>
        <v>5317.0703831895635</v>
      </c>
      <c r="F921" s="26">
        <f ca="1">RANDBETWEEN(ranges!F$2*1000,ranges!F$3*1000)/1000</f>
        <v>9.7000000000000003E-2</v>
      </c>
      <c r="G921" s="3">
        <f t="shared" ca="1" si="133"/>
        <v>4.251615531096725</v>
      </c>
      <c r="H921" s="4">
        <f t="shared" ca="1" si="134"/>
        <v>7.340658683733631</v>
      </c>
      <c r="I921" s="4">
        <f t="shared" ca="1" si="135"/>
        <v>179.45996655645746</v>
      </c>
      <c r="J921" s="26">
        <f ca="1">RANDBETWEEN(ranges!J$2*1000,ranges!J$3*1000)/1000</f>
        <v>0.60499999999999998</v>
      </c>
      <c r="K921" s="26">
        <f ca="1">RANDBETWEEN(ranges!K$2*1000,ranges!K$3*1000)/1000</f>
        <v>0.871</v>
      </c>
      <c r="L921">
        <f t="shared" ca="1" si="136"/>
        <v>84.300400777743278</v>
      </c>
      <c r="M921">
        <f t="shared" ca="1" si="137"/>
        <v>11.913147177028968</v>
      </c>
      <c r="N921" s="4">
        <f t="shared" ca="1" si="138"/>
        <v>4.9700961883644963</v>
      </c>
      <c r="O921" s="4"/>
      <c r="P921" s="1">
        <f ca="1">LOOKUP(B921,geomorph!$A:$A,geomorph!$G:$G)</f>
        <v>104.978791</v>
      </c>
      <c r="Q921" s="1">
        <f t="shared" ca="1" si="139"/>
        <v>116.89193817702898</v>
      </c>
    </row>
    <row r="922" spans="2:17" x14ac:dyDescent="0.3">
      <c r="B922" s="6">
        <f ca="1">RANDBETWEEN(ranges!B$2,ranges!B$3)</f>
        <v>12674</v>
      </c>
      <c r="C922" s="9">
        <f ca="1">LOOKUP(B922,geomorph!A:A,geomorph!B:B)</f>
        <v>1165.7</v>
      </c>
      <c r="D922">
        <f t="shared" si="132"/>
        <v>1.13E-4</v>
      </c>
      <c r="E922" s="9">
        <f ca="1">'[2]Q_GEV(random)'!$J922</f>
        <v>5272.5784411054265</v>
      </c>
      <c r="F922" s="26">
        <f ca="1">RANDBETWEEN(ranges!F$2*1000,ranges!F$3*1000)/1000</f>
        <v>0.09</v>
      </c>
      <c r="G922" s="3">
        <f t="shared" ca="1" si="133"/>
        <v>4.5231006614956044</v>
      </c>
      <c r="H922" s="4">
        <f t="shared" ca="1" si="134"/>
        <v>7.461282240145958</v>
      </c>
      <c r="I922" s="4">
        <f t="shared" ca="1" si="135"/>
        <v>200.64147992106564</v>
      </c>
      <c r="J922" s="26">
        <f ca="1">RANDBETWEEN(ranges!J$2*1000,ranges!J$3*1000)/1000</f>
        <v>0.60599999999999998</v>
      </c>
      <c r="K922" s="26">
        <f ca="1">RANDBETWEEN(ranges!K$2*1000,ranges!K$3*1000)/1000</f>
        <v>0.91400000000000003</v>
      </c>
      <c r="L922">
        <f t="shared" ca="1" si="136"/>
        <v>90.285749462965384</v>
      </c>
      <c r="M922">
        <f t="shared" ca="1" si="137"/>
        <v>11.892809090834598</v>
      </c>
      <c r="N922" s="4">
        <f t="shared" ca="1" si="138"/>
        <v>4.8168770116180868</v>
      </c>
      <c r="O922" s="4"/>
      <c r="P922" s="1">
        <f ca="1">LOOKUP(B922,geomorph!$A:$A,geomorph!$G:$G)</f>
        <v>105.09405100000001</v>
      </c>
      <c r="Q922" s="1">
        <f t="shared" ca="1" si="139"/>
        <v>116.98686009083461</v>
      </c>
    </row>
    <row r="923" spans="2:17" x14ac:dyDescent="0.3">
      <c r="B923" s="6">
        <f ca="1">RANDBETWEEN(ranges!B$2,ranges!B$3)</f>
        <v>12761</v>
      </c>
      <c r="C923" s="9">
        <f ca="1">LOOKUP(B923,geomorph!A:A,geomorph!B:B)</f>
        <v>1143</v>
      </c>
      <c r="D923">
        <f t="shared" si="132"/>
        <v>1.13E-4</v>
      </c>
      <c r="E923" s="9">
        <f ca="1">'[2]Q_GEV(random)'!$J923</f>
        <v>5271.6048965418358</v>
      </c>
      <c r="F923" s="26">
        <f ca="1">RANDBETWEEN(ranges!F$2*1000,ranges!F$3*1000)/1000</f>
        <v>0.10100000000000001</v>
      </c>
      <c r="G923" s="3">
        <f t="shared" ca="1" si="133"/>
        <v>4.6120777747522625</v>
      </c>
      <c r="H923" s="4">
        <f t="shared" ca="1" si="134"/>
        <v>7.8550086826949217</v>
      </c>
      <c r="I923" s="4">
        <f t="shared" ca="1" si="135"/>
        <v>207.30106570046317</v>
      </c>
      <c r="J923" s="26">
        <f ca="1">RANDBETWEEN(ranges!J$2*1000,ranges!J$3*1000)/1000</f>
        <v>0.66800000000000004</v>
      </c>
      <c r="K923" s="26">
        <f ca="1">RANDBETWEEN(ranges!K$2*1000,ranges!K$3*1000)/1000</f>
        <v>0.81299999999999994</v>
      </c>
      <c r="L923">
        <f t="shared" ca="1" si="136"/>
        <v>91.820403771668751</v>
      </c>
      <c r="M923">
        <f t="shared" ca="1" si="137"/>
        <v>11.859431530744963</v>
      </c>
      <c r="N923" s="4">
        <f t="shared" ca="1" si="138"/>
        <v>4.3526335304891752</v>
      </c>
      <c r="O923" s="4"/>
      <c r="P923" s="1">
        <f ca="1">LOOKUP(B923,geomorph!$A:$A,geomorph!$G:$G)</f>
        <v>105.08388100000001</v>
      </c>
      <c r="Q923" s="1">
        <f t="shared" ca="1" si="139"/>
        <v>116.94331253074498</v>
      </c>
    </row>
    <row r="924" spans="2:17" x14ac:dyDescent="0.3">
      <c r="B924" s="6">
        <f ca="1">RANDBETWEEN(ranges!B$2,ranges!B$3)</f>
        <v>12885</v>
      </c>
      <c r="C924" s="9">
        <f ca="1">LOOKUP(B924,geomorph!A:A,geomorph!B:B)</f>
        <v>1136</v>
      </c>
      <c r="D924">
        <f t="shared" si="132"/>
        <v>1.13E-4</v>
      </c>
      <c r="E924" s="9">
        <f ca="1">'[2]Q_GEV(random)'!$J924</f>
        <v>5271.0325690173067</v>
      </c>
      <c r="F924" s="26">
        <f ca="1">RANDBETWEEN(ranges!F$2*1000,ranges!F$3*1000)/1000</f>
        <v>9.0999999999999998E-2</v>
      </c>
      <c r="G924" s="3">
        <f t="shared" ca="1" si="133"/>
        <v>4.6399934586419951</v>
      </c>
      <c r="H924" s="4">
        <f t="shared" ca="1" si="134"/>
        <v>7.61729028434379</v>
      </c>
      <c r="I924" s="4">
        <f t="shared" ca="1" si="135"/>
        <v>209.41924895838588</v>
      </c>
      <c r="J924" s="26">
        <f ca="1">RANDBETWEEN(ranges!J$2*1000,ranges!J$3*1000)/1000</f>
        <v>0.71099999999999997</v>
      </c>
      <c r="K924" s="26">
        <f ca="1">RANDBETWEEN(ranges!K$2*1000,ranges!K$3*1000)/1000</f>
        <v>0.83199999999999996</v>
      </c>
      <c r="L924">
        <f t="shared" ca="1" si="136"/>
        <v>89.023941242169371</v>
      </c>
      <c r="M924">
        <f t="shared" ca="1" si="137"/>
        <v>11.427825289374796</v>
      </c>
      <c r="N924" s="4">
        <f t="shared" ca="1" si="138"/>
        <v>4.1418858750337026</v>
      </c>
      <c r="O924" s="4"/>
      <c r="P924" s="1">
        <f ca="1">LOOKUP(B924,geomorph!$A:$A,geomorph!$G:$G)</f>
        <v>105.07032100000001</v>
      </c>
      <c r="Q924" s="1">
        <f t="shared" ca="1" si="139"/>
        <v>116.4981462893748</v>
      </c>
    </row>
    <row r="925" spans="2:17" x14ac:dyDescent="0.3">
      <c r="B925" s="6">
        <f ca="1">RANDBETWEEN(ranges!B$2,ranges!B$3)</f>
        <v>13731</v>
      </c>
      <c r="C925" s="9">
        <f ca="1">LOOKUP(B925,geomorph!A:A,geomorph!B:B)</f>
        <v>1260.7</v>
      </c>
      <c r="D925">
        <f t="shared" si="132"/>
        <v>1.13E-4</v>
      </c>
      <c r="E925" s="9">
        <f ca="1">'[2]Q_GEV(random)'!$J925</f>
        <v>5261.6756022935133</v>
      </c>
      <c r="F925" s="26">
        <f ca="1">RANDBETWEEN(ranges!F$2*1000,ranges!F$3*1000)/1000</f>
        <v>9.8000000000000004E-2</v>
      </c>
      <c r="G925" s="3">
        <f t="shared" ca="1" si="133"/>
        <v>4.1736143430582322</v>
      </c>
      <c r="H925" s="4">
        <f t="shared" ca="1" si="134"/>
        <v>7.275430549443743</v>
      </c>
      <c r="I925" s="4">
        <f t="shared" ca="1" si="135"/>
        <v>175.8381644504681</v>
      </c>
      <c r="J925" s="26">
        <f ca="1">RANDBETWEEN(ranges!J$2*1000,ranges!J$3*1000)/1000</f>
        <v>0.69799999999999995</v>
      </c>
      <c r="K925" s="26">
        <f ca="1">RANDBETWEEN(ranges!K$2*1000,ranges!K$3*1000)/1000</f>
        <v>0.91600000000000004</v>
      </c>
      <c r="L925">
        <f t="shared" ca="1" si="136"/>
        <v>80.636995781504083</v>
      </c>
      <c r="M925">
        <f t="shared" ca="1" si="137"/>
        <v>11.487473845736869</v>
      </c>
      <c r="N925" s="4">
        <f t="shared" ca="1" si="138"/>
        <v>4.5783079307533976</v>
      </c>
      <c r="O925" s="4"/>
      <c r="P925" s="1">
        <f ca="1">LOOKUP(B925,geomorph!$A:$A,geomorph!$G:$G)</f>
        <v>104.974271</v>
      </c>
      <c r="Q925" s="1">
        <f t="shared" ca="1" si="139"/>
        <v>116.46174484573687</v>
      </c>
    </row>
    <row r="926" spans="2:17" x14ac:dyDescent="0.3">
      <c r="B926" s="6">
        <f ca="1">RANDBETWEEN(ranges!B$2,ranges!B$3)</f>
        <v>10604</v>
      </c>
      <c r="C926" s="9">
        <f ca="1">LOOKUP(B926,geomorph!A:A,geomorph!B:B)</f>
        <v>1740.5</v>
      </c>
      <c r="D926">
        <f t="shared" si="132"/>
        <v>1.13E-4</v>
      </c>
      <c r="E926" s="9">
        <f ca="1">'[2]Q_GEV(random)'!$J926</f>
        <v>5258.0540381259489</v>
      </c>
      <c r="F926" s="26">
        <f ca="1">RANDBETWEEN(ranges!F$2*1000,ranges!F$3*1000)/1000</f>
        <v>9.1999999999999998E-2</v>
      </c>
      <c r="G926" s="3">
        <f t="shared" ca="1" si="133"/>
        <v>3.0210020328215736</v>
      </c>
      <c r="H926" s="4">
        <f t="shared" ca="1" si="134"/>
        <v>5.7429947255254117</v>
      </c>
      <c r="I926" s="4">
        <f t="shared" ca="1" si="135"/>
        <v>102.67782667884046</v>
      </c>
      <c r="J926" s="26">
        <f ca="1">RANDBETWEEN(ranges!J$2*1000,ranges!J$3*1000)/1000</f>
        <v>0.68899999999999995</v>
      </c>
      <c r="K926" s="26">
        <f ca="1">RANDBETWEEN(ranges!K$2*1000,ranges!K$3*1000)/1000</f>
        <v>0.81599999999999995</v>
      </c>
      <c r="L926">
        <f t="shared" ca="1" si="136"/>
        <v>53.957748441281417</v>
      </c>
      <c r="M926">
        <f t="shared" ca="1" si="137"/>
        <v>10.612221111311685</v>
      </c>
      <c r="N926" s="4">
        <f t="shared" ca="1" si="138"/>
        <v>5.2926373758546452</v>
      </c>
      <c r="O926" s="4"/>
      <c r="P926" s="1">
        <f ca="1">LOOKUP(B926,geomorph!$A:$A,geomorph!$G:$G)</f>
        <v>105.327961</v>
      </c>
      <c r="Q926" s="1">
        <f t="shared" ca="1" si="139"/>
        <v>115.94018211131169</v>
      </c>
    </row>
    <row r="927" spans="2:17" x14ac:dyDescent="0.3">
      <c r="B927" s="6">
        <f ca="1">RANDBETWEEN(ranges!B$2,ranges!B$3)</f>
        <v>14726</v>
      </c>
      <c r="C927" s="9">
        <f ca="1">LOOKUP(B927,geomorph!A:A,geomorph!B:B)</f>
        <v>1466.2</v>
      </c>
      <c r="D927">
        <f t="shared" si="132"/>
        <v>1.13E-4</v>
      </c>
      <c r="E927" s="9">
        <f ca="1">'[2]Q_GEV(random)'!$J927</f>
        <v>5249.64404567981</v>
      </c>
      <c r="F927" s="26">
        <f ca="1">RANDBETWEEN(ranges!F$2*1000,ranges!F$3*1000)/1000</f>
        <v>0.11</v>
      </c>
      <c r="G927" s="3">
        <f t="shared" ca="1" si="133"/>
        <v>3.5804419899603124</v>
      </c>
      <c r="H927" s="4">
        <f t="shared" ca="1" si="134"/>
        <v>6.8264846732812599</v>
      </c>
      <c r="I927" s="4">
        <f t="shared" ca="1" si="135"/>
        <v>136.50479158460578</v>
      </c>
      <c r="J927" s="26">
        <f ca="1">RANDBETWEEN(ranges!J$2*1000,ranges!J$3*1000)/1000</f>
        <v>0.64100000000000001</v>
      </c>
      <c r="K927" s="26">
        <f ca="1">RANDBETWEEN(ranges!K$2*1000,ranges!K$3*1000)/1000</f>
        <v>1</v>
      </c>
      <c r="L927">
        <f t="shared" ca="1" si="136"/>
        <v>71.425563489127526</v>
      </c>
      <c r="M927">
        <f t="shared" ca="1" si="137"/>
        <v>11.833830214216743</v>
      </c>
      <c r="N927" s="4">
        <f t="shared" ca="1" si="138"/>
        <v>5.4427668923211767</v>
      </c>
      <c r="O927" s="4"/>
      <c r="P927" s="1">
        <f ca="1">LOOKUP(B927,geomorph!$A:$A,geomorph!$G:$G)</f>
        <v>104.86240100000001</v>
      </c>
      <c r="Q927" s="1">
        <f t="shared" ca="1" si="139"/>
        <v>116.69623121421675</v>
      </c>
    </row>
    <row r="928" spans="2:17" x14ac:dyDescent="0.3">
      <c r="B928" s="6">
        <f ca="1">RANDBETWEEN(ranges!B$2,ranges!B$3)</f>
        <v>11891</v>
      </c>
      <c r="C928" s="9">
        <f ca="1">LOOKUP(B928,geomorph!A:A,geomorph!B:B)</f>
        <v>1384.1</v>
      </c>
      <c r="D928">
        <f t="shared" si="132"/>
        <v>1.13E-4</v>
      </c>
      <c r="E928" s="9">
        <f ca="1">'[2]Q_GEV(random)'!$J928</f>
        <v>5205.2094800558052</v>
      </c>
      <c r="F928" s="26">
        <f ca="1">RANDBETWEEN(ranges!F$2*1000,ranges!F$3*1000)/1000</f>
        <v>9.0999999999999998E-2</v>
      </c>
      <c r="G928" s="3">
        <f t="shared" ca="1" si="133"/>
        <v>3.7607177805475076</v>
      </c>
      <c r="H928" s="4">
        <f t="shared" ca="1" si="134"/>
        <v>6.6216988127083187</v>
      </c>
      <c r="I928" s="4">
        <f t="shared" ca="1" si="135"/>
        <v>149.4157493491434</v>
      </c>
      <c r="J928" s="26">
        <f ca="1">RANDBETWEEN(ranges!J$2*1000,ranges!J$3*1000)/1000</f>
        <v>0.75900000000000001</v>
      </c>
      <c r="K928" s="26">
        <f ca="1">RANDBETWEEN(ranges!K$2*1000,ranges!K$3*1000)/1000</f>
        <v>0.86699999999999999</v>
      </c>
      <c r="L928">
        <f t="shared" ca="1" si="136"/>
        <v>68.262199549038584</v>
      </c>
      <c r="M928">
        <f t="shared" ca="1" si="137"/>
        <v>10.676433274728145</v>
      </c>
      <c r="N928" s="4">
        <f t="shared" ca="1" si="138"/>
        <v>4.4073200674128552</v>
      </c>
      <c r="O928" s="4"/>
      <c r="P928" s="1">
        <f ca="1">LOOKUP(B928,geomorph!$A:$A,geomorph!$G:$G)</f>
        <v>105.182191</v>
      </c>
      <c r="Q928" s="1">
        <f t="shared" ca="1" si="139"/>
        <v>115.85862427472814</v>
      </c>
    </row>
    <row r="929" spans="2:17" x14ac:dyDescent="0.3">
      <c r="B929" s="6">
        <f ca="1">RANDBETWEEN(ranges!B$2,ranges!B$3)</f>
        <v>12304</v>
      </c>
      <c r="C929" s="9">
        <f ca="1">LOOKUP(B929,geomorph!A:A,geomorph!B:B)</f>
        <v>1263.0999999999999</v>
      </c>
      <c r="D929">
        <f t="shared" si="132"/>
        <v>1.13E-4</v>
      </c>
      <c r="E929" s="9">
        <f ca="1">'[2]Q_GEV(random)'!$J929</f>
        <v>5178.9723844892724</v>
      </c>
      <c r="F929" s="26">
        <f ca="1">RANDBETWEEN(ranges!F$2*1000,ranges!F$3*1000)/1000</f>
        <v>9.7000000000000003E-2</v>
      </c>
      <c r="G929" s="3">
        <f t="shared" ca="1" si="133"/>
        <v>4.1002077305749927</v>
      </c>
      <c r="H929" s="4">
        <f t="shared" ca="1" si="134"/>
        <v>7.1653313990500305</v>
      </c>
      <c r="I929" s="4">
        <f t="shared" ca="1" si="135"/>
        <v>173.44010263865923</v>
      </c>
      <c r="J929" s="26">
        <f ca="1">RANDBETWEEN(ranges!J$2*1000,ranges!J$3*1000)/1000</f>
        <v>0.65100000000000002</v>
      </c>
      <c r="K929" s="26">
        <f ca="1">RANDBETWEEN(ranges!K$2*1000,ranges!K$3*1000)/1000</f>
        <v>0.83699999999999997</v>
      </c>
      <c r="L929">
        <f t="shared" ca="1" si="136"/>
        <v>80.266023552955573</v>
      </c>
      <c r="M929">
        <f t="shared" ca="1" si="137"/>
        <v>11.456393621520414</v>
      </c>
      <c r="N929" s="4">
        <f t="shared" ca="1" si="138"/>
        <v>4.6641980679025909</v>
      </c>
      <c r="O929" s="4"/>
      <c r="P929" s="1">
        <f ca="1">LOOKUP(B929,geomorph!$A:$A,geomorph!$G:$G)</f>
        <v>105.13586100000001</v>
      </c>
      <c r="Q929" s="1">
        <f t="shared" ca="1" si="139"/>
        <v>116.59225462152042</v>
      </c>
    </row>
    <row r="930" spans="2:17" x14ac:dyDescent="0.3">
      <c r="B930" s="6">
        <f ca="1">RANDBETWEEN(ranges!B$2,ranges!B$3)</f>
        <v>10052</v>
      </c>
      <c r="C930" s="9">
        <f ca="1">LOOKUP(B930,geomorph!A:A,geomorph!B:B)</f>
        <v>1635.5</v>
      </c>
      <c r="D930">
        <f t="shared" si="132"/>
        <v>1.13E-4</v>
      </c>
      <c r="E930" s="9">
        <f ca="1">'[2]Q_GEV(random)'!$J930</f>
        <v>5165.0160864661539</v>
      </c>
      <c r="F930" s="26">
        <f ca="1">RANDBETWEEN(ranges!F$2*1000,ranges!F$3*1000)/1000</f>
        <v>0.10299999999999999</v>
      </c>
      <c r="G930" s="3">
        <f t="shared" ca="1" si="133"/>
        <v>3.1580654762862452</v>
      </c>
      <c r="H930" s="4">
        <f t="shared" ca="1" si="134"/>
        <v>6.1423556384075129</v>
      </c>
      <c r="I930" s="4">
        <f t="shared" ca="1" si="135"/>
        <v>112.55036000200901</v>
      </c>
      <c r="J930" s="26">
        <f ca="1">RANDBETWEEN(ranges!J$2*1000,ranges!J$3*1000)/1000</f>
        <v>0.66500000000000004</v>
      </c>
      <c r="K930" s="26">
        <f ca="1">RANDBETWEEN(ranges!K$2*1000,ranges!K$3*1000)/1000</f>
        <v>0.86099999999999999</v>
      </c>
      <c r="L930">
        <f t="shared" ca="1" si="136"/>
        <v>59.86205835594513</v>
      </c>
      <c r="M930">
        <f t="shared" ca="1" si="137"/>
        <v>11.063196797849752</v>
      </c>
      <c r="N930" s="4">
        <f t="shared" ca="1" si="138"/>
        <v>5.3487403906980857</v>
      </c>
      <c r="O930" s="4"/>
      <c r="P930" s="1">
        <f ca="1">LOOKUP(B930,geomorph!$A:$A,geomorph!$G:$G)</f>
        <v>105.390111</v>
      </c>
      <c r="Q930" s="1">
        <f t="shared" ca="1" si="139"/>
        <v>116.45330779784976</v>
      </c>
    </row>
    <row r="931" spans="2:17" x14ac:dyDescent="0.3">
      <c r="B931" s="6">
        <f ca="1">RANDBETWEEN(ranges!B$2,ranges!B$3)</f>
        <v>12752</v>
      </c>
      <c r="C931" s="9">
        <f ca="1">LOOKUP(B931,geomorph!A:A,geomorph!B:B)</f>
        <v>1145.5</v>
      </c>
      <c r="D931">
        <f t="shared" si="132"/>
        <v>1.13E-4</v>
      </c>
      <c r="E931" s="9">
        <f ca="1">'[2]Q_GEV(random)'!$J931</f>
        <v>5148.3311177449714</v>
      </c>
      <c r="F931" s="26">
        <f ca="1">RANDBETWEEN(ranges!F$2*1000,ranges!F$3*1000)/1000</f>
        <v>9.8000000000000004E-2</v>
      </c>
      <c r="G931" s="3">
        <f t="shared" ca="1" si="133"/>
        <v>4.49439643626798</v>
      </c>
      <c r="H931" s="4">
        <f t="shared" ca="1" si="134"/>
        <v>7.6436021431019272</v>
      </c>
      <c r="I931" s="4">
        <f t="shared" ca="1" si="135"/>
        <v>203.31488494394679</v>
      </c>
      <c r="J931" s="26">
        <f ca="1">RANDBETWEEN(ranges!J$2*1000,ranges!J$3*1000)/1000</f>
        <v>0.60699999999999998</v>
      </c>
      <c r="K931" s="26">
        <f ca="1">RANDBETWEEN(ranges!K$2*1000,ranges!K$3*1000)/1000</f>
        <v>0.85799999999999998</v>
      </c>
      <c r="L931">
        <f t="shared" ca="1" si="136"/>
        <v>92.435586540260346</v>
      </c>
      <c r="M931">
        <f t="shared" ca="1" si="137"/>
        <v>11.965000975151108</v>
      </c>
      <c r="N931" s="4">
        <f t="shared" ca="1" si="138"/>
        <v>4.6971726435317178</v>
      </c>
      <c r="O931" s="4"/>
      <c r="P931" s="1">
        <f ca="1">LOOKUP(B931,geomorph!$A:$A,geomorph!$G:$G)</f>
        <v>105.08501100000001</v>
      </c>
      <c r="Q931" s="1">
        <f t="shared" ca="1" si="139"/>
        <v>117.05001197515112</v>
      </c>
    </row>
    <row r="932" spans="2:17" x14ac:dyDescent="0.3">
      <c r="B932" s="6">
        <f ca="1">RANDBETWEEN(ranges!B$2,ranges!B$3)</f>
        <v>11156</v>
      </c>
      <c r="C932" s="9">
        <f ca="1">LOOKUP(B932,geomorph!A:A,geomorph!B:B)</f>
        <v>1677.7</v>
      </c>
      <c r="D932">
        <f t="shared" si="132"/>
        <v>1.13E-4</v>
      </c>
      <c r="E932" s="9">
        <f ca="1">'[2]Q_GEV(random)'!$J932</f>
        <v>5093.1715053255739</v>
      </c>
      <c r="F932" s="26">
        <f ca="1">RANDBETWEEN(ranges!F$2*1000,ranges!F$3*1000)/1000</f>
        <v>0.11</v>
      </c>
      <c r="G932" s="3">
        <f t="shared" ca="1" si="133"/>
        <v>3.035805868346888</v>
      </c>
      <c r="H932" s="4">
        <f t="shared" ca="1" si="134"/>
        <v>6.1153599183502543</v>
      </c>
      <c r="I932" s="4">
        <f t="shared" ca="1" si="135"/>
        <v>106.86899119369141</v>
      </c>
      <c r="J932" s="26">
        <f ca="1">RANDBETWEEN(ranges!J$2*1000,ranges!J$3*1000)/1000</f>
        <v>0.628</v>
      </c>
      <c r="K932" s="26">
        <f ca="1">RANDBETWEEN(ranges!K$2*1000,ranges!K$3*1000)/1000</f>
        <v>0.88200000000000001</v>
      </c>
      <c r="L932">
        <f t="shared" ca="1" si="136"/>
        <v>59.999932158279357</v>
      </c>
      <c r="M932">
        <f t="shared" ca="1" si="137"/>
        <v>11.374793138559816</v>
      </c>
      <c r="N932" s="4">
        <f t="shared" ca="1" si="138"/>
        <v>5.7167752393582196</v>
      </c>
      <c r="O932" s="4"/>
      <c r="P932" s="1">
        <f ca="1">LOOKUP(B932,geomorph!$A:$A,geomorph!$G:$G)</f>
        <v>105.265811</v>
      </c>
      <c r="Q932" s="1">
        <f t="shared" ca="1" si="139"/>
        <v>116.64060413855981</v>
      </c>
    </row>
    <row r="933" spans="2:17" x14ac:dyDescent="0.3">
      <c r="B933" s="6">
        <f ca="1">RANDBETWEEN(ranges!B$2,ranges!B$3)</f>
        <v>14854</v>
      </c>
      <c r="C933" s="9">
        <f ca="1">LOOKUP(B933,geomorph!A:A,geomorph!B:B)</f>
        <v>1500.1</v>
      </c>
      <c r="D933">
        <f t="shared" si="132"/>
        <v>1.13E-4</v>
      </c>
      <c r="E933" s="9">
        <f ca="1">'[2]Q_GEV(random)'!$J933</f>
        <v>5067.833932619058</v>
      </c>
      <c r="F933" s="26">
        <f ca="1">RANDBETWEEN(ranges!F$2*1000,ranges!F$3*1000)/1000</f>
        <v>9.6000000000000002E-2</v>
      </c>
      <c r="G933" s="3">
        <f t="shared" ca="1" si="133"/>
        <v>3.3783307330305035</v>
      </c>
      <c r="H933" s="4">
        <f t="shared" ca="1" si="134"/>
        <v>6.2757694923315448</v>
      </c>
      <c r="I933" s="4">
        <f t="shared" ca="1" si="135"/>
        <v>128.35060355073188</v>
      </c>
      <c r="J933" s="26">
        <f ca="1">RANDBETWEEN(ranges!J$2*1000,ranges!J$3*1000)/1000</f>
        <v>0.63100000000000001</v>
      </c>
      <c r="K933" s="26">
        <f ca="1">RANDBETWEEN(ranges!K$2*1000,ranges!K$3*1000)/1000</f>
        <v>0.92200000000000004</v>
      </c>
      <c r="L933">
        <f t="shared" ca="1" si="136"/>
        <v>66.020903250869907</v>
      </c>
      <c r="M933">
        <f t="shared" ca="1" si="137"/>
        <v>11.191289137229182</v>
      </c>
      <c r="N933" s="4">
        <f t="shared" ca="1" si="138"/>
        <v>5.3429561357583015</v>
      </c>
      <c r="O933" s="4"/>
      <c r="P933" s="1">
        <f ca="1">LOOKUP(B933,geomorph!$A:$A,geomorph!$G:$G)</f>
        <v>104.847711</v>
      </c>
      <c r="Q933" s="1">
        <f t="shared" ca="1" si="139"/>
        <v>116.03900013722918</v>
      </c>
    </row>
    <row r="934" spans="2:17" x14ac:dyDescent="0.3">
      <c r="B934" s="6">
        <f ca="1">RANDBETWEEN(ranges!B$2,ranges!B$3)</f>
        <v>12882</v>
      </c>
      <c r="C934" s="9">
        <f ca="1">LOOKUP(B934,geomorph!A:A,geomorph!B:B)</f>
        <v>1136</v>
      </c>
      <c r="D934">
        <f t="shared" si="132"/>
        <v>1.13E-4</v>
      </c>
      <c r="E934" s="9">
        <f ca="1">'[2]Q_GEV(random)'!$J934</f>
        <v>5017.6763144084471</v>
      </c>
      <c r="F934" s="26">
        <f ca="1">RANDBETWEEN(ranges!F$2*1000,ranges!F$3*1000)/1000</f>
        <v>9.5000000000000001E-2</v>
      </c>
      <c r="G934" s="3">
        <f t="shared" ca="1" si="133"/>
        <v>4.4169685866271537</v>
      </c>
      <c r="H934" s="4">
        <f t="shared" ca="1" si="134"/>
        <v>7.4776627149183659</v>
      </c>
      <c r="I934" s="4">
        <f t="shared" ca="1" si="135"/>
        <v>202.65371020821971</v>
      </c>
      <c r="J934" s="26">
        <f ca="1">RANDBETWEEN(ranges!J$2*1000,ranges!J$3*1000)/1000</f>
        <v>0.69499999999999995</v>
      </c>
      <c r="K934" s="26">
        <f ca="1">RANDBETWEEN(ranges!K$2*1000,ranges!K$3*1000)/1000</f>
        <v>0.82</v>
      </c>
      <c r="L934">
        <f t="shared" ca="1" si="136"/>
        <v>88.098033924141092</v>
      </c>
      <c r="M934">
        <f t="shared" ca="1" si="137"/>
        <v>11.308968418774143</v>
      </c>
      <c r="N934" s="4">
        <f t="shared" ca="1" si="138"/>
        <v>4.1644627215823657</v>
      </c>
      <c r="O934" s="4"/>
      <c r="P934" s="1">
        <f ca="1">LOOKUP(B934,geomorph!$A:$A,geomorph!$G:$G)</f>
        <v>105.07032100000001</v>
      </c>
      <c r="Q934" s="1">
        <f t="shared" ca="1" si="139"/>
        <v>116.37928941877415</v>
      </c>
    </row>
    <row r="935" spans="2:17" x14ac:dyDescent="0.3">
      <c r="B935" s="6">
        <f ca="1">RANDBETWEEN(ranges!B$2,ranges!B$3)</f>
        <v>12842</v>
      </c>
      <c r="C935" s="9">
        <f ca="1">LOOKUP(B935,geomorph!A:A,geomorph!B:B)</f>
        <v>1133.5</v>
      </c>
      <c r="D935">
        <f t="shared" si="132"/>
        <v>1.13E-4</v>
      </c>
      <c r="E935" s="9">
        <f ca="1">'[2]Q_GEV(random)'!$J935</f>
        <v>5002.0272086145151</v>
      </c>
      <c r="F935" s="26">
        <f ca="1">RANDBETWEEN(ranges!F$2*1000,ranges!F$3*1000)/1000</f>
        <v>9.4E-2</v>
      </c>
      <c r="G935" s="3">
        <f t="shared" ca="1" si="133"/>
        <v>4.4129044628270977</v>
      </c>
      <c r="H935" s="4">
        <f t="shared" ca="1" si="134"/>
        <v>7.4467612700570962</v>
      </c>
      <c r="I935" s="4">
        <f t="shared" ca="1" si="135"/>
        <v>202.97607147766459</v>
      </c>
      <c r="J935" s="26">
        <f ca="1">RANDBETWEEN(ranges!J$2*1000,ranges!J$3*1000)/1000</f>
        <v>0.63800000000000001</v>
      </c>
      <c r="K935" s="26">
        <f ca="1">RANDBETWEEN(ranges!K$2*1000,ranges!K$3*1000)/1000</f>
        <v>0.93799999999999994</v>
      </c>
      <c r="L935">
        <f t="shared" ca="1" si="136"/>
        <v>91.128077371917982</v>
      </c>
      <c r="M935">
        <f t="shared" ca="1" si="137"/>
        <v>11.672185354220801</v>
      </c>
      <c r="N935" s="4">
        <f t="shared" ca="1" si="138"/>
        <v>4.5928522653953312</v>
      </c>
      <c r="O935" s="4"/>
      <c r="P935" s="1">
        <f ca="1">LOOKUP(B935,geomorph!$A:$A,geomorph!$G:$G)</f>
        <v>105.07484100000001</v>
      </c>
      <c r="Q935" s="1">
        <f t="shared" ca="1" si="139"/>
        <v>116.74702635422081</v>
      </c>
    </row>
    <row r="936" spans="2:17" x14ac:dyDescent="0.3">
      <c r="B936" s="6">
        <f ca="1">RANDBETWEEN(ranges!B$2,ranges!B$3)</f>
        <v>11508</v>
      </c>
      <c r="C936" s="9">
        <f ca="1">LOOKUP(B936,geomorph!A:A,geomorph!B:B)</f>
        <v>1489.9</v>
      </c>
      <c r="D936">
        <f t="shared" si="132"/>
        <v>1.13E-4</v>
      </c>
      <c r="E936" s="9">
        <f ca="1">'[2]Q_GEV(random)'!$J936</f>
        <v>4938.2687591486247</v>
      </c>
      <c r="F936" s="26">
        <f ca="1">RANDBETWEEN(ranges!F$2*1000,ranges!F$3*1000)/1000</f>
        <v>0.10199999999999999</v>
      </c>
      <c r="G936" s="3">
        <f t="shared" ca="1" si="133"/>
        <v>3.3144967844476976</v>
      </c>
      <c r="H936" s="4">
        <f t="shared" ca="1" si="134"/>
        <v>6.3229573913396688</v>
      </c>
      <c r="I936" s="4">
        <f t="shared" ca="1" si="135"/>
        <v>127.59626584868893</v>
      </c>
      <c r="J936" s="26">
        <f ca="1">RANDBETWEEN(ranges!J$2*1000,ranges!J$3*1000)/1000</f>
        <v>0.60099999999999998</v>
      </c>
      <c r="K936" s="26">
        <f ca="1">RANDBETWEEN(ranges!K$2*1000,ranges!K$3*1000)/1000</f>
        <v>0.90700000000000003</v>
      </c>
      <c r="L936">
        <f t="shared" ca="1" si="136"/>
        <v>67.589572222492478</v>
      </c>
      <c r="M936">
        <f t="shared" ca="1" si="137"/>
        <v>11.379292512934944</v>
      </c>
      <c r="N936" s="4">
        <f t="shared" ca="1" si="138"/>
        <v>5.4960164365166033</v>
      </c>
      <c r="O936" s="4"/>
      <c r="P936" s="1">
        <f ca="1">LOOKUP(B936,geomorph!$A:$A,geomorph!$G:$G)</f>
        <v>105.22626100000001</v>
      </c>
      <c r="Q936" s="1">
        <f t="shared" ca="1" si="139"/>
        <v>116.60555351293495</v>
      </c>
    </row>
    <row r="937" spans="2:17" x14ac:dyDescent="0.3">
      <c r="B937" s="6">
        <f ca="1">RANDBETWEEN(ranges!B$2,ranges!B$3)</f>
        <v>12399</v>
      </c>
      <c r="C937" s="9">
        <f ca="1">LOOKUP(B937,geomorph!A:A,geomorph!B:B)</f>
        <v>1238.8</v>
      </c>
      <c r="D937">
        <f t="shared" si="132"/>
        <v>1.13E-4</v>
      </c>
      <c r="E937" s="9">
        <f ca="1">'[2]Q_GEV(random)'!$J937</f>
        <v>4920.548700359328</v>
      </c>
      <c r="F937" s="26">
        <f ca="1">RANDBETWEEN(ranges!F$2*1000,ranges!F$3*1000)/1000</f>
        <v>9.0999999999999998E-2</v>
      </c>
      <c r="G937" s="3">
        <f t="shared" ca="1" si="133"/>
        <v>3.9720283341615499</v>
      </c>
      <c r="H937" s="4">
        <f t="shared" ca="1" si="134"/>
        <v>6.8674760360358125</v>
      </c>
      <c r="I937" s="4">
        <f t="shared" ca="1" si="135"/>
        <v>173.13719562807128</v>
      </c>
      <c r="J937" s="26">
        <f ca="1">RANDBETWEEN(ranges!J$2*1000,ranges!J$3*1000)/1000</f>
        <v>0.61</v>
      </c>
      <c r="K937" s="26">
        <f ca="1">RANDBETWEEN(ranges!K$2*1000,ranges!K$3*1000)/1000</f>
        <v>0.95899999999999996</v>
      </c>
      <c r="L937">
        <f t="shared" ca="1" si="136"/>
        <v>81.599242222188963</v>
      </c>
      <c r="M937">
        <f t="shared" ca="1" si="137"/>
        <v>11.422620962927788</v>
      </c>
      <c r="N937" s="4">
        <f t="shared" ca="1" si="138"/>
        <v>4.9512444857521469</v>
      </c>
      <c r="O937" s="4"/>
      <c r="P937" s="1">
        <f ca="1">LOOKUP(B937,geomorph!$A:$A,geomorph!$G:$G)</f>
        <v>105.125691</v>
      </c>
      <c r="Q937" s="1">
        <f t="shared" ca="1" si="139"/>
        <v>116.54831196292778</v>
      </c>
    </row>
    <row r="938" spans="2:17" x14ac:dyDescent="0.3">
      <c r="B938" s="6">
        <f ca="1">RANDBETWEEN(ranges!B$2,ranges!B$3)</f>
        <v>10180</v>
      </c>
      <c r="C938" s="9">
        <f ca="1">LOOKUP(B938,geomorph!A:A,geomorph!B:B)</f>
        <v>1590.2</v>
      </c>
      <c r="D938">
        <f t="shared" si="132"/>
        <v>1.13E-4</v>
      </c>
      <c r="E938" s="9">
        <f ca="1">'[2]Q_GEV(random)'!$J938</f>
        <v>4914.33911244098</v>
      </c>
      <c r="F938" s="26">
        <f ca="1">RANDBETWEEN(ranges!F$2*1000,ranges!F$3*1000)/1000</f>
        <v>9.9000000000000005E-2</v>
      </c>
      <c r="G938" s="3">
        <f t="shared" ca="1" si="133"/>
        <v>3.0903905876248143</v>
      </c>
      <c r="H938" s="4">
        <f t="shared" ca="1" si="134"/>
        <v>5.9748789333636205</v>
      </c>
      <c r="I938" s="4">
        <f t="shared" ca="1" si="135"/>
        <v>114.09690119859087</v>
      </c>
      <c r="J938" s="26">
        <f ca="1">RANDBETWEEN(ranges!J$2*1000,ranges!J$3*1000)/1000</f>
        <v>0.65</v>
      </c>
      <c r="K938" s="26">
        <f ca="1">RANDBETWEEN(ranges!K$2*1000,ranges!K$3*1000)/1000</f>
        <v>0.98</v>
      </c>
      <c r="L938">
        <f t="shared" ca="1" si="136"/>
        <v>61.273600093854455</v>
      </c>
      <c r="M938">
        <f t="shared" ca="1" si="137"/>
        <v>11.010412512224951</v>
      </c>
      <c r="N938" s="4">
        <f t="shared" ca="1" si="138"/>
        <v>5.4734060639797066</v>
      </c>
      <c r="O938" s="4"/>
      <c r="P938" s="1">
        <f ca="1">LOOKUP(B938,geomorph!$A:$A,geomorph!$G:$G)</f>
        <v>105.375421</v>
      </c>
      <c r="Q938" s="1">
        <f t="shared" ca="1" si="139"/>
        <v>116.38583351222495</v>
      </c>
    </row>
    <row r="939" spans="2:17" x14ac:dyDescent="0.3">
      <c r="B939" s="6">
        <f ca="1">RANDBETWEEN(ranges!B$2,ranges!B$3)</f>
        <v>14604</v>
      </c>
      <c r="C939" s="9">
        <f ca="1">LOOKUP(B939,geomorph!A:A,geomorph!B:B)</f>
        <v>1427.1</v>
      </c>
      <c r="D939">
        <f t="shared" si="132"/>
        <v>1.13E-4</v>
      </c>
      <c r="E939" s="9">
        <f ca="1">'[2]Q_GEV(random)'!$J939</f>
        <v>4895.4306587834235</v>
      </c>
      <c r="F939" s="26">
        <f ca="1">RANDBETWEEN(ranges!F$2*1000,ranges!F$3*1000)/1000</f>
        <v>0.10199999999999999</v>
      </c>
      <c r="G939" s="3">
        <f t="shared" ca="1" si="133"/>
        <v>3.430334705895469</v>
      </c>
      <c r="H939" s="4">
        <f t="shared" ca="1" si="134"/>
        <v>6.4694324918182504</v>
      </c>
      <c r="I939" s="4">
        <f t="shared" ca="1" si="135"/>
        <v>136.29709796730469</v>
      </c>
      <c r="J939" s="26">
        <f ca="1">RANDBETWEEN(ranges!J$2*1000,ranges!J$3*1000)/1000</f>
        <v>0.64700000000000002</v>
      </c>
      <c r="K939" s="26">
        <f ca="1">RANDBETWEEN(ranges!K$2*1000,ranges!K$3*1000)/1000</f>
        <v>0.91100000000000003</v>
      </c>
      <c r="L939">
        <f t="shared" ca="1" si="136"/>
        <v>69.133999093857994</v>
      </c>
      <c r="M939">
        <f t="shared" ca="1" si="137"/>
        <v>11.148707702073455</v>
      </c>
      <c r="N939" s="4">
        <f t="shared" ca="1" si="138"/>
        <v>5.0861687067991355</v>
      </c>
      <c r="O939" s="4"/>
      <c r="P939" s="1">
        <f ca="1">LOOKUP(B939,geomorph!$A:$A,geomorph!$G:$G)</f>
        <v>104.875961</v>
      </c>
      <c r="Q939" s="1">
        <f t="shared" ca="1" si="139"/>
        <v>116.02466870207346</v>
      </c>
    </row>
    <row r="940" spans="2:17" x14ac:dyDescent="0.3">
      <c r="B940" s="6">
        <f ca="1">RANDBETWEEN(ranges!B$2,ranges!B$3)</f>
        <v>12391</v>
      </c>
      <c r="C940" s="9">
        <f ca="1">LOOKUP(B940,geomorph!A:A,geomorph!B:B)</f>
        <v>1238.8</v>
      </c>
      <c r="D940">
        <f t="shared" si="132"/>
        <v>1.13E-4</v>
      </c>
      <c r="E940" s="9">
        <f ca="1">'[2]Q_GEV(random)'!$J940</f>
        <v>4895.2155765688794</v>
      </c>
      <c r="F940" s="26">
        <f ca="1">RANDBETWEEN(ranges!F$2*1000,ranges!F$3*1000)/1000</f>
        <v>0.09</v>
      </c>
      <c r="G940" s="3">
        <f t="shared" ca="1" si="133"/>
        <v>3.9515786055609294</v>
      </c>
      <c r="H940" s="4">
        <f t="shared" ca="1" si="134"/>
        <v>6.8187230282105409</v>
      </c>
      <c r="I940" s="4">
        <f t="shared" ca="1" si="135"/>
        <v>172.54242750884467</v>
      </c>
      <c r="J940" s="26">
        <f ca="1">RANDBETWEEN(ranges!J$2*1000,ranges!J$3*1000)/1000</f>
        <v>0.64900000000000002</v>
      </c>
      <c r="K940" s="26">
        <f ca="1">RANDBETWEEN(ranges!K$2*1000,ranges!K$3*1000)/1000</f>
        <v>0.95</v>
      </c>
      <c r="L940">
        <f t="shared" ca="1" si="136"/>
        <v>79.712434616627405</v>
      </c>
      <c r="M940">
        <f t="shared" ca="1" si="137"/>
        <v>11.158497332347817</v>
      </c>
      <c r="N940" s="4">
        <f t="shared" ca="1" si="138"/>
        <v>4.7171459827579092</v>
      </c>
      <c r="O940" s="4"/>
      <c r="P940" s="1">
        <f ca="1">LOOKUP(B940,geomorph!$A:$A,geomorph!$G:$G)</f>
        <v>105.125691</v>
      </c>
      <c r="Q940" s="1">
        <f t="shared" ca="1" si="139"/>
        <v>116.28418833234782</v>
      </c>
    </row>
    <row r="941" spans="2:17" x14ac:dyDescent="0.3">
      <c r="B941" s="6">
        <f ca="1">RANDBETWEEN(ranges!B$2,ranges!B$3)</f>
        <v>10392</v>
      </c>
      <c r="C941" s="9">
        <f ca="1">LOOKUP(B941,geomorph!A:A,geomorph!B:B)</f>
        <v>1726.3</v>
      </c>
      <c r="D941">
        <f t="shared" si="132"/>
        <v>1.13E-4</v>
      </c>
      <c r="E941" s="9">
        <f ca="1">'[2]Q_GEV(random)'!$J941</f>
        <v>4883.6055378450255</v>
      </c>
      <c r="F941" s="26">
        <f ca="1">RANDBETWEEN(ranges!F$2*1000,ranges!F$3*1000)/1000</f>
        <v>9.2999999999999999E-2</v>
      </c>
      <c r="G941" s="3">
        <f t="shared" ca="1" si="133"/>
        <v>2.828943716529587</v>
      </c>
      <c r="H941" s="4">
        <f t="shared" ca="1" si="134"/>
        <v>5.5167798152244201</v>
      </c>
      <c r="I941" s="4">
        <f t="shared" ca="1" si="135"/>
        <v>99.086985853434513</v>
      </c>
      <c r="J941" s="26">
        <f ca="1">RANDBETWEEN(ranges!J$2*1000,ranges!J$3*1000)/1000</f>
        <v>0.625</v>
      </c>
      <c r="K941" s="26">
        <f ca="1">RANDBETWEEN(ranges!K$2*1000,ranges!K$3*1000)/1000</f>
        <v>0.98299999999999998</v>
      </c>
      <c r="L941">
        <f t="shared" ca="1" si="136"/>
        <v>55.960369508403645</v>
      </c>
      <c r="M941">
        <f t="shared" ca="1" si="137"/>
        <v>10.916295604706365</v>
      </c>
      <c r="N941" s="4">
        <f t="shared" ca="1" si="138"/>
        <v>5.8690389016108089</v>
      </c>
      <c r="O941" s="4"/>
      <c r="P941" s="1">
        <f ca="1">LOOKUP(B941,geomorph!$A:$A,geomorph!$G:$G)</f>
        <v>105.351691</v>
      </c>
      <c r="Q941" s="1">
        <f t="shared" ca="1" si="139"/>
        <v>116.26798660470637</v>
      </c>
    </row>
    <row r="942" spans="2:17" x14ac:dyDescent="0.3">
      <c r="B942" s="6">
        <f ca="1">RANDBETWEEN(ranges!B$2,ranges!B$3)</f>
        <v>12467</v>
      </c>
      <c r="C942" s="9">
        <f ca="1">LOOKUP(B942,geomorph!A:A,geomorph!B:B)</f>
        <v>1220.2</v>
      </c>
      <c r="D942">
        <f t="shared" si="132"/>
        <v>1.13E-4</v>
      </c>
      <c r="E942" s="9">
        <f ca="1">'[2]Q_GEV(random)'!$J942</f>
        <v>4828.3589706476832</v>
      </c>
      <c r="F942" s="26">
        <f ca="1">RANDBETWEEN(ranges!F$2*1000,ranges!F$3*1000)/1000</f>
        <v>0.10100000000000001</v>
      </c>
      <c r="G942" s="3">
        <f t="shared" ca="1" si="133"/>
        <v>3.9570225951874143</v>
      </c>
      <c r="H942" s="4">
        <f t="shared" ca="1" si="134"/>
        <v>7.0924226487064743</v>
      </c>
      <c r="I942" s="4">
        <f t="shared" ca="1" si="135"/>
        <v>175.33341149531824</v>
      </c>
      <c r="J942" s="26">
        <f ca="1">RANDBETWEEN(ranges!J$2*1000,ranges!J$3*1000)/1000</f>
        <v>0.66700000000000004</v>
      </c>
      <c r="K942" s="26">
        <f ca="1">RANDBETWEEN(ranges!K$2*1000,ranges!K$3*1000)/1000</f>
        <v>0.85599999999999998</v>
      </c>
      <c r="L942">
        <f t="shared" ca="1" si="136"/>
        <v>81.4027127934514</v>
      </c>
      <c r="M942">
        <f t="shared" ca="1" si="137"/>
        <v>11.224017687014342</v>
      </c>
      <c r="N942" s="4">
        <f t="shared" ca="1" si="138"/>
        <v>4.4908641720737696</v>
      </c>
      <c r="O942" s="4"/>
      <c r="P942" s="1">
        <f ca="1">LOOKUP(B942,geomorph!$A:$A,geomorph!$G:$G)</f>
        <v>105.11778100000001</v>
      </c>
      <c r="Q942" s="1">
        <f t="shared" ca="1" si="139"/>
        <v>116.34179868701435</v>
      </c>
    </row>
    <row r="943" spans="2:17" x14ac:dyDescent="0.3">
      <c r="B943" s="6">
        <f ca="1">RANDBETWEEN(ranges!B$2,ranges!B$3)</f>
        <v>14868</v>
      </c>
      <c r="C943" s="9">
        <f ca="1">LOOKUP(B943,geomorph!A:A,geomorph!B:B)</f>
        <v>1501.6</v>
      </c>
      <c r="D943">
        <f t="shared" si="132"/>
        <v>1.13E-4</v>
      </c>
      <c r="E943" s="9">
        <f ca="1">'[2]Q_GEV(random)'!$J943</f>
        <v>4823.1436311542784</v>
      </c>
      <c r="F943" s="26">
        <f ca="1">RANDBETWEEN(ranges!F$2*1000,ranges!F$3*1000)/1000</f>
        <v>0.09</v>
      </c>
      <c r="G943" s="3">
        <f t="shared" ca="1" si="133"/>
        <v>3.2120029509551671</v>
      </c>
      <c r="H943" s="4">
        <f t="shared" ca="1" si="134"/>
        <v>5.9389078978974776</v>
      </c>
      <c r="I943" s="4">
        <f t="shared" ca="1" si="135"/>
        <v>123.97850099101851</v>
      </c>
      <c r="J943" s="26">
        <f ca="1">RANDBETWEEN(ranges!J$2*1000,ranges!J$3*1000)/1000</f>
        <v>0.66500000000000004</v>
      </c>
      <c r="K943" s="26">
        <f ca="1">RANDBETWEEN(ranges!K$2*1000,ranges!K$3*1000)/1000</f>
        <v>0.97499999999999998</v>
      </c>
      <c r="L943">
        <f t="shared" ca="1" si="136"/>
        <v>62.911243460181275</v>
      </c>
      <c r="M943">
        <f t="shared" ca="1" si="137"/>
        <v>10.674830119318326</v>
      </c>
      <c r="N943" s="4">
        <f t="shared" ca="1" si="138"/>
        <v>5.1477415450226607</v>
      </c>
      <c r="O943" s="4"/>
      <c r="P943" s="1">
        <f ca="1">LOOKUP(B943,geomorph!$A:$A,geomorph!$G:$G)</f>
        <v>104.846581</v>
      </c>
      <c r="Q943" s="1">
        <f t="shared" ca="1" si="139"/>
        <v>115.52141111931833</v>
      </c>
    </row>
    <row r="944" spans="2:17" x14ac:dyDescent="0.3">
      <c r="B944" s="6">
        <f ca="1">RANDBETWEEN(ranges!B$2,ranges!B$3)</f>
        <v>13473</v>
      </c>
      <c r="C944" s="9">
        <f ca="1">LOOKUP(B944,geomorph!A:A,geomorph!B:B)</f>
        <v>1193.5999999999999</v>
      </c>
      <c r="D944">
        <f t="shared" si="132"/>
        <v>1.13E-4</v>
      </c>
      <c r="E944" s="9">
        <f ca="1">'[2]Q_GEV(random)'!$J944</f>
        <v>4786.9647630618983</v>
      </c>
      <c r="F944" s="26">
        <f ca="1">RANDBETWEEN(ranges!F$2*1000,ranges!F$3*1000)/1000</f>
        <v>0.105</v>
      </c>
      <c r="G944" s="3">
        <f t="shared" ca="1" si="133"/>
        <v>4.0105267787046737</v>
      </c>
      <c r="H944" s="4">
        <f t="shared" ca="1" si="134"/>
        <v>7.2494630950312242</v>
      </c>
      <c r="I944" s="4">
        <f t="shared" ca="1" si="135"/>
        <v>180.85290417031806</v>
      </c>
      <c r="J944" s="26">
        <f ca="1">RANDBETWEEN(ranges!J$2*1000,ranges!J$3*1000)/1000</f>
        <v>0.70599999999999996</v>
      </c>
      <c r="K944" s="26">
        <f ca="1">RANDBETWEEN(ranges!K$2*1000,ranges!K$3*1000)/1000</f>
        <v>0.81100000000000005</v>
      </c>
      <c r="L944">
        <f t="shared" ca="1" si="136"/>
        <v>82.458319750921063</v>
      </c>
      <c r="M944">
        <f t="shared" ca="1" si="137"/>
        <v>11.121714301381029</v>
      </c>
      <c r="N944" s="4">
        <f t="shared" ca="1" si="138"/>
        <v>4.2089687025541362</v>
      </c>
      <c r="O944" s="4"/>
      <c r="P944" s="1">
        <f ca="1">LOOKUP(B944,geomorph!$A:$A,geomorph!$G:$G)</f>
        <v>105.003651</v>
      </c>
      <c r="Q944" s="1">
        <f t="shared" ca="1" si="139"/>
        <v>116.12536530138104</v>
      </c>
    </row>
    <row r="945" spans="2:17" x14ac:dyDescent="0.3">
      <c r="B945" s="6">
        <f ca="1">RANDBETWEEN(ranges!B$2,ranges!B$3)</f>
        <v>13483</v>
      </c>
      <c r="C945" s="9">
        <f ca="1">LOOKUP(B945,geomorph!A:A,geomorph!B:B)</f>
        <v>1197.4000000000001</v>
      </c>
      <c r="D945">
        <f t="shared" si="132"/>
        <v>1.13E-4</v>
      </c>
      <c r="E945" s="9">
        <f ca="1">'[2]Q_GEV(random)'!$J945</f>
        <v>4771.9775211609358</v>
      </c>
      <c r="F945" s="26">
        <f ca="1">RANDBETWEEN(ranges!F$2*1000,ranges!F$3*1000)/1000</f>
        <v>9.7000000000000003E-2</v>
      </c>
      <c r="G945" s="3">
        <f t="shared" ca="1" si="133"/>
        <v>3.9852827135133917</v>
      </c>
      <c r="H945" s="4">
        <f t="shared" ca="1" si="134"/>
        <v>7.0308062749088736</v>
      </c>
      <c r="I945" s="4">
        <f t="shared" ca="1" si="135"/>
        <v>179.52165915616891</v>
      </c>
      <c r="J945" s="26">
        <f ca="1">RANDBETWEEN(ranges!J$2*1000,ranges!J$3*1000)/1000</f>
        <v>0.73799999999999999</v>
      </c>
      <c r="K945" s="26">
        <f ca="1">RANDBETWEEN(ranges!K$2*1000,ranges!K$3*1000)/1000</f>
        <v>0.82199999999999995</v>
      </c>
      <c r="L945">
        <f t="shared" ca="1" si="136"/>
        <v>79.62727031273397</v>
      </c>
      <c r="M945">
        <f t="shared" ca="1" si="137"/>
        <v>10.774063362388846</v>
      </c>
      <c r="N945" s="4">
        <f t="shared" ca="1" si="138"/>
        <v>4.0687577037825786</v>
      </c>
      <c r="O945" s="4"/>
      <c r="P945" s="1">
        <f ca="1">LOOKUP(B945,geomorph!$A:$A,geomorph!$G:$G)</f>
        <v>105.002521</v>
      </c>
      <c r="Q945" s="1">
        <f t="shared" ca="1" si="139"/>
        <v>115.77658436238885</v>
      </c>
    </row>
    <row r="946" spans="2:17" x14ac:dyDescent="0.3">
      <c r="B946" s="6">
        <f ca="1">RANDBETWEEN(ranges!B$2,ranges!B$3)</f>
        <v>12029</v>
      </c>
      <c r="C946" s="9">
        <f ca="1">LOOKUP(B946,geomorph!A:A,geomorph!B:B)</f>
        <v>1344.1</v>
      </c>
      <c r="D946">
        <f t="shared" si="132"/>
        <v>1.13E-4</v>
      </c>
      <c r="E946" s="9">
        <f ca="1">'[2]Q_GEV(random)'!$J946</f>
        <v>4747.3032787089651</v>
      </c>
      <c r="F946" s="26">
        <f ca="1">RANDBETWEEN(ranges!F$2*1000,ranges!F$3*1000)/1000</f>
        <v>9.9000000000000005E-2</v>
      </c>
      <c r="G946" s="3">
        <f t="shared" ca="1" si="133"/>
        <v>3.5319569070076375</v>
      </c>
      <c r="H946" s="4">
        <f t="shared" ca="1" si="134"/>
        <v>6.5312622988902342</v>
      </c>
      <c r="I946" s="4">
        <f t="shared" ca="1" si="135"/>
        <v>147.55775302494905</v>
      </c>
      <c r="J946" s="26">
        <f ca="1">RANDBETWEEN(ranges!J$2*1000,ranges!J$3*1000)/1000</f>
        <v>0.61299999999999999</v>
      </c>
      <c r="K946" s="26">
        <f ca="1">RANDBETWEEN(ranges!K$2*1000,ranges!K$3*1000)/1000</f>
        <v>0.93100000000000005</v>
      </c>
      <c r="L946">
        <f t="shared" ca="1" si="136"/>
        <v>73.949184510907216</v>
      </c>
      <c r="M946">
        <f t="shared" ca="1" si="137"/>
        <v>11.231646175825473</v>
      </c>
      <c r="N946" s="4">
        <f t="shared" ca="1" si="138"/>
        <v>5.1091129097122154</v>
      </c>
      <c r="O946" s="4"/>
      <c r="P946" s="1">
        <f ca="1">LOOKUP(B946,geomorph!$A:$A,geomorph!$G:$G)</f>
        <v>105.167501</v>
      </c>
      <c r="Q946" s="1">
        <f t="shared" ca="1" si="139"/>
        <v>116.39914717582548</v>
      </c>
    </row>
    <row r="947" spans="2:17" x14ac:dyDescent="0.3">
      <c r="B947" s="6">
        <f ca="1">RANDBETWEEN(ranges!B$2,ranges!B$3)</f>
        <v>10789</v>
      </c>
      <c r="C947" s="9">
        <f ca="1">LOOKUP(B947,geomorph!A:A,geomorph!B:B)</f>
        <v>1676.5</v>
      </c>
      <c r="D947">
        <f t="shared" si="132"/>
        <v>1.13E-4</v>
      </c>
      <c r="E947" s="9">
        <f ca="1">'[2]Q_GEV(random)'!$J947</f>
        <v>4744.4463843704998</v>
      </c>
      <c r="F947" s="26">
        <f ca="1">RANDBETWEEN(ranges!F$2*1000,ranges!F$3*1000)/1000</f>
        <v>0.105</v>
      </c>
      <c r="G947" s="3">
        <f t="shared" ca="1" si="133"/>
        <v>2.829971001712198</v>
      </c>
      <c r="H947" s="4">
        <f t="shared" ca="1" si="134"/>
        <v>5.7459197115911493</v>
      </c>
      <c r="I947" s="4">
        <f t="shared" ca="1" si="135"/>
        <v>102.05503815688725</v>
      </c>
      <c r="J947" s="26">
        <f ca="1">RANDBETWEEN(ranges!J$2*1000,ranges!J$3*1000)/1000</f>
        <v>0.73699999999999999</v>
      </c>
      <c r="K947" s="26">
        <f ca="1">RANDBETWEEN(ranges!K$2*1000,ranges!K$3*1000)/1000</f>
        <v>0.98499999999999999</v>
      </c>
      <c r="L947">
        <f t="shared" ca="1" si="136"/>
        <v>55.306641346711871</v>
      </c>
      <c r="M947">
        <f t="shared" ca="1" si="137"/>
        <v>10.477539016607157</v>
      </c>
      <c r="N947" s="4">
        <f t="shared" ca="1" si="138"/>
        <v>5.1430644619739212</v>
      </c>
      <c r="O947" s="4"/>
      <c r="P947" s="1">
        <f ca="1">LOOKUP(B947,geomorph!$A:$A,geomorph!$G:$G)</f>
        <v>105.307621</v>
      </c>
      <c r="Q947" s="1">
        <f t="shared" ca="1" si="139"/>
        <v>115.78516001660715</v>
      </c>
    </row>
    <row r="948" spans="2:17" x14ac:dyDescent="0.3">
      <c r="B948" s="6">
        <f ca="1">RANDBETWEEN(ranges!B$2,ranges!B$3)</f>
        <v>11139</v>
      </c>
      <c r="C948" s="9">
        <f ca="1">LOOKUP(B948,geomorph!A:A,geomorph!B:B)</f>
        <v>1680.6</v>
      </c>
      <c r="D948">
        <f t="shared" si="132"/>
        <v>1.13E-4</v>
      </c>
      <c r="E948" s="9">
        <f ca="1">'[2]Q_GEV(random)'!$J948</f>
        <v>4740.8216181801799</v>
      </c>
      <c r="F948" s="26">
        <f ca="1">RANDBETWEEN(ranges!F$2*1000,ranges!F$3*1000)/1000</f>
        <v>0.09</v>
      </c>
      <c r="G948" s="3">
        <f t="shared" ca="1" si="133"/>
        <v>2.8209101619541714</v>
      </c>
      <c r="H948" s="4">
        <f t="shared" ca="1" si="134"/>
        <v>5.4464744416946687</v>
      </c>
      <c r="I948" s="4">
        <f t="shared" ca="1" si="135"/>
        <v>101.58864349438545</v>
      </c>
      <c r="J948" s="26">
        <f ca="1">RANDBETWEEN(ranges!J$2*1000,ranges!J$3*1000)/1000</f>
        <v>0.60499999999999998</v>
      </c>
      <c r="K948" s="26">
        <f ca="1">RANDBETWEEN(ranges!K$2*1000,ranges!K$3*1000)/1000</f>
        <v>0.98799999999999999</v>
      </c>
      <c r="L948">
        <f t="shared" ca="1" si="136"/>
        <v>57.178070773365356</v>
      </c>
      <c r="M948">
        <f t="shared" ca="1" si="137"/>
        <v>10.858561628814112</v>
      </c>
      <c r="N948" s="4">
        <f t="shared" ca="1" si="138"/>
        <v>5.8827034642602642</v>
      </c>
      <c r="O948" s="4"/>
      <c r="P948" s="1">
        <f ca="1">LOOKUP(B948,geomorph!$A:$A,geomorph!$G:$G)</f>
        <v>105.26807100000001</v>
      </c>
      <c r="Q948" s="1">
        <f t="shared" ca="1" si="139"/>
        <v>116.12663262881412</v>
      </c>
    </row>
    <row r="949" spans="2:17" x14ac:dyDescent="0.3">
      <c r="B949" s="6">
        <f ca="1">RANDBETWEEN(ranges!B$2,ranges!B$3)</f>
        <v>12121</v>
      </c>
      <c r="C949" s="9">
        <f ca="1">LOOKUP(B949,geomorph!A:A,geomorph!B:B)</f>
        <v>1312.4</v>
      </c>
      <c r="D949">
        <f t="shared" si="132"/>
        <v>1.13E-4</v>
      </c>
      <c r="E949" s="9">
        <f ca="1">'[2]Q_GEV(random)'!$J949</f>
        <v>4722.18082497866</v>
      </c>
      <c r="F949" s="26">
        <f ca="1">RANDBETWEEN(ranges!F$2*1000,ranges!F$3*1000)/1000</f>
        <v>9.8000000000000004E-2</v>
      </c>
      <c r="G949" s="3">
        <f t="shared" ca="1" si="133"/>
        <v>3.5981262000751748</v>
      </c>
      <c r="H949" s="4">
        <f t="shared" ca="1" si="134"/>
        <v>6.5902428148215968</v>
      </c>
      <c r="I949" s="4">
        <f t="shared" ca="1" si="135"/>
        <v>153.00350848888866</v>
      </c>
      <c r="J949" s="26">
        <f ca="1">RANDBETWEEN(ranges!J$2*1000,ranges!J$3*1000)/1000</f>
        <v>0.64700000000000002</v>
      </c>
      <c r="K949" s="26">
        <f ca="1">RANDBETWEEN(ranges!K$2*1000,ranges!K$3*1000)/1000</f>
        <v>0.83299999999999996</v>
      </c>
      <c r="L949">
        <f t="shared" ca="1" si="136"/>
        <v>73.55897476664174</v>
      </c>
      <c r="M949">
        <f t="shared" ca="1" si="137"/>
        <v>10.908884228662691</v>
      </c>
      <c r="N949" s="4">
        <f t="shared" ca="1" si="138"/>
        <v>4.6941754498272763</v>
      </c>
      <c r="O949" s="4"/>
      <c r="P949" s="1">
        <f ca="1">LOOKUP(B949,geomorph!$A:$A,geomorph!$G:$G)</f>
        <v>105.15620100000001</v>
      </c>
      <c r="Q949" s="1">
        <f t="shared" ca="1" si="139"/>
        <v>116.0650852286627</v>
      </c>
    </row>
    <row r="950" spans="2:17" x14ac:dyDescent="0.3">
      <c r="B950" s="6">
        <f ca="1">RANDBETWEEN(ranges!B$2,ranges!B$3)</f>
        <v>11288</v>
      </c>
      <c r="C950" s="9">
        <f ca="1">LOOKUP(B950,geomorph!A:A,geomorph!B:B)</f>
        <v>1617.2</v>
      </c>
      <c r="D950">
        <f t="shared" si="132"/>
        <v>1.13E-4</v>
      </c>
      <c r="E950" s="9">
        <f ca="1">'[2]Q_GEV(random)'!$J950</f>
        <v>4683.3147700884483</v>
      </c>
      <c r="F950" s="26">
        <f ca="1">RANDBETWEEN(ranges!F$2*1000,ranges!F$3*1000)/1000</f>
        <v>9.0999999999999998E-2</v>
      </c>
      <c r="G950" s="3">
        <f t="shared" ca="1" si="133"/>
        <v>2.8959403723030226</v>
      </c>
      <c r="H950" s="4">
        <f t="shared" ca="1" si="134"/>
        <v>5.5630804142123056</v>
      </c>
      <c r="I950" s="4">
        <f t="shared" ca="1" si="135"/>
        <v>107.43505930352349</v>
      </c>
      <c r="J950" s="26">
        <f ca="1">RANDBETWEEN(ranges!J$2*1000,ranges!J$3*1000)/1000</f>
        <v>0.60499999999999998</v>
      </c>
      <c r="K950" s="26">
        <f ca="1">RANDBETWEEN(ranges!K$2*1000,ranges!K$3*1000)/1000</f>
        <v>0.93300000000000005</v>
      </c>
      <c r="L950">
        <f t="shared" ca="1" si="136"/>
        <v>58.957423509774841</v>
      </c>
      <c r="M950">
        <f t="shared" ca="1" si="137"/>
        <v>10.774091818900891</v>
      </c>
      <c r="N950" s="4">
        <f t="shared" ca="1" si="138"/>
        <v>5.664142831183244</v>
      </c>
      <c r="O950" s="4"/>
      <c r="P950" s="1">
        <f ca="1">LOOKUP(B950,geomorph!$A:$A,geomorph!$G:$G)</f>
        <v>105.251121</v>
      </c>
      <c r="Q950" s="1">
        <f t="shared" ca="1" si="139"/>
        <v>116.02521281890088</v>
      </c>
    </row>
    <row r="951" spans="2:17" x14ac:dyDescent="0.3">
      <c r="B951" s="6">
        <f ca="1">RANDBETWEEN(ranges!B$2,ranges!B$3)</f>
        <v>12683</v>
      </c>
      <c r="C951" s="9">
        <f ca="1">LOOKUP(B951,geomorph!A:A,geomorph!B:B)</f>
        <v>1163.0999999999999</v>
      </c>
      <c r="D951">
        <f t="shared" si="132"/>
        <v>1.13E-4</v>
      </c>
      <c r="E951" s="9">
        <f ca="1">'[2]Q_GEV(random)'!$J951</f>
        <v>4679.7775073358425</v>
      </c>
      <c r="F951" s="26">
        <f ca="1">RANDBETWEEN(ranges!F$2*1000,ranges!F$3*1000)/1000</f>
        <v>0.104</v>
      </c>
      <c r="G951" s="3">
        <f t="shared" ca="1" si="133"/>
        <v>4.0235383950957297</v>
      </c>
      <c r="H951" s="4">
        <f t="shared" ca="1" si="134"/>
        <v>7.2419970413751704</v>
      </c>
      <c r="I951" s="4">
        <f t="shared" ca="1" si="135"/>
        <v>185.99662388022406</v>
      </c>
      <c r="J951" s="26">
        <f ca="1">RANDBETWEEN(ranges!J$2*1000,ranges!J$3*1000)/1000</f>
        <v>0.70199999999999996</v>
      </c>
      <c r="K951" s="26">
        <f ca="1">RANDBETWEEN(ranges!K$2*1000,ranges!K$3*1000)/1000</f>
        <v>0.999</v>
      </c>
      <c r="L951">
        <f t="shared" ca="1" si="136"/>
        <v>86.094581781011186</v>
      </c>
      <c r="M951">
        <f t="shared" ca="1" si="137"/>
        <v>11.315436711852833</v>
      </c>
      <c r="N951" s="4">
        <f t="shared" ca="1" si="138"/>
        <v>4.4276518157365894</v>
      </c>
      <c r="O951" s="4"/>
      <c r="P951" s="1">
        <f ca="1">LOOKUP(B951,geomorph!$A:$A,geomorph!$G:$G)</f>
        <v>105.092921</v>
      </c>
      <c r="Q951" s="1">
        <f t="shared" ca="1" si="139"/>
        <v>116.40835771185283</v>
      </c>
    </row>
    <row r="952" spans="2:17" x14ac:dyDescent="0.3">
      <c r="B952" s="6">
        <f ca="1">RANDBETWEEN(ranges!B$2,ranges!B$3)</f>
        <v>12696</v>
      </c>
      <c r="C952" s="9">
        <f ca="1">LOOKUP(B952,geomorph!A:A,geomorph!B:B)</f>
        <v>1160.5999999999999</v>
      </c>
      <c r="D952">
        <f t="shared" si="132"/>
        <v>1.13E-4</v>
      </c>
      <c r="E952" s="9">
        <f ca="1">'[2]Q_GEV(random)'!$J952</f>
        <v>4649.805733164475</v>
      </c>
      <c r="F952" s="26">
        <f ca="1">RANDBETWEEN(ranges!F$2*1000,ranges!F$3*1000)/1000</f>
        <v>9.9000000000000005E-2</v>
      </c>
      <c r="G952" s="3">
        <f t="shared" ca="1" si="133"/>
        <v>4.0063809522354603</v>
      </c>
      <c r="H952" s="4">
        <f t="shared" ca="1" si="134"/>
        <v>7.1037612434997577</v>
      </c>
      <c r="I952" s="4">
        <f t="shared" ca="1" si="135"/>
        <v>185.8669956057044</v>
      </c>
      <c r="J952" s="26">
        <f ca="1">RANDBETWEEN(ranges!J$2*1000,ranges!J$3*1000)/1000</f>
        <v>0.71299999999999997</v>
      </c>
      <c r="K952" s="26">
        <f ca="1">RANDBETWEEN(ranges!K$2*1000,ranges!K$3*1000)/1000</f>
        <v>0.85299999999999998</v>
      </c>
      <c r="L952">
        <f t="shared" ca="1" si="136"/>
        <v>83.189856314514813</v>
      </c>
      <c r="M952">
        <f t="shared" ca="1" si="137"/>
        <v>10.910166637964725</v>
      </c>
      <c r="N952" s="4">
        <f t="shared" ca="1" si="138"/>
        <v>4.1373971678967036</v>
      </c>
      <c r="O952" s="4"/>
      <c r="P952" s="1">
        <f ca="1">LOOKUP(B952,geomorph!$A:$A,geomorph!$G:$G)</f>
        <v>105.091791</v>
      </c>
      <c r="Q952" s="1">
        <f t="shared" ca="1" si="139"/>
        <v>116.00195763796472</v>
      </c>
    </row>
    <row r="953" spans="2:17" x14ac:dyDescent="0.3">
      <c r="B953" s="6">
        <f ca="1">RANDBETWEEN(ranges!B$2,ranges!B$3)</f>
        <v>11276</v>
      </c>
      <c r="C953" s="9">
        <f ca="1">LOOKUP(B953,geomorph!A:A,geomorph!B:B)</f>
        <v>1623</v>
      </c>
      <c r="D953">
        <f t="shared" si="132"/>
        <v>1.13E-4</v>
      </c>
      <c r="E953" s="9">
        <f ca="1">'[2]Q_GEV(random)'!$J953</f>
        <v>4595.7664419761186</v>
      </c>
      <c r="F953" s="26">
        <f ca="1">RANDBETWEEN(ranges!F$2*1000,ranges!F$3*1000)/1000</f>
        <v>9.2999999999999999E-2</v>
      </c>
      <c r="G953" s="3">
        <f t="shared" ca="1" si="133"/>
        <v>2.8316490708417241</v>
      </c>
      <c r="H953" s="4">
        <f t="shared" ca="1" si="134"/>
        <v>5.5202964319703263</v>
      </c>
      <c r="I953" s="4">
        <f t="shared" ca="1" si="135"/>
        <v>105.46081347682457</v>
      </c>
      <c r="J953" s="26">
        <f ca="1">RANDBETWEEN(ranges!J$2*1000,ranges!J$3*1000)/1000</f>
        <v>0.61199999999999999</v>
      </c>
      <c r="K953" s="26">
        <f ca="1">RANDBETWEEN(ranges!K$2*1000,ranges!K$3*1000)/1000</f>
        <v>0.97199999999999998</v>
      </c>
      <c r="L953">
        <f t="shared" ca="1" si="136"/>
        <v>58.582972013131354</v>
      </c>
      <c r="M953">
        <f t="shared" ca="1" si="137"/>
        <v>10.744058484236277</v>
      </c>
      <c r="N953" s="4">
        <f t="shared" ca="1" si="138"/>
        <v>5.6780022307238589</v>
      </c>
      <c r="O953" s="4"/>
      <c r="P953" s="1">
        <f ca="1">LOOKUP(B953,geomorph!$A:$A,geomorph!$G:$G)</f>
        <v>105.252251</v>
      </c>
      <c r="Q953" s="1">
        <f t="shared" ca="1" si="139"/>
        <v>115.99630948423628</v>
      </c>
    </row>
    <row r="954" spans="2:17" x14ac:dyDescent="0.3">
      <c r="B954" s="6">
        <f ca="1">RANDBETWEEN(ranges!B$2,ranges!B$3)</f>
        <v>14414</v>
      </c>
      <c r="C954" s="9">
        <f ca="1">LOOKUP(B954,geomorph!A:A,geomorph!B:B)</f>
        <v>1378.9</v>
      </c>
      <c r="D954">
        <f t="shared" si="132"/>
        <v>1.13E-4</v>
      </c>
      <c r="E954" s="9">
        <f ca="1">'[2]Q_GEV(random)'!$J954</f>
        <v>4580.1611028790139</v>
      </c>
      <c r="F954" s="26">
        <f ca="1">RANDBETWEEN(ranges!F$2*1000,ranges!F$3*1000)/1000</f>
        <v>9.7000000000000003E-2</v>
      </c>
      <c r="G954" s="3">
        <f t="shared" ca="1" si="133"/>
        <v>3.3216049770679628</v>
      </c>
      <c r="H954" s="4">
        <f t="shared" ca="1" si="134"/>
        <v>6.2267920620605368</v>
      </c>
      <c r="I954" s="4">
        <f t="shared" ca="1" si="135"/>
        <v>138.06467249493355</v>
      </c>
      <c r="J954" s="26">
        <f ca="1">RANDBETWEEN(ranges!J$2*1000,ranges!J$3*1000)/1000</f>
        <v>0.623</v>
      </c>
      <c r="K954" s="26">
        <f ca="1">RANDBETWEEN(ranges!K$2*1000,ranges!K$3*1000)/1000</f>
        <v>0.93500000000000005</v>
      </c>
      <c r="L954">
        <f t="shared" ca="1" si="136"/>
        <v>69.965619125724572</v>
      </c>
      <c r="M954">
        <f t="shared" ca="1" si="137"/>
        <v>10.901741920008163</v>
      </c>
      <c r="N954" s="4">
        <f t="shared" ca="1" si="138"/>
        <v>5.0814672368995941</v>
      </c>
      <c r="O954" s="4"/>
      <c r="P954" s="1">
        <f ca="1">LOOKUP(B954,geomorph!$A:$A,geomorph!$G:$G)</f>
        <v>104.897431</v>
      </c>
      <c r="Q954" s="1">
        <f t="shared" ca="1" si="139"/>
        <v>115.79917292000816</v>
      </c>
    </row>
    <row r="955" spans="2:17" x14ac:dyDescent="0.3">
      <c r="B955" s="6">
        <f ca="1">RANDBETWEEN(ranges!B$2,ranges!B$3)</f>
        <v>12584</v>
      </c>
      <c r="C955" s="9">
        <f ca="1">LOOKUP(B955,geomorph!A:A,geomorph!B:B)</f>
        <v>1188.8</v>
      </c>
      <c r="D955">
        <f t="shared" si="132"/>
        <v>1.13E-4</v>
      </c>
      <c r="E955" s="9">
        <f ca="1">'[2]Q_GEV(random)'!$J955</f>
        <v>4562.2181690659281</v>
      </c>
      <c r="F955" s="26">
        <f ca="1">RANDBETWEEN(ranges!F$2*1000,ranges!F$3*1000)/1000</f>
        <v>0.104</v>
      </c>
      <c r="G955" s="3">
        <f t="shared" ca="1" si="133"/>
        <v>3.8376666967243676</v>
      </c>
      <c r="H955" s="4">
        <f t="shared" ca="1" si="134"/>
        <v>7.0172090039477739</v>
      </c>
      <c r="I955" s="4">
        <f t="shared" ca="1" si="135"/>
        <v>176.3272317676271</v>
      </c>
      <c r="J955" s="26">
        <f ca="1">RANDBETWEEN(ranges!J$2*1000,ranges!J$3*1000)/1000</f>
        <v>0.78600000000000003</v>
      </c>
      <c r="K955" s="26">
        <f ca="1">RANDBETWEEN(ranges!K$2*1000,ranges!K$3*1000)/1000</f>
        <v>0.94099999999999995</v>
      </c>
      <c r="L955">
        <f t="shared" ca="1" si="136"/>
        <v>79.916418369845644</v>
      </c>
      <c r="M955">
        <f t="shared" ca="1" si="137"/>
        <v>10.735524111862192</v>
      </c>
      <c r="N955" s="4">
        <f t="shared" ca="1" si="138"/>
        <v>4.0416468564287156</v>
      </c>
      <c r="O955" s="4"/>
      <c r="P955" s="1">
        <f ca="1">LOOKUP(B955,geomorph!$A:$A,geomorph!$G:$G)</f>
        <v>105.10422100000001</v>
      </c>
      <c r="Q955" s="1">
        <f t="shared" ca="1" si="139"/>
        <v>115.8397451118622</v>
      </c>
    </row>
    <row r="956" spans="2:17" x14ac:dyDescent="0.3">
      <c r="B956" s="6">
        <f ca="1">RANDBETWEEN(ranges!B$2,ranges!B$3)</f>
        <v>10436</v>
      </c>
      <c r="C956" s="9">
        <f ca="1">LOOKUP(B956,geomorph!A:A,geomorph!B:B)</f>
        <v>1757.1</v>
      </c>
      <c r="D956">
        <f t="shared" si="132"/>
        <v>1.13E-4</v>
      </c>
      <c r="E956" s="9">
        <f ca="1">'[2]Q_GEV(random)'!$J956</f>
        <v>4533.5717411115465</v>
      </c>
      <c r="F956" s="26">
        <f ca="1">RANDBETWEEN(ranges!F$2*1000,ranges!F$3*1000)/1000</f>
        <v>0.10299999999999999</v>
      </c>
      <c r="G956" s="3">
        <f t="shared" ca="1" si="133"/>
        <v>2.5801444090328078</v>
      </c>
      <c r="H956" s="4">
        <f t="shared" ca="1" si="134"/>
        <v>5.368054059042108</v>
      </c>
      <c r="I956" s="4">
        <f t="shared" ca="1" si="135"/>
        <v>91.555171551216944</v>
      </c>
      <c r="J956" s="26">
        <f ca="1">RANDBETWEEN(ranges!J$2*1000,ranges!J$3*1000)/1000</f>
        <v>0.61799999999999999</v>
      </c>
      <c r="K956" s="26">
        <f ca="1">RANDBETWEEN(ranges!K$2*1000,ranges!K$3*1000)/1000</f>
        <v>0.86</v>
      </c>
      <c r="L956">
        <f t="shared" ca="1" si="136"/>
        <v>53.770923244820182</v>
      </c>
      <c r="M956">
        <f t="shared" ca="1" si="137"/>
        <v>10.676340483382511</v>
      </c>
      <c r="N956" s="4">
        <f t="shared" ca="1" si="138"/>
        <v>5.7698765481960894</v>
      </c>
      <c r="O956" s="4"/>
      <c r="P956" s="1">
        <f ca="1">LOOKUP(B956,geomorph!$A:$A,geomorph!$G:$G)</f>
        <v>105.347171</v>
      </c>
      <c r="Q956" s="1">
        <f t="shared" ca="1" si="139"/>
        <v>116.02351148338252</v>
      </c>
    </row>
    <row r="957" spans="2:17" x14ac:dyDescent="0.3">
      <c r="B957" s="6">
        <f ca="1">RANDBETWEEN(ranges!B$2,ranges!B$3)</f>
        <v>10569</v>
      </c>
      <c r="C957" s="9">
        <f ca="1">LOOKUP(B957,geomorph!A:A,geomorph!B:B)</f>
        <v>1751.4</v>
      </c>
      <c r="D957">
        <f t="shared" si="132"/>
        <v>1.13E-4</v>
      </c>
      <c r="E957" s="9">
        <f ca="1">'[2]Q_GEV(random)'!$J957</f>
        <v>4521.7286967916871</v>
      </c>
      <c r="F957" s="26">
        <f ca="1">RANDBETWEEN(ranges!F$2*1000,ranges!F$3*1000)/1000</f>
        <v>0.10100000000000001</v>
      </c>
      <c r="G957" s="3">
        <f t="shared" ca="1" si="133"/>
        <v>2.5817795459584829</v>
      </c>
      <c r="H957" s="4">
        <f t="shared" ca="1" si="134"/>
        <v>5.3353349785321633</v>
      </c>
      <c r="I957" s="4">
        <f t="shared" ca="1" si="135"/>
        <v>91.89194460047257</v>
      </c>
      <c r="J957" s="26">
        <f ca="1">RANDBETWEEN(ranges!J$2*1000,ranges!J$3*1000)/1000</f>
        <v>0.7</v>
      </c>
      <c r="K957" s="26">
        <f ca="1">RANDBETWEEN(ranges!K$2*1000,ranges!K$3*1000)/1000</f>
        <v>0.98799999999999999</v>
      </c>
      <c r="L957">
        <f t="shared" ca="1" si="136"/>
        <v>52.119964919975402</v>
      </c>
      <c r="M957">
        <f t="shared" ca="1" si="137"/>
        <v>10.314968441375477</v>
      </c>
      <c r="N957" s="4">
        <f t="shared" ca="1" si="138"/>
        <v>5.412645068307949</v>
      </c>
      <c r="O957" s="4"/>
      <c r="P957" s="1">
        <f ca="1">LOOKUP(B957,geomorph!$A:$A,geomorph!$G:$G)</f>
        <v>105.332481</v>
      </c>
      <c r="Q957" s="1">
        <f t="shared" ca="1" si="139"/>
        <v>115.64744944137547</v>
      </c>
    </row>
    <row r="958" spans="2:17" x14ac:dyDescent="0.3">
      <c r="B958" s="6">
        <f ca="1">RANDBETWEEN(ranges!B$2,ranges!B$3)</f>
        <v>13762</v>
      </c>
      <c r="C958" s="9">
        <f ca="1">LOOKUP(B958,geomorph!A:A,geomorph!B:B)</f>
        <v>1268.2</v>
      </c>
      <c r="D958">
        <f t="shared" si="132"/>
        <v>1.13E-4</v>
      </c>
      <c r="E958" s="9">
        <f ca="1">'[2]Q_GEV(random)'!$J958</f>
        <v>4520.5688822937609</v>
      </c>
      <c r="F958" s="26">
        <f ca="1">RANDBETWEEN(ranges!F$2*1000,ranges!F$3*1000)/1000</f>
        <v>9.1999999999999998E-2</v>
      </c>
      <c r="G958" s="3">
        <f t="shared" ca="1" si="133"/>
        <v>3.564555182379562</v>
      </c>
      <c r="H958" s="4">
        <f t="shared" ca="1" si="134"/>
        <v>6.4127055739563108</v>
      </c>
      <c r="I958" s="4">
        <f t="shared" ca="1" si="135"/>
        <v>157.34966753968817</v>
      </c>
      <c r="J958" s="26">
        <f ca="1">RANDBETWEEN(ranges!J$2*1000,ranges!J$3*1000)/1000</f>
        <v>0.61</v>
      </c>
      <c r="K958" s="26">
        <f ca="1">RANDBETWEEN(ranges!K$2*1000,ranges!K$3*1000)/1000</f>
        <v>0.84699999999999998</v>
      </c>
      <c r="L958">
        <f t="shared" ca="1" si="136"/>
        <v>75.332894363767423</v>
      </c>
      <c r="M958">
        <f t="shared" ca="1" si="137"/>
        <v>10.795700959430672</v>
      </c>
      <c r="N958" s="4">
        <f t="shared" ca="1" si="138"/>
        <v>4.7641254189938707</v>
      </c>
      <c r="O958" s="4"/>
      <c r="P958" s="1">
        <f ca="1">LOOKUP(B958,geomorph!$A:$A,geomorph!$G:$G)</f>
        <v>104.97088100000001</v>
      </c>
      <c r="Q958" s="1">
        <f t="shared" ca="1" si="139"/>
        <v>115.76658195943068</v>
      </c>
    </row>
    <row r="959" spans="2:17" x14ac:dyDescent="0.3">
      <c r="B959" s="6">
        <f ca="1">RANDBETWEEN(ranges!B$2,ranges!B$3)</f>
        <v>12675</v>
      </c>
      <c r="C959" s="9">
        <f ca="1">LOOKUP(B959,geomorph!A:A,geomorph!B:B)</f>
        <v>1165.7</v>
      </c>
      <c r="D959">
        <f t="shared" si="132"/>
        <v>1.13E-4</v>
      </c>
      <c r="E959" s="9">
        <f ca="1">'[2]Q_GEV(random)'!$J959</f>
        <v>4488.2567381398867</v>
      </c>
      <c r="F959" s="26">
        <f ca="1">RANDBETWEEN(ranges!F$2*1000,ranges!F$3*1000)/1000</f>
        <v>0.106</v>
      </c>
      <c r="G959" s="3">
        <f t="shared" ca="1" si="133"/>
        <v>3.850267425701198</v>
      </c>
      <c r="H959" s="4">
        <f t="shared" ca="1" si="134"/>
        <v>7.0773555663473395</v>
      </c>
      <c r="I959" s="4">
        <f t="shared" ca="1" si="135"/>
        <v>180.21481229877838</v>
      </c>
      <c r="J959" s="26">
        <f ca="1">RANDBETWEEN(ranges!J$2*1000,ranges!J$3*1000)/1000</f>
        <v>0.72299999999999998</v>
      </c>
      <c r="K959" s="26">
        <f ca="1">RANDBETWEEN(ranges!K$2*1000,ranges!K$3*1000)/1000</f>
        <v>0.99199999999999999</v>
      </c>
      <c r="L959">
        <f t="shared" ca="1" si="136"/>
        <v>83.79475463465684</v>
      </c>
      <c r="M959">
        <f t="shared" ca="1" si="137"/>
        <v>11.037788638971001</v>
      </c>
      <c r="N959" s="4">
        <f t="shared" ca="1" si="138"/>
        <v>4.3048185571996322</v>
      </c>
      <c r="O959" s="4"/>
      <c r="P959" s="1">
        <f ca="1">LOOKUP(B959,geomorph!$A:$A,geomorph!$G:$G)</f>
        <v>105.09405100000001</v>
      </c>
      <c r="Q959" s="1">
        <f t="shared" ca="1" si="139"/>
        <v>116.131839638971</v>
      </c>
    </row>
    <row r="960" spans="2:17" x14ac:dyDescent="0.3">
      <c r="B960" s="6">
        <f ca="1">RANDBETWEEN(ranges!B$2,ranges!B$3)</f>
        <v>13980</v>
      </c>
      <c r="C960" s="9">
        <f ca="1">LOOKUP(B960,geomorph!A:A,geomorph!B:B)</f>
        <v>1322.4</v>
      </c>
      <c r="D960">
        <f t="shared" si="132"/>
        <v>1.13E-4</v>
      </c>
      <c r="E960" s="9">
        <f ca="1">'[2]Q_GEV(random)'!$J960</f>
        <v>4485.5476101042932</v>
      </c>
      <c r="F960" s="26">
        <f ca="1">RANDBETWEEN(ranges!F$2*1000,ranges!F$3*1000)/1000</f>
        <v>0.108</v>
      </c>
      <c r="G960" s="3">
        <f t="shared" ca="1" si="133"/>
        <v>3.3919749017727563</v>
      </c>
      <c r="H960" s="4">
        <f t="shared" ca="1" si="134"/>
        <v>6.5446255256661319</v>
      </c>
      <c r="I960" s="4">
        <f t="shared" ca="1" si="135"/>
        <v>145.9897157948748</v>
      </c>
      <c r="J960" s="26">
        <f ca="1">RANDBETWEEN(ranges!J$2*1000,ranges!J$3*1000)/1000</f>
        <v>0.76300000000000001</v>
      </c>
      <c r="K960" s="26">
        <f ca="1">RANDBETWEEN(ranges!K$2*1000,ranges!K$3*1000)/1000</f>
        <v>0.84299999999999997</v>
      </c>
      <c r="L960">
        <f t="shared" ca="1" si="136"/>
        <v>69.670101481536435</v>
      </c>
      <c r="M960">
        <f t="shared" ca="1" si="137"/>
        <v>10.410886868507768</v>
      </c>
      <c r="N960" s="4">
        <f t="shared" ca="1" si="138"/>
        <v>4.202457981349605</v>
      </c>
      <c r="O960" s="4"/>
      <c r="P960" s="1">
        <f ca="1">LOOKUP(B960,geomorph!$A:$A,geomorph!$G:$G)</f>
        <v>104.946021</v>
      </c>
      <c r="Q960" s="1">
        <f t="shared" ca="1" si="139"/>
        <v>115.35690786850778</v>
      </c>
    </row>
    <row r="961" spans="2:17" x14ac:dyDescent="0.3">
      <c r="B961" s="6">
        <f ca="1">RANDBETWEEN(ranges!B$2,ranges!B$3)</f>
        <v>14893</v>
      </c>
      <c r="C961" s="9">
        <f ca="1">LOOKUP(B961,geomorph!A:A,geomorph!B:B)</f>
        <v>1505.6</v>
      </c>
      <c r="D961">
        <f t="shared" si="132"/>
        <v>1.13E-4</v>
      </c>
      <c r="E961" s="9">
        <f ca="1">'[2]Q_GEV(random)'!$J961</f>
        <v>4465.5714189356559</v>
      </c>
      <c r="F961" s="26">
        <f ca="1">RANDBETWEEN(ranges!F$2*1000,ranges!F$3*1000)/1000</f>
        <v>9.0999999999999998E-2</v>
      </c>
      <c r="G961" s="3">
        <f t="shared" ca="1" si="133"/>
        <v>2.9659746406320777</v>
      </c>
      <c r="H961" s="4">
        <f t="shared" ca="1" si="134"/>
        <v>5.6524129541659214</v>
      </c>
      <c r="I961" s="4">
        <f t="shared" ca="1" si="135"/>
        <v>117.25157895531829</v>
      </c>
      <c r="J961" s="26">
        <f ca="1">RANDBETWEEN(ranges!J$2*1000,ranges!J$3*1000)/1000</f>
        <v>0.71599999999999997</v>
      </c>
      <c r="K961" s="26">
        <f ca="1">RANDBETWEEN(ranges!K$2*1000,ranges!K$3*1000)/1000</f>
        <v>0.93600000000000005</v>
      </c>
      <c r="L961">
        <f t="shared" ca="1" si="136"/>
        <v>59.011133798733553</v>
      </c>
      <c r="M961">
        <f t="shared" ca="1" si="137"/>
        <v>10.039729424353176</v>
      </c>
      <c r="N961" s="4">
        <f t="shared" ca="1" si="138"/>
        <v>4.7688222502035371</v>
      </c>
      <c r="O961" s="4"/>
      <c r="P961" s="1">
        <f ca="1">LOOKUP(B961,geomorph!$A:$A,geomorph!$G:$G)</f>
        <v>104.843191</v>
      </c>
      <c r="Q961" s="1">
        <f t="shared" ca="1" si="139"/>
        <v>114.88292042435319</v>
      </c>
    </row>
    <row r="962" spans="2:17" x14ac:dyDescent="0.3">
      <c r="B962" s="6">
        <f ca="1">RANDBETWEEN(ranges!B$2,ranges!B$3)</f>
        <v>10594</v>
      </c>
      <c r="C962" s="9">
        <f ca="1">LOOKUP(B962,geomorph!A:A,geomorph!B:B)</f>
        <v>1743.3</v>
      </c>
      <c r="D962">
        <f t="shared" si="132"/>
        <v>1.13E-4</v>
      </c>
      <c r="E962" s="9">
        <f ca="1">'[2]Q_GEV(random)'!$J962</f>
        <v>4418.6182937351423</v>
      </c>
      <c r="F962" s="26">
        <f ca="1">RANDBETWEEN(ranges!F$2*1000,ranges!F$3*1000)/1000</f>
        <v>0.105</v>
      </c>
      <c r="G962" s="3">
        <f t="shared" ca="1" si="133"/>
        <v>2.5346287464780257</v>
      </c>
      <c r="H962" s="4">
        <f t="shared" ca="1" si="134"/>
        <v>5.3388509991180939</v>
      </c>
      <c r="I962" s="4">
        <f t="shared" ca="1" si="135"/>
        <v>91.191450600128391</v>
      </c>
      <c r="J962" s="26">
        <f ca="1">RANDBETWEEN(ranges!J$2*1000,ranges!J$3*1000)/1000</f>
        <v>0.63800000000000001</v>
      </c>
      <c r="K962" s="26">
        <f ca="1">RANDBETWEEN(ranges!K$2*1000,ranges!K$3*1000)/1000</f>
        <v>0.96799999999999997</v>
      </c>
      <c r="L962">
        <f t="shared" ca="1" si="136"/>
        <v>53.965864043855788</v>
      </c>
      <c r="M962">
        <f t="shared" ca="1" si="137"/>
        <v>10.630892059004877</v>
      </c>
      <c r="N962" s="4">
        <f t="shared" ca="1" si="138"/>
        <v>5.7522185433551982</v>
      </c>
      <c r="O962" s="4"/>
      <c r="P962" s="1">
        <f ca="1">LOOKUP(B962,geomorph!$A:$A,geomorph!$G:$G)</f>
        <v>105.32909100000001</v>
      </c>
      <c r="Q962" s="1">
        <f t="shared" ca="1" si="139"/>
        <v>115.95998305900488</v>
      </c>
    </row>
    <row r="963" spans="2:17" x14ac:dyDescent="0.3">
      <c r="B963" s="6">
        <f ca="1">RANDBETWEEN(ranges!B$2,ranges!B$3)</f>
        <v>14780</v>
      </c>
      <c r="C963" s="9">
        <f ca="1">LOOKUP(B963,geomorph!A:A,geomorph!B:B)</f>
        <v>1486.7</v>
      </c>
      <c r="D963">
        <f t="shared" si="132"/>
        <v>1.13E-4</v>
      </c>
      <c r="E963" s="9">
        <f ca="1">'[2]Q_GEV(random)'!$J963</f>
        <v>4406.7362003876151</v>
      </c>
      <c r="F963" s="26">
        <f ca="1">RANDBETWEEN(ranges!F$2*1000,ranges!F$3*1000)/1000</f>
        <v>9.8000000000000004E-2</v>
      </c>
      <c r="G963" s="3">
        <f t="shared" ca="1" si="133"/>
        <v>2.9641058723263702</v>
      </c>
      <c r="H963" s="4">
        <f t="shared" ca="1" si="134"/>
        <v>5.7913475651856769</v>
      </c>
      <c r="I963" s="4">
        <f t="shared" ca="1" si="135"/>
        <v>118.69228298228543</v>
      </c>
      <c r="J963" s="26">
        <f ca="1">RANDBETWEEN(ranges!J$2*1000,ranges!J$3*1000)/1000</f>
        <v>0.627</v>
      </c>
      <c r="K963" s="26">
        <f ca="1">RANDBETWEEN(ranges!K$2*1000,ranges!K$3*1000)/1000</f>
        <v>0.85699999999999998</v>
      </c>
      <c r="L963">
        <f t="shared" ca="1" si="136"/>
        <v>62.516970149656963</v>
      </c>
      <c r="M963">
        <f t="shared" ca="1" si="137"/>
        <v>10.502669685928936</v>
      </c>
      <c r="N963" s="4">
        <f t="shared" ca="1" si="138"/>
        <v>5.1210023051557156</v>
      </c>
      <c r="O963" s="4"/>
      <c r="P963" s="1">
        <f ca="1">LOOKUP(B963,geomorph!$A:$A,geomorph!$G:$G)</f>
        <v>104.855621</v>
      </c>
      <c r="Q963" s="1">
        <f t="shared" ca="1" si="139"/>
        <v>115.35829068592894</v>
      </c>
    </row>
    <row r="964" spans="2:17" x14ac:dyDescent="0.3">
      <c r="B964" s="6">
        <f ca="1">RANDBETWEEN(ranges!B$2,ranges!B$3)</f>
        <v>10195</v>
      </c>
      <c r="C964" s="9">
        <f ca="1">LOOKUP(B964,geomorph!A:A,geomorph!B:B)</f>
        <v>1590.7</v>
      </c>
      <c r="D964">
        <f t="shared" si="132"/>
        <v>1.13E-4</v>
      </c>
      <c r="E964" s="9">
        <f ca="1">'[2]Q_GEV(random)'!$J964</f>
        <v>4396.0818932967823</v>
      </c>
      <c r="F964" s="26">
        <f ca="1">RANDBETWEEN(ranges!F$2*1000,ranges!F$3*1000)/1000</f>
        <v>9.1999999999999998E-2</v>
      </c>
      <c r="G964" s="3">
        <f t="shared" ca="1" si="133"/>
        <v>2.7636146937177233</v>
      </c>
      <c r="H964" s="4">
        <f t="shared" ca="1" si="134"/>
        <v>5.4119785646461986</v>
      </c>
      <c r="I964" s="4">
        <f t="shared" ca="1" si="135"/>
        <v>105.87174336882963</v>
      </c>
      <c r="J964" s="26">
        <f ca="1">RANDBETWEEN(ranges!J$2*1000,ranges!J$3*1000)/1000</f>
        <v>0.73499999999999999</v>
      </c>
      <c r="K964" s="26">
        <f ca="1">RANDBETWEEN(ranges!K$2*1000,ranges!K$3*1000)/1000</f>
        <v>0.94199999999999995</v>
      </c>
      <c r="L964">
        <f t="shared" ca="1" si="136"/>
        <v>54.785152047986493</v>
      </c>
      <c r="M964">
        <f t="shared" ca="1" si="137"/>
        <v>9.847581773988729</v>
      </c>
      <c r="N964" s="4">
        <f t="shared" ca="1" si="138"/>
        <v>4.8213078362418811</v>
      </c>
      <c r="O964" s="4"/>
      <c r="P964" s="1">
        <f ca="1">LOOKUP(B964,geomorph!$A:$A,geomorph!$G:$G)</f>
        <v>105.374291</v>
      </c>
      <c r="Q964" s="1">
        <f t="shared" ca="1" si="139"/>
        <v>115.22187277398874</v>
      </c>
    </row>
    <row r="965" spans="2:17" x14ac:dyDescent="0.3">
      <c r="B965" s="6">
        <f ca="1">RANDBETWEEN(ranges!B$2,ranges!B$3)</f>
        <v>13821</v>
      </c>
      <c r="C965" s="9">
        <f ca="1">LOOKUP(B965,geomorph!A:A,geomorph!B:B)</f>
        <v>1283.2</v>
      </c>
      <c r="D965">
        <f t="shared" si="132"/>
        <v>1.13E-4</v>
      </c>
      <c r="E965" s="9">
        <f ca="1">'[2]Q_GEV(random)'!$J965</f>
        <v>4375.6808826420702</v>
      </c>
      <c r="F965" s="26">
        <f ca="1">RANDBETWEEN(ranges!F$2*1000,ranges!F$3*1000)/1000</f>
        <v>9.0999999999999998E-2</v>
      </c>
      <c r="G965" s="3">
        <f t="shared" ca="1" si="133"/>
        <v>3.4099757501886456</v>
      </c>
      <c r="H965" s="4">
        <f t="shared" ca="1" si="134"/>
        <v>6.2033048044249375</v>
      </c>
      <c r="I965" s="4">
        <f t="shared" ca="1" si="135"/>
        <v>150.98131131245896</v>
      </c>
      <c r="J965" s="26">
        <f ca="1">RANDBETWEEN(ranges!J$2*1000,ranges!J$3*1000)/1000</f>
        <v>0.66100000000000003</v>
      </c>
      <c r="K965" s="26">
        <f ca="1">RANDBETWEEN(ranges!K$2*1000,ranges!K$3*1000)/1000</f>
        <v>0.86599999999999999</v>
      </c>
      <c r="L965">
        <f t="shared" ca="1" si="136"/>
        <v>71.463845115220792</v>
      </c>
      <c r="M965">
        <f t="shared" ca="1" si="137"/>
        <v>10.3623718838592</v>
      </c>
      <c r="N965" s="4">
        <f t="shared" ca="1" si="138"/>
        <v>4.5207250863415904</v>
      </c>
      <c r="O965" s="4"/>
      <c r="P965" s="1">
        <f ca="1">LOOKUP(B965,geomorph!$A:$A,geomorph!$G:$G)</f>
        <v>104.964101</v>
      </c>
      <c r="Q965" s="1">
        <f t="shared" ca="1" si="139"/>
        <v>115.3264728838592</v>
      </c>
    </row>
    <row r="966" spans="2:17" x14ac:dyDescent="0.3">
      <c r="B966" s="6">
        <f ca="1">RANDBETWEEN(ranges!B$2,ranges!B$3)</f>
        <v>10478</v>
      </c>
      <c r="C966" s="9">
        <f ca="1">LOOKUP(B966,geomorph!A:A,geomorph!B:B)</f>
        <v>1762.8</v>
      </c>
      <c r="D966">
        <f t="shared" si="132"/>
        <v>1.13E-4</v>
      </c>
      <c r="E966" s="9">
        <f ca="1">'[2]Q_GEV(random)'!$J966</f>
        <v>4362.8577356370461</v>
      </c>
      <c r="F966" s="26">
        <f ca="1">RANDBETWEEN(ranges!F$2*1000,ranges!F$3*1000)/1000</f>
        <v>0.1</v>
      </c>
      <c r="G966" s="3">
        <f t="shared" ca="1" si="133"/>
        <v>2.4749590059207205</v>
      </c>
      <c r="H966" s="4">
        <f t="shared" ca="1" si="134"/>
        <v>5.1699594473770842</v>
      </c>
      <c r="I966" s="4">
        <f t="shared" ca="1" si="135"/>
        <v>88.761707543999449</v>
      </c>
      <c r="J966" s="26">
        <f ca="1">RANDBETWEEN(ranges!J$2*1000,ranges!J$3*1000)/1000</f>
        <v>0.73399999999999999</v>
      </c>
      <c r="K966" s="26">
        <f ca="1">RANDBETWEEN(ranges!K$2*1000,ranges!K$3*1000)/1000</f>
        <v>0.86599999999999999</v>
      </c>
      <c r="L966">
        <f t="shared" ca="1" si="136"/>
        <v>49.221670328239583</v>
      </c>
      <c r="M966">
        <f t="shared" ca="1" si="137"/>
        <v>9.8047795313721426</v>
      </c>
      <c r="N966" s="4">
        <f t="shared" ca="1" si="138"/>
        <v>5.0378479173859327</v>
      </c>
      <c r="O966" s="4"/>
      <c r="P966" s="1">
        <f ca="1">LOOKUP(B966,geomorph!$A:$A,geomorph!$G:$G)</f>
        <v>105.342651</v>
      </c>
      <c r="Q966" s="1">
        <f t="shared" ca="1" si="139"/>
        <v>115.14743053137215</v>
      </c>
    </row>
    <row r="967" spans="2:17" x14ac:dyDescent="0.3">
      <c r="B967" s="6">
        <f ca="1">RANDBETWEEN(ranges!B$2,ranges!B$3)</f>
        <v>11631</v>
      </c>
      <c r="C967" s="9">
        <f ca="1">LOOKUP(B967,geomorph!A:A,geomorph!B:B)</f>
        <v>1457.4</v>
      </c>
      <c r="D967">
        <f t="shared" si="132"/>
        <v>1.13E-4</v>
      </c>
      <c r="E967" s="9">
        <f ca="1">'[2]Q_GEV(random)'!$J967</f>
        <v>4285.2628537423243</v>
      </c>
      <c r="F967" s="26">
        <f ca="1">RANDBETWEEN(ranges!F$2*1000,ranges!F$3*1000)/1000</f>
        <v>0.10199999999999999</v>
      </c>
      <c r="G967" s="3">
        <f t="shared" ca="1" si="133"/>
        <v>2.9403477794307151</v>
      </c>
      <c r="H967" s="4">
        <f t="shared" ca="1" si="134"/>
        <v>5.837689450175886</v>
      </c>
      <c r="I967" s="4">
        <f t="shared" ca="1" si="135"/>
        <v>120.43065612160042</v>
      </c>
      <c r="J967" s="26">
        <f ca="1">RANDBETWEEN(ranges!J$2*1000,ranges!J$3*1000)/1000</f>
        <v>0.66</v>
      </c>
      <c r="K967" s="26">
        <f ca="1">RANDBETWEEN(ranges!K$2*1000,ranges!K$3*1000)/1000</f>
        <v>0.82</v>
      </c>
      <c r="L967">
        <f t="shared" ca="1" si="136"/>
        <v>62.331877465768351</v>
      </c>
      <c r="M967">
        <f t="shared" ca="1" si="137"/>
        <v>10.265200038703021</v>
      </c>
      <c r="N967" s="4">
        <f t="shared" ca="1" si="138"/>
        <v>4.8125115092686253</v>
      </c>
      <c r="O967" s="4"/>
      <c r="P967" s="1">
        <f ca="1">LOOKUP(B967,geomorph!$A:$A,geomorph!$G:$G)</f>
        <v>105.21157100000001</v>
      </c>
      <c r="Q967" s="1">
        <f t="shared" ca="1" si="139"/>
        <v>115.47677103870302</v>
      </c>
    </row>
    <row r="968" spans="2:17" x14ac:dyDescent="0.3">
      <c r="B968" s="6">
        <f ca="1">RANDBETWEEN(ranges!B$2,ranges!B$3)</f>
        <v>11610</v>
      </c>
      <c r="C968" s="9">
        <f ca="1">LOOKUP(B968,geomorph!A:A,geomorph!B:B)</f>
        <v>1462.5</v>
      </c>
      <c r="D968">
        <f t="shared" si="132"/>
        <v>1.13E-4</v>
      </c>
      <c r="E968" s="9">
        <f ca="1">'[2]Q_GEV(random)'!$J968</f>
        <v>4207.6880135532929</v>
      </c>
      <c r="F968" s="26">
        <f ca="1">RANDBETWEEN(ranges!F$2*1000,ranges!F$3*1000)/1000</f>
        <v>0.1</v>
      </c>
      <c r="G968" s="3">
        <f t="shared" ca="1" si="133"/>
        <v>2.8770516331988327</v>
      </c>
      <c r="H968" s="4">
        <f t="shared" ca="1" si="134"/>
        <v>5.7157545052042797</v>
      </c>
      <c r="I968" s="4">
        <f t="shared" ca="1" si="135"/>
        <v>118.28215984882577</v>
      </c>
      <c r="J968" s="26">
        <f ca="1">RANDBETWEEN(ranges!J$2*1000,ranges!J$3*1000)/1000</f>
        <v>0.65300000000000002</v>
      </c>
      <c r="K968" s="26">
        <f ca="1">RANDBETWEEN(ranges!K$2*1000,ranges!K$3*1000)/1000</f>
        <v>0.82699999999999996</v>
      </c>
      <c r="L968">
        <f t="shared" ca="1" si="136"/>
        <v>61.570845296971171</v>
      </c>
      <c r="M968">
        <f t="shared" ca="1" si="137"/>
        <v>10.175351820890697</v>
      </c>
      <c r="N968" s="4">
        <f t="shared" ca="1" si="138"/>
        <v>4.8473883866156706</v>
      </c>
      <c r="O968" s="4"/>
      <c r="P968" s="1">
        <f ca="1">LOOKUP(B968,geomorph!$A:$A,geomorph!$G:$G)</f>
        <v>105.213831</v>
      </c>
      <c r="Q968" s="1">
        <f t="shared" ca="1" si="139"/>
        <v>115.3891828208907</v>
      </c>
    </row>
    <row r="969" spans="2:17" x14ac:dyDescent="0.3">
      <c r="B969" s="6">
        <f ca="1">RANDBETWEEN(ranges!B$2,ranges!B$3)</f>
        <v>13191</v>
      </c>
      <c r="C969" s="9">
        <f ca="1">LOOKUP(B969,geomorph!A:A,geomorph!B:B)</f>
        <v>1162.3</v>
      </c>
      <c r="D969">
        <f t="shared" si="132"/>
        <v>1.13E-4</v>
      </c>
      <c r="E969" s="9">
        <f ca="1">'[2]Q_GEV(random)'!$J969</f>
        <v>3992.1622842330789</v>
      </c>
      <c r="F969" s="26">
        <f ca="1">RANDBETWEEN(ranges!F$2*1000,ranges!F$3*1000)/1000</f>
        <v>9.1999999999999998E-2</v>
      </c>
      <c r="G969" s="3">
        <f t="shared" ca="1" si="133"/>
        <v>3.4347090116433616</v>
      </c>
      <c r="H969" s="4">
        <f t="shared" ca="1" si="134"/>
        <v>6.2560139064706393</v>
      </c>
      <c r="I969" s="4">
        <f t="shared" ca="1" si="135"/>
        <v>167.49110411526294</v>
      </c>
      <c r="J969" s="26">
        <f ca="1">RANDBETWEEN(ranges!J$2*1000,ranges!J$3*1000)/1000</f>
        <v>0.68</v>
      </c>
      <c r="K969" s="26">
        <f ca="1">RANDBETWEEN(ranges!K$2*1000,ranges!K$3*1000)/1000</f>
        <v>0.93100000000000005</v>
      </c>
      <c r="L969">
        <f t="shared" ca="1" si="136"/>
        <v>77.256998728608409</v>
      </c>
      <c r="M969">
        <f t="shared" ca="1" si="137"/>
        <v>10.146926487315556</v>
      </c>
      <c r="N969" s="4">
        <f t="shared" ca="1" si="138"/>
        <v>4.2292528052662135</v>
      </c>
      <c r="O969" s="4"/>
      <c r="P969" s="1">
        <f ca="1">LOOKUP(B969,geomorph!$A:$A,geomorph!$G:$G)</f>
        <v>105.035291</v>
      </c>
      <c r="Q969" s="1">
        <f t="shared" ca="1" si="139"/>
        <v>115.18221748731555</v>
      </c>
    </row>
    <row r="970" spans="2:17" x14ac:dyDescent="0.3">
      <c r="B970" s="6">
        <f ca="1">RANDBETWEEN(ranges!B$2,ranges!B$3)</f>
        <v>12332</v>
      </c>
      <c r="C970" s="9">
        <f ca="1">LOOKUP(B970,geomorph!A:A,geomorph!B:B)</f>
        <v>1254.9000000000001</v>
      </c>
      <c r="D970">
        <f t="shared" si="132"/>
        <v>1.13E-4</v>
      </c>
      <c r="E970" s="9">
        <f ca="1">'[2]Q_GEV(random)'!$J970</f>
        <v>3968.9188835361747</v>
      </c>
      <c r="F970" s="26">
        <f ca="1">RANDBETWEEN(ranges!F$2*1000,ranges!F$3*1000)/1000</f>
        <v>0.11</v>
      </c>
      <c r="G970" s="3">
        <f t="shared" ca="1" si="133"/>
        <v>3.1627371770947281</v>
      </c>
      <c r="H970" s="4">
        <f t="shared" ca="1" si="134"/>
        <v>6.2846547918363243</v>
      </c>
      <c r="I970" s="4">
        <f t="shared" ca="1" si="135"/>
        <v>146.83050755434761</v>
      </c>
      <c r="J970" s="26">
        <f ca="1">RANDBETWEEN(ranges!J$2*1000,ranges!J$3*1000)/1000</f>
        <v>0.64700000000000002</v>
      </c>
      <c r="K970" s="26">
        <f ca="1">RANDBETWEEN(ranges!K$2*1000,ranges!K$3*1000)/1000</f>
        <v>0.94199999999999995</v>
      </c>
      <c r="L970">
        <f t="shared" ca="1" si="136"/>
        <v>74.458039816623042</v>
      </c>
      <c r="M970">
        <f t="shared" ca="1" si="137"/>
        <v>10.558425540744469</v>
      </c>
      <c r="N970" s="4">
        <f t="shared" ca="1" si="138"/>
        <v>4.645402987943636</v>
      </c>
      <c r="O970" s="4"/>
      <c r="P970" s="1">
        <f ca="1">LOOKUP(B970,geomorph!$A:$A,geomorph!$G:$G)</f>
        <v>105.13247100000001</v>
      </c>
      <c r="Q970" s="1">
        <f t="shared" ca="1" si="139"/>
        <v>115.69089654074448</v>
      </c>
    </row>
    <row r="971" spans="2:17" x14ac:dyDescent="0.3">
      <c r="B971" s="6">
        <f ca="1">RANDBETWEEN(ranges!B$2,ranges!B$3)</f>
        <v>10744</v>
      </c>
      <c r="C971" s="9">
        <f ca="1">LOOKUP(B971,geomorph!A:A,geomorph!B:B)</f>
        <v>1690</v>
      </c>
      <c r="D971">
        <f t="shared" ref="D971:D1001" si="140">D970</f>
        <v>1.13E-4</v>
      </c>
      <c r="E971" s="9">
        <f ca="1">'[2]Q_GEV(random)'!$J971</f>
        <v>3950.1513699131892</v>
      </c>
      <c r="F971" s="26">
        <f ca="1">RANDBETWEEN(ranges!F$2*1000,ranges!F$3*1000)/1000</f>
        <v>9.4E-2</v>
      </c>
      <c r="G971" s="3">
        <f t="shared" ref="G971:G1001" ca="1" si="141">E971/C971</f>
        <v>2.3373676745048457</v>
      </c>
      <c r="H971" s="4">
        <f t="shared" ref="H971:H1001" ca="1" si="142">POWER(G971/SQRT(4*9.807*D971/F971),2/3)</f>
        <v>4.874938076748891</v>
      </c>
      <c r="I971" s="4">
        <f t="shared" ref="I971:I1001" ca="1" si="143">POWER(G971*G971/9.807/D971,1/3)/C971/D971</f>
        <v>89.121263427276872</v>
      </c>
      <c r="J971" s="26">
        <f ca="1">RANDBETWEEN(ranges!J$2*1000,ranges!J$3*1000)/1000</f>
        <v>0.73299999999999998</v>
      </c>
      <c r="K971" s="26">
        <f ca="1">RANDBETWEEN(ranges!K$2*1000,ranges!K$3*1000)/1000</f>
        <v>0.91600000000000004</v>
      </c>
      <c r="L971">
        <f t="shared" ref="L971:L1001" ca="1" si="144">0.63*POWER(F971,1/3)*I971+5.75*(1+SQRT(1+0.11*J971*POWER(F971,1/3)*K971*I971))/J971</f>
        <v>49.048211405948294</v>
      </c>
      <c r="M971">
        <f t="shared" ref="M971:M1001" ca="1" si="145">L971*C971*D971</f>
        <v>9.3667369321939447</v>
      </c>
      <c r="N971" s="4">
        <f t="shared" ref="N971:N1001" ca="1" si="146">(M971-H971)/0.92</f>
        <v>4.8823900602663626</v>
      </c>
      <c r="O971" s="4"/>
      <c r="P971" s="1">
        <f ca="1">LOOKUP(B971,geomorph!$A:$A,geomorph!$G:$G)</f>
        <v>105.312141</v>
      </c>
      <c r="Q971" s="1">
        <f t="shared" ref="Q971:Q1001" ca="1" si="147">M971+P971</f>
        <v>114.67887793219394</v>
      </c>
    </row>
    <row r="972" spans="2:17" x14ac:dyDescent="0.3">
      <c r="B972" s="6">
        <f ca="1">RANDBETWEEN(ranges!B$2,ranges!B$3)</f>
        <v>10416</v>
      </c>
      <c r="C972" s="9">
        <f ca="1">LOOKUP(B972,geomorph!A:A,geomorph!B:B)</f>
        <v>1750.5</v>
      </c>
      <c r="D972">
        <f t="shared" si="140"/>
        <v>1.13E-4</v>
      </c>
      <c r="E972" s="9">
        <f ca="1">'[2]Q_GEV(random)'!$J972</f>
        <v>3921.0052612672471</v>
      </c>
      <c r="F972" s="26">
        <f ca="1">RANDBETWEEN(ranges!F$2*1000,ranges!F$3*1000)/1000</f>
        <v>0.104</v>
      </c>
      <c r="G972" s="3">
        <f t="shared" ca="1" si="141"/>
        <v>2.2399344537373591</v>
      </c>
      <c r="H972" s="4">
        <f t="shared" ca="1" si="142"/>
        <v>4.9009068680439887</v>
      </c>
      <c r="I972" s="4">
        <f t="shared" ca="1" si="143"/>
        <v>83.633083346130832</v>
      </c>
      <c r="J972" s="26">
        <f ca="1">RANDBETWEEN(ranges!J$2*1000,ranges!J$3*1000)/1000</f>
        <v>0.626</v>
      </c>
      <c r="K972" s="26">
        <f ca="1">RANDBETWEEN(ranges!K$2*1000,ranges!K$3*1000)/1000</f>
        <v>0.874</v>
      </c>
      <c r="L972">
        <f t="shared" ca="1" si="144"/>
        <v>50.817630416965066</v>
      </c>
      <c r="M972">
        <f t="shared" ca="1" si="145"/>
        <v>10.052057611073399</v>
      </c>
      <c r="N972" s="4">
        <f t="shared" ca="1" si="146"/>
        <v>5.5990768945971858</v>
      </c>
      <c r="O972" s="4"/>
      <c r="P972" s="1">
        <f ca="1">LOOKUP(B972,geomorph!$A:$A,geomorph!$G:$G)</f>
        <v>105.34943100000001</v>
      </c>
      <c r="Q972" s="1">
        <f t="shared" ca="1" si="147"/>
        <v>115.4014886110734</v>
      </c>
    </row>
    <row r="973" spans="2:17" x14ac:dyDescent="0.3">
      <c r="B973" s="6">
        <f ca="1">RANDBETWEEN(ranges!B$2,ranges!B$3)</f>
        <v>10557</v>
      </c>
      <c r="C973" s="9">
        <f ca="1">LOOKUP(B973,geomorph!A:A,geomorph!B:B)</f>
        <v>1754.1</v>
      </c>
      <c r="D973">
        <f t="shared" si="140"/>
        <v>1.13E-4</v>
      </c>
      <c r="E973" s="9">
        <f ca="1">'[2]Q_GEV(random)'!$J973</f>
        <v>3901.207558240375</v>
      </c>
      <c r="F973" s="26">
        <f ca="1">RANDBETWEEN(ranges!F$2*1000,ranges!F$3*1000)/1000</f>
        <v>0.11</v>
      </c>
      <c r="G973" s="3">
        <f t="shared" ca="1" si="141"/>
        <v>2.2240508284820564</v>
      </c>
      <c r="H973" s="4">
        <f t="shared" ca="1" si="142"/>
        <v>4.9697647415520869</v>
      </c>
      <c r="I973" s="4">
        <f t="shared" ca="1" si="143"/>
        <v>83.066416238591444</v>
      </c>
      <c r="J973" s="26">
        <f ca="1">RANDBETWEEN(ranges!J$2*1000,ranges!J$3*1000)/1000</f>
        <v>0.68200000000000005</v>
      </c>
      <c r="K973" s="26">
        <f ca="1">RANDBETWEEN(ranges!K$2*1000,ranges!K$3*1000)/1000</f>
        <v>0.80100000000000005</v>
      </c>
      <c r="L973">
        <f t="shared" ca="1" si="144"/>
        <v>49.032539876910221</v>
      </c>
      <c r="M973">
        <f t="shared" ca="1" si="145"/>
        <v>9.7189015363839673</v>
      </c>
      <c r="N973" s="4">
        <f t="shared" ca="1" si="146"/>
        <v>5.1621052117737829</v>
      </c>
      <c r="O973" s="4"/>
      <c r="P973" s="1">
        <f ca="1">LOOKUP(B973,geomorph!$A:$A,geomorph!$G:$G)</f>
        <v>105.333611</v>
      </c>
      <c r="Q973" s="1">
        <f t="shared" ca="1" si="147"/>
        <v>115.05251253638397</v>
      </c>
    </row>
    <row r="974" spans="2:17" x14ac:dyDescent="0.3">
      <c r="B974" s="6">
        <f ca="1">RANDBETWEEN(ranges!B$2,ranges!B$3)</f>
        <v>12936</v>
      </c>
      <c r="C974" s="9">
        <f ca="1">LOOKUP(B974,geomorph!A:A,geomorph!B:B)</f>
        <v>1139.3</v>
      </c>
      <c r="D974">
        <f t="shared" si="140"/>
        <v>1.13E-4</v>
      </c>
      <c r="E974" s="9">
        <f ca="1">'[2]Q_GEV(random)'!$J974</f>
        <v>3888.5643370324824</v>
      </c>
      <c r="F974" s="26">
        <f ca="1">RANDBETWEEN(ranges!F$2*1000,ranges!F$3*1000)/1000</f>
        <v>9.1999999999999998E-2</v>
      </c>
      <c r="G974" s="3">
        <f t="shared" ca="1" si="141"/>
        <v>3.4131171219454775</v>
      </c>
      <c r="H974" s="4">
        <f t="shared" ca="1" si="142"/>
        <v>6.2297679013220426</v>
      </c>
      <c r="I974" s="4">
        <f t="shared" ca="1" si="143"/>
        <v>170.15552180638613</v>
      </c>
      <c r="J974" s="26">
        <f ca="1">RANDBETWEEN(ranges!J$2*1000,ranges!J$3*1000)/1000</f>
        <v>0.79600000000000004</v>
      </c>
      <c r="K974" s="26">
        <f ca="1">RANDBETWEEN(ranges!K$2*1000,ranges!K$3*1000)/1000</f>
        <v>0.9</v>
      </c>
      <c r="L974">
        <f t="shared" ca="1" si="144"/>
        <v>74.80110121465431</v>
      </c>
      <c r="M974">
        <f t="shared" ca="1" si="145"/>
        <v>9.6299610913656881</v>
      </c>
      <c r="N974" s="4">
        <f t="shared" ca="1" si="146"/>
        <v>3.695862163090919</v>
      </c>
      <c r="O974" s="4"/>
      <c r="P974" s="1">
        <f ca="1">LOOKUP(B974,geomorph!$A:$A,geomorph!$G:$G)</f>
        <v>105.064671</v>
      </c>
      <c r="Q974" s="1">
        <f t="shared" ca="1" si="147"/>
        <v>114.69463209136569</v>
      </c>
    </row>
    <row r="975" spans="2:17" x14ac:dyDescent="0.3">
      <c r="B975" s="6">
        <f ca="1">RANDBETWEEN(ranges!B$2,ranges!B$3)</f>
        <v>11479</v>
      </c>
      <c r="C975" s="9">
        <f ca="1">LOOKUP(B975,geomorph!A:A,geomorph!B:B)</f>
        <v>1498.4</v>
      </c>
      <c r="D975">
        <f t="shared" si="140"/>
        <v>1.13E-4</v>
      </c>
      <c r="E975" s="9">
        <f ca="1">'[2]Q_GEV(random)'!$J975</f>
        <v>3813.6473730780426</v>
      </c>
      <c r="F975" s="26">
        <f ca="1">RANDBETWEEN(ranges!F$2*1000,ranges!F$3*1000)/1000</f>
        <v>9.2999999999999999E-2</v>
      </c>
      <c r="G975" s="3">
        <f t="shared" ca="1" si="141"/>
        <v>2.5451464048839045</v>
      </c>
      <c r="H975" s="4">
        <f t="shared" ca="1" si="142"/>
        <v>5.1413593450196933</v>
      </c>
      <c r="I975" s="4">
        <f t="shared" ca="1" si="143"/>
        <v>106.38917279517854</v>
      </c>
      <c r="J975" s="26">
        <f ca="1">RANDBETWEEN(ranges!J$2*1000,ranges!J$3*1000)/1000</f>
        <v>0.67900000000000005</v>
      </c>
      <c r="K975" s="26">
        <f ca="1">RANDBETWEEN(ranges!K$2*1000,ranges!K$3*1000)/1000</f>
        <v>0.89300000000000002</v>
      </c>
      <c r="L975">
        <f t="shared" ca="1" si="144"/>
        <v>56.220886586959708</v>
      </c>
      <c r="M975">
        <f t="shared" ca="1" si="145"/>
        <v>9.5192755401947498</v>
      </c>
      <c r="N975" s="4">
        <f t="shared" ca="1" si="146"/>
        <v>4.7586045599728877</v>
      </c>
      <c r="O975" s="4"/>
      <c r="P975" s="1">
        <f ca="1">LOOKUP(B975,geomorph!$A:$A,geomorph!$G:$G)</f>
        <v>105.229651</v>
      </c>
      <c r="Q975" s="1">
        <f t="shared" ca="1" si="147"/>
        <v>114.74892654019476</v>
      </c>
    </row>
    <row r="976" spans="2:17" x14ac:dyDescent="0.3">
      <c r="B976" s="6">
        <f ca="1">RANDBETWEEN(ranges!B$2,ranges!B$3)</f>
        <v>13597</v>
      </c>
      <c r="C976" s="9">
        <f ca="1">LOOKUP(B976,geomorph!A:A,geomorph!B:B)</f>
        <v>1225.4000000000001</v>
      </c>
      <c r="D976">
        <f t="shared" si="140"/>
        <v>1.13E-4</v>
      </c>
      <c r="E976" s="9">
        <f ca="1">'[2]Q_GEV(random)'!$J976</f>
        <v>3779.0580523686467</v>
      </c>
      <c r="F976" s="26">
        <f ca="1">RANDBETWEEN(ranges!F$2*1000,ranges!F$3*1000)/1000</f>
        <v>9.4E-2</v>
      </c>
      <c r="G976" s="3">
        <f t="shared" ca="1" si="141"/>
        <v>3.083938348595272</v>
      </c>
      <c r="H976" s="4">
        <f t="shared" ca="1" si="142"/>
        <v>5.8643723773934466</v>
      </c>
      <c r="I976" s="4">
        <f t="shared" ca="1" si="143"/>
        <v>147.85724139593896</v>
      </c>
      <c r="J976" s="26">
        <f ca="1">RANDBETWEEN(ranges!J$2*1000,ranges!J$3*1000)/1000</f>
        <v>0.71199999999999997</v>
      </c>
      <c r="K976" s="26">
        <f ca="1">RANDBETWEEN(ranges!K$2*1000,ranges!K$3*1000)/1000</f>
        <v>0.92900000000000005</v>
      </c>
      <c r="L976">
        <f t="shared" ca="1" si="144"/>
        <v>70.031632741717729</v>
      </c>
      <c r="M976">
        <f t="shared" ca="1" si="145"/>
        <v>9.6972941920722029</v>
      </c>
      <c r="N976" s="4">
        <f t="shared" ca="1" si="146"/>
        <v>4.1662193637812566</v>
      </c>
      <c r="O976" s="4"/>
      <c r="P976" s="1">
        <f ca="1">LOOKUP(B976,geomorph!$A:$A,geomorph!$G:$G)</f>
        <v>104.99009100000001</v>
      </c>
      <c r="Q976" s="1">
        <f t="shared" ca="1" si="147"/>
        <v>114.68738519207221</v>
      </c>
    </row>
    <row r="977" spans="2:17" x14ac:dyDescent="0.3">
      <c r="B977" s="6">
        <f ca="1">RANDBETWEEN(ranges!B$2,ranges!B$3)</f>
        <v>14090</v>
      </c>
      <c r="C977" s="9">
        <f ca="1">LOOKUP(B977,geomorph!A:A,geomorph!B:B)</f>
        <v>1349.5</v>
      </c>
      <c r="D977">
        <f t="shared" si="140"/>
        <v>1.13E-4</v>
      </c>
      <c r="E977" s="9">
        <f ca="1">'[2]Q_GEV(random)'!$J977</f>
        <v>3773.4269412341846</v>
      </c>
      <c r="F977" s="26">
        <f ca="1">RANDBETWEEN(ranges!F$2*1000,ranges!F$3*1000)/1000</f>
        <v>0.108</v>
      </c>
      <c r="G977" s="3">
        <f t="shared" ca="1" si="141"/>
        <v>2.7961666848715705</v>
      </c>
      <c r="H977" s="4">
        <f t="shared" ca="1" si="142"/>
        <v>5.753848462000092</v>
      </c>
      <c r="I977" s="4">
        <f t="shared" ca="1" si="143"/>
        <v>125.77254029406913</v>
      </c>
      <c r="J977" s="26">
        <f ca="1">RANDBETWEEN(ranges!J$2*1000,ranges!J$3*1000)/1000</f>
        <v>0.73199999999999998</v>
      </c>
      <c r="K977" s="26">
        <f ca="1">RANDBETWEEN(ranges!K$2*1000,ranges!K$3*1000)/1000</f>
        <v>0.874</v>
      </c>
      <c r="L977">
        <f t="shared" ca="1" si="144"/>
        <v>63.527916455691503</v>
      </c>
      <c r="M977">
        <f t="shared" ca="1" si="145"/>
        <v>9.687594328035992</v>
      </c>
      <c r="N977" s="4">
        <f t="shared" ca="1" si="146"/>
        <v>4.2758107239520653</v>
      </c>
      <c r="O977" s="4"/>
      <c r="P977" s="1">
        <f ca="1">LOOKUP(B977,geomorph!$A:$A,geomorph!$G:$G)</f>
        <v>104.93359100000001</v>
      </c>
      <c r="Q977" s="1">
        <f t="shared" ca="1" si="147"/>
        <v>114.62118532803601</v>
      </c>
    </row>
    <row r="978" spans="2:17" x14ac:dyDescent="0.3">
      <c r="B978" s="6">
        <f ca="1">RANDBETWEEN(ranges!B$2,ranges!B$3)</f>
        <v>12655</v>
      </c>
      <c r="C978" s="9">
        <f ca="1">LOOKUP(B978,geomorph!A:A,geomorph!B:B)</f>
        <v>1170.8</v>
      </c>
      <c r="D978">
        <f t="shared" si="140"/>
        <v>1.13E-4</v>
      </c>
      <c r="E978" s="9">
        <f ca="1">'[2]Q_GEV(random)'!$J978</f>
        <v>3700.3614744002671</v>
      </c>
      <c r="F978" s="26">
        <f ca="1">RANDBETWEEN(ranges!F$2*1000,ranges!F$3*1000)/1000</f>
        <v>0.11</v>
      </c>
      <c r="G978" s="3">
        <f t="shared" ca="1" si="141"/>
        <v>3.1605410611549942</v>
      </c>
      <c r="H978" s="4">
        <f t="shared" ca="1" si="142"/>
        <v>6.2817451964338611</v>
      </c>
      <c r="I978" s="4">
        <f t="shared" ca="1" si="143"/>
        <v>157.30466221063</v>
      </c>
      <c r="J978" s="26">
        <f ca="1">RANDBETWEEN(ranges!J$2*1000,ranges!J$3*1000)/1000</f>
        <v>0.65500000000000003</v>
      </c>
      <c r="K978" s="26">
        <f ca="1">RANDBETWEEN(ranges!K$2*1000,ranges!K$3*1000)/1000</f>
        <v>0.91800000000000004</v>
      </c>
      <c r="L978">
        <f t="shared" ca="1" si="144"/>
        <v>77.739140226652751</v>
      </c>
      <c r="M978">
        <f t="shared" ca="1" si="145"/>
        <v>10.28491934764225</v>
      </c>
      <c r="N978" s="4">
        <f t="shared" ca="1" si="146"/>
        <v>4.3512762513134655</v>
      </c>
      <c r="O978" s="4"/>
      <c r="P978" s="1">
        <f ca="1">LOOKUP(B978,geomorph!$A:$A,geomorph!$G:$G)</f>
        <v>105.096311</v>
      </c>
      <c r="Q978" s="1">
        <f t="shared" ca="1" si="147"/>
        <v>115.38123034764224</v>
      </c>
    </row>
    <row r="979" spans="2:17" x14ac:dyDescent="0.3">
      <c r="B979" s="6">
        <f ca="1">RANDBETWEEN(ranges!B$2,ranges!B$3)</f>
        <v>13359</v>
      </c>
      <c r="C979" s="9">
        <f ca="1">LOOKUP(B979,geomorph!A:A,geomorph!B:B)</f>
        <v>1179.9000000000001</v>
      </c>
      <c r="D979">
        <f t="shared" si="140"/>
        <v>1.13E-4</v>
      </c>
      <c r="E979" s="9">
        <f ca="1">'[2]Q_GEV(random)'!$J979</f>
        <v>3351.6370788048298</v>
      </c>
      <c r="F979" s="26">
        <f ca="1">RANDBETWEEN(ranges!F$2*1000,ranges!F$3*1000)/1000</f>
        <v>0.10299999999999999</v>
      </c>
      <c r="G979" s="3">
        <f t="shared" ca="1" si="141"/>
        <v>2.8406111355240524</v>
      </c>
      <c r="H979" s="4">
        <f t="shared" ca="1" si="142"/>
        <v>5.7235049355985241</v>
      </c>
      <c r="I979" s="4">
        <f t="shared" ca="1" si="143"/>
        <v>145.37152262021533</v>
      </c>
      <c r="J979" s="26">
        <f ca="1">RANDBETWEEN(ranges!J$2*1000,ranges!J$3*1000)/1000</f>
        <v>0.63200000000000001</v>
      </c>
      <c r="K979" s="26">
        <f ca="1">RANDBETWEEN(ranges!K$2*1000,ranges!K$3*1000)/1000</f>
        <v>0.89800000000000002</v>
      </c>
      <c r="L979">
        <f t="shared" ca="1" si="144"/>
        <v>72.883145058590785</v>
      </c>
      <c r="M979">
        <f t="shared" ca="1" si="145"/>
        <v>9.7174149825733345</v>
      </c>
      <c r="N979" s="4">
        <f t="shared" ca="1" si="146"/>
        <v>4.3412065727987068</v>
      </c>
      <c r="O979" s="4"/>
      <c r="P979" s="1">
        <f ca="1">LOOKUP(B979,geomorph!$A:$A,geomorph!$G:$G)</f>
        <v>105.017211</v>
      </c>
      <c r="Q979" s="1">
        <f t="shared" ca="1" si="147"/>
        <v>114.73462598257333</v>
      </c>
    </row>
    <row r="980" spans="2:17" x14ac:dyDescent="0.3">
      <c r="B980" s="6">
        <f ca="1">RANDBETWEEN(ranges!B$2,ranges!B$3)</f>
        <v>10148</v>
      </c>
      <c r="C980" s="9">
        <f ca="1">LOOKUP(B980,geomorph!A:A,geomorph!B:B)</f>
        <v>1594.2</v>
      </c>
      <c r="D980">
        <f t="shared" si="140"/>
        <v>1.13E-4</v>
      </c>
      <c r="E980" s="9">
        <f ca="1">'[2]Q_GEV(random)'!$J980</f>
        <v>3313.5140951975909</v>
      </c>
      <c r="F980" s="26">
        <f ca="1">RANDBETWEEN(ranges!F$2*1000,ranges!F$3*1000)/1000</f>
        <v>0.10100000000000001</v>
      </c>
      <c r="G980" s="3">
        <f t="shared" ca="1" si="141"/>
        <v>2.0784808024072206</v>
      </c>
      <c r="H980" s="4">
        <f t="shared" ca="1" si="142"/>
        <v>4.6172097024335166</v>
      </c>
      <c r="I980" s="4">
        <f t="shared" ca="1" si="143"/>
        <v>87.365082327966149</v>
      </c>
      <c r="J980" s="26">
        <f ca="1">RANDBETWEEN(ranges!J$2*1000,ranges!J$3*1000)/1000</f>
        <v>0.75600000000000001</v>
      </c>
      <c r="K980" s="26">
        <f ca="1">RANDBETWEEN(ranges!K$2*1000,ranges!K$3*1000)/1000</f>
        <v>0.99299999999999999</v>
      </c>
      <c r="L980">
        <f t="shared" ca="1" si="144"/>
        <v>49.118989718090177</v>
      </c>
      <c r="M980">
        <f t="shared" ca="1" si="145"/>
        <v>8.8485207551694671</v>
      </c>
      <c r="N980" s="4">
        <f t="shared" ca="1" si="146"/>
        <v>4.5992511442782069</v>
      </c>
      <c r="O980" s="4"/>
      <c r="P980" s="1">
        <f ca="1">LOOKUP(B980,geomorph!$A:$A,geomorph!$G:$G)</f>
        <v>105.379941</v>
      </c>
      <c r="Q980" s="1">
        <f t="shared" ca="1" si="147"/>
        <v>114.22846175516946</v>
      </c>
    </row>
    <row r="981" spans="2:17" x14ac:dyDescent="0.3">
      <c r="B981" s="6">
        <f ca="1">RANDBETWEEN(ranges!B$2,ranges!B$3)</f>
        <v>13006</v>
      </c>
      <c r="C981" s="9">
        <f ca="1">LOOKUP(B981,geomorph!A:A,geomorph!B:B)</f>
        <v>1144</v>
      </c>
      <c r="D981">
        <f t="shared" si="140"/>
        <v>1.13E-4</v>
      </c>
      <c r="E981" s="9">
        <f ca="1">'[2]Q_GEV(random)'!$J981</f>
        <v>3264.1778936344335</v>
      </c>
      <c r="F981" s="26">
        <f ca="1">RANDBETWEEN(ranges!F$2*1000,ranges!F$3*1000)/1000</f>
        <v>9.6000000000000002E-2</v>
      </c>
      <c r="G981" s="3">
        <f t="shared" ca="1" si="141"/>
        <v>2.8533023545755536</v>
      </c>
      <c r="H981" s="4">
        <f t="shared" ca="1" si="142"/>
        <v>5.6074327117897642</v>
      </c>
      <c r="I981" s="4">
        <f t="shared" ca="1" si="143"/>
        <v>150.37969130523186</v>
      </c>
      <c r="J981" s="26">
        <f ca="1">RANDBETWEEN(ranges!J$2*1000,ranges!J$3*1000)/1000</f>
        <v>0.71099999999999997</v>
      </c>
      <c r="K981" s="26">
        <f ca="1">RANDBETWEEN(ranges!K$2*1000,ranges!K$3*1000)/1000</f>
        <v>0.82699999999999996</v>
      </c>
      <c r="L981">
        <f t="shared" ca="1" si="144"/>
        <v>70.352974566664528</v>
      </c>
      <c r="M981">
        <f t="shared" ca="1" si="145"/>
        <v>9.0946697281818558</v>
      </c>
      <c r="N981" s="4">
        <f t="shared" ca="1" si="146"/>
        <v>3.7904750178174909</v>
      </c>
      <c r="O981" s="4"/>
      <c r="P981" s="1">
        <f ca="1">LOOKUP(B981,geomorph!$A:$A,geomorph!$G:$G)</f>
        <v>105.05676100000001</v>
      </c>
      <c r="Q981" s="1">
        <f t="shared" ca="1" si="147"/>
        <v>114.15143072818186</v>
      </c>
    </row>
    <row r="982" spans="2:17" x14ac:dyDescent="0.3">
      <c r="B982" s="6">
        <f ca="1">RANDBETWEEN(ranges!B$2,ranges!B$3)</f>
        <v>10700</v>
      </c>
      <c r="C982" s="9">
        <f ca="1">LOOKUP(B982,geomorph!A:A,geomorph!B:B)</f>
        <v>1711.6</v>
      </c>
      <c r="D982">
        <f t="shared" si="140"/>
        <v>1.13E-4</v>
      </c>
      <c r="E982" s="9">
        <f ca="1">'[2]Q_GEV(random)'!$J982</f>
        <v>3246.3029956684477</v>
      </c>
      <c r="F982" s="26">
        <f ca="1">RANDBETWEEN(ranges!F$2*1000,ranges!F$3*1000)/1000</f>
        <v>0.105</v>
      </c>
      <c r="G982" s="3">
        <f t="shared" ca="1" si="141"/>
        <v>1.8966481629285159</v>
      </c>
      <c r="H982" s="4">
        <f t="shared" ca="1" si="142"/>
        <v>4.4004397537488291</v>
      </c>
      <c r="I982" s="4">
        <f t="shared" ca="1" si="143"/>
        <v>76.554769919219524</v>
      </c>
      <c r="J982" s="26">
        <f ca="1">RANDBETWEEN(ranges!J$2*1000,ranges!J$3*1000)/1000</f>
        <v>0.64900000000000002</v>
      </c>
      <c r="K982" s="26">
        <f ca="1">RANDBETWEEN(ranges!K$2*1000,ranges!K$3*1000)/1000</f>
        <v>0.84899999999999998</v>
      </c>
      <c r="L982">
        <f t="shared" ca="1" si="144"/>
        <v>47.434605763941654</v>
      </c>
      <c r="M982">
        <f t="shared" ca="1" si="145"/>
        <v>9.1743650484885659</v>
      </c>
      <c r="N982" s="4">
        <f t="shared" ca="1" si="146"/>
        <v>5.1890492334127574</v>
      </c>
      <c r="O982" s="4"/>
      <c r="P982" s="1">
        <f ca="1">LOOKUP(B982,geomorph!$A:$A,geomorph!$G:$G)</f>
        <v>105.316661</v>
      </c>
      <c r="Q982" s="1">
        <f t="shared" ca="1" si="147"/>
        <v>114.49102604848856</v>
      </c>
    </row>
    <row r="983" spans="2:17" x14ac:dyDescent="0.3">
      <c r="B983" s="6">
        <f ca="1">RANDBETWEEN(ranges!B$2,ranges!B$3)</f>
        <v>10543</v>
      </c>
      <c r="C983" s="9">
        <f ca="1">LOOKUP(B983,geomorph!A:A,geomorph!B:B)</f>
        <v>1756.7</v>
      </c>
      <c r="D983">
        <f t="shared" si="140"/>
        <v>1.13E-4</v>
      </c>
      <c r="E983" s="9">
        <f ca="1">'[2]Q_GEV(random)'!$J983</f>
        <v>3164.8990244600163</v>
      </c>
      <c r="F983" s="26">
        <f ca="1">RANDBETWEEN(ranges!F$2*1000,ranges!F$3*1000)/1000</f>
        <v>9.9000000000000005E-2</v>
      </c>
      <c r="G983" s="3">
        <f t="shared" ca="1" si="141"/>
        <v>1.8016161122900987</v>
      </c>
      <c r="H983" s="4">
        <f t="shared" ca="1" si="142"/>
        <v>4.1696061342101567</v>
      </c>
      <c r="I983" s="4">
        <f t="shared" ca="1" si="143"/>
        <v>72.07653834816881</v>
      </c>
      <c r="J983" s="26">
        <f ca="1">RANDBETWEEN(ranges!J$2*1000,ranges!J$3*1000)/1000</f>
        <v>0.69399999999999995</v>
      </c>
      <c r="K983" s="26">
        <f ca="1">RANDBETWEEN(ranges!K$2*1000,ranges!K$3*1000)/1000</f>
        <v>0.82099999999999995</v>
      </c>
      <c r="L983">
        <f t="shared" ca="1" si="144"/>
        <v>43.855158845080524</v>
      </c>
      <c r="M983">
        <f t="shared" ca="1" si="145"/>
        <v>8.7055604023762836</v>
      </c>
      <c r="N983" s="4">
        <f t="shared" ca="1" si="146"/>
        <v>4.9303850740936159</v>
      </c>
      <c r="O983" s="4"/>
      <c r="P983" s="1">
        <f ca="1">LOOKUP(B983,geomorph!$A:$A,geomorph!$G:$G)</f>
        <v>105.33474100000001</v>
      </c>
      <c r="Q983" s="1">
        <f t="shared" ca="1" si="147"/>
        <v>114.04030140237629</v>
      </c>
    </row>
    <row r="984" spans="2:17" x14ac:dyDescent="0.3">
      <c r="B984" s="6">
        <f ca="1">RANDBETWEEN(ranges!B$2,ranges!B$3)</f>
        <v>14580</v>
      </c>
      <c r="C984" s="9">
        <f ca="1">LOOKUP(B984,geomorph!A:A,geomorph!B:B)</f>
        <v>1420.5</v>
      </c>
      <c r="D984">
        <f t="shared" si="140"/>
        <v>1.13E-4</v>
      </c>
      <c r="E984" s="9">
        <f ca="1">'[2]Q_GEV(random)'!$J984</f>
        <v>2973.290297437854</v>
      </c>
      <c r="F984" s="26">
        <f ca="1">RANDBETWEEN(ranges!F$2*1000,ranges!F$3*1000)/1000</f>
        <v>0.10199999999999999</v>
      </c>
      <c r="G984" s="3">
        <f t="shared" ca="1" si="141"/>
        <v>2.0931293892557932</v>
      </c>
      <c r="H984" s="4">
        <f t="shared" ca="1" si="142"/>
        <v>4.6541377984256753</v>
      </c>
      <c r="I984" s="4">
        <f t="shared" ca="1" si="143"/>
        <v>98.5083011182234</v>
      </c>
      <c r="J984" s="26">
        <f ca="1">RANDBETWEEN(ranges!J$2*1000,ranges!J$3*1000)/1000</f>
        <v>0.628</v>
      </c>
      <c r="K984" s="26">
        <f ca="1">RANDBETWEEN(ranges!K$2*1000,ranges!K$3*1000)/1000</f>
        <v>0.99199999999999999</v>
      </c>
      <c r="L984">
        <f t="shared" ca="1" si="144"/>
        <v>56.814050313323506</v>
      </c>
      <c r="M984">
        <f t="shared" ca="1" si="145"/>
        <v>9.1195925071185915</v>
      </c>
      <c r="N984" s="4">
        <f t="shared" ca="1" si="146"/>
        <v>4.8537551181444742</v>
      </c>
      <c r="O984" s="4"/>
      <c r="P984" s="1">
        <f ca="1">LOOKUP(B984,geomorph!$A:$A,geomorph!$G:$G)</f>
        <v>104.878221</v>
      </c>
      <c r="Q984" s="1">
        <f t="shared" ca="1" si="147"/>
        <v>113.99781350711859</v>
      </c>
    </row>
    <row r="985" spans="2:17" x14ac:dyDescent="0.3">
      <c r="B985" s="6">
        <f ca="1">RANDBETWEEN(ranges!B$2,ranges!B$3)</f>
        <v>12862</v>
      </c>
      <c r="C985" s="9">
        <f ca="1">LOOKUP(B985,geomorph!A:A,geomorph!B:B)</f>
        <v>1134.7</v>
      </c>
      <c r="D985">
        <f t="shared" si="140"/>
        <v>1.13E-4</v>
      </c>
      <c r="E985" s="9">
        <f ca="1">'[2]Q_GEV(random)'!$J985</f>
        <v>2875.3323919552158</v>
      </c>
      <c r="F985" s="26">
        <f ca="1">RANDBETWEEN(ranges!F$2*1000,ranges!F$3*1000)/1000</f>
        <v>0.10299999999999999</v>
      </c>
      <c r="G985" s="3">
        <f t="shared" ca="1" si="141"/>
        <v>2.5340022842647536</v>
      </c>
      <c r="H985" s="4">
        <f t="shared" ca="1" si="142"/>
        <v>5.3038618838848386</v>
      </c>
      <c r="I985" s="4">
        <f t="shared" ca="1" si="143"/>
        <v>140.07919267288776</v>
      </c>
      <c r="J985" s="26">
        <f ca="1">RANDBETWEEN(ranges!J$2*1000,ranges!J$3*1000)/1000</f>
        <v>0.67700000000000005</v>
      </c>
      <c r="K985" s="26">
        <f ca="1">RANDBETWEEN(ranges!K$2*1000,ranges!K$3*1000)/1000</f>
        <v>0.93</v>
      </c>
      <c r="L985">
        <f t="shared" ca="1" si="144"/>
        <v>69.865627568439592</v>
      </c>
      <c r="M985">
        <f t="shared" ca="1" si="145"/>
        <v>8.9582476190156495</v>
      </c>
      <c r="N985" s="4">
        <f t="shared" ca="1" si="146"/>
        <v>3.9721584077508814</v>
      </c>
      <c r="O985" s="4"/>
      <c r="P985" s="1">
        <f ca="1">LOOKUP(B985,geomorph!$A:$A,geomorph!$G:$G)</f>
        <v>105.072581</v>
      </c>
      <c r="Q985" s="1">
        <f t="shared" ca="1" si="147"/>
        <v>114.03082861901565</v>
      </c>
    </row>
    <row r="986" spans="2:17" x14ac:dyDescent="0.3">
      <c r="B986" s="6">
        <f ca="1">RANDBETWEEN(ranges!B$2,ranges!B$3)</f>
        <v>14375</v>
      </c>
      <c r="C986" s="9">
        <f ca="1">LOOKUP(B986,geomorph!A:A,geomorph!B:B)</f>
        <v>1367.7</v>
      </c>
      <c r="D986">
        <f t="shared" si="140"/>
        <v>1.13E-4</v>
      </c>
      <c r="E986" s="9">
        <f ca="1">'[2]Q_GEV(random)'!$J986</f>
        <v>2730.3340520371976</v>
      </c>
      <c r="F986" s="26">
        <f ca="1">RANDBETWEEN(ranges!F$2*1000,ranges!F$3*1000)/1000</f>
        <v>9.6000000000000002E-2</v>
      </c>
      <c r="G986" s="3">
        <f t="shared" ca="1" si="141"/>
        <v>1.9962960093859745</v>
      </c>
      <c r="H986" s="4">
        <f t="shared" ca="1" si="142"/>
        <v>4.4192526740662883</v>
      </c>
      <c r="I986" s="4">
        <f t="shared" ca="1" si="143"/>
        <v>99.13091825136479</v>
      </c>
      <c r="J986" s="26">
        <f ca="1">RANDBETWEEN(ranges!J$2*1000,ranges!J$3*1000)/1000</f>
        <v>0.77500000000000002</v>
      </c>
      <c r="K986" s="26">
        <f ca="1">RANDBETWEEN(ranges!K$2*1000,ranges!K$3*1000)/1000</f>
        <v>0.86199999999999999</v>
      </c>
      <c r="L986">
        <f t="shared" ca="1" si="144"/>
        <v>51.464025488985385</v>
      </c>
      <c r="M986">
        <f t="shared" ca="1" si="145"/>
        <v>7.9537702857252404</v>
      </c>
      <c r="N986" s="4">
        <f t="shared" ca="1" si="146"/>
        <v>3.8418669691945131</v>
      </c>
      <c r="O986" s="4"/>
      <c r="P986" s="1">
        <f ca="1">LOOKUP(B986,geomorph!$A:$A,geomorph!$G:$G)</f>
        <v>104.901951</v>
      </c>
      <c r="Q986" s="1">
        <f t="shared" ca="1" si="147"/>
        <v>112.85572128572524</v>
      </c>
    </row>
    <row r="987" spans="2:17" x14ac:dyDescent="0.3">
      <c r="B987" s="6">
        <f ca="1">RANDBETWEEN(ranges!B$2,ranges!B$3)</f>
        <v>13444</v>
      </c>
      <c r="C987" s="9">
        <f ca="1">LOOKUP(B987,geomorph!A:A,geomorph!B:B)</f>
        <v>1190.5999999999999</v>
      </c>
      <c r="D987">
        <f t="shared" si="140"/>
        <v>1.13E-4</v>
      </c>
      <c r="E987" s="9">
        <f ca="1">'[2]Q_GEV(random)'!$J987</f>
        <v>2570.3286528968538</v>
      </c>
      <c r="F987" s="26">
        <f ca="1">RANDBETWEEN(ranges!F$2*1000,ranges!F$3*1000)/1000</f>
        <v>0.10299999999999999</v>
      </c>
      <c r="G987" s="3">
        <f t="shared" ca="1" si="141"/>
        <v>2.1588515478723784</v>
      </c>
      <c r="H987" s="4">
        <f t="shared" ca="1" si="142"/>
        <v>4.7665343206903712</v>
      </c>
      <c r="I987" s="4">
        <f t="shared" ca="1" si="143"/>
        <v>119.97736649837684</v>
      </c>
      <c r="J987" s="26">
        <f ca="1">RANDBETWEEN(ranges!J$2*1000,ranges!J$3*1000)/1000</f>
        <v>0.64100000000000001</v>
      </c>
      <c r="K987" s="26">
        <f ca="1">RANDBETWEEN(ranges!K$2*1000,ranges!K$3*1000)/1000</f>
        <v>0.84599999999999997</v>
      </c>
      <c r="L987">
        <f t="shared" ca="1" si="144"/>
        <v>63.121016760687255</v>
      </c>
      <c r="M987">
        <f t="shared" ca="1" si="145"/>
        <v>8.4921627287459884</v>
      </c>
      <c r="N987" s="4">
        <f t="shared" ca="1" si="146"/>
        <v>4.0495960957126274</v>
      </c>
      <c r="O987" s="4"/>
      <c r="P987" s="1">
        <f ca="1">LOOKUP(B987,geomorph!$A:$A,geomorph!$G:$G)</f>
        <v>105.007041</v>
      </c>
      <c r="Q987" s="1">
        <f t="shared" ca="1" si="147"/>
        <v>113.49920372874598</v>
      </c>
    </row>
    <row r="988" spans="2:17" x14ac:dyDescent="0.3">
      <c r="B988" s="6">
        <f ca="1">RANDBETWEEN(ranges!B$2,ranges!B$3)</f>
        <v>13805</v>
      </c>
      <c r="C988" s="9">
        <f ca="1">LOOKUP(B988,geomorph!A:A,geomorph!B:B)</f>
        <v>1278.3</v>
      </c>
      <c r="D988">
        <f t="shared" si="140"/>
        <v>1.13E-4</v>
      </c>
      <c r="E988" s="9">
        <f ca="1">'[2]Q_GEV(random)'!$J988</f>
        <v>2539.1643373105444</v>
      </c>
      <c r="F988" s="26">
        <f ca="1">RANDBETWEEN(ranges!F$2*1000,ranges!F$3*1000)/1000</f>
        <v>0.104</v>
      </c>
      <c r="G988" s="3">
        <f t="shared" ca="1" si="141"/>
        <v>1.9863602732617887</v>
      </c>
      <c r="H988" s="4">
        <f t="shared" ca="1" si="142"/>
        <v>4.5236770256969772</v>
      </c>
      <c r="I988" s="4">
        <f t="shared" ca="1" si="143"/>
        <v>105.71158273819172</v>
      </c>
      <c r="J988" s="26">
        <f ca="1">RANDBETWEEN(ranges!J$2*1000,ranges!J$3*1000)/1000</f>
        <v>0.73899999999999999</v>
      </c>
      <c r="K988" s="26">
        <f ca="1">RANDBETWEEN(ranges!K$2*1000,ranges!K$3*1000)/1000</f>
        <v>0.85499999999999998</v>
      </c>
      <c r="L988">
        <f t="shared" ca="1" si="144"/>
        <v>55.522889867409376</v>
      </c>
      <c r="M988">
        <f t="shared" ca="1" si="145"/>
        <v>8.0201648432785611</v>
      </c>
      <c r="N988" s="4">
        <f t="shared" ca="1" si="146"/>
        <v>3.8005302365017215</v>
      </c>
      <c r="O988" s="4"/>
      <c r="P988" s="1">
        <f ca="1">LOOKUP(B988,geomorph!$A:$A,geomorph!$G:$G)</f>
        <v>104.96636100000001</v>
      </c>
      <c r="Q988" s="1">
        <f t="shared" ca="1" si="147"/>
        <v>112.98652584327857</v>
      </c>
    </row>
    <row r="989" spans="2:17" x14ac:dyDescent="0.3">
      <c r="B989" s="6">
        <f ca="1">RANDBETWEEN(ranges!B$2,ranges!B$3)</f>
        <v>14938</v>
      </c>
      <c r="C989" s="9">
        <f ca="1">LOOKUP(B989,geomorph!A:A,geomorph!B:B)</f>
        <v>1511.1</v>
      </c>
      <c r="D989">
        <f t="shared" si="140"/>
        <v>1.13E-4</v>
      </c>
      <c r="E989" s="9">
        <f ca="1">'[2]Q_GEV(random)'!$J989</f>
        <v>2316.0500222210312</v>
      </c>
      <c r="F989" s="26">
        <f ca="1">RANDBETWEEN(ranges!F$2*1000,ranges!F$3*1000)/1000</f>
        <v>0.10299999999999999</v>
      </c>
      <c r="G989" s="3">
        <f t="shared" ca="1" si="141"/>
        <v>1.5326914315538558</v>
      </c>
      <c r="H989" s="4">
        <f t="shared" ca="1" si="142"/>
        <v>3.7933596870278943</v>
      </c>
      <c r="I989" s="4">
        <f t="shared" ca="1" si="143"/>
        <v>75.230387304695427</v>
      </c>
      <c r="J989" s="26">
        <f ca="1">RANDBETWEEN(ranges!J$2*1000,ranges!J$3*1000)/1000</f>
        <v>0.60099999999999998</v>
      </c>
      <c r="K989" s="26">
        <f ca="1">RANDBETWEEN(ranges!K$2*1000,ranges!K$3*1000)/1000</f>
        <v>0.90300000000000002</v>
      </c>
      <c r="L989">
        <f t="shared" ca="1" si="144"/>
        <v>48.643343871968511</v>
      </c>
      <c r="M989">
        <f t="shared" ca="1" si="145"/>
        <v>8.3060601325172723</v>
      </c>
      <c r="N989" s="4">
        <f t="shared" ca="1" si="146"/>
        <v>4.9051091798797577</v>
      </c>
      <c r="O989" s="4"/>
      <c r="P989" s="1">
        <f ca="1">LOOKUP(B989,geomorph!$A:$A,geomorph!$G:$G)</f>
        <v>104.83867100000001</v>
      </c>
      <c r="Q989" s="1">
        <f t="shared" ca="1" si="147"/>
        <v>113.14473113251728</v>
      </c>
    </row>
    <row r="990" spans="2:17" x14ac:dyDescent="0.3">
      <c r="B990" s="6">
        <f ca="1">RANDBETWEEN(ranges!B$2,ranges!B$3)</f>
        <v>10594</v>
      </c>
      <c r="C990" s="9">
        <f ca="1">LOOKUP(B990,geomorph!A:A,geomorph!B:B)</f>
        <v>1743.3</v>
      </c>
      <c r="D990">
        <f t="shared" si="140"/>
        <v>1.13E-4</v>
      </c>
      <c r="E990" s="9">
        <f ca="1">'[2]Q_GEV(random)'!$J990</f>
        <v>2298.307087962281</v>
      </c>
      <c r="F990" s="26">
        <f ca="1">RANDBETWEEN(ranges!F$2*1000,ranges!F$3*1000)/1000</f>
        <v>9.5000000000000001E-2</v>
      </c>
      <c r="G990" s="3">
        <f t="shared" ca="1" si="141"/>
        <v>1.3183657935881838</v>
      </c>
      <c r="H990" s="4">
        <f t="shared" ca="1" si="142"/>
        <v>3.3396960986013551</v>
      </c>
      <c r="I990" s="4">
        <f t="shared" ca="1" si="143"/>
        <v>58.979602005619888</v>
      </c>
      <c r="J990" s="26">
        <f ca="1">RANDBETWEEN(ranges!J$2*1000,ranges!J$3*1000)/1000</f>
        <v>0.71299999999999997</v>
      </c>
      <c r="K990" s="26">
        <f ca="1">RANDBETWEEN(ranges!K$2*1000,ranges!K$3*1000)/1000</f>
        <v>0.85699999999999998</v>
      </c>
      <c r="L990">
        <f t="shared" ca="1" si="144"/>
        <v>38.534822740795732</v>
      </c>
      <c r="M990">
        <f t="shared" ca="1" si="145"/>
        <v>7.5910864826952995</v>
      </c>
      <c r="N990" s="4">
        <f t="shared" ca="1" si="146"/>
        <v>4.62107650444994</v>
      </c>
      <c r="O990" s="4"/>
      <c r="P990" s="1">
        <f ca="1">LOOKUP(B990,geomorph!$A:$A,geomorph!$G:$G)</f>
        <v>105.32909100000001</v>
      </c>
      <c r="Q990" s="1">
        <f t="shared" ca="1" si="147"/>
        <v>112.92017748269531</v>
      </c>
    </row>
    <row r="991" spans="2:17" x14ac:dyDescent="0.3">
      <c r="B991" s="6">
        <f ca="1">RANDBETWEEN(ranges!B$2,ranges!B$3)</f>
        <v>13760</v>
      </c>
      <c r="C991" s="9">
        <f ca="1">LOOKUP(B991,geomorph!A:A,geomorph!B:B)</f>
        <v>1268.2</v>
      </c>
      <c r="D991">
        <f t="shared" si="140"/>
        <v>1.13E-4</v>
      </c>
      <c r="E991" s="9">
        <f ca="1">'[2]Q_GEV(random)'!$J991</f>
        <v>2287.3363700987175</v>
      </c>
      <c r="F991" s="26">
        <f ca="1">RANDBETWEEN(ranges!F$2*1000,ranges!F$3*1000)/1000</f>
        <v>9.8000000000000004E-2</v>
      </c>
      <c r="G991" s="3">
        <f t="shared" ca="1" si="141"/>
        <v>1.8036085555107375</v>
      </c>
      <c r="H991" s="4">
        <f t="shared" ca="1" si="142"/>
        <v>4.158582736518043</v>
      </c>
      <c r="I991" s="4">
        <f t="shared" ca="1" si="143"/>
        <v>99.913412544967244</v>
      </c>
      <c r="J991" s="26">
        <f ca="1">RANDBETWEEN(ranges!J$2*1000,ranges!J$3*1000)/1000</f>
        <v>0.61199999999999999</v>
      </c>
      <c r="K991" s="26">
        <f ca="1">RANDBETWEEN(ranges!K$2*1000,ranges!K$3*1000)/1000</f>
        <v>0.82399999999999995</v>
      </c>
      <c r="L991">
        <f t="shared" ca="1" si="144"/>
        <v>56.131500036241562</v>
      </c>
      <c r="M991">
        <f t="shared" ca="1" si="145"/>
        <v>8.044014423093655</v>
      </c>
      <c r="N991" s="4">
        <f t="shared" ca="1" si="146"/>
        <v>4.2232953114952299</v>
      </c>
      <c r="O991" s="4"/>
      <c r="P991" s="1">
        <f ca="1">LOOKUP(B991,geomorph!$A:$A,geomorph!$G:$G)</f>
        <v>104.97088100000001</v>
      </c>
      <c r="Q991" s="1">
        <f t="shared" ca="1" si="147"/>
        <v>113.01489542309366</v>
      </c>
    </row>
    <row r="992" spans="2:17" x14ac:dyDescent="0.3">
      <c r="B992" s="6">
        <f ca="1">RANDBETWEEN(ranges!B$2,ranges!B$3)</f>
        <v>10537</v>
      </c>
      <c r="C992" s="9">
        <f ca="1">LOOKUP(B992,geomorph!A:A,geomorph!B:B)</f>
        <v>1759.3</v>
      </c>
      <c r="D992">
        <f t="shared" si="140"/>
        <v>1.13E-4</v>
      </c>
      <c r="E992" s="9">
        <f ca="1">'[2]Q_GEV(random)'!$J992</f>
        <v>2136.1326868884571</v>
      </c>
      <c r="F992" s="26">
        <f ca="1">RANDBETWEEN(ranges!F$2*1000,ranges!F$3*1000)/1000</f>
        <v>0.104</v>
      </c>
      <c r="G992" s="3">
        <f t="shared" ca="1" si="141"/>
        <v>1.2141946722494499</v>
      </c>
      <c r="H992" s="4">
        <f t="shared" ca="1" si="142"/>
        <v>3.2582053940658025</v>
      </c>
      <c r="I992" s="4">
        <f t="shared" ca="1" si="143"/>
        <v>55.322567773239328</v>
      </c>
      <c r="J992" s="26">
        <f ca="1">RANDBETWEEN(ranges!J$2*1000,ranges!J$3*1000)/1000</f>
        <v>0.61599999999999999</v>
      </c>
      <c r="K992" s="26">
        <f ca="1">RANDBETWEEN(ranges!K$2*1000,ranges!K$3*1000)/1000</f>
        <v>0.85</v>
      </c>
      <c r="L992">
        <f t="shared" ca="1" si="144"/>
        <v>40.479130305766489</v>
      </c>
      <c r="M992">
        <f t="shared" ca="1" si="145"/>
        <v>8.0472875360036529</v>
      </c>
      <c r="N992" s="4">
        <f t="shared" ca="1" si="146"/>
        <v>5.2055240673237506</v>
      </c>
      <c r="O992" s="4"/>
      <c r="P992" s="1">
        <f ca="1">LOOKUP(B992,geomorph!$A:$A,geomorph!$G:$G)</f>
        <v>105.335871</v>
      </c>
      <c r="Q992" s="1">
        <f t="shared" ca="1" si="147"/>
        <v>113.38315853600365</v>
      </c>
    </row>
    <row r="993" spans="2:17" x14ac:dyDescent="0.3">
      <c r="B993" s="6">
        <f ca="1">RANDBETWEEN(ranges!B$2,ranges!B$3)</f>
        <v>11708</v>
      </c>
      <c r="C993" s="9">
        <f ca="1">LOOKUP(B993,geomorph!A:A,geomorph!B:B)</f>
        <v>1439</v>
      </c>
      <c r="D993">
        <f t="shared" si="140"/>
        <v>1.13E-4</v>
      </c>
      <c r="E993" s="9">
        <f ca="1">'[2]Q_GEV(random)'!$J993</f>
        <v>2094.3992748935725</v>
      </c>
      <c r="F993" s="26">
        <f ca="1">RANDBETWEEN(ranges!F$2*1000,ranges!F$3*1000)/1000</f>
        <v>9.0999999999999998E-2</v>
      </c>
      <c r="G993" s="3">
        <f t="shared" ca="1" si="141"/>
        <v>1.4554546733103353</v>
      </c>
      <c r="H993" s="4">
        <f t="shared" ca="1" si="142"/>
        <v>3.5165871435496676</v>
      </c>
      <c r="I993" s="4">
        <f t="shared" ca="1" si="143"/>
        <v>76.322926231746905</v>
      </c>
      <c r="J993" s="26">
        <f ca="1">RANDBETWEEN(ranges!J$2*1000,ranges!J$3*1000)/1000</f>
        <v>0.78400000000000003</v>
      </c>
      <c r="K993" s="26">
        <f ca="1">RANDBETWEEN(ranges!K$2*1000,ranges!K$3*1000)/1000</f>
        <v>0.91600000000000004</v>
      </c>
      <c r="L993">
        <f t="shared" ca="1" si="144"/>
        <v>43.092079704955012</v>
      </c>
      <c r="M993">
        <f t="shared" ca="1" si="145"/>
        <v>7.0070738045836194</v>
      </c>
      <c r="N993" s="4">
        <f t="shared" ca="1" si="146"/>
        <v>3.7940072402542953</v>
      </c>
      <c r="O993" s="4"/>
      <c r="P993" s="1">
        <f ca="1">LOOKUP(B993,geomorph!$A:$A,geomorph!$G:$G)</f>
        <v>105.203661</v>
      </c>
      <c r="Q993" s="1">
        <f t="shared" ca="1" si="147"/>
        <v>112.21073480458361</v>
      </c>
    </row>
    <row r="994" spans="2:17" x14ac:dyDescent="0.3">
      <c r="B994" s="6">
        <f ca="1">RANDBETWEEN(ranges!B$2,ranges!B$3)</f>
        <v>14754</v>
      </c>
      <c r="C994" s="9">
        <f ca="1">LOOKUP(B994,geomorph!A:A,geomorph!B:B)</f>
        <v>1476.3</v>
      </c>
      <c r="D994">
        <f t="shared" si="140"/>
        <v>1.13E-4</v>
      </c>
      <c r="E994" s="9">
        <f ca="1">'[2]Q_GEV(random)'!$J994</f>
        <v>1985.9536076743798</v>
      </c>
      <c r="F994" s="26">
        <f ca="1">RANDBETWEEN(ranges!F$2*1000,ranges!F$3*1000)/1000</f>
        <v>9.9000000000000005E-2</v>
      </c>
      <c r="G994" s="3">
        <f t="shared" ca="1" si="141"/>
        <v>1.3452236047377768</v>
      </c>
      <c r="H994" s="4">
        <f t="shared" ca="1" si="142"/>
        <v>3.4317568905591016</v>
      </c>
      <c r="I994" s="4">
        <f t="shared" ca="1" si="143"/>
        <v>70.589220054895321</v>
      </c>
      <c r="J994" s="26">
        <f ca="1">RANDBETWEEN(ranges!J$2*1000,ranges!J$3*1000)/1000</f>
        <v>0.60199999999999998</v>
      </c>
      <c r="K994" s="26">
        <f ca="1">RANDBETWEEN(ranges!K$2*1000,ranges!K$3*1000)/1000</f>
        <v>0.82399999999999995</v>
      </c>
      <c r="L994">
        <f t="shared" ca="1" si="144"/>
        <v>46.054933574262421</v>
      </c>
      <c r="M994">
        <f t="shared" ca="1" si="145"/>
        <v>7.682971523232248</v>
      </c>
      <c r="N994" s="4">
        <f t="shared" ca="1" si="146"/>
        <v>4.6208854702968987</v>
      </c>
      <c r="O994" s="4"/>
      <c r="P994" s="1">
        <f ca="1">LOOKUP(B994,geomorph!$A:$A,geomorph!$G:$G)</f>
        <v>104.85901100000001</v>
      </c>
      <c r="Q994" s="1">
        <f t="shared" ca="1" si="147"/>
        <v>112.54198252323226</v>
      </c>
    </row>
    <row r="995" spans="2:17" x14ac:dyDescent="0.3">
      <c r="B995" s="6">
        <f ca="1">RANDBETWEEN(ranges!B$2,ranges!B$3)</f>
        <v>14421</v>
      </c>
      <c r="C995" s="9">
        <f ca="1">LOOKUP(B995,geomorph!A:A,geomorph!B:B)</f>
        <v>1381.7</v>
      </c>
      <c r="D995">
        <f t="shared" si="140"/>
        <v>1.13E-4</v>
      </c>
      <c r="E995" s="9">
        <f ca="1">'[2]Q_GEV(random)'!$J995</f>
        <v>1733.1880476571869</v>
      </c>
      <c r="F995" s="26">
        <f ca="1">RANDBETWEEN(ranges!F$2*1000,ranges!F$3*1000)/1000</f>
        <v>0.11</v>
      </c>
      <c r="G995" s="3">
        <f t="shared" ca="1" si="141"/>
        <v>1.2543881071558129</v>
      </c>
      <c r="H995" s="4">
        <f t="shared" ca="1" si="142"/>
        <v>3.3925582267511842</v>
      </c>
      <c r="I995" s="4">
        <f t="shared" ca="1" si="143"/>
        <v>71.987575088863522</v>
      </c>
      <c r="J995" s="26">
        <f ca="1">RANDBETWEEN(ranges!J$2*1000,ranges!J$3*1000)/1000</f>
        <v>0.73499999999999999</v>
      </c>
      <c r="K995" s="26">
        <f ca="1">RANDBETWEEN(ranges!K$2*1000,ranges!K$3*1000)/1000</f>
        <v>0.94399999999999995</v>
      </c>
      <c r="L995">
        <f t="shared" ca="1" si="144"/>
        <v>44.4635212549682</v>
      </c>
      <c r="M995">
        <f t="shared" ca="1" si="145"/>
        <v>6.94218294693282</v>
      </c>
      <c r="N995" s="4">
        <f t="shared" ca="1" si="146"/>
        <v>3.858287739327865</v>
      </c>
      <c r="O995" s="4"/>
      <c r="P995" s="1">
        <f ca="1">LOOKUP(B995,geomorph!$A:$A,geomorph!$G:$G)</f>
        <v>104.89630100000001</v>
      </c>
      <c r="Q995" s="1">
        <f t="shared" ca="1" si="147"/>
        <v>111.83848394693283</v>
      </c>
    </row>
    <row r="996" spans="2:17" x14ac:dyDescent="0.3">
      <c r="B996" s="6">
        <f ca="1">RANDBETWEEN(ranges!B$2,ranges!B$3)</f>
        <v>10644</v>
      </c>
      <c r="C996" s="9">
        <f ca="1">LOOKUP(B996,geomorph!A:A,geomorph!B:B)</f>
        <v>1729.2</v>
      </c>
      <c r="D996">
        <f t="shared" si="140"/>
        <v>1.13E-4</v>
      </c>
      <c r="E996" s="9">
        <f ca="1">'[2]Q_GEV(random)'!$J996</f>
        <v>1638.5014363028076</v>
      </c>
      <c r="F996" s="26">
        <f ca="1">RANDBETWEEN(ranges!F$2*1000,ranges!F$3*1000)/1000</f>
        <v>0.11</v>
      </c>
      <c r="G996" s="3">
        <f t="shared" ca="1" si="141"/>
        <v>0.94754882969165366</v>
      </c>
      <c r="H996" s="4">
        <f t="shared" ca="1" si="142"/>
        <v>2.8138898400012136</v>
      </c>
      <c r="I996" s="4">
        <f t="shared" ca="1" si="143"/>
        <v>47.70960889912309</v>
      </c>
      <c r="J996" s="26">
        <f ca="1">RANDBETWEEN(ranges!J$2*1000,ranges!J$3*1000)/1000</f>
        <v>0.629</v>
      </c>
      <c r="K996" s="26">
        <f ca="1">RANDBETWEEN(ranges!K$2*1000,ranges!K$3*1000)/1000</f>
        <v>0.91700000000000004</v>
      </c>
      <c r="L996">
        <f t="shared" ca="1" si="144"/>
        <v>37.852911729097364</v>
      </c>
      <c r="M996">
        <f t="shared" ca="1" si="145"/>
        <v>7.3964438107009336</v>
      </c>
      <c r="N996" s="4">
        <f t="shared" ca="1" si="146"/>
        <v>4.9810369246736093</v>
      </c>
      <c r="O996" s="4"/>
      <c r="P996" s="1">
        <f ca="1">LOOKUP(B996,geomorph!$A:$A,geomorph!$G:$G)</f>
        <v>105.323441</v>
      </c>
      <c r="Q996" s="1">
        <f t="shared" ca="1" si="147"/>
        <v>112.71988481070093</v>
      </c>
    </row>
    <row r="997" spans="2:17" x14ac:dyDescent="0.3">
      <c r="B997" s="6">
        <f ca="1">RANDBETWEEN(ranges!B$2,ranges!B$3)</f>
        <v>11044</v>
      </c>
      <c r="C997" s="9">
        <f ca="1">LOOKUP(B997,geomorph!A:A,geomorph!B:B)</f>
        <v>1687.2</v>
      </c>
      <c r="D997">
        <f t="shared" si="140"/>
        <v>1.13E-4</v>
      </c>
      <c r="E997" s="9">
        <f ca="1">'[2]Q_GEV(random)'!$J997</f>
        <v>1542.4683480600825</v>
      </c>
      <c r="F997" s="26">
        <f ca="1">RANDBETWEEN(ranges!F$2*1000,ranges!F$3*1000)/1000</f>
        <v>9.0999999999999998E-2</v>
      </c>
      <c r="G997" s="3">
        <f t="shared" ca="1" si="141"/>
        <v>0.91421784498582415</v>
      </c>
      <c r="H997" s="4">
        <f t="shared" ca="1" si="142"/>
        <v>2.5792219940347865</v>
      </c>
      <c r="I997" s="4">
        <f t="shared" ca="1" si="143"/>
        <v>47.743755748311308</v>
      </c>
      <c r="J997" s="26">
        <f ca="1">RANDBETWEEN(ranges!J$2*1000,ranges!J$3*1000)/1000</f>
        <v>0.67700000000000005</v>
      </c>
      <c r="K997" s="26">
        <f ca="1">RANDBETWEEN(ranges!K$2*1000,ranges!K$3*1000)/1000</f>
        <v>0.82299999999999995</v>
      </c>
      <c r="L997">
        <f t="shared" ca="1" si="144"/>
        <v>34.948519539808473</v>
      </c>
      <c r="M997">
        <f t="shared" ca="1" si="145"/>
        <v>6.663061064934829</v>
      </c>
      <c r="N997" s="4">
        <f t="shared" ca="1" si="146"/>
        <v>4.4389555118478725</v>
      </c>
      <c r="O997" s="4"/>
      <c r="P997" s="1">
        <f ca="1">LOOKUP(B997,geomorph!$A:$A,geomorph!$G:$G)</f>
        <v>105.27824100000001</v>
      </c>
      <c r="Q997" s="1">
        <f t="shared" ca="1" si="147"/>
        <v>111.94130206493483</v>
      </c>
    </row>
    <row r="998" spans="2:17" x14ac:dyDescent="0.3">
      <c r="B998" s="6">
        <f ca="1">RANDBETWEEN(ranges!B$2,ranges!B$3)</f>
        <v>14285</v>
      </c>
      <c r="C998" s="9">
        <f ca="1">LOOKUP(B998,geomorph!A:A,geomorph!B:B)</f>
        <v>1339.9</v>
      </c>
      <c r="D998">
        <f t="shared" si="140"/>
        <v>1.13E-4</v>
      </c>
      <c r="E998" s="9">
        <f ca="1">'[2]Q_GEV(random)'!$J998</f>
        <v>1341.8287479616765</v>
      </c>
      <c r="F998" s="26">
        <f ca="1">RANDBETWEEN(ranges!F$2*1000,ranges!F$3*1000)/1000</f>
        <v>0.10199999999999999</v>
      </c>
      <c r="G998" s="3">
        <f t="shared" ca="1" si="141"/>
        <v>1.0014394715737567</v>
      </c>
      <c r="H998" s="4">
        <f t="shared" ca="1" si="142"/>
        <v>2.8470274681704444</v>
      </c>
      <c r="I998" s="4">
        <f t="shared" ca="1" si="143"/>
        <v>63.884294024382378</v>
      </c>
      <c r="J998" s="26">
        <f ca="1">RANDBETWEEN(ranges!J$2*1000,ranges!J$3*1000)/1000</f>
        <v>0.75800000000000001</v>
      </c>
      <c r="K998" s="26">
        <f ca="1">RANDBETWEEN(ranges!K$2*1000,ranges!K$3*1000)/1000</f>
        <v>0.98799999999999999</v>
      </c>
      <c r="L998">
        <f t="shared" ca="1" si="144"/>
        <v>40.498656795069664</v>
      </c>
      <c r="M998">
        <f t="shared" ca="1" si="145"/>
        <v>6.1318489770876647</v>
      </c>
      <c r="N998" s="4">
        <f t="shared" ca="1" si="146"/>
        <v>3.5704581618665436</v>
      </c>
      <c r="O998" s="4"/>
      <c r="P998" s="1">
        <f ca="1">LOOKUP(B998,geomorph!$A:$A,geomorph!$G:$G)</f>
        <v>104.912121</v>
      </c>
      <c r="Q998" s="1">
        <f t="shared" ca="1" si="147"/>
        <v>111.04396997708767</v>
      </c>
    </row>
    <row r="999" spans="2:17" x14ac:dyDescent="0.3">
      <c r="B999" s="6">
        <f ca="1">RANDBETWEEN(ranges!B$2,ranges!B$3)</f>
        <v>11654</v>
      </c>
      <c r="C999" s="9">
        <f ca="1">LOOKUP(B999,geomorph!A:A,geomorph!B:B)</f>
        <v>1452.5</v>
      </c>
      <c r="D999">
        <f t="shared" si="140"/>
        <v>1.13E-4</v>
      </c>
      <c r="E999" s="9">
        <f ca="1">'[2]Q_GEV(random)'!$J999</f>
        <v>1322.0716593978959</v>
      </c>
      <c r="F999" s="26">
        <f ca="1">RANDBETWEEN(ranges!F$2*1000,ranges!F$3*1000)/1000</f>
        <v>0.107</v>
      </c>
      <c r="G999" s="3">
        <f t="shared" ca="1" si="141"/>
        <v>0.91020424054932592</v>
      </c>
      <c r="H999" s="4">
        <f t="shared" ca="1" si="142"/>
        <v>2.7143277841295466</v>
      </c>
      <c r="I999" s="4">
        <f t="shared" ca="1" si="143"/>
        <v>55.295923062939742</v>
      </c>
      <c r="J999" s="26">
        <f ca="1">RANDBETWEEN(ranges!J$2*1000,ranges!J$3*1000)/1000</f>
        <v>0.78200000000000003</v>
      </c>
      <c r="K999" s="26">
        <f ca="1">RANDBETWEEN(ranges!K$2*1000,ranges!K$3*1000)/1000</f>
        <v>0.88800000000000001</v>
      </c>
      <c r="L999">
        <f t="shared" ca="1" si="144"/>
        <v>36.638185012873535</v>
      </c>
      <c r="M999">
        <f t="shared" ca="1" si="145"/>
        <v>6.0135169016254659</v>
      </c>
      <c r="N999" s="4">
        <f t="shared" ca="1" si="146"/>
        <v>3.5860751277129559</v>
      </c>
      <c r="O999" s="4"/>
      <c r="P999" s="1">
        <f ca="1">LOOKUP(B999,geomorph!$A:$A,geomorph!$G:$G)</f>
        <v>105.209311</v>
      </c>
      <c r="Q999" s="1">
        <f t="shared" ca="1" si="147"/>
        <v>111.22282790162546</v>
      </c>
    </row>
    <row r="1000" spans="2:17" x14ac:dyDescent="0.3">
      <c r="B1000" s="6">
        <f ca="1">RANDBETWEEN(ranges!B$2,ranges!B$3)</f>
        <v>10333</v>
      </c>
      <c r="C1000" s="9">
        <f ca="1">LOOKUP(B1000,geomorph!A:A,geomorph!B:B)</f>
        <v>1660.3</v>
      </c>
      <c r="D1000">
        <f t="shared" si="140"/>
        <v>1.13E-4</v>
      </c>
      <c r="E1000" s="9">
        <f ca="1">'[2]Q_GEV(random)'!$J1000</f>
        <v>1320.7657066378479</v>
      </c>
      <c r="F1000" s="26">
        <f ca="1">RANDBETWEEN(ranges!F$2*1000,ranges!F$3*1000)/1000</f>
        <v>9.5000000000000001E-2</v>
      </c>
      <c r="G1000" s="3">
        <f t="shared" ca="1" si="141"/>
        <v>0.79549822721065344</v>
      </c>
      <c r="H1000" s="4">
        <f t="shared" ca="1" si="142"/>
        <v>2.384747904404183</v>
      </c>
      <c r="I1000" s="4">
        <f t="shared" ca="1" si="143"/>
        <v>44.220426446626938</v>
      </c>
      <c r="J1000" s="26">
        <f ca="1">RANDBETWEEN(ranges!J$2*1000,ranges!J$3*1000)/1000</f>
        <v>0.74</v>
      </c>
      <c r="K1000" s="26">
        <f ca="1">RANDBETWEEN(ranges!K$2*1000,ranges!K$3*1000)/1000</f>
        <v>0.96099999999999997</v>
      </c>
      <c r="L1000">
        <f t="shared" ca="1" si="144"/>
        <v>32.958986985194514</v>
      </c>
      <c r="M1000">
        <f t="shared" ca="1" si="145"/>
        <v>6.1835640883415843</v>
      </c>
      <c r="N1000" s="4">
        <f t="shared" ca="1" si="146"/>
        <v>4.129148026018914</v>
      </c>
      <c r="O1000" s="4"/>
      <c r="P1000" s="1">
        <f ca="1">LOOKUP(B1000,geomorph!$A:$A,geomorph!$G:$G)</f>
        <v>105.35847100000001</v>
      </c>
      <c r="Q1000" s="1">
        <f t="shared" ca="1" si="147"/>
        <v>111.54203508834159</v>
      </c>
    </row>
    <row r="1001" spans="2:17" x14ac:dyDescent="0.3">
      <c r="B1001" s="6">
        <f ca="1">RANDBETWEEN(ranges!B$2,ranges!B$3)</f>
        <v>14290</v>
      </c>
      <c r="C1001" s="9">
        <f ca="1">LOOKUP(B1001,geomorph!A:A,geomorph!B:B)</f>
        <v>1343.1</v>
      </c>
      <c r="D1001">
        <f t="shared" si="140"/>
        <v>1.13E-4</v>
      </c>
      <c r="E1001" s="9">
        <f ca="1">'[2]Q_GEV(random)'!$J1001</f>
        <v>994.09766026974648</v>
      </c>
      <c r="F1001" s="26">
        <f ca="1">RANDBETWEEN(ranges!F$2*1000,ranges!F$3*1000)/1000</f>
        <v>9.8000000000000004E-2</v>
      </c>
      <c r="G1001" s="3">
        <f t="shared" ca="1" si="141"/>
        <v>0.74015163447974575</v>
      </c>
      <c r="H1001" s="4">
        <f t="shared" ca="1" si="142"/>
        <v>2.2964885806259376</v>
      </c>
      <c r="I1001" s="4">
        <f t="shared" ca="1" si="143"/>
        <v>52.098130128813615</v>
      </c>
      <c r="J1001" s="26">
        <f ca="1">RANDBETWEEN(ranges!J$2*1000,ranges!J$3*1000)/1000</f>
        <v>0.70599999999999996</v>
      </c>
      <c r="K1001" s="26">
        <f ca="1">RANDBETWEEN(ranges!K$2*1000,ranges!K$3*1000)/1000</f>
        <v>0.94599999999999995</v>
      </c>
      <c r="L1001">
        <f t="shared" ca="1" si="144"/>
        <v>36.818722052188619</v>
      </c>
      <c r="M1001">
        <f t="shared" ca="1" si="145"/>
        <v>5.5879884914772822</v>
      </c>
      <c r="N1001" s="4">
        <f t="shared" ca="1" si="146"/>
        <v>3.5777172944036351</v>
      </c>
      <c r="O1001" s="4"/>
      <c r="P1001" s="1">
        <f ca="1">LOOKUP(B1001,geomorph!$A:$A,geomorph!$G:$G)</f>
        <v>104.910991</v>
      </c>
      <c r="Q1001" s="1">
        <f t="shared" ca="1" si="147"/>
        <v>110.49897949147727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2317-A152-4408-B7D4-A6D62900B3C9}">
  <dimension ref="A1:J3498"/>
  <sheetViews>
    <sheetView workbookViewId="0">
      <selection sqref="A1:A1048576"/>
    </sheetView>
  </sheetViews>
  <sheetFormatPr defaultRowHeight="14.4" x14ac:dyDescent="0.3"/>
  <cols>
    <col min="1" max="1" width="11.33203125" bestFit="1" customWidth="1"/>
    <col min="2" max="2" width="11.109375" customWidth="1"/>
    <col min="3" max="3" width="17.6640625" bestFit="1" customWidth="1"/>
    <col min="4" max="4" width="11.44140625" customWidth="1"/>
    <col min="5" max="5" width="11.77734375" customWidth="1"/>
    <col min="7" max="7" width="14.33203125" customWidth="1"/>
  </cols>
  <sheetData>
    <row r="1" spans="1:10" x14ac:dyDescent="0.3">
      <c r="A1" t="s">
        <v>6</v>
      </c>
      <c r="B1" t="s">
        <v>14</v>
      </c>
      <c r="C1" t="s">
        <v>15</v>
      </c>
      <c r="D1" t="s">
        <v>0</v>
      </c>
      <c r="E1" t="s">
        <v>16</v>
      </c>
      <c r="F1" t="s">
        <v>17</v>
      </c>
      <c r="G1" t="s">
        <v>21</v>
      </c>
      <c r="H1" t="s">
        <v>18</v>
      </c>
      <c r="I1" t="s">
        <v>19</v>
      </c>
    </row>
    <row r="2" spans="1:10" x14ac:dyDescent="0.3">
      <c r="A2">
        <v>0</v>
      </c>
      <c r="B2">
        <v>2094.4</v>
      </c>
      <c r="C2">
        <v>114.944</v>
      </c>
      <c r="D2" s="13">
        <f>D3</f>
        <v>5.0000000000238744E-5</v>
      </c>
      <c r="E2" s="14">
        <f t="shared" ref="E2:E65" si="0">0.0000000000000634167*A2*A2 - 0.0000000048594*A2 + 0.000132414</f>
        <v>1.32414E-4</v>
      </c>
      <c r="F2">
        <v>105.59</v>
      </c>
      <c r="G2" s="1">
        <f>-0.000113*A2 + 106.525761</f>
        <v>106.525761</v>
      </c>
      <c r="H2">
        <v>12800</v>
      </c>
      <c r="I2">
        <f>-0.000113*H2 + 106.525761</f>
        <v>105.07936100000001</v>
      </c>
    </row>
    <row r="3" spans="1:10" x14ac:dyDescent="0.3">
      <c r="A3">
        <v>10</v>
      </c>
      <c r="B3">
        <v>2089.1</v>
      </c>
      <c r="C3">
        <v>114.944</v>
      </c>
      <c r="D3" s="13">
        <f>D4</f>
        <v>5.0000000000238744E-5</v>
      </c>
      <c r="E3" s="14">
        <f t="shared" si="0"/>
        <v>1.3236541234166999E-4</v>
      </c>
      <c r="F3">
        <v>105.599</v>
      </c>
      <c r="G3" s="1">
        <f t="shared" ref="G3:G66" si="1">-0.000113*A3 + 106.525761</f>
        <v>106.524631</v>
      </c>
      <c r="H3">
        <v>34960</v>
      </c>
      <c r="I3">
        <f>-0.000113*H3 + 106.525761</f>
        <v>102.575281</v>
      </c>
      <c r="J3">
        <f>I2-I3</f>
        <v>2.5040800000000019</v>
      </c>
    </row>
    <row r="4" spans="1:10" x14ac:dyDescent="0.3">
      <c r="A4">
        <v>20</v>
      </c>
      <c r="B4">
        <v>2083.6999999999998</v>
      </c>
      <c r="C4">
        <v>114.943</v>
      </c>
      <c r="D4" s="15">
        <f>(C2-C6)/(A6-A2)</f>
        <v>5.0000000000238744E-5</v>
      </c>
      <c r="E4" s="14">
        <f t="shared" si="0"/>
        <v>1.3231683736668001E-4</v>
      </c>
      <c r="F4">
        <v>105.608</v>
      </c>
      <c r="G4" s="1">
        <f t="shared" si="1"/>
        <v>106.523501</v>
      </c>
    </row>
    <row r="5" spans="1:10" x14ac:dyDescent="0.3">
      <c r="A5">
        <v>30</v>
      </c>
      <c r="B5">
        <v>2078.3000000000002</v>
      </c>
      <c r="C5">
        <v>114.94199999999999</v>
      </c>
      <c r="D5" s="15">
        <f t="shared" ref="D5:D68" si="2">(C3-C7)/(A7-A3)</f>
        <v>7.5000000000002839E-5</v>
      </c>
      <c r="E5" s="14">
        <f t="shared" si="0"/>
        <v>1.3226827507503E-4</v>
      </c>
      <c r="F5">
        <v>105.61799999999999</v>
      </c>
      <c r="G5" s="1">
        <f t="shared" si="1"/>
        <v>106.52237100000001</v>
      </c>
    </row>
    <row r="6" spans="1:10" x14ac:dyDescent="0.3">
      <c r="A6">
        <v>40</v>
      </c>
      <c r="B6">
        <v>2072.9</v>
      </c>
      <c r="C6">
        <v>114.94199999999999</v>
      </c>
      <c r="D6" s="15">
        <f t="shared" si="2"/>
        <v>7.5000000000002839E-5</v>
      </c>
      <c r="E6" s="14">
        <f t="shared" si="0"/>
        <v>1.3221972546672E-4</v>
      </c>
      <c r="F6">
        <v>105.626</v>
      </c>
      <c r="G6" s="1">
        <f t="shared" si="1"/>
        <v>106.521241</v>
      </c>
    </row>
    <row r="7" spans="1:10" x14ac:dyDescent="0.3">
      <c r="A7">
        <v>50</v>
      </c>
      <c r="B7">
        <v>2067.5</v>
      </c>
      <c r="C7">
        <v>114.941</v>
      </c>
      <c r="D7" s="15">
        <f t="shared" si="2"/>
        <v>4.9999999999883471E-5</v>
      </c>
      <c r="E7" s="14">
        <f t="shared" si="0"/>
        <v>1.3217118854174999E-4</v>
      </c>
      <c r="F7">
        <v>105.63500000000001</v>
      </c>
      <c r="G7" s="1">
        <f t="shared" si="1"/>
        <v>106.520111</v>
      </c>
    </row>
    <row r="8" spans="1:10" x14ac:dyDescent="0.3">
      <c r="A8">
        <v>60</v>
      </c>
      <c r="B8">
        <v>2061.6999999999998</v>
      </c>
      <c r="C8">
        <v>114.94</v>
      </c>
      <c r="D8" s="15">
        <f t="shared" si="2"/>
        <v>7.5000000000002839E-5</v>
      </c>
      <c r="E8" s="14">
        <f t="shared" si="0"/>
        <v>1.3212266430011999E-4</v>
      </c>
      <c r="F8">
        <v>105.645</v>
      </c>
      <c r="G8" s="1">
        <f t="shared" si="1"/>
        <v>106.518981</v>
      </c>
    </row>
    <row r="9" spans="1:10" x14ac:dyDescent="0.3">
      <c r="A9">
        <v>70</v>
      </c>
      <c r="B9">
        <v>2055.5</v>
      </c>
      <c r="C9">
        <v>114.94</v>
      </c>
      <c r="D9" s="15">
        <f t="shared" si="2"/>
        <v>7.5000000000002839E-5</v>
      </c>
      <c r="E9" s="14">
        <f t="shared" si="0"/>
        <v>1.3207415274182999E-4</v>
      </c>
      <c r="F9">
        <v>105.654</v>
      </c>
      <c r="G9" s="1">
        <f t="shared" si="1"/>
        <v>106.51785100000001</v>
      </c>
    </row>
    <row r="10" spans="1:10" x14ac:dyDescent="0.3">
      <c r="A10">
        <v>80</v>
      </c>
      <c r="B10">
        <v>2049.3000000000002</v>
      </c>
      <c r="C10">
        <v>114.93899999999999</v>
      </c>
      <c r="D10" s="15">
        <f t="shared" si="2"/>
        <v>4.9999999999883471E-5</v>
      </c>
      <c r="E10" s="14">
        <f t="shared" si="0"/>
        <v>1.3202565386687999E-4</v>
      </c>
      <c r="F10">
        <v>105.66200000000001</v>
      </c>
      <c r="G10" s="1">
        <f t="shared" si="1"/>
        <v>106.516721</v>
      </c>
    </row>
    <row r="11" spans="1:10" x14ac:dyDescent="0.3">
      <c r="A11">
        <v>90</v>
      </c>
      <c r="B11">
        <v>2043.1</v>
      </c>
      <c r="C11">
        <v>114.938</v>
      </c>
      <c r="D11" s="15">
        <f t="shared" si="2"/>
        <v>7.5000000000002839E-5</v>
      </c>
      <c r="E11" s="14">
        <f t="shared" si="0"/>
        <v>1.3197716767526999E-4</v>
      </c>
      <c r="F11">
        <v>105.672</v>
      </c>
      <c r="G11" s="1">
        <f t="shared" si="1"/>
        <v>106.515591</v>
      </c>
    </row>
    <row r="12" spans="1:10" x14ac:dyDescent="0.3">
      <c r="A12">
        <v>100</v>
      </c>
      <c r="B12">
        <v>2037.1</v>
      </c>
      <c r="C12">
        <v>114.938</v>
      </c>
      <c r="D12" s="15">
        <f t="shared" si="2"/>
        <v>7.4999999999647574E-5</v>
      </c>
      <c r="E12" s="14">
        <f t="shared" si="0"/>
        <v>1.3192869416699999E-4</v>
      </c>
      <c r="F12">
        <v>105.681</v>
      </c>
      <c r="G12" s="1">
        <f t="shared" si="1"/>
        <v>106.514461</v>
      </c>
    </row>
    <row r="13" spans="1:10" x14ac:dyDescent="0.3">
      <c r="A13">
        <v>110</v>
      </c>
      <c r="B13">
        <v>2030.8</v>
      </c>
      <c r="C13">
        <v>114.937</v>
      </c>
      <c r="D13" s="15">
        <f t="shared" si="2"/>
        <v>4.9999999999883471E-5</v>
      </c>
      <c r="E13" s="14">
        <f t="shared" si="0"/>
        <v>1.3188023334207E-4</v>
      </c>
      <c r="F13">
        <v>105.691</v>
      </c>
      <c r="G13" s="1">
        <f t="shared" si="1"/>
        <v>106.51333100000001</v>
      </c>
    </row>
    <row r="14" spans="1:10" x14ac:dyDescent="0.3">
      <c r="A14">
        <v>120</v>
      </c>
      <c r="B14">
        <v>2024.7</v>
      </c>
      <c r="C14">
        <v>114.93600000000001</v>
      </c>
      <c r="D14" s="15">
        <f t="shared" si="2"/>
        <v>7.5000000000002839E-5</v>
      </c>
      <c r="E14" s="14">
        <f t="shared" si="0"/>
        <v>1.3183178520048E-4</v>
      </c>
      <c r="F14">
        <v>105.699</v>
      </c>
      <c r="G14" s="1">
        <f t="shared" si="1"/>
        <v>106.512201</v>
      </c>
    </row>
    <row r="15" spans="1:10" x14ac:dyDescent="0.3">
      <c r="A15">
        <v>130</v>
      </c>
      <c r="B15">
        <v>2018.5</v>
      </c>
      <c r="C15">
        <v>114.93600000000001</v>
      </c>
      <c r="D15" s="15">
        <f t="shared" si="2"/>
        <v>7.5000000000002839E-5</v>
      </c>
      <c r="E15" s="14">
        <f t="shared" si="0"/>
        <v>1.3178334974223E-4</v>
      </c>
      <c r="F15">
        <v>105.708</v>
      </c>
      <c r="G15" s="1">
        <f t="shared" si="1"/>
        <v>106.511071</v>
      </c>
    </row>
    <row r="16" spans="1:10" x14ac:dyDescent="0.3">
      <c r="A16">
        <v>140</v>
      </c>
      <c r="B16">
        <v>2012.4</v>
      </c>
      <c r="C16">
        <v>114.935</v>
      </c>
      <c r="D16" s="15">
        <f t="shared" si="2"/>
        <v>5.0000000000238744E-5</v>
      </c>
      <c r="E16" s="14">
        <f t="shared" si="0"/>
        <v>1.3173492696731998E-4</v>
      </c>
      <c r="F16">
        <v>105.718</v>
      </c>
      <c r="G16" s="1">
        <f t="shared" si="1"/>
        <v>106.509941</v>
      </c>
    </row>
    <row r="17" spans="1:7" x14ac:dyDescent="0.3">
      <c r="A17">
        <v>150</v>
      </c>
      <c r="B17">
        <v>2006.3</v>
      </c>
      <c r="C17">
        <v>114.934</v>
      </c>
      <c r="D17" s="15">
        <f t="shared" si="2"/>
        <v>7.5000000000002839E-5</v>
      </c>
      <c r="E17" s="14">
        <f t="shared" si="0"/>
        <v>1.3168651687574999E-4</v>
      </c>
      <c r="F17">
        <v>105.727</v>
      </c>
      <c r="G17" s="1">
        <f t="shared" si="1"/>
        <v>106.50881100000001</v>
      </c>
    </row>
    <row r="18" spans="1:7" x14ac:dyDescent="0.3">
      <c r="A18">
        <v>160</v>
      </c>
      <c r="B18">
        <v>2000.4</v>
      </c>
      <c r="C18">
        <v>114.934</v>
      </c>
      <c r="D18" s="15">
        <f t="shared" si="2"/>
        <v>7.5000000000002839E-5</v>
      </c>
      <c r="E18" s="14">
        <f t="shared" si="0"/>
        <v>1.3163811946752E-4</v>
      </c>
      <c r="F18">
        <v>105.735</v>
      </c>
      <c r="G18" s="1">
        <f t="shared" si="1"/>
        <v>106.50768100000001</v>
      </c>
    </row>
    <row r="19" spans="1:7" x14ac:dyDescent="0.3">
      <c r="A19">
        <v>170</v>
      </c>
      <c r="B19">
        <v>1994.3</v>
      </c>
      <c r="C19">
        <v>114.93300000000001</v>
      </c>
      <c r="D19" s="15">
        <f t="shared" si="2"/>
        <v>7.5000000000002839E-5</v>
      </c>
      <c r="E19" s="14">
        <f t="shared" si="0"/>
        <v>1.3158973474263001E-4</v>
      </c>
      <c r="F19">
        <v>105.745</v>
      </c>
      <c r="G19" s="1">
        <f t="shared" si="1"/>
        <v>106.506551</v>
      </c>
    </row>
    <row r="20" spans="1:7" x14ac:dyDescent="0.3">
      <c r="A20">
        <v>180</v>
      </c>
      <c r="B20">
        <v>1988.1</v>
      </c>
      <c r="C20">
        <v>114.932</v>
      </c>
      <c r="D20" s="15">
        <f t="shared" si="2"/>
        <v>7.5000000000002839E-5</v>
      </c>
      <c r="E20" s="14">
        <f t="shared" si="0"/>
        <v>1.3154136270107999E-4</v>
      </c>
      <c r="F20">
        <v>105.754</v>
      </c>
      <c r="G20" s="1">
        <f t="shared" si="1"/>
        <v>106.505421</v>
      </c>
    </row>
    <row r="21" spans="1:7" x14ac:dyDescent="0.3">
      <c r="A21">
        <v>190</v>
      </c>
      <c r="B21">
        <v>1981.8</v>
      </c>
      <c r="C21">
        <v>114.931</v>
      </c>
      <c r="D21" s="15">
        <f t="shared" si="2"/>
        <v>7.5000000000002839E-5</v>
      </c>
      <c r="E21" s="14">
        <f t="shared" si="0"/>
        <v>1.3149300334287E-4</v>
      </c>
      <c r="F21">
        <v>105.76300000000001</v>
      </c>
      <c r="G21" s="1">
        <f t="shared" si="1"/>
        <v>106.50429100000001</v>
      </c>
    </row>
    <row r="22" spans="1:7" x14ac:dyDescent="0.3">
      <c r="A22">
        <v>200</v>
      </c>
      <c r="B22">
        <v>1975.3</v>
      </c>
      <c r="C22">
        <v>114.931</v>
      </c>
      <c r="D22" s="15">
        <f t="shared" si="2"/>
        <v>7.5000000000002839E-5</v>
      </c>
      <c r="E22" s="14">
        <f t="shared" si="0"/>
        <v>1.3144465666799999E-4</v>
      </c>
      <c r="F22">
        <v>105.77200000000001</v>
      </c>
      <c r="G22" s="1">
        <f t="shared" si="1"/>
        <v>106.50316100000001</v>
      </c>
    </row>
    <row r="23" spans="1:7" x14ac:dyDescent="0.3">
      <c r="A23">
        <v>210</v>
      </c>
      <c r="B23">
        <v>1968.9</v>
      </c>
      <c r="C23">
        <v>114.93</v>
      </c>
      <c r="D23" s="15">
        <f t="shared" si="2"/>
        <v>4.9999999999883471E-5</v>
      </c>
      <c r="E23" s="14">
        <f t="shared" si="0"/>
        <v>1.3139632267647E-4</v>
      </c>
      <c r="F23">
        <v>105.78100000000001</v>
      </c>
      <c r="G23" s="1">
        <f t="shared" si="1"/>
        <v>106.502031</v>
      </c>
    </row>
    <row r="24" spans="1:7" x14ac:dyDescent="0.3">
      <c r="A24">
        <v>220</v>
      </c>
      <c r="B24">
        <v>1962.7</v>
      </c>
      <c r="C24">
        <v>114.929</v>
      </c>
      <c r="D24" s="15">
        <f t="shared" si="2"/>
        <v>7.5000000000002839E-5</v>
      </c>
      <c r="E24" s="14">
        <f t="shared" si="0"/>
        <v>1.3134800136827999E-4</v>
      </c>
      <c r="F24">
        <v>105.79</v>
      </c>
      <c r="G24" s="1">
        <f t="shared" si="1"/>
        <v>106.500901</v>
      </c>
    </row>
    <row r="25" spans="1:7" x14ac:dyDescent="0.3">
      <c r="A25">
        <v>230</v>
      </c>
      <c r="B25">
        <v>1956.3</v>
      </c>
      <c r="C25">
        <v>114.929</v>
      </c>
      <c r="D25" s="15">
        <f t="shared" si="2"/>
        <v>7.5000000000002839E-5</v>
      </c>
      <c r="E25" s="14">
        <f t="shared" si="0"/>
        <v>1.3129969274343001E-4</v>
      </c>
      <c r="F25">
        <v>105.8</v>
      </c>
      <c r="G25" s="1">
        <f t="shared" si="1"/>
        <v>106.49977100000001</v>
      </c>
    </row>
    <row r="26" spans="1:7" x14ac:dyDescent="0.3">
      <c r="A26">
        <v>240</v>
      </c>
      <c r="B26">
        <v>1949.9</v>
      </c>
      <c r="C26">
        <v>114.928</v>
      </c>
      <c r="D26" s="15">
        <f t="shared" si="2"/>
        <v>7.5000000000002839E-5</v>
      </c>
      <c r="E26" s="14">
        <f t="shared" si="0"/>
        <v>1.3125139680192E-4</v>
      </c>
      <c r="F26">
        <v>105.809</v>
      </c>
      <c r="G26" s="1">
        <f t="shared" si="1"/>
        <v>106.49864100000001</v>
      </c>
    </row>
    <row r="27" spans="1:7" x14ac:dyDescent="0.3">
      <c r="A27">
        <v>250</v>
      </c>
      <c r="B27">
        <v>1943.4</v>
      </c>
      <c r="C27">
        <v>114.92700000000001</v>
      </c>
      <c r="D27" s="15">
        <f t="shared" si="2"/>
        <v>7.5000000000002839E-5</v>
      </c>
      <c r="E27" s="14">
        <f t="shared" si="0"/>
        <v>1.3120311354374999E-4</v>
      </c>
      <c r="F27">
        <v>105.81699999999999</v>
      </c>
      <c r="G27" s="1">
        <f t="shared" si="1"/>
        <v>106.497511</v>
      </c>
    </row>
    <row r="28" spans="1:7" x14ac:dyDescent="0.3">
      <c r="A28">
        <v>260</v>
      </c>
      <c r="B28">
        <v>1937.1</v>
      </c>
      <c r="C28">
        <v>114.926</v>
      </c>
      <c r="D28" s="15">
        <f t="shared" si="2"/>
        <v>7.5000000000002839E-5</v>
      </c>
      <c r="E28" s="14">
        <f t="shared" si="0"/>
        <v>1.3115484296892001E-4</v>
      </c>
      <c r="F28">
        <v>105.827</v>
      </c>
      <c r="G28" s="1">
        <f t="shared" si="1"/>
        <v>106.496381</v>
      </c>
    </row>
    <row r="29" spans="1:7" x14ac:dyDescent="0.3">
      <c r="A29">
        <v>270</v>
      </c>
      <c r="B29">
        <v>1930.8</v>
      </c>
      <c r="C29">
        <v>114.926</v>
      </c>
      <c r="D29" s="15">
        <f t="shared" si="2"/>
        <v>7.5000000000002839E-5</v>
      </c>
      <c r="E29" s="14">
        <f t="shared" si="0"/>
        <v>1.3110658507743E-4</v>
      </c>
      <c r="F29">
        <v>105.836</v>
      </c>
      <c r="G29" s="1">
        <f t="shared" si="1"/>
        <v>106.495251</v>
      </c>
    </row>
    <row r="30" spans="1:7" x14ac:dyDescent="0.3">
      <c r="A30">
        <v>280</v>
      </c>
      <c r="B30">
        <v>1924.5</v>
      </c>
      <c r="C30">
        <v>114.925</v>
      </c>
      <c r="D30" s="15">
        <f t="shared" si="2"/>
        <v>7.5000000000002839E-5</v>
      </c>
      <c r="E30" s="14">
        <f t="shared" si="0"/>
        <v>1.3105833986928E-4</v>
      </c>
      <c r="F30">
        <v>105.845</v>
      </c>
      <c r="G30" s="1">
        <f t="shared" si="1"/>
        <v>106.49412100000001</v>
      </c>
    </row>
    <row r="31" spans="1:7" x14ac:dyDescent="0.3">
      <c r="A31">
        <v>290</v>
      </c>
      <c r="B31">
        <v>1918.4</v>
      </c>
      <c r="C31">
        <v>114.92400000000001</v>
      </c>
      <c r="D31" s="15">
        <f t="shared" si="2"/>
        <v>7.5000000000002839E-5</v>
      </c>
      <c r="E31" s="14">
        <f t="shared" si="0"/>
        <v>1.3101010734446999E-4</v>
      </c>
      <c r="F31">
        <v>105.854</v>
      </c>
      <c r="G31" s="1">
        <f t="shared" si="1"/>
        <v>106.492991</v>
      </c>
    </row>
    <row r="32" spans="1:7" x14ac:dyDescent="0.3">
      <c r="A32">
        <v>300</v>
      </c>
      <c r="B32">
        <v>1912.1</v>
      </c>
      <c r="C32">
        <v>114.923</v>
      </c>
      <c r="D32" s="15">
        <f t="shared" si="2"/>
        <v>7.5000000000002839E-5</v>
      </c>
      <c r="E32" s="14">
        <f t="shared" si="0"/>
        <v>1.3096188750299999E-4</v>
      </c>
      <c r="F32">
        <v>105.863</v>
      </c>
      <c r="G32" s="1">
        <f t="shared" si="1"/>
        <v>106.491861</v>
      </c>
    </row>
    <row r="33" spans="1:7" x14ac:dyDescent="0.3">
      <c r="A33">
        <v>310</v>
      </c>
      <c r="B33">
        <v>1905.9</v>
      </c>
      <c r="C33">
        <v>114.923</v>
      </c>
      <c r="D33" s="15">
        <f t="shared" si="2"/>
        <v>7.5000000000002839E-5</v>
      </c>
      <c r="E33" s="14">
        <f t="shared" si="0"/>
        <v>1.3091368034486998E-4</v>
      </c>
      <c r="F33">
        <v>105.872</v>
      </c>
      <c r="G33" s="1">
        <f t="shared" si="1"/>
        <v>106.490731</v>
      </c>
    </row>
    <row r="34" spans="1:7" x14ac:dyDescent="0.3">
      <c r="A34">
        <v>320</v>
      </c>
      <c r="B34">
        <v>1899.6</v>
      </c>
      <c r="C34">
        <v>114.922</v>
      </c>
      <c r="D34" s="15">
        <f t="shared" si="2"/>
        <v>7.5000000000002839E-5</v>
      </c>
      <c r="E34" s="14">
        <f t="shared" si="0"/>
        <v>1.3086548587007998E-4</v>
      </c>
      <c r="F34">
        <v>105.881</v>
      </c>
      <c r="G34" s="1">
        <f t="shared" si="1"/>
        <v>106.48960100000001</v>
      </c>
    </row>
    <row r="35" spans="1:7" x14ac:dyDescent="0.3">
      <c r="A35">
        <v>330</v>
      </c>
      <c r="B35">
        <v>1893.4</v>
      </c>
      <c r="C35">
        <v>114.92100000000001</v>
      </c>
      <c r="D35" s="15">
        <f t="shared" si="2"/>
        <v>7.5000000000002839E-5</v>
      </c>
      <c r="E35" s="14">
        <f t="shared" si="0"/>
        <v>1.3081730407862998E-4</v>
      </c>
      <c r="F35">
        <v>105.89100000000001</v>
      </c>
      <c r="G35" s="1">
        <f t="shared" si="1"/>
        <v>106.488471</v>
      </c>
    </row>
    <row r="36" spans="1:7" x14ac:dyDescent="0.3">
      <c r="A36">
        <v>340</v>
      </c>
      <c r="B36">
        <v>1887.2</v>
      </c>
      <c r="C36">
        <v>114.92</v>
      </c>
      <c r="D36" s="15">
        <f t="shared" si="2"/>
        <v>7.5000000000002839E-5</v>
      </c>
      <c r="E36" s="14">
        <f t="shared" si="0"/>
        <v>1.3076913497051998E-4</v>
      </c>
      <c r="F36">
        <v>105.9</v>
      </c>
      <c r="G36" s="1">
        <f t="shared" si="1"/>
        <v>106.487341</v>
      </c>
    </row>
    <row r="37" spans="1:7" x14ac:dyDescent="0.3">
      <c r="A37">
        <v>350</v>
      </c>
      <c r="B37">
        <v>1881.1</v>
      </c>
      <c r="C37">
        <v>114.92</v>
      </c>
      <c r="D37" s="15">
        <f t="shared" si="2"/>
        <v>7.5000000000002839E-5</v>
      </c>
      <c r="E37" s="14">
        <f t="shared" si="0"/>
        <v>1.3072097854574999E-4</v>
      </c>
      <c r="F37">
        <v>105.90900000000001</v>
      </c>
      <c r="G37" s="1">
        <f t="shared" si="1"/>
        <v>106.486211</v>
      </c>
    </row>
    <row r="38" spans="1:7" x14ac:dyDescent="0.3">
      <c r="A38">
        <v>360</v>
      </c>
      <c r="B38">
        <v>1875</v>
      </c>
      <c r="C38">
        <v>114.919</v>
      </c>
      <c r="D38" s="15">
        <f t="shared" si="2"/>
        <v>7.5000000000002839E-5</v>
      </c>
      <c r="E38" s="14">
        <f t="shared" si="0"/>
        <v>1.3067283480431999E-4</v>
      </c>
      <c r="F38">
        <v>105.917</v>
      </c>
      <c r="G38" s="1">
        <f t="shared" si="1"/>
        <v>106.48508100000001</v>
      </c>
    </row>
    <row r="39" spans="1:7" x14ac:dyDescent="0.3">
      <c r="A39">
        <v>370</v>
      </c>
      <c r="B39">
        <v>1868.9</v>
      </c>
      <c r="C39">
        <v>114.91800000000001</v>
      </c>
      <c r="D39" s="15">
        <f t="shared" si="2"/>
        <v>7.5000000000002839E-5</v>
      </c>
      <c r="E39" s="14">
        <f t="shared" si="0"/>
        <v>1.3062470374622999E-4</v>
      </c>
      <c r="F39">
        <v>105.92700000000001</v>
      </c>
      <c r="G39" s="1">
        <f t="shared" si="1"/>
        <v>106.483951</v>
      </c>
    </row>
    <row r="40" spans="1:7" x14ac:dyDescent="0.3">
      <c r="A40">
        <v>380</v>
      </c>
      <c r="B40">
        <v>1862.7</v>
      </c>
      <c r="C40">
        <v>114.917</v>
      </c>
      <c r="D40" s="15">
        <f t="shared" si="2"/>
        <v>7.5000000000002839E-5</v>
      </c>
      <c r="E40" s="14">
        <f t="shared" si="0"/>
        <v>1.3057658537148E-4</v>
      </c>
      <c r="F40">
        <v>105.93600000000001</v>
      </c>
      <c r="G40" s="1">
        <f t="shared" si="1"/>
        <v>106.482821</v>
      </c>
    </row>
    <row r="41" spans="1:7" x14ac:dyDescent="0.3">
      <c r="A41">
        <v>390</v>
      </c>
      <c r="B41">
        <v>1856.5</v>
      </c>
      <c r="C41">
        <v>114.917</v>
      </c>
      <c r="D41" s="15">
        <f t="shared" si="2"/>
        <v>7.5000000000002839E-5</v>
      </c>
      <c r="E41" s="14">
        <f t="shared" si="0"/>
        <v>1.3052847968007001E-4</v>
      </c>
      <c r="F41">
        <v>105.94499999999999</v>
      </c>
      <c r="G41" s="1">
        <f t="shared" si="1"/>
        <v>106.481691</v>
      </c>
    </row>
    <row r="42" spans="1:7" x14ac:dyDescent="0.3">
      <c r="A42">
        <v>400</v>
      </c>
      <c r="B42">
        <v>1850.5</v>
      </c>
      <c r="C42">
        <v>114.916</v>
      </c>
      <c r="D42" s="15">
        <f t="shared" si="2"/>
        <v>7.5000000000002839E-5</v>
      </c>
      <c r="E42" s="14">
        <f t="shared" si="0"/>
        <v>1.3048038667199999E-4</v>
      </c>
      <c r="F42">
        <v>105.95399999999999</v>
      </c>
      <c r="G42" s="1">
        <f t="shared" si="1"/>
        <v>106.48056100000001</v>
      </c>
    </row>
    <row r="43" spans="1:7" x14ac:dyDescent="0.3">
      <c r="A43">
        <v>410</v>
      </c>
      <c r="B43">
        <v>1844.4</v>
      </c>
      <c r="C43">
        <v>114.91500000000001</v>
      </c>
      <c r="D43" s="15">
        <f t="shared" si="2"/>
        <v>1.0000000000012221E-4</v>
      </c>
      <c r="E43" s="14">
        <f t="shared" si="0"/>
        <v>1.3043230634726999E-4</v>
      </c>
      <c r="F43">
        <v>105.964</v>
      </c>
      <c r="G43" s="1">
        <f t="shared" si="1"/>
        <v>106.47943100000001</v>
      </c>
    </row>
    <row r="44" spans="1:7" x14ac:dyDescent="0.3">
      <c r="A44">
        <v>420</v>
      </c>
      <c r="B44">
        <v>1838.4</v>
      </c>
      <c r="C44">
        <v>114.914</v>
      </c>
      <c r="D44" s="15">
        <f t="shared" si="2"/>
        <v>9.9999999999766942E-5</v>
      </c>
      <c r="E44" s="14">
        <f t="shared" si="0"/>
        <v>1.3038423870588E-4</v>
      </c>
      <c r="F44">
        <v>105.973</v>
      </c>
      <c r="G44" s="1">
        <f t="shared" si="1"/>
        <v>106.478301</v>
      </c>
    </row>
    <row r="45" spans="1:7" x14ac:dyDescent="0.3">
      <c r="A45">
        <v>430</v>
      </c>
      <c r="B45">
        <v>1832.4</v>
      </c>
      <c r="C45">
        <v>114.913</v>
      </c>
      <c r="D45" s="15">
        <f t="shared" si="2"/>
        <v>7.5000000000002839E-5</v>
      </c>
      <c r="E45" s="14">
        <f t="shared" si="0"/>
        <v>1.3033618374782999E-4</v>
      </c>
      <c r="F45">
        <v>105.98099999999999</v>
      </c>
      <c r="G45" s="1">
        <f t="shared" si="1"/>
        <v>106.477171</v>
      </c>
    </row>
    <row r="46" spans="1:7" x14ac:dyDescent="0.3">
      <c r="A46">
        <v>440</v>
      </c>
      <c r="B46">
        <v>1826.4</v>
      </c>
      <c r="C46">
        <v>114.91200000000001</v>
      </c>
      <c r="D46" s="15">
        <f t="shared" si="2"/>
        <v>7.5000000000002839E-5</v>
      </c>
      <c r="E46" s="14">
        <f t="shared" si="0"/>
        <v>1.3028814147312E-4</v>
      </c>
      <c r="F46">
        <v>105.99</v>
      </c>
      <c r="G46" s="1">
        <f t="shared" si="1"/>
        <v>106.47604100000001</v>
      </c>
    </row>
    <row r="47" spans="1:7" x14ac:dyDescent="0.3">
      <c r="A47">
        <v>450</v>
      </c>
      <c r="B47">
        <v>1820.2</v>
      </c>
      <c r="C47">
        <v>114.91200000000001</v>
      </c>
      <c r="D47" s="15">
        <f t="shared" si="2"/>
        <v>7.5000000000002839E-5</v>
      </c>
      <c r="E47" s="14">
        <f t="shared" si="0"/>
        <v>1.3024011188174999E-4</v>
      </c>
      <c r="F47">
        <v>106</v>
      </c>
      <c r="G47" s="1">
        <f t="shared" si="1"/>
        <v>106.47491100000001</v>
      </c>
    </row>
    <row r="48" spans="1:7" x14ac:dyDescent="0.3">
      <c r="A48">
        <v>460</v>
      </c>
      <c r="B48">
        <v>1814.3</v>
      </c>
      <c r="C48">
        <v>114.911</v>
      </c>
      <c r="D48" s="15">
        <f t="shared" si="2"/>
        <v>7.5000000000002839E-5</v>
      </c>
      <c r="E48" s="14">
        <f t="shared" si="0"/>
        <v>1.3019209497372E-4</v>
      </c>
      <c r="F48">
        <v>106.009</v>
      </c>
      <c r="G48" s="1">
        <f t="shared" si="1"/>
        <v>106.473781</v>
      </c>
    </row>
    <row r="49" spans="1:7" x14ac:dyDescent="0.3">
      <c r="A49">
        <v>470</v>
      </c>
      <c r="B49">
        <v>1808.4</v>
      </c>
      <c r="C49">
        <v>114.91</v>
      </c>
      <c r="D49" s="15">
        <f t="shared" si="2"/>
        <v>1.0000000000012221E-4</v>
      </c>
      <c r="E49" s="14">
        <f t="shared" si="0"/>
        <v>1.3014409074902999E-4</v>
      </c>
      <c r="F49">
        <v>106.018</v>
      </c>
      <c r="G49" s="1">
        <f t="shared" si="1"/>
        <v>106.472651</v>
      </c>
    </row>
    <row r="50" spans="1:7" x14ac:dyDescent="0.3">
      <c r="A50">
        <v>480</v>
      </c>
      <c r="B50">
        <v>1802.3</v>
      </c>
      <c r="C50">
        <v>114.90900000000001</v>
      </c>
      <c r="D50" s="15">
        <f t="shared" si="2"/>
        <v>7.5000000000002839E-5</v>
      </c>
      <c r="E50" s="14">
        <f t="shared" si="0"/>
        <v>1.3009609920768E-4</v>
      </c>
      <c r="F50">
        <v>106.027</v>
      </c>
      <c r="G50" s="1">
        <f t="shared" si="1"/>
        <v>106.47152100000001</v>
      </c>
    </row>
    <row r="51" spans="1:7" x14ac:dyDescent="0.3">
      <c r="A51">
        <v>490</v>
      </c>
      <c r="B51">
        <v>1796.4</v>
      </c>
      <c r="C51">
        <v>114.908</v>
      </c>
      <c r="D51" s="15">
        <f t="shared" si="2"/>
        <v>7.5000000000002839E-5</v>
      </c>
      <c r="E51" s="14">
        <f t="shared" si="0"/>
        <v>1.3004812034966999E-4</v>
      </c>
      <c r="F51">
        <v>106.036</v>
      </c>
      <c r="G51" s="1">
        <f t="shared" si="1"/>
        <v>106.47039100000001</v>
      </c>
    </row>
    <row r="52" spans="1:7" x14ac:dyDescent="0.3">
      <c r="A52">
        <v>500</v>
      </c>
      <c r="B52">
        <v>1790.2</v>
      </c>
      <c r="C52">
        <v>114.908</v>
      </c>
      <c r="D52" s="15">
        <f t="shared" si="2"/>
        <v>7.5000000000002839E-5</v>
      </c>
      <c r="E52" s="14">
        <f t="shared" si="0"/>
        <v>1.3000015417499999E-4</v>
      </c>
      <c r="F52">
        <v>106.04600000000001</v>
      </c>
      <c r="G52" s="1">
        <f t="shared" si="1"/>
        <v>106.469261</v>
      </c>
    </row>
    <row r="53" spans="1:7" x14ac:dyDescent="0.3">
      <c r="A53">
        <v>510</v>
      </c>
      <c r="B53">
        <v>1783.3</v>
      </c>
      <c r="C53">
        <v>114.907</v>
      </c>
      <c r="D53" s="15">
        <f t="shared" si="2"/>
        <v>7.5000000000002839E-5</v>
      </c>
      <c r="E53" s="14">
        <f t="shared" si="0"/>
        <v>1.2995220068367E-4</v>
      </c>
      <c r="F53">
        <v>106.05500000000001</v>
      </c>
      <c r="G53" s="1">
        <f t="shared" si="1"/>
        <v>106.468131</v>
      </c>
    </row>
    <row r="54" spans="1:7" x14ac:dyDescent="0.3">
      <c r="A54">
        <v>520</v>
      </c>
      <c r="B54">
        <v>1776.8</v>
      </c>
      <c r="C54">
        <v>114.90600000000001</v>
      </c>
      <c r="D54" s="15">
        <f t="shared" si="2"/>
        <v>1.0000000000012221E-4</v>
      </c>
      <c r="E54" s="14">
        <f t="shared" si="0"/>
        <v>1.2990425987568E-4</v>
      </c>
      <c r="F54">
        <v>106.063</v>
      </c>
      <c r="G54" s="1">
        <f t="shared" si="1"/>
        <v>106.467001</v>
      </c>
    </row>
    <row r="55" spans="1:7" x14ac:dyDescent="0.3">
      <c r="A55">
        <v>530</v>
      </c>
      <c r="B55">
        <v>1770.4</v>
      </c>
      <c r="C55">
        <v>114.905</v>
      </c>
      <c r="D55" s="15">
        <f t="shared" si="2"/>
        <v>9.9999999999766942E-5</v>
      </c>
      <c r="E55" s="14">
        <f t="shared" si="0"/>
        <v>1.2985633175102999E-4</v>
      </c>
      <c r="F55">
        <v>106.072</v>
      </c>
      <c r="G55" s="1">
        <f t="shared" si="1"/>
        <v>106.46587100000001</v>
      </c>
    </row>
    <row r="56" spans="1:7" x14ac:dyDescent="0.3">
      <c r="A56">
        <v>540</v>
      </c>
      <c r="B56">
        <v>1763.8</v>
      </c>
      <c r="C56">
        <v>114.904</v>
      </c>
      <c r="D56" s="15">
        <f t="shared" si="2"/>
        <v>1.0000000000012221E-4</v>
      </c>
      <c r="E56" s="14">
        <f t="shared" si="0"/>
        <v>1.2980841630971999E-4</v>
      </c>
      <c r="F56">
        <v>106.081</v>
      </c>
      <c r="G56" s="1">
        <f t="shared" si="1"/>
        <v>106.464741</v>
      </c>
    </row>
    <row r="57" spans="1:7" x14ac:dyDescent="0.3">
      <c r="A57">
        <v>550</v>
      </c>
      <c r="B57">
        <v>1757.5</v>
      </c>
      <c r="C57">
        <v>114.90300000000001</v>
      </c>
      <c r="D57" s="15">
        <f t="shared" si="2"/>
        <v>1.0000000000012221E-4</v>
      </c>
      <c r="E57" s="14">
        <f t="shared" si="0"/>
        <v>1.2976051355174999E-4</v>
      </c>
      <c r="F57">
        <v>106.09099999999999</v>
      </c>
      <c r="G57" s="1">
        <f t="shared" si="1"/>
        <v>106.463611</v>
      </c>
    </row>
    <row r="58" spans="1:7" x14ac:dyDescent="0.3">
      <c r="A58">
        <v>560</v>
      </c>
      <c r="B58">
        <v>1751.3</v>
      </c>
      <c r="C58">
        <v>114.902</v>
      </c>
      <c r="D58" s="15">
        <f t="shared" si="2"/>
        <v>7.5000000000002839E-5</v>
      </c>
      <c r="E58" s="14">
        <f t="shared" si="0"/>
        <v>1.2971262347711998E-4</v>
      </c>
      <c r="F58">
        <v>106.1</v>
      </c>
      <c r="G58" s="1">
        <f t="shared" si="1"/>
        <v>106.462481</v>
      </c>
    </row>
    <row r="59" spans="1:7" x14ac:dyDescent="0.3">
      <c r="A59">
        <v>570</v>
      </c>
      <c r="B59">
        <v>1745.1</v>
      </c>
      <c r="C59">
        <v>114.901</v>
      </c>
      <c r="D59" s="15">
        <f t="shared" si="2"/>
        <v>7.5000000000002839E-5</v>
      </c>
      <c r="E59" s="14">
        <f t="shared" si="0"/>
        <v>1.2966474608583001E-4</v>
      </c>
      <c r="F59">
        <v>106.10899999999999</v>
      </c>
      <c r="G59" s="1">
        <f t="shared" si="1"/>
        <v>106.46135100000001</v>
      </c>
    </row>
    <row r="60" spans="1:7" x14ac:dyDescent="0.3">
      <c r="A60">
        <v>580</v>
      </c>
      <c r="B60">
        <v>1738.8</v>
      </c>
      <c r="C60">
        <v>114.901</v>
      </c>
      <c r="D60" s="15">
        <f t="shared" si="2"/>
        <v>7.5000000000002839E-5</v>
      </c>
      <c r="E60" s="14">
        <f t="shared" si="0"/>
        <v>1.2961688137788001E-4</v>
      </c>
      <c r="F60">
        <v>106.11799999999999</v>
      </c>
      <c r="G60" s="1">
        <f t="shared" si="1"/>
        <v>106.460221</v>
      </c>
    </row>
    <row r="61" spans="1:7" x14ac:dyDescent="0.3">
      <c r="A61">
        <v>590</v>
      </c>
      <c r="B61">
        <v>1732.7</v>
      </c>
      <c r="C61">
        <v>114.9</v>
      </c>
      <c r="D61" s="15">
        <f t="shared" si="2"/>
        <v>7.5000000000002839E-5</v>
      </c>
      <c r="E61" s="14">
        <f t="shared" si="0"/>
        <v>1.2956902935326998E-4</v>
      </c>
      <c r="F61">
        <v>106.127</v>
      </c>
      <c r="G61" s="1">
        <f t="shared" si="1"/>
        <v>106.459091</v>
      </c>
    </row>
    <row r="62" spans="1:7" x14ac:dyDescent="0.3">
      <c r="A62">
        <v>600</v>
      </c>
      <c r="B62">
        <v>1726.5</v>
      </c>
      <c r="C62">
        <v>114.899</v>
      </c>
      <c r="D62" s="15">
        <f t="shared" si="2"/>
        <v>9.9999999999766942E-5</v>
      </c>
      <c r="E62" s="14">
        <f t="shared" si="0"/>
        <v>1.2952119001199999E-4</v>
      </c>
      <c r="F62">
        <v>106.136</v>
      </c>
      <c r="G62" s="1">
        <f t="shared" si="1"/>
        <v>106.457961</v>
      </c>
    </row>
    <row r="63" spans="1:7" x14ac:dyDescent="0.3">
      <c r="A63">
        <v>610</v>
      </c>
      <c r="B63">
        <v>1720.3</v>
      </c>
      <c r="C63">
        <v>114.898</v>
      </c>
      <c r="D63" s="15">
        <f t="shared" si="2"/>
        <v>1.0000000000012221E-4</v>
      </c>
      <c r="E63" s="14">
        <f t="shared" si="0"/>
        <v>1.2947336335406999E-4</v>
      </c>
      <c r="F63">
        <v>106.146</v>
      </c>
      <c r="G63" s="1">
        <f t="shared" si="1"/>
        <v>106.45683100000001</v>
      </c>
    </row>
    <row r="64" spans="1:7" x14ac:dyDescent="0.3">
      <c r="A64">
        <v>620</v>
      </c>
      <c r="B64">
        <v>1714.4</v>
      </c>
      <c r="C64">
        <v>114.89700000000001</v>
      </c>
      <c r="D64" s="15">
        <f t="shared" si="2"/>
        <v>1.0000000000012221E-4</v>
      </c>
      <c r="E64" s="14">
        <f t="shared" si="0"/>
        <v>1.2942554937947999E-4</v>
      </c>
      <c r="F64">
        <v>106.155</v>
      </c>
      <c r="G64" s="1">
        <f t="shared" si="1"/>
        <v>106.455701</v>
      </c>
    </row>
    <row r="65" spans="1:7" x14ac:dyDescent="0.3">
      <c r="A65">
        <v>630</v>
      </c>
      <c r="B65">
        <v>1708.5</v>
      </c>
      <c r="C65">
        <v>114.896</v>
      </c>
      <c r="D65" s="15">
        <f t="shared" si="2"/>
        <v>9.9999999999766942E-5</v>
      </c>
      <c r="E65" s="14">
        <f t="shared" si="0"/>
        <v>1.2937774808823E-4</v>
      </c>
      <c r="F65">
        <v>106.164</v>
      </c>
      <c r="G65" s="1">
        <f t="shared" si="1"/>
        <v>106.454571</v>
      </c>
    </row>
    <row r="66" spans="1:7" x14ac:dyDescent="0.3">
      <c r="A66">
        <v>640</v>
      </c>
      <c r="B66">
        <v>1702.3</v>
      </c>
      <c r="C66">
        <v>114.895</v>
      </c>
      <c r="D66" s="15">
        <f t="shared" si="2"/>
        <v>1.0000000000012221E-4</v>
      </c>
      <c r="E66" s="14">
        <f t="shared" ref="E66:E129" si="3">0.0000000000000634167*A66*A66 - 0.0000000048594*A66 + 0.000132414</f>
        <v>1.2932995948032001E-4</v>
      </c>
      <c r="F66">
        <v>106.173</v>
      </c>
      <c r="G66" s="1">
        <f t="shared" si="1"/>
        <v>106.453441</v>
      </c>
    </row>
    <row r="67" spans="1:7" x14ac:dyDescent="0.3">
      <c r="A67">
        <v>650</v>
      </c>
      <c r="B67">
        <v>1696.2</v>
      </c>
      <c r="C67">
        <v>114.89400000000001</v>
      </c>
      <c r="D67" s="15">
        <f t="shared" si="2"/>
        <v>1.0000000000012221E-4</v>
      </c>
      <c r="E67" s="14">
        <f t="shared" si="3"/>
        <v>1.2928218355574999E-4</v>
      </c>
      <c r="F67">
        <v>106.182</v>
      </c>
      <c r="G67" s="1">
        <f t="shared" ref="G67:G130" si="4">-0.000113*A67 + 106.525761</f>
        <v>106.45231100000001</v>
      </c>
    </row>
    <row r="68" spans="1:7" x14ac:dyDescent="0.3">
      <c r="A68">
        <v>660</v>
      </c>
      <c r="B68">
        <v>1690.1</v>
      </c>
      <c r="C68">
        <v>114.893</v>
      </c>
      <c r="D68" s="15">
        <f t="shared" si="2"/>
        <v>9.9999999999766942E-5</v>
      </c>
      <c r="E68" s="14">
        <f t="shared" si="3"/>
        <v>1.2923442031451999E-4</v>
      </c>
      <c r="F68">
        <v>106.191</v>
      </c>
      <c r="G68" s="1">
        <f t="shared" si="4"/>
        <v>106.45118100000001</v>
      </c>
    </row>
    <row r="69" spans="1:7" x14ac:dyDescent="0.3">
      <c r="A69">
        <v>670</v>
      </c>
      <c r="B69">
        <v>1683.9</v>
      </c>
      <c r="C69">
        <v>114.892</v>
      </c>
      <c r="D69" s="15">
        <f t="shared" ref="D69:D132" si="5">(C67-C71)/(A71-A67)</f>
        <v>1.0000000000012221E-4</v>
      </c>
      <c r="E69" s="14">
        <f t="shared" si="3"/>
        <v>1.2918666975663E-4</v>
      </c>
      <c r="F69">
        <v>106.2</v>
      </c>
      <c r="G69" s="1">
        <f t="shared" si="4"/>
        <v>106.450051</v>
      </c>
    </row>
    <row r="70" spans="1:7" x14ac:dyDescent="0.3">
      <c r="A70">
        <v>680</v>
      </c>
      <c r="B70">
        <v>1678</v>
      </c>
      <c r="C70">
        <v>114.89100000000001</v>
      </c>
      <c r="D70" s="15">
        <f t="shared" si="5"/>
        <v>7.5000000000002839E-5</v>
      </c>
      <c r="E70" s="14">
        <f t="shared" si="3"/>
        <v>1.2913893188207999E-4</v>
      </c>
      <c r="F70">
        <v>106.209</v>
      </c>
      <c r="G70" s="1">
        <f t="shared" si="4"/>
        <v>106.448921</v>
      </c>
    </row>
    <row r="71" spans="1:7" x14ac:dyDescent="0.3">
      <c r="A71">
        <v>690</v>
      </c>
      <c r="B71">
        <v>1671.8</v>
      </c>
      <c r="C71">
        <v>114.89</v>
      </c>
      <c r="D71" s="15">
        <f t="shared" si="5"/>
        <v>7.5000000000002839E-5</v>
      </c>
      <c r="E71" s="14">
        <f t="shared" si="3"/>
        <v>1.2909120669087E-4</v>
      </c>
      <c r="F71">
        <v>106.21899999999999</v>
      </c>
      <c r="G71" s="1">
        <f t="shared" si="4"/>
        <v>106.44779100000001</v>
      </c>
    </row>
    <row r="72" spans="1:7" x14ac:dyDescent="0.3">
      <c r="A72">
        <v>700</v>
      </c>
      <c r="B72">
        <v>1666</v>
      </c>
      <c r="C72">
        <v>114.89</v>
      </c>
      <c r="D72" s="15">
        <f t="shared" si="5"/>
        <v>7.5000000000002839E-5</v>
      </c>
      <c r="E72" s="14">
        <f t="shared" si="3"/>
        <v>1.2904349418299999E-4</v>
      </c>
      <c r="F72">
        <v>106.22799999999999</v>
      </c>
      <c r="G72" s="1">
        <f t="shared" si="4"/>
        <v>106.44666100000001</v>
      </c>
    </row>
    <row r="73" spans="1:7" x14ac:dyDescent="0.3">
      <c r="A73">
        <v>710</v>
      </c>
      <c r="B73">
        <v>1660.1</v>
      </c>
      <c r="C73">
        <v>114.889</v>
      </c>
      <c r="D73" s="15">
        <f t="shared" si="5"/>
        <v>7.5000000000002839E-5</v>
      </c>
      <c r="E73" s="14">
        <f t="shared" si="3"/>
        <v>1.2899579435847E-4</v>
      </c>
      <c r="F73">
        <v>106.23699999999999</v>
      </c>
      <c r="G73" s="1">
        <f t="shared" si="4"/>
        <v>106.445531</v>
      </c>
    </row>
    <row r="74" spans="1:7" x14ac:dyDescent="0.3">
      <c r="A74">
        <v>720</v>
      </c>
      <c r="B74">
        <v>1654.4</v>
      </c>
      <c r="C74">
        <v>114.88800000000001</v>
      </c>
      <c r="D74" s="15">
        <f t="shared" si="5"/>
        <v>1.0000000000012221E-4</v>
      </c>
      <c r="E74" s="14">
        <f t="shared" si="3"/>
        <v>1.2894810721727999E-4</v>
      </c>
      <c r="F74">
        <v>106.246</v>
      </c>
      <c r="G74" s="1">
        <f t="shared" si="4"/>
        <v>106.444401</v>
      </c>
    </row>
    <row r="75" spans="1:7" x14ac:dyDescent="0.3">
      <c r="A75">
        <v>730</v>
      </c>
      <c r="B75">
        <v>1648.7</v>
      </c>
      <c r="C75">
        <v>114.887</v>
      </c>
      <c r="D75" s="15">
        <f t="shared" si="5"/>
        <v>9.9999999999766942E-5</v>
      </c>
      <c r="E75" s="14">
        <f t="shared" si="3"/>
        <v>1.2890043275943001E-4</v>
      </c>
      <c r="F75">
        <v>106.255</v>
      </c>
      <c r="G75" s="1">
        <f t="shared" si="4"/>
        <v>106.443271</v>
      </c>
    </row>
    <row r="76" spans="1:7" x14ac:dyDescent="0.3">
      <c r="A76">
        <v>740</v>
      </c>
      <c r="B76">
        <v>1642.8</v>
      </c>
      <c r="C76">
        <v>114.886</v>
      </c>
      <c r="D76" s="15">
        <f t="shared" si="5"/>
        <v>1.0000000000012221E-4</v>
      </c>
      <c r="E76" s="14">
        <f t="shared" si="3"/>
        <v>1.2885277098492E-4</v>
      </c>
      <c r="F76">
        <v>106.264</v>
      </c>
      <c r="G76" s="1">
        <f t="shared" si="4"/>
        <v>106.44214100000001</v>
      </c>
    </row>
    <row r="77" spans="1:7" x14ac:dyDescent="0.3">
      <c r="A77">
        <v>750</v>
      </c>
      <c r="B77">
        <v>1637.2</v>
      </c>
      <c r="C77">
        <v>114.88500000000001</v>
      </c>
      <c r="D77" s="15">
        <f t="shared" si="5"/>
        <v>1.0000000000012221E-4</v>
      </c>
      <c r="E77" s="14">
        <f t="shared" si="3"/>
        <v>1.2880512189374999E-4</v>
      </c>
      <c r="F77">
        <v>106.273</v>
      </c>
      <c r="G77" s="1">
        <f t="shared" si="4"/>
        <v>106.441011</v>
      </c>
    </row>
    <row r="78" spans="1:7" x14ac:dyDescent="0.3">
      <c r="A78">
        <v>760</v>
      </c>
      <c r="B78">
        <v>1631.6</v>
      </c>
      <c r="C78">
        <v>114.884</v>
      </c>
      <c r="D78" s="15">
        <f t="shared" si="5"/>
        <v>9.9999999999766942E-5</v>
      </c>
      <c r="E78" s="14">
        <f t="shared" si="3"/>
        <v>1.2875748548592001E-4</v>
      </c>
      <c r="F78">
        <v>106.282</v>
      </c>
      <c r="G78" s="1">
        <f t="shared" si="4"/>
        <v>106.439881</v>
      </c>
    </row>
    <row r="79" spans="1:7" x14ac:dyDescent="0.3">
      <c r="A79">
        <v>770</v>
      </c>
      <c r="B79">
        <v>1626</v>
      </c>
      <c r="C79">
        <v>114.883</v>
      </c>
      <c r="D79" s="15">
        <f t="shared" si="5"/>
        <v>1.0000000000012221E-4</v>
      </c>
      <c r="E79" s="14">
        <f t="shared" si="3"/>
        <v>1.2870986176143E-4</v>
      </c>
      <c r="F79">
        <v>106.291</v>
      </c>
      <c r="G79" s="1">
        <f t="shared" si="4"/>
        <v>106.438751</v>
      </c>
    </row>
    <row r="80" spans="1:7" x14ac:dyDescent="0.3">
      <c r="A80">
        <v>780</v>
      </c>
      <c r="B80">
        <v>1620.2</v>
      </c>
      <c r="C80">
        <v>114.88200000000001</v>
      </c>
      <c r="D80" s="15">
        <f t="shared" si="5"/>
        <v>1.0000000000012221E-4</v>
      </c>
      <c r="E80" s="14">
        <f t="shared" si="3"/>
        <v>1.2866225072028E-4</v>
      </c>
      <c r="F80">
        <v>106.3</v>
      </c>
      <c r="G80" s="1">
        <f t="shared" si="4"/>
        <v>106.43762100000001</v>
      </c>
    </row>
    <row r="81" spans="1:7" x14ac:dyDescent="0.3">
      <c r="A81">
        <v>790</v>
      </c>
      <c r="B81">
        <v>1614.7</v>
      </c>
      <c r="C81">
        <v>114.881</v>
      </c>
      <c r="D81" s="15">
        <f t="shared" si="5"/>
        <v>9.9999999999766942E-5</v>
      </c>
      <c r="E81" s="14">
        <f t="shared" si="3"/>
        <v>1.2861465236246999E-4</v>
      </c>
      <c r="F81">
        <v>106.309</v>
      </c>
      <c r="G81" s="1">
        <f t="shared" si="4"/>
        <v>106.436491</v>
      </c>
    </row>
    <row r="82" spans="1:7" x14ac:dyDescent="0.3">
      <c r="A82">
        <v>800</v>
      </c>
      <c r="B82">
        <v>1609.1</v>
      </c>
      <c r="C82">
        <v>114.88</v>
      </c>
      <c r="D82" s="15">
        <f t="shared" si="5"/>
        <v>1.0000000000012221E-4</v>
      </c>
      <c r="E82" s="14">
        <f t="shared" si="3"/>
        <v>1.2856706668799999E-4</v>
      </c>
      <c r="F82">
        <v>106.318</v>
      </c>
      <c r="G82" s="1">
        <f t="shared" si="4"/>
        <v>106.435361</v>
      </c>
    </row>
    <row r="83" spans="1:7" x14ac:dyDescent="0.3">
      <c r="A83">
        <v>810</v>
      </c>
      <c r="B83">
        <v>1603.6</v>
      </c>
      <c r="C83">
        <v>114.879</v>
      </c>
      <c r="D83" s="15">
        <f t="shared" si="5"/>
        <v>1.0000000000012221E-4</v>
      </c>
      <c r="E83" s="14">
        <f t="shared" si="3"/>
        <v>1.2851949369686999E-4</v>
      </c>
      <c r="F83">
        <v>106.327</v>
      </c>
      <c r="G83" s="1">
        <f t="shared" si="4"/>
        <v>106.434231</v>
      </c>
    </row>
    <row r="84" spans="1:7" x14ac:dyDescent="0.3">
      <c r="A84">
        <v>820</v>
      </c>
      <c r="B84">
        <v>1598.2</v>
      </c>
      <c r="C84">
        <v>114.878</v>
      </c>
      <c r="D84" s="15">
        <f t="shared" si="5"/>
        <v>9.9999999999766942E-5</v>
      </c>
      <c r="E84" s="14">
        <f t="shared" si="3"/>
        <v>1.2847193338907999E-4</v>
      </c>
      <c r="F84">
        <v>106.337</v>
      </c>
      <c r="G84" s="1">
        <f t="shared" si="4"/>
        <v>106.43310100000001</v>
      </c>
    </row>
    <row r="85" spans="1:7" x14ac:dyDescent="0.3">
      <c r="A85">
        <v>830</v>
      </c>
      <c r="B85">
        <v>1592.5</v>
      </c>
      <c r="C85">
        <v>114.877</v>
      </c>
      <c r="D85" s="15">
        <f t="shared" si="5"/>
        <v>1.0000000000012221E-4</v>
      </c>
      <c r="E85" s="14">
        <f t="shared" si="3"/>
        <v>1.2842438576462999E-4</v>
      </c>
      <c r="F85">
        <v>106.346</v>
      </c>
      <c r="G85" s="1">
        <f t="shared" si="4"/>
        <v>106.431971</v>
      </c>
    </row>
    <row r="86" spans="1:7" x14ac:dyDescent="0.3">
      <c r="A86">
        <v>840</v>
      </c>
      <c r="B86">
        <v>1587.1</v>
      </c>
      <c r="C86">
        <v>114.876</v>
      </c>
      <c r="D86" s="15">
        <f t="shared" si="5"/>
        <v>1.0000000000012221E-4</v>
      </c>
      <c r="E86" s="14">
        <f t="shared" si="3"/>
        <v>1.2837685082351999E-4</v>
      </c>
      <c r="F86">
        <v>106.355</v>
      </c>
      <c r="G86" s="1">
        <f t="shared" si="4"/>
        <v>106.430841</v>
      </c>
    </row>
    <row r="87" spans="1:7" x14ac:dyDescent="0.3">
      <c r="A87">
        <v>850</v>
      </c>
      <c r="B87">
        <v>1581.7</v>
      </c>
      <c r="C87">
        <v>114.875</v>
      </c>
      <c r="D87" s="15">
        <f t="shared" si="5"/>
        <v>1.2499999999988632E-4</v>
      </c>
      <c r="E87" s="14">
        <f t="shared" si="3"/>
        <v>1.2832932856574999E-4</v>
      </c>
      <c r="F87">
        <v>106.364</v>
      </c>
      <c r="G87" s="1">
        <f t="shared" si="4"/>
        <v>106.429711</v>
      </c>
    </row>
    <row r="88" spans="1:7" x14ac:dyDescent="0.3">
      <c r="A88">
        <v>860</v>
      </c>
      <c r="B88">
        <v>1576.3</v>
      </c>
      <c r="C88">
        <v>114.874</v>
      </c>
      <c r="D88" s="15">
        <f t="shared" si="5"/>
        <v>1.2500000000024159E-4</v>
      </c>
      <c r="E88" s="14">
        <f t="shared" si="3"/>
        <v>1.2828181899131999E-4</v>
      </c>
      <c r="F88">
        <v>106.373</v>
      </c>
      <c r="G88" s="1">
        <f t="shared" si="4"/>
        <v>106.42858100000001</v>
      </c>
    </row>
    <row r="89" spans="1:7" x14ac:dyDescent="0.3">
      <c r="A89">
        <v>870</v>
      </c>
      <c r="B89">
        <v>1570.8</v>
      </c>
      <c r="C89">
        <v>114.872</v>
      </c>
      <c r="D89" s="15">
        <f t="shared" si="5"/>
        <v>1.2499999999988632E-4</v>
      </c>
      <c r="E89" s="14">
        <f t="shared" si="3"/>
        <v>1.2823432210023E-4</v>
      </c>
      <c r="F89">
        <v>106.383</v>
      </c>
      <c r="G89" s="1">
        <f t="shared" si="4"/>
        <v>106.427451</v>
      </c>
    </row>
    <row r="90" spans="1:7" x14ac:dyDescent="0.3">
      <c r="A90">
        <v>880</v>
      </c>
      <c r="B90">
        <v>1565.3</v>
      </c>
      <c r="C90">
        <v>114.871</v>
      </c>
      <c r="D90" s="15">
        <f t="shared" si="5"/>
        <v>1.2499999999988632E-4</v>
      </c>
      <c r="E90" s="14">
        <f t="shared" si="3"/>
        <v>1.2818683789248E-4</v>
      </c>
      <c r="F90">
        <v>106.392</v>
      </c>
      <c r="G90" s="1">
        <f t="shared" si="4"/>
        <v>106.426321</v>
      </c>
    </row>
    <row r="91" spans="1:7" x14ac:dyDescent="0.3">
      <c r="A91">
        <v>890</v>
      </c>
      <c r="B91">
        <v>1560</v>
      </c>
      <c r="C91">
        <v>114.87</v>
      </c>
      <c r="D91" s="15">
        <f t="shared" si="5"/>
        <v>1.0000000000012221E-4</v>
      </c>
      <c r="E91" s="14">
        <f t="shared" si="3"/>
        <v>1.2813936636806998E-4</v>
      </c>
      <c r="F91">
        <v>106.401</v>
      </c>
      <c r="G91" s="1">
        <f t="shared" si="4"/>
        <v>106.425191</v>
      </c>
    </row>
    <row r="92" spans="1:7" x14ac:dyDescent="0.3">
      <c r="A92">
        <v>900</v>
      </c>
      <c r="B92">
        <v>1554.6</v>
      </c>
      <c r="C92">
        <v>114.869</v>
      </c>
      <c r="D92" s="15">
        <f t="shared" si="5"/>
        <v>9.9999999999766942E-5</v>
      </c>
      <c r="E92" s="14">
        <f t="shared" si="3"/>
        <v>1.2809190752699999E-4</v>
      </c>
      <c r="F92">
        <v>106.41</v>
      </c>
      <c r="G92" s="1">
        <f t="shared" si="4"/>
        <v>106.42406100000001</v>
      </c>
    </row>
    <row r="93" spans="1:7" x14ac:dyDescent="0.3">
      <c r="A93">
        <v>910</v>
      </c>
      <c r="B93">
        <v>1549.3</v>
      </c>
      <c r="C93">
        <v>114.86799999999999</v>
      </c>
      <c r="D93" s="15">
        <f t="shared" si="5"/>
        <v>1.0000000000012221E-4</v>
      </c>
      <c r="E93" s="14">
        <f t="shared" si="3"/>
        <v>1.2804446136927E-4</v>
      </c>
      <c r="F93">
        <v>106.419</v>
      </c>
      <c r="G93" s="1">
        <f t="shared" si="4"/>
        <v>106.42293100000001</v>
      </c>
    </row>
    <row r="94" spans="1:7" x14ac:dyDescent="0.3">
      <c r="A94">
        <v>920</v>
      </c>
      <c r="B94">
        <v>1544</v>
      </c>
      <c r="C94">
        <v>114.867</v>
      </c>
      <c r="D94" s="15">
        <f t="shared" si="5"/>
        <v>1.0000000000012221E-4</v>
      </c>
      <c r="E94" s="14">
        <f t="shared" si="3"/>
        <v>1.2799702789488001E-4</v>
      </c>
      <c r="F94">
        <v>106.428</v>
      </c>
      <c r="G94" s="1">
        <f t="shared" si="4"/>
        <v>106.421801</v>
      </c>
    </row>
    <row r="95" spans="1:7" x14ac:dyDescent="0.3">
      <c r="A95">
        <v>930</v>
      </c>
      <c r="B95">
        <v>1538.6</v>
      </c>
      <c r="C95">
        <v>114.866</v>
      </c>
      <c r="D95" s="15">
        <f t="shared" si="5"/>
        <v>9.9999999999766942E-5</v>
      </c>
      <c r="E95" s="14">
        <f t="shared" si="3"/>
        <v>1.2794960710382999E-4</v>
      </c>
      <c r="F95">
        <v>106.43600000000001</v>
      </c>
      <c r="G95" s="1">
        <f t="shared" si="4"/>
        <v>106.420671</v>
      </c>
    </row>
    <row r="96" spans="1:7" x14ac:dyDescent="0.3">
      <c r="A96">
        <v>940</v>
      </c>
      <c r="B96">
        <v>1533.3</v>
      </c>
      <c r="C96">
        <v>114.86499999999999</v>
      </c>
      <c r="D96" s="15">
        <f t="shared" si="5"/>
        <v>1.0000000000012221E-4</v>
      </c>
      <c r="E96" s="14">
        <f t="shared" si="3"/>
        <v>1.2790219899612001E-4</v>
      </c>
      <c r="F96">
        <v>106.44499999999999</v>
      </c>
      <c r="G96" s="1">
        <f t="shared" si="4"/>
        <v>106.41954100000001</v>
      </c>
    </row>
    <row r="97" spans="1:7" x14ac:dyDescent="0.3">
      <c r="A97">
        <v>950</v>
      </c>
      <c r="B97">
        <v>1528.1</v>
      </c>
      <c r="C97">
        <v>114.864</v>
      </c>
      <c r="D97" s="15">
        <f t="shared" si="5"/>
        <v>1.2499999999988632E-4</v>
      </c>
      <c r="E97" s="14">
        <f t="shared" si="3"/>
        <v>1.2785480357174999E-4</v>
      </c>
      <c r="F97">
        <v>106.455</v>
      </c>
      <c r="G97" s="1">
        <f t="shared" si="4"/>
        <v>106.41841100000001</v>
      </c>
    </row>
    <row r="98" spans="1:7" x14ac:dyDescent="0.3">
      <c r="A98">
        <v>960</v>
      </c>
      <c r="B98">
        <v>1522.9</v>
      </c>
      <c r="C98">
        <v>114.863</v>
      </c>
      <c r="D98" s="15">
        <f t="shared" si="5"/>
        <v>1.2499999999988632E-4</v>
      </c>
      <c r="E98" s="14">
        <f t="shared" si="3"/>
        <v>1.2780742083072001E-4</v>
      </c>
      <c r="F98">
        <v>106.464</v>
      </c>
      <c r="G98" s="1">
        <f t="shared" si="4"/>
        <v>106.417281</v>
      </c>
    </row>
    <row r="99" spans="1:7" x14ac:dyDescent="0.3">
      <c r="A99">
        <v>970</v>
      </c>
      <c r="B99">
        <v>1517.5</v>
      </c>
      <c r="C99">
        <v>114.861</v>
      </c>
      <c r="D99" s="15">
        <f t="shared" si="5"/>
        <v>1.2500000000024159E-4</v>
      </c>
      <c r="E99" s="14">
        <f t="shared" si="3"/>
        <v>1.2776005077303E-4</v>
      </c>
      <c r="F99">
        <v>106.473</v>
      </c>
      <c r="G99" s="1">
        <f t="shared" si="4"/>
        <v>106.416151</v>
      </c>
    </row>
    <row r="100" spans="1:7" x14ac:dyDescent="0.3">
      <c r="A100">
        <v>980</v>
      </c>
      <c r="B100">
        <v>1512.3</v>
      </c>
      <c r="C100">
        <v>114.86</v>
      </c>
      <c r="D100" s="15">
        <f t="shared" si="5"/>
        <v>1.2499999999988632E-4</v>
      </c>
      <c r="E100" s="14">
        <f t="shared" si="3"/>
        <v>1.2771269339867999E-4</v>
      </c>
      <c r="F100">
        <v>106.482</v>
      </c>
      <c r="G100" s="1">
        <f t="shared" si="4"/>
        <v>106.415021</v>
      </c>
    </row>
    <row r="101" spans="1:7" x14ac:dyDescent="0.3">
      <c r="A101">
        <v>990</v>
      </c>
      <c r="B101">
        <v>1507.1</v>
      </c>
      <c r="C101">
        <v>114.85899999999999</v>
      </c>
      <c r="D101" s="15">
        <f t="shared" si="5"/>
        <v>1.0000000000012221E-4</v>
      </c>
      <c r="E101" s="14">
        <f t="shared" si="3"/>
        <v>1.2766534870767E-4</v>
      </c>
      <c r="F101">
        <v>106.491</v>
      </c>
      <c r="G101" s="1">
        <f t="shared" si="4"/>
        <v>106.41389100000001</v>
      </c>
    </row>
    <row r="102" spans="1:7" x14ac:dyDescent="0.3">
      <c r="A102">
        <v>1000</v>
      </c>
      <c r="B102">
        <v>1501.9</v>
      </c>
      <c r="C102">
        <v>114.858</v>
      </c>
      <c r="D102" s="15">
        <f t="shared" si="5"/>
        <v>1.0000000000012221E-4</v>
      </c>
      <c r="E102" s="14">
        <f t="shared" si="3"/>
        <v>1.276180167E-4</v>
      </c>
      <c r="F102">
        <v>106.5</v>
      </c>
      <c r="G102" s="1">
        <f t="shared" si="4"/>
        <v>106.412761</v>
      </c>
    </row>
    <row r="103" spans="1:7" x14ac:dyDescent="0.3">
      <c r="A103">
        <v>1010</v>
      </c>
      <c r="B103">
        <v>1496.7</v>
      </c>
      <c r="C103">
        <v>114.857</v>
      </c>
      <c r="D103" s="15">
        <f t="shared" si="5"/>
        <v>9.9999999999766942E-5</v>
      </c>
      <c r="E103" s="14">
        <f t="shared" si="3"/>
        <v>1.2757069737566999E-4</v>
      </c>
      <c r="F103">
        <v>106.51</v>
      </c>
      <c r="G103" s="1">
        <f t="shared" si="4"/>
        <v>106.411631</v>
      </c>
    </row>
    <row r="104" spans="1:7" x14ac:dyDescent="0.3">
      <c r="A104">
        <v>1020</v>
      </c>
      <c r="B104">
        <v>1491.4</v>
      </c>
      <c r="C104">
        <v>114.85599999999999</v>
      </c>
      <c r="D104" s="15">
        <f t="shared" si="5"/>
        <v>1.2500000000024159E-4</v>
      </c>
      <c r="E104" s="14">
        <f t="shared" si="3"/>
        <v>1.2752339073468001E-4</v>
      </c>
      <c r="F104">
        <v>106.51900000000001</v>
      </c>
      <c r="G104" s="1">
        <f t="shared" si="4"/>
        <v>106.410501</v>
      </c>
    </row>
    <row r="105" spans="1:7" x14ac:dyDescent="0.3">
      <c r="A105">
        <v>1030</v>
      </c>
      <c r="B105">
        <v>1486.3</v>
      </c>
      <c r="C105">
        <v>114.855</v>
      </c>
      <c r="D105" s="15">
        <f t="shared" si="5"/>
        <v>1.2499999999988632E-4</v>
      </c>
      <c r="E105" s="14">
        <f t="shared" si="3"/>
        <v>1.2747609677703E-4</v>
      </c>
      <c r="F105">
        <v>106.52800000000001</v>
      </c>
      <c r="G105" s="1">
        <f t="shared" si="4"/>
        <v>106.40937100000001</v>
      </c>
    </row>
    <row r="106" spans="1:7" x14ac:dyDescent="0.3">
      <c r="A106">
        <v>1040</v>
      </c>
      <c r="B106">
        <v>1481.1</v>
      </c>
      <c r="C106">
        <v>114.85299999999999</v>
      </c>
      <c r="D106" s="15">
        <f t="shared" si="5"/>
        <v>1.2499999999988632E-4</v>
      </c>
      <c r="E106" s="14">
        <f t="shared" si="3"/>
        <v>1.2742881550272E-4</v>
      </c>
      <c r="F106">
        <v>106.53700000000001</v>
      </c>
      <c r="G106" s="1">
        <f t="shared" si="4"/>
        <v>106.408241</v>
      </c>
    </row>
    <row r="107" spans="1:7" x14ac:dyDescent="0.3">
      <c r="A107">
        <v>1050</v>
      </c>
      <c r="B107">
        <v>1476</v>
      </c>
      <c r="C107">
        <v>114.852</v>
      </c>
      <c r="D107" s="15">
        <f t="shared" si="5"/>
        <v>1.2500000000024159E-4</v>
      </c>
      <c r="E107" s="14">
        <f t="shared" si="3"/>
        <v>1.2738154691175E-4</v>
      </c>
      <c r="F107">
        <v>106.54600000000001</v>
      </c>
      <c r="G107" s="1">
        <f t="shared" si="4"/>
        <v>106.407111</v>
      </c>
    </row>
    <row r="108" spans="1:7" x14ac:dyDescent="0.3">
      <c r="A108">
        <v>1060</v>
      </c>
      <c r="B108">
        <v>1470.9</v>
      </c>
      <c r="C108">
        <v>114.851</v>
      </c>
      <c r="D108" s="15">
        <f t="shared" si="5"/>
        <v>1.2499999999988632E-4</v>
      </c>
      <c r="E108" s="14">
        <f t="shared" si="3"/>
        <v>1.2733429100412E-4</v>
      </c>
      <c r="F108">
        <v>106.55500000000001</v>
      </c>
      <c r="G108" s="1">
        <f t="shared" si="4"/>
        <v>106.405981</v>
      </c>
    </row>
    <row r="109" spans="1:7" x14ac:dyDescent="0.3">
      <c r="A109">
        <v>1070</v>
      </c>
      <c r="B109">
        <v>1465.7</v>
      </c>
      <c r="C109">
        <v>114.85</v>
      </c>
      <c r="D109" s="15">
        <f t="shared" si="5"/>
        <v>1.2500000000024159E-4</v>
      </c>
      <c r="E109" s="14">
        <f t="shared" si="3"/>
        <v>1.2728704777983E-4</v>
      </c>
      <c r="F109">
        <v>106.56399999999999</v>
      </c>
      <c r="G109" s="1">
        <f t="shared" si="4"/>
        <v>106.40485100000001</v>
      </c>
    </row>
    <row r="110" spans="1:7" x14ac:dyDescent="0.3">
      <c r="A110">
        <v>1080</v>
      </c>
      <c r="B110">
        <v>1460.5</v>
      </c>
      <c r="C110">
        <v>114.848</v>
      </c>
      <c r="D110" s="15">
        <f t="shared" si="5"/>
        <v>1.2499999999988632E-4</v>
      </c>
      <c r="E110" s="14">
        <f t="shared" si="3"/>
        <v>1.2723981723888E-4</v>
      </c>
      <c r="F110">
        <v>106.57299999999999</v>
      </c>
      <c r="G110" s="1">
        <f t="shared" si="4"/>
        <v>106.403721</v>
      </c>
    </row>
    <row r="111" spans="1:7" x14ac:dyDescent="0.3">
      <c r="A111">
        <v>1090</v>
      </c>
      <c r="B111">
        <v>1455.4</v>
      </c>
      <c r="C111">
        <v>114.84699999999999</v>
      </c>
      <c r="D111" s="15">
        <f t="shared" si="5"/>
        <v>1.2499999999988632E-4</v>
      </c>
      <c r="E111" s="14">
        <f t="shared" si="3"/>
        <v>1.2719259938127E-4</v>
      </c>
      <c r="F111">
        <v>106.583</v>
      </c>
      <c r="G111" s="1">
        <f t="shared" si="4"/>
        <v>106.402591</v>
      </c>
    </row>
    <row r="112" spans="1:7" x14ac:dyDescent="0.3">
      <c r="A112">
        <v>1100</v>
      </c>
      <c r="B112">
        <v>1450.3</v>
      </c>
      <c r="C112">
        <v>114.846</v>
      </c>
      <c r="D112" s="15">
        <f t="shared" si="5"/>
        <v>1.2499999999988632E-4</v>
      </c>
      <c r="E112" s="14">
        <f t="shared" si="3"/>
        <v>1.27145394207E-4</v>
      </c>
      <c r="F112">
        <v>106.592</v>
      </c>
      <c r="G112" s="1">
        <f t="shared" si="4"/>
        <v>106.401461</v>
      </c>
    </row>
    <row r="113" spans="1:7" x14ac:dyDescent="0.3">
      <c r="A113">
        <v>1110</v>
      </c>
      <c r="B113">
        <v>1445.1</v>
      </c>
      <c r="C113">
        <v>114.845</v>
      </c>
      <c r="D113" s="15">
        <f t="shared" si="5"/>
        <v>1.2499999999988632E-4</v>
      </c>
      <c r="E113" s="14">
        <f t="shared" si="3"/>
        <v>1.2709820171607E-4</v>
      </c>
      <c r="F113">
        <v>106.6</v>
      </c>
      <c r="G113" s="1">
        <f t="shared" si="4"/>
        <v>106.40033100000001</v>
      </c>
    </row>
    <row r="114" spans="1:7" x14ac:dyDescent="0.3">
      <c r="A114">
        <v>1120</v>
      </c>
      <c r="B114">
        <v>1440.1</v>
      </c>
      <c r="C114">
        <v>114.843</v>
      </c>
      <c r="D114" s="15">
        <f t="shared" si="5"/>
        <v>1.2500000000024159E-4</v>
      </c>
      <c r="E114" s="14">
        <f t="shared" si="3"/>
        <v>1.2705102190848001E-4</v>
      </c>
      <c r="F114">
        <v>106.60899999999999</v>
      </c>
      <c r="G114" s="1">
        <f t="shared" si="4"/>
        <v>106.39920100000001</v>
      </c>
    </row>
    <row r="115" spans="1:7" x14ac:dyDescent="0.3">
      <c r="A115">
        <v>1130</v>
      </c>
      <c r="B115">
        <v>1434.9</v>
      </c>
      <c r="C115">
        <v>114.842</v>
      </c>
      <c r="D115" s="15">
        <f t="shared" si="5"/>
        <v>1.2499999999988632E-4</v>
      </c>
      <c r="E115" s="14">
        <f t="shared" si="3"/>
        <v>1.2700385478422999E-4</v>
      </c>
      <c r="F115">
        <v>106.619</v>
      </c>
      <c r="G115" s="1">
        <f t="shared" si="4"/>
        <v>106.398071</v>
      </c>
    </row>
    <row r="116" spans="1:7" x14ac:dyDescent="0.3">
      <c r="A116">
        <v>1140</v>
      </c>
      <c r="B116">
        <v>1429.9</v>
      </c>
      <c r="C116">
        <v>114.84099999999999</v>
      </c>
      <c r="D116" s="15">
        <f t="shared" si="5"/>
        <v>1.2500000000024159E-4</v>
      </c>
      <c r="E116" s="14">
        <f t="shared" si="3"/>
        <v>1.2695670034331999E-4</v>
      </c>
      <c r="F116">
        <v>106.628</v>
      </c>
      <c r="G116" s="1">
        <f t="shared" si="4"/>
        <v>106.396941</v>
      </c>
    </row>
    <row r="117" spans="1:7" x14ac:dyDescent="0.3">
      <c r="A117">
        <v>1150</v>
      </c>
      <c r="B117">
        <v>1424.8</v>
      </c>
      <c r="C117">
        <v>114.84</v>
      </c>
      <c r="D117" s="15">
        <f t="shared" si="5"/>
        <v>1.2499999999988632E-4</v>
      </c>
      <c r="E117" s="14">
        <f t="shared" si="3"/>
        <v>1.2690955858575E-4</v>
      </c>
      <c r="F117">
        <v>106.637</v>
      </c>
      <c r="G117" s="1">
        <f t="shared" si="4"/>
        <v>106.39581100000001</v>
      </c>
    </row>
    <row r="118" spans="1:7" x14ac:dyDescent="0.3">
      <c r="A118">
        <v>1160</v>
      </c>
      <c r="B118">
        <v>1419.7</v>
      </c>
      <c r="C118">
        <v>114.83799999999999</v>
      </c>
      <c r="D118" s="15">
        <f t="shared" si="5"/>
        <v>1.2499999999988632E-4</v>
      </c>
      <c r="E118" s="14">
        <f t="shared" si="3"/>
        <v>1.2686242951151998E-4</v>
      </c>
      <c r="F118">
        <v>106.646</v>
      </c>
      <c r="G118" s="1">
        <f t="shared" si="4"/>
        <v>106.39468100000001</v>
      </c>
    </row>
    <row r="119" spans="1:7" x14ac:dyDescent="0.3">
      <c r="A119">
        <v>1170</v>
      </c>
      <c r="B119">
        <v>1414.6</v>
      </c>
      <c r="C119">
        <v>114.837</v>
      </c>
      <c r="D119" s="15">
        <f t="shared" si="5"/>
        <v>1.5000000000000568E-4</v>
      </c>
      <c r="E119" s="14">
        <f t="shared" si="3"/>
        <v>1.2681531312062999E-4</v>
      </c>
      <c r="F119">
        <v>106.655</v>
      </c>
      <c r="G119" s="1">
        <f t="shared" si="4"/>
        <v>106.393551</v>
      </c>
    </row>
    <row r="120" spans="1:7" x14ac:dyDescent="0.3">
      <c r="A120">
        <v>1180</v>
      </c>
      <c r="B120">
        <v>1409.6</v>
      </c>
      <c r="C120">
        <v>114.836</v>
      </c>
      <c r="D120" s="15">
        <f t="shared" si="5"/>
        <v>1.2499999999988632E-4</v>
      </c>
      <c r="E120" s="14">
        <f t="shared" si="3"/>
        <v>1.2676820941308001E-4</v>
      </c>
      <c r="F120">
        <v>106.664</v>
      </c>
      <c r="G120" s="1">
        <f t="shared" si="4"/>
        <v>106.392421</v>
      </c>
    </row>
    <row r="121" spans="1:7" x14ac:dyDescent="0.3">
      <c r="A121">
        <v>1190</v>
      </c>
      <c r="B121">
        <v>1404.5</v>
      </c>
      <c r="C121">
        <v>114.834</v>
      </c>
      <c r="D121" s="15">
        <f t="shared" si="5"/>
        <v>1.2500000000024159E-4</v>
      </c>
      <c r="E121" s="14">
        <f t="shared" si="3"/>
        <v>1.2672111838886999E-4</v>
      </c>
      <c r="F121">
        <v>106.67400000000001</v>
      </c>
      <c r="G121" s="1">
        <f t="shared" si="4"/>
        <v>106.39129100000001</v>
      </c>
    </row>
    <row r="122" spans="1:7" x14ac:dyDescent="0.3">
      <c r="A122">
        <v>1200</v>
      </c>
      <c r="B122">
        <v>1399.5</v>
      </c>
      <c r="C122">
        <v>114.833</v>
      </c>
      <c r="D122" s="15">
        <f t="shared" si="5"/>
        <v>1.5000000000000568E-4</v>
      </c>
      <c r="E122" s="14">
        <f t="shared" si="3"/>
        <v>1.2667404004800001E-4</v>
      </c>
      <c r="F122">
        <v>106.682</v>
      </c>
      <c r="G122" s="1">
        <f t="shared" si="4"/>
        <v>106.39016100000001</v>
      </c>
    </row>
    <row r="123" spans="1:7" x14ac:dyDescent="0.3">
      <c r="A123">
        <v>1210</v>
      </c>
      <c r="B123">
        <v>1394.4</v>
      </c>
      <c r="C123">
        <v>114.83199999999999</v>
      </c>
      <c r="D123" s="15">
        <f t="shared" si="5"/>
        <v>1.2500000000024159E-4</v>
      </c>
      <c r="E123" s="14">
        <f t="shared" si="3"/>
        <v>1.2662697439046999E-4</v>
      </c>
      <c r="F123">
        <v>106.69199999999999</v>
      </c>
      <c r="G123" s="1">
        <f t="shared" si="4"/>
        <v>106.389031</v>
      </c>
    </row>
    <row r="124" spans="1:7" x14ac:dyDescent="0.3">
      <c r="A124">
        <v>1220</v>
      </c>
      <c r="B124">
        <v>1389.4</v>
      </c>
      <c r="C124">
        <v>114.83</v>
      </c>
      <c r="D124" s="15">
        <f t="shared" si="5"/>
        <v>1.5000000000000568E-4</v>
      </c>
      <c r="E124" s="14">
        <f t="shared" si="3"/>
        <v>1.2657992141628001E-4</v>
      </c>
      <c r="F124">
        <v>106.70099999999999</v>
      </c>
      <c r="G124" s="1">
        <f t="shared" si="4"/>
        <v>106.387901</v>
      </c>
    </row>
    <row r="125" spans="1:7" x14ac:dyDescent="0.3">
      <c r="A125">
        <v>1230</v>
      </c>
      <c r="B125">
        <v>1384.4</v>
      </c>
      <c r="C125">
        <v>114.82899999999999</v>
      </c>
      <c r="D125" s="15">
        <f t="shared" si="5"/>
        <v>1.5000000000000568E-4</v>
      </c>
      <c r="E125" s="14">
        <f t="shared" si="3"/>
        <v>1.2653288112543E-4</v>
      </c>
      <c r="F125">
        <v>106.71</v>
      </c>
      <c r="G125" s="1">
        <f t="shared" si="4"/>
        <v>106.386771</v>
      </c>
    </row>
    <row r="126" spans="1:7" x14ac:dyDescent="0.3">
      <c r="A126">
        <v>1240</v>
      </c>
      <c r="B126">
        <v>1379.4</v>
      </c>
      <c r="C126">
        <v>114.827</v>
      </c>
      <c r="D126" s="15">
        <f t="shared" si="5"/>
        <v>1.2499999999988632E-4</v>
      </c>
      <c r="E126" s="14">
        <f t="shared" si="3"/>
        <v>1.2648585351791999E-4</v>
      </c>
      <c r="F126">
        <v>106.71899999999999</v>
      </c>
      <c r="G126" s="1">
        <f t="shared" si="4"/>
        <v>106.38564100000001</v>
      </c>
    </row>
    <row r="127" spans="1:7" x14ac:dyDescent="0.3">
      <c r="A127">
        <v>1250</v>
      </c>
      <c r="B127">
        <v>1374.4</v>
      </c>
      <c r="C127">
        <v>114.82599999999999</v>
      </c>
      <c r="D127" s="15">
        <f t="shared" si="5"/>
        <v>1.5000000000000568E-4</v>
      </c>
      <c r="E127" s="14">
        <f t="shared" si="3"/>
        <v>1.2643883859375001E-4</v>
      </c>
      <c r="F127">
        <v>106.72799999999999</v>
      </c>
      <c r="G127" s="1">
        <f t="shared" si="4"/>
        <v>106.384511</v>
      </c>
    </row>
    <row r="128" spans="1:7" x14ac:dyDescent="0.3">
      <c r="A128">
        <v>1260</v>
      </c>
      <c r="B128">
        <v>1369.4</v>
      </c>
      <c r="C128">
        <v>114.825</v>
      </c>
      <c r="D128" s="15">
        <f t="shared" si="5"/>
        <v>1.2499999999988632E-4</v>
      </c>
      <c r="E128" s="14">
        <f t="shared" si="3"/>
        <v>1.2639183635292E-4</v>
      </c>
      <c r="F128">
        <v>106.738</v>
      </c>
      <c r="G128" s="1">
        <f t="shared" si="4"/>
        <v>106.383381</v>
      </c>
    </row>
    <row r="129" spans="1:7" x14ac:dyDescent="0.3">
      <c r="A129">
        <v>1270</v>
      </c>
      <c r="B129">
        <v>1364.4</v>
      </c>
      <c r="C129">
        <v>114.82299999999999</v>
      </c>
      <c r="D129" s="15">
        <f t="shared" si="5"/>
        <v>1.5000000000000568E-4</v>
      </c>
      <c r="E129" s="14">
        <f t="shared" si="3"/>
        <v>1.2634484679543E-4</v>
      </c>
      <c r="F129">
        <v>106.746</v>
      </c>
      <c r="G129" s="1">
        <f t="shared" si="4"/>
        <v>106.382251</v>
      </c>
    </row>
    <row r="130" spans="1:7" x14ac:dyDescent="0.3">
      <c r="A130">
        <v>1280</v>
      </c>
      <c r="B130">
        <v>1359.4</v>
      </c>
      <c r="C130">
        <v>114.822</v>
      </c>
      <c r="D130" s="15">
        <f t="shared" si="5"/>
        <v>1.5000000000000568E-4</v>
      </c>
      <c r="E130" s="14">
        <f t="shared" ref="E130:E193" si="6">0.0000000000000634167*A130*A130 - 0.0000000048594*A130 + 0.000132414</f>
        <v>1.2629786992127999E-4</v>
      </c>
      <c r="F130">
        <v>106.756</v>
      </c>
      <c r="G130" s="1">
        <f t="shared" si="4"/>
        <v>106.38112100000001</v>
      </c>
    </row>
    <row r="131" spans="1:7" x14ac:dyDescent="0.3">
      <c r="A131">
        <v>1290</v>
      </c>
      <c r="B131">
        <v>1354.4</v>
      </c>
      <c r="C131">
        <v>114.82</v>
      </c>
      <c r="D131" s="15">
        <f t="shared" si="5"/>
        <v>1.5000000000000568E-4</v>
      </c>
      <c r="E131" s="14">
        <f t="shared" si="6"/>
        <v>1.2625090573046999E-4</v>
      </c>
      <c r="F131">
        <v>106.764</v>
      </c>
      <c r="G131" s="1">
        <f t="shared" ref="G131:G194" si="7">-0.000113*A131 + 106.525761</f>
        <v>106.379991</v>
      </c>
    </row>
    <row r="132" spans="1:7" x14ac:dyDescent="0.3">
      <c r="A132">
        <v>1300</v>
      </c>
      <c r="B132">
        <v>1349.4</v>
      </c>
      <c r="C132">
        <v>114.819</v>
      </c>
      <c r="D132" s="15">
        <f t="shared" si="5"/>
        <v>1.5000000000000568E-4</v>
      </c>
      <c r="E132" s="14">
        <f t="shared" si="6"/>
        <v>1.2620395422299998E-4</v>
      </c>
      <c r="F132">
        <v>106.774</v>
      </c>
      <c r="G132" s="1">
        <f t="shared" si="7"/>
        <v>106.378861</v>
      </c>
    </row>
    <row r="133" spans="1:7" x14ac:dyDescent="0.3">
      <c r="A133">
        <v>1310</v>
      </c>
      <c r="B133">
        <v>1344.5</v>
      </c>
      <c r="C133">
        <v>114.81699999999999</v>
      </c>
      <c r="D133" s="15">
        <f t="shared" ref="D133:D196" si="8">(C131-C135)/(A135-A131)</f>
        <v>1.5000000000000568E-4</v>
      </c>
      <c r="E133" s="14">
        <f t="shared" si="6"/>
        <v>1.2615701539887001E-4</v>
      </c>
      <c r="F133">
        <v>106.783</v>
      </c>
      <c r="G133" s="1">
        <f t="shared" si="7"/>
        <v>106.377731</v>
      </c>
    </row>
    <row r="134" spans="1:7" x14ac:dyDescent="0.3">
      <c r="A134">
        <v>1320</v>
      </c>
      <c r="B134">
        <v>1339.4</v>
      </c>
      <c r="C134">
        <v>114.816</v>
      </c>
      <c r="D134" s="15">
        <f t="shared" si="8"/>
        <v>1.5000000000000568E-4</v>
      </c>
      <c r="E134" s="14">
        <f t="shared" si="6"/>
        <v>1.2611008925808001E-4</v>
      </c>
      <c r="F134">
        <v>106.792</v>
      </c>
      <c r="G134" s="1">
        <f t="shared" si="7"/>
        <v>106.37660100000001</v>
      </c>
    </row>
    <row r="135" spans="1:7" x14ac:dyDescent="0.3">
      <c r="A135">
        <v>1330</v>
      </c>
      <c r="B135">
        <v>1334.5</v>
      </c>
      <c r="C135">
        <v>114.81399999999999</v>
      </c>
      <c r="D135" s="15">
        <f t="shared" si="8"/>
        <v>1.4999999999965041E-4</v>
      </c>
      <c r="E135" s="14">
        <f t="shared" si="6"/>
        <v>1.2606317580062998E-4</v>
      </c>
      <c r="F135">
        <v>106.801</v>
      </c>
      <c r="G135" s="1">
        <f t="shared" si="7"/>
        <v>106.375471</v>
      </c>
    </row>
    <row r="136" spans="1:7" x14ac:dyDescent="0.3">
      <c r="A136">
        <v>1340</v>
      </c>
      <c r="B136">
        <v>1329.6</v>
      </c>
      <c r="C136">
        <v>114.813</v>
      </c>
      <c r="D136" s="15">
        <f t="shared" si="8"/>
        <v>1.5000000000000568E-4</v>
      </c>
      <c r="E136" s="14">
        <f t="shared" si="6"/>
        <v>1.2601627502651998E-4</v>
      </c>
      <c r="F136">
        <v>106.81</v>
      </c>
      <c r="G136" s="1">
        <f t="shared" si="7"/>
        <v>106.374341</v>
      </c>
    </row>
    <row r="137" spans="1:7" x14ac:dyDescent="0.3">
      <c r="A137">
        <v>1350</v>
      </c>
      <c r="B137">
        <v>1324.6</v>
      </c>
      <c r="C137">
        <v>114.81100000000001</v>
      </c>
      <c r="D137" s="15">
        <f t="shared" si="8"/>
        <v>1.4999999999965041E-4</v>
      </c>
      <c r="E137" s="14">
        <f t="shared" si="6"/>
        <v>1.2596938693574999E-4</v>
      </c>
      <c r="F137">
        <v>106.819</v>
      </c>
      <c r="G137" s="1">
        <f t="shared" si="7"/>
        <v>106.373211</v>
      </c>
    </row>
    <row r="138" spans="1:7" x14ac:dyDescent="0.3">
      <c r="A138">
        <v>1360</v>
      </c>
      <c r="B138">
        <v>1319.6</v>
      </c>
      <c r="C138">
        <v>114.81</v>
      </c>
      <c r="D138" s="15">
        <f t="shared" si="8"/>
        <v>1.7500000000012506E-4</v>
      </c>
      <c r="E138" s="14">
        <f t="shared" si="6"/>
        <v>1.2592251152831999E-4</v>
      </c>
      <c r="F138">
        <v>106.82899999999999</v>
      </c>
      <c r="G138" s="1">
        <f t="shared" si="7"/>
        <v>106.37208100000001</v>
      </c>
    </row>
    <row r="139" spans="1:7" x14ac:dyDescent="0.3">
      <c r="A139">
        <v>1370</v>
      </c>
      <c r="B139">
        <v>1314.6</v>
      </c>
      <c r="C139">
        <v>114.80800000000001</v>
      </c>
      <c r="D139" s="15">
        <f t="shared" si="8"/>
        <v>1.5000000000000568E-4</v>
      </c>
      <c r="E139" s="14">
        <f t="shared" si="6"/>
        <v>1.2587564880423E-4</v>
      </c>
      <c r="F139">
        <v>106.837</v>
      </c>
      <c r="G139" s="1">
        <f t="shared" si="7"/>
        <v>106.37095100000001</v>
      </c>
    </row>
    <row r="140" spans="1:7" x14ac:dyDescent="0.3">
      <c r="A140">
        <v>1380</v>
      </c>
      <c r="B140">
        <v>1309.5</v>
      </c>
      <c r="C140">
        <v>114.806</v>
      </c>
      <c r="D140" s="15">
        <f t="shared" si="8"/>
        <v>1.7500000000012506E-4</v>
      </c>
      <c r="E140" s="14">
        <f t="shared" si="6"/>
        <v>1.2582879876348E-4</v>
      </c>
      <c r="F140">
        <v>106.84699999999999</v>
      </c>
      <c r="G140" s="1">
        <f t="shared" si="7"/>
        <v>106.369821</v>
      </c>
    </row>
    <row r="141" spans="1:7" x14ac:dyDescent="0.3">
      <c r="A141">
        <v>1390</v>
      </c>
      <c r="B141">
        <v>1304.5</v>
      </c>
      <c r="C141">
        <v>114.80500000000001</v>
      </c>
      <c r="D141" s="15">
        <f t="shared" si="8"/>
        <v>1.5000000000000568E-4</v>
      </c>
      <c r="E141" s="14">
        <f t="shared" si="6"/>
        <v>1.2578196140606998E-4</v>
      </c>
      <c r="F141">
        <v>106.85599999999999</v>
      </c>
      <c r="G141" s="1">
        <f t="shared" si="7"/>
        <v>106.368691</v>
      </c>
    </row>
    <row r="142" spans="1:7" x14ac:dyDescent="0.3">
      <c r="A142">
        <v>1400</v>
      </c>
      <c r="B142">
        <v>1299.4000000000001</v>
      </c>
      <c r="C142">
        <v>114.803</v>
      </c>
      <c r="D142" s="15">
        <f t="shared" si="8"/>
        <v>1.5000000000000568E-4</v>
      </c>
      <c r="E142" s="14">
        <f t="shared" si="6"/>
        <v>1.2573513673199999E-4</v>
      </c>
      <c r="F142">
        <v>106.86499999999999</v>
      </c>
      <c r="G142" s="1">
        <f t="shared" si="7"/>
        <v>106.36756100000001</v>
      </c>
    </row>
    <row r="143" spans="1:7" x14ac:dyDescent="0.3">
      <c r="A143">
        <v>1410</v>
      </c>
      <c r="B143">
        <v>1294.4000000000001</v>
      </c>
      <c r="C143">
        <v>114.80200000000001</v>
      </c>
      <c r="D143" s="15">
        <f t="shared" si="8"/>
        <v>1.7500000000012506E-4</v>
      </c>
      <c r="E143" s="14">
        <f t="shared" si="6"/>
        <v>1.2568832474127E-4</v>
      </c>
      <c r="F143">
        <v>106.874</v>
      </c>
      <c r="G143" s="1">
        <f t="shared" si="7"/>
        <v>106.36643100000001</v>
      </c>
    </row>
    <row r="144" spans="1:7" x14ac:dyDescent="0.3">
      <c r="A144">
        <v>1420</v>
      </c>
      <c r="B144">
        <v>1289.5</v>
      </c>
      <c r="C144">
        <v>114.8</v>
      </c>
      <c r="D144" s="15">
        <f t="shared" si="8"/>
        <v>1.5000000000000568E-4</v>
      </c>
      <c r="E144" s="14">
        <f t="shared" si="6"/>
        <v>1.2564152543387998E-4</v>
      </c>
      <c r="F144">
        <v>106.88200000000001</v>
      </c>
      <c r="G144" s="1">
        <f t="shared" si="7"/>
        <v>106.365301</v>
      </c>
    </row>
    <row r="145" spans="1:7" x14ac:dyDescent="0.3">
      <c r="A145">
        <v>1430</v>
      </c>
      <c r="B145">
        <v>1284.4000000000001</v>
      </c>
      <c r="C145">
        <v>114.798</v>
      </c>
      <c r="D145" s="15">
        <f t="shared" si="8"/>
        <v>1.7500000000012506E-4</v>
      </c>
      <c r="E145" s="14">
        <f t="shared" si="6"/>
        <v>1.2559473880983E-4</v>
      </c>
      <c r="F145">
        <v>106.892</v>
      </c>
      <c r="G145" s="1">
        <f t="shared" si="7"/>
        <v>106.364171</v>
      </c>
    </row>
    <row r="146" spans="1:7" x14ac:dyDescent="0.3">
      <c r="A146">
        <v>1440</v>
      </c>
      <c r="B146">
        <v>1279.4000000000001</v>
      </c>
      <c r="C146">
        <v>114.797</v>
      </c>
      <c r="D146" s="15">
        <f t="shared" si="8"/>
        <v>1.7499999999976979E-4</v>
      </c>
      <c r="E146" s="14">
        <f t="shared" si="6"/>
        <v>1.2554796486912001E-4</v>
      </c>
      <c r="F146">
        <v>106.901</v>
      </c>
      <c r="G146" s="1">
        <f t="shared" si="7"/>
        <v>106.36304100000001</v>
      </c>
    </row>
    <row r="147" spans="1:7" x14ac:dyDescent="0.3">
      <c r="A147">
        <v>1450</v>
      </c>
      <c r="B147">
        <v>1274.5</v>
      </c>
      <c r="C147">
        <v>114.795</v>
      </c>
      <c r="D147" s="15">
        <f t="shared" si="8"/>
        <v>1.5000000000000568E-4</v>
      </c>
      <c r="E147" s="14">
        <f t="shared" si="6"/>
        <v>1.2550120361175E-4</v>
      </c>
      <c r="F147">
        <v>106.91</v>
      </c>
      <c r="G147" s="1">
        <f t="shared" si="7"/>
        <v>106.36191100000001</v>
      </c>
    </row>
    <row r="148" spans="1:7" x14ac:dyDescent="0.3">
      <c r="A148">
        <v>1460</v>
      </c>
      <c r="B148">
        <v>1269.5</v>
      </c>
      <c r="C148">
        <v>114.79300000000001</v>
      </c>
      <c r="D148" s="15">
        <f t="shared" si="8"/>
        <v>1.7499999999976979E-4</v>
      </c>
      <c r="E148" s="14">
        <f t="shared" si="6"/>
        <v>1.2545445503772001E-4</v>
      </c>
      <c r="F148">
        <v>106.919</v>
      </c>
      <c r="G148" s="1">
        <f t="shared" si="7"/>
        <v>106.360781</v>
      </c>
    </row>
    <row r="149" spans="1:7" x14ac:dyDescent="0.3">
      <c r="A149">
        <v>1470</v>
      </c>
      <c r="B149">
        <v>1264.5</v>
      </c>
      <c r="C149">
        <v>114.792</v>
      </c>
      <c r="D149" s="15">
        <f t="shared" si="8"/>
        <v>1.7500000000012506E-4</v>
      </c>
      <c r="E149" s="14">
        <f t="shared" si="6"/>
        <v>1.2540771914703E-4</v>
      </c>
      <c r="F149">
        <v>106.929</v>
      </c>
      <c r="G149" s="1">
        <f t="shared" si="7"/>
        <v>106.359651</v>
      </c>
    </row>
    <row r="150" spans="1:7" x14ac:dyDescent="0.3">
      <c r="A150">
        <v>1480</v>
      </c>
      <c r="B150">
        <v>1259.5999999999999</v>
      </c>
      <c r="C150">
        <v>114.79</v>
      </c>
      <c r="D150" s="15">
        <f t="shared" si="8"/>
        <v>1.7500000000012506E-4</v>
      </c>
      <c r="E150" s="14">
        <f t="shared" si="6"/>
        <v>1.2536099593967999E-4</v>
      </c>
      <c r="F150">
        <v>106.938</v>
      </c>
      <c r="G150" s="1">
        <f t="shared" si="7"/>
        <v>106.358521</v>
      </c>
    </row>
    <row r="151" spans="1:7" x14ac:dyDescent="0.3">
      <c r="A151">
        <v>1490</v>
      </c>
      <c r="B151">
        <v>1254.5999999999999</v>
      </c>
      <c r="C151">
        <v>114.788</v>
      </c>
      <c r="D151" s="15">
        <f t="shared" si="8"/>
        <v>1.9999999999988915E-4</v>
      </c>
      <c r="E151" s="14">
        <f t="shared" si="6"/>
        <v>1.2531428541567001E-4</v>
      </c>
      <c r="F151">
        <v>106.946</v>
      </c>
      <c r="G151" s="1">
        <f t="shared" si="7"/>
        <v>106.35739100000001</v>
      </c>
    </row>
    <row r="152" spans="1:7" x14ac:dyDescent="0.3">
      <c r="A152">
        <v>1500</v>
      </c>
      <c r="B152">
        <v>1249.7</v>
      </c>
      <c r="C152">
        <v>114.786</v>
      </c>
      <c r="D152" s="15">
        <f t="shared" si="8"/>
        <v>1.7500000000012506E-4</v>
      </c>
      <c r="E152" s="14">
        <f t="shared" si="6"/>
        <v>1.25267587575E-4</v>
      </c>
      <c r="F152">
        <v>106.956</v>
      </c>
      <c r="G152" s="1">
        <f t="shared" si="7"/>
        <v>106.356261</v>
      </c>
    </row>
    <row r="153" spans="1:7" x14ac:dyDescent="0.3">
      <c r="A153">
        <v>1510</v>
      </c>
      <c r="B153">
        <v>1244.7</v>
      </c>
      <c r="C153">
        <v>114.78400000000001</v>
      </c>
      <c r="D153" s="15">
        <f t="shared" si="8"/>
        <v>1.7499999999976979E-4</v>
      </c>
      <c r="E153" s="14">
        <f t="shared" si="6"/>
        <v>1.2522090241766999E-4</v>
      </c>
      <c r="F153">
        <v>106.965</v>
      </c>
      <c r="G153" s="1">
        <f t="shared" si="7"/>
        <v>106.355131</v>
      </c>
    </row>
    <row r="154" spans="1:7" x14ac:dyDescent="0.3">
      <c r="A154">
        <v>1520</v>
      </c>
      <c r="B154">
        <v>1239.8</v>
      </c>
      <c r="C154">
        <v>114.783</v>
      </c>
      <c r="D154" s="15">
        <f t="shared" si="8"/>
        <v>1.7500000000012506E-4</v>
      </c>
      <c r="E154" s="14">
        <f t="shared" si="6"/>
        <v>1.2517422994367999E-4</v>
      </c>
      <c r="F154">
        <v>106.974</v>
      </c>
      <c r="G154" s="1">
        <f t="shared" si="7"/>
        <v>106.354001</v>
      </c>
    </row>
    <row r="155" spans="1:7" x14ac:dyDescent="0.3">
      <c r="A155">
        <v>1530</v>
      </c>
      <c r="B155">
        <v>1234.9000000000001</v>
      </c>
      <c r="C155">
        <v>114.78100000000001</v>
      </c>
      <c r="D155" s="15">
        <f t="shared" si="8"/>
        <v>1.7500000000012506E-4</v>
      </c>
      <c r="E155" s="14">
        <f t="shared" si="6"/>
        <v>1.2512757015303001E-4</v>
      </c>
      <c r="F155">
        <v>106.98399999999999</v>
      </c>
      <c r="G155" s="1">
        <f t="shared" si="7"/>
        <v>106.35287100000001</v>
      </c>
    </row>
    <row r="156" spans="1:7" x14ac:dyDescent="0.3">
      <c r="A156">
        <v>1540</v>
      </c>
      <c r="B156">
        <v>1230</v>
      </c>
      <c r="C156">
        <v>114.779</v>
      </c>
      <c r="D156" s="15">
        <f t="shared" si="8"/>
        <v>1.9999999999988915E-4</v>
      </c>
      <c r="E156" s="14">
        <f t="shared" si="6"/>
        <v>1.2508092304572001E-4</v>
      </c>
      <c r="F156">
        <v>106.992</v>
      </c>
      <c r="G156" s="1">
        <f t="shared" si="7"/>
        <v>106.351741</v>
      </c>
    </row>
    <row r="157" spans="1:7" x14ac:dyDescent="0.3">
      <c r="A157">
        <v>1550</v>
      </c>
      <c r="B157">
        <v>1225.0999999999999</v>
      </c>
      <c r="C157">
        <v>114.777</v>
      </c>
      <c r="D157" s="15">
        <f t="shared" si="8"/>
        <v>2.0000000000024442E-4</v>
      </c>
      <c r="E157" s="14">
        <f t="shared" si="6"/>
        <v>1.2503428862175E-4</v>
      </c>
      <c r="F157">
        <v>107.001</v>
      </c>
      <c r="G157" s="1">
        <f t="shared" si="7"/>
        <v>106.350611</v>
      </c>
    </row>
    <row r="158" spans="1:7" x14ac:dyDescent="0.3">
      <c r="A158">
        <v>1560</v>
      </c>
      <c r="B158">
        <v>1220.2</v>
      </c>
      <c r="C158">
        <v>114.77500000000001</v>
      </c>
      <c r="D158" s="15">
        <f t="shared" si="8"/>
        <v>1.9999999999988915E-4</v>
      </c>
      <c r="E158" s="14">
        <f t="shared" si="6"/>
        <v>1.2498766688112E-4</v>
      </c>
      <c r="F158">
        <v>107.01</v>
      </c>
      <c r="G158" s="1">
        <f t="shared" si="7"/>
        <v>106.349481</v>
      </c>
    </row>
    <row r="159" spans="1:7" x14ac:dyDescent="0.3">
      <c r="A159">
        <v>1570</v>
      </c>
      <c r="B159">
        <v>1215.3</v>
      </c>
      <c r="C159">
        <v>114.773</v>
      </c>
      <c r="D159" s="15">
        <f t="shared" si="8"/>
        <v>1.9999999999988915E-4</v>
      </c>
      <c r="E159" s="14">
        <f t="shared" si="6"/>
        <v>1.2494105782383E-4</v>
      </c>
      <c r="F159">
        <v>107.02</v>
      </c>
      <c r="G159" s="1">
        <f t="shared" si="7"/>
        <v>106.34835100000001</v>
      </c>
    </row>
    <row r="160" spans="1:7" x14ac:dyDescent="0.3">
      <c r="A160">
        <v>1580</v>
      </c>
      <c r="B160">
        <v>1210.4000000000001</v>
      </c>
      <c r="C160">
        <v>114.771</v>
      </c>
      <c r="D160" s="15">
        <f t="shared" si="8"/>
        <v>2.0000000000024442E-4</v>
      </c>
      <c r="E160" s="14">
        <f t="shared" si="6"/>
        <v>1.2489446144988E-4</v>
      </c>
      <c r="F160">
        <v>107.029</v>
      </c>
      <c r="G160" s="1">
        <f t="shared" si="7"/>
        <v>106.347221</v>
      </c>
    </row>
    <row r="161" spans="1:7" x14ac:dyDescent="0.3">
      <c r="A161">
        <v>1590</v>
      </c>
      <c r="B161">
        <v>1205.5</v>
      </c>
      <c r="C161">
        <v>114.76900000000001</v>
      </c>
      <c r="D161" s="15">
        <f t="shared" si="8"/>
        <v>1.9999999999988915E-4</v>
      </c>
      <c r="E161" s="14">
        <f t="shared" si="6"/>
        <v>1.2484787775927001E-4</v>
      </c>
      <c r="F161">
        <v>107.038</v>
      </c>
      <c r="G161" s="1">
        <f t="shared" si="7"/>
        <v>106.346091</v>
      </c>
    </row>
    <row r="162" spans="1:7" x14ac:dyDescent="0.3">
      <c r="A162">
        <v>1600</v>
      </c>
      <c r="B162">
        <v>1200.7</v>
      </c>
      <c r="C162">
        <v>114.767</v>
      </c>
      <c r="D162" s="15">
        <f t="shared" si="8"/>
        <v>1.9999999999988915E-4</v>
      </c>
      <c r="E162" s="14">
        <f t="shared" si="6"/>
        <v>1.2480130675200001E-4</v>
      </c>
      <c r="F162">
        <v>107.047</v>
      </c>
      <c r="G162" s="1">
        <f t="shared" si="7"/>
        <v>106.344961</v>
      </c>
    </row>
    <row r="163" spans="1:7" x14ac:dyDescent="0.3">
      <c r="A163">
        <v>1610</v>
      </c>
      <c r="B163">
        <v>1195.8</v>
      </c>
      <c r="C163">
        <v>114.765</v>
      </c>
      <c r="D163" s="15">
        <f t="shared" si="8"/>
        <v>2.0000000000024442E-4</v>
      </c>
      <c r="E163" s="14">
        <f t="shared" si="6"/>
        <v>1.2475474842806999E-4</v>
      </c>
      <c r="F163">
        <v>107.056</v>
      </c>
      <c r="G163" s="1">
        <f t="shared" si="7"/>
        <v>106.34383100000001</v>
      </c>
    </row>
    <row r="164" spans="1:7" x14ac:dyDescent="0.3">
      <c r="A164">
        <v>1620</v>
      </c>
      <c r="B164">
        <v>1190.9000000000001</v>
      </c>
      <c r="C164">
        <v>114.76300000000001</v>
      </c>
      <c r="D164" s="15">
        <f t="shared" si="8"/>
        <v>1.9999999999988915E-4</v>
      </c>
      <c r="E164" s="14">
        <f t="shared" si="6"/>
        <v>1.2470820278747999E-4</v>
      </c>
      <c r="F164">
        <v>107.065</v>
      </c>
      <c r="G164" s="1">
        <f t="shared" si="7"/>
        <v>106.34270100000001</v>
      </c>
    </row>
    <row r="165" spans="1:7" x14ac:dyDescent="0.3">
      <c r="A165">
        <v>1630</v>
      </c>
      <c r="B165">
        <v>1186.0999999999999</v>
      </c>
      <c r="C165">
        <v>114.761</v>
      </c>
      <c r="D165" s="15">
        <f t="shared" si="8"/>
        <v>1.9999999999988915E-4</v>
      </c>
      <c r="E165" s="14">
        <f t="shared" si="6"/>
        <v>1.2466166983023E-4</v>
      </c>
      <c r="F165">
        <v>107.074</v>
      </c>
      <c r="G165" s="1">
        <f t="shared" si="7"/>
        <v>106.341571</v>
      </c>
    </row>
    <row r="166" spans="1:7" x14ac:dyDescent="0.3">
      <c r="A166">
        <v>1640</v>
      </c>
      <c r="B166">
        <v>1181.3</v>
      </c>
      <c r="C166">
        <v>114.759</v>
      </c>
      <c r="D166" s="15">
        <f t="shared" si="8"/>
        <v>2.0000000000024442E-4</v>
      </c>
      <c r="E166" s="14">
        <f t="shared" si="6"/>
        <v>1.2461514955632E-4</v>
      </c>
      <c r="F166">
        <v>107.083</v>
      </c>
      <c r="G166" s="1">
        <f t="shared" si="7"/>
        <v>106.340441</v>
      </c>
    </row>
    <row r="167" spans="1:7" x14ac:dyDescent="0.3">
      <c r="A167">
        <v>1650</v>
      </c>
      <c r="B167">
        <v>1176.4000000000001</v>
      </c>
      <c r="C167">
        <v>114.75700000000001</v>
      </c>
      <c r="D167" s="15">
        <f t="shared" si="8"/>
        <v>1.9999999999988915E-4</v>
      </c>
      <c r="E167" s="14">
        <f t="shared" si="6"/>
        <v>1.2456864196574999E-4</v>
      </c>
      <c r="F167">
        <v>107.093</v>
      </c>
      <c r="G167" s="1">
        <f t="shared" si="7"/>
        <v>106.33931100000001</v>
      </c>
    </row>
    <row r="168" spans="1:7" x14ac:dyDescent="0.3">
      <c r="A168">
        <v>1660</v>
      </c>
      <c r="B168">
        <v>1171.5999999999999</v>
      </c>
      <c r="C168">
        <v>114.755</v>
      </c>
      <c r="D168" s="15">
        <f t="shared" si="8"/>
        <v>1.9999999999988915E-4</v>
      </c>
      <c r="E168" s="14">
        <f t="shared" si="6"/>
        <v>1.2452214705852E-4</v>
      </c>
      <c r="F168">
        <v>107.102</v>
      </c>
      <c r="G168" s="1">
        <f t="shared" si="7"/>
        <v>106.33818100000001</v>
      </c>
    </row>
    <row r="169" spans="1:7" x14ac:dyDescent="0.3">
      <c r="A169">
        <v>1670</v>
      </c>
      <c r="B169">
        <v>1166.8</v>
      </c>
      <c r="C169">
        <v>114.753</v>
      </c>
      <c r="D169" s="15">
        <f t="shared" si="8"/>
        <v>2.0000000000024442E-4</v>
      </c>
      <c r="E169" s="14">
        <f t="shared" si="6"/>
        <v>1.2447566483463001E-4</v>
      </c>
      <c r="F169">
        <v>107.111</v>
      </c>
      <c r="G169" s="1">
        <f t="shared" si="7"/>
        <v>106.337051</v>
      </c>
    </row>
    <row r="170" spans="1:7" x14ac:dyDescent="0.3">
      <c r="A170">
        <v>1680</v>
      </c>
      <c r="B170">
        <v>1162</v>
      </c>
      <c r="C170">
        <v>114.751</v>
      </c>
      <c r="D170" s="15">
        <f t="shared" si="8"/>
        <v>1.9999999999988915E-4</v>
      </c>
      <c r="E170" s="14">
        <f t="shared" si="6"/>
        <v>1.2442919529407999E-4</v>
      </c>
      <c r="F170">
        <v>107.12</v>
      </c>
      <c r="G170" s="1">
        <f t="shared" si="7"/>
        <v>106.335921</v>
      </c>
    </row>
    <row r="171" spans="1:7" x14ac:dyDescent="0.3">
      <c r="A171">
        <v>1690</v>
      </c>
      <c r="B171">
        <v>1159.0999999999999</v>
      </c>
      <c r="C171">
        <v>114.749</v>
      </c>
      <c r="D171" s="15">
        <f t="shared" si="8"/>
        <v>2.2500000000000853E-4</v>
      </c>
      <c r="E171" s="14">
        <f t="shared" si="6"/>
        <v>1.2438273843687E-4</v>
      </c>
      <c r="F171">
        <v>107.127</v>
      </c>
      <c r="G171" s="1">
        <f t="shared" si="7"/>
        <v>106.33479100000001</v>
      </c>
    </row>
    <row r="172" spans="1:7" x14ac:dyDescent="0.3">
      <c r="A172">
        <v>1700</v>
      </c>
      <c r="B172">
        <v>1159.7</v>
      </c>
      <c r="C172">
        <v>114.747</v>
      </c>
      <c r="D172" s="15">
        <f t="shared" si="8"/>
        <v>2.2500000000000853E-4</v>
      </c>
      <c r="E172" s="14">
        <f t="shared" si="6"/>
        <v>1.2433629426299999E-4</v>
      </c>
      <c r="F172">
        <v>107.126</v>
      </c>
      <c r="G172" s="1">
        <f t="shared" si="7"/>
        <v>106.33366100000001</v>
      </c>
    </row>
    <row r="173" spans="1:7" x14ac:dyDescent="0.3">
      <c r="A173">
        <v>1710</v>
      </c>
      <c r="B173">
        <v>1160.3</v>
      </c>
      <c r="C173">
        <v>114.744</v>
      </c>
      <c r="D173" s="15">
        <f t="shared" si="8"/>
        <v>2.2500000000000853E-4</v>
      </c>
      <c r="E173" s="14">
        <f t="shared" si="6"/>
        <v>1.2428986277247001E-4</v>
      </c>
      <c r="F173">
        <v>107.126</v>
      </c>
      <c r="G173" s="1">
        <f t="shared" si="7"/>
        <v>106.332531</v>
      </c>
    </row>
    <row r="174" spans="1:7" x14ac:dyDescent="0.3">
      <c r="A174">
        <v>1720</v>
      </c>
      <c r="B174">
        <v>1161</v>
      </c>
      <c r="C174">
        <v>114.742</v>
      </c>
      <c r="D174" s="15">
        <f t="shared" si="8"/>
        <v>2.2500000000000853E-4</v>
      </c>
      <c r="E174" s="14">
        <f t="shared" si="6"/>
        <v>1.2424344396527999E-4</v>
      </c>
      <c r="F174">
        <v>107.126</v>
      </c>
      <c r="G174" s="1">
        <f t="shared" si="7"/>
        <v>106.331401</v>
      </c>
    </row>
    <row r="175" spans="1:7" x14ac:dyDescent="0.3">
      <c r="A175">
        <v>1730</v>
      </c>
      <c r="B175">
        <v>1161.5999999999999</v>
      </c>
      <c r="C175">
        <v>114.74</v>
      </c>
      <c r="D175" s="15">
        <f t="shared" si="8"/>
        <v>1.9999999999988915E-4</v>
      </c>
      <c r="E175" s="14">
        <f t="shared" si="6"/>
        <v>1.2419703784142999E-4</v>
      </c>
      <c r="F175">
        <v>107.126</v>
      </c>
      <c r="G175" s="1">
        <f t="shared" si="7"/>
        <v>106.330271</v>
      </c>
    </row>
    <row r="176" spans="1:7" x14ac:dyDescent="0.3">
      <c r="A176">
        <v>1740</v>
      </c>
      <c r="B176">
        <v>1162.3</v>
      </c>
      <c r="C176">
        <v>114.738</v>
      </c>
      <c r="D176" s="15">
        <f t="shared" si="8"/>
        <v>2.0000000000024442E-4</v>
      </c>
      <c r="E176" s="14">
        <f t="shared" si="6"/>
        <v>1.2415064440092E-4</v>
      </c>
      <c r="F176">
        <v>107.126</v>
      </c>
      <c r="G176" s="1">
        <f t="shared" si="7"/>
        <v>106.32914100000001</v>
      </c>
    </row>
    <row r="177" spans="1:7" x14ac:dyDescent="0.3">
      <c r="A177">
        <v>1750</v>
      </c>
      <c r="B177">
        <v>1163</v>
      </c>
      <c r="C177">
        <v>114.736</v>
      </c>
      <c r="D177" s="15">
        <f t="shared" si="8"/>
        <v>2.2500000000000853E-4</v>
      </c>
      <c r="E177" s="14">
        <f t="shared" si="6"/>
        <v>1.2410426364375E-4</v>
      </c>
      <c r="F177">
        <v>107.126</v>
      </c>
      <c r="G177" s="1">
        <f t="shared" si="7"/>
        <v>106.328011</v>
      </c>
    </row>
    <row r="178" spans="1:7" x14ac:dyDescent="0.3">
      <c r="A178">
        <v>1760</v>
      </c>
      <c r="B178">
        <v>1163.5999999999999</v>
      </c>
      <c r="C178">
        <v>114.73399999999999</v>
      </c>
      <c r="D178" s="15">
        <f t="shared" si="8"/>
        <v>2.2500000000000853E-4</v>
      </c>
      <c r="E178" s="14">
        <f t="shared" si="6"/>
        <v>1.2405789556991999E-4</v>
      </c>
      <c r="F178">
        <v>107.126</v>
      </c>
      <c r="G178" s="1">
        <f t="shared" si="7"/>
        <v>106.326881</v>
      </c>
    </row>
    <row r="179" spans="1:7" x14ac:dyDescent="0.3">
      <c r="A179">
        <v>1770</v>
      </c>
      <c r="B179">
        <v>1164.3</v>
      </c>
      <c r="C179">
        <v>114.73099999999999</v>
      </c>
      <c r="D179" s="15">
        <f t="shared" si="8"/>
        <v>2.2500000000000853E-4</v>
      </c>
      <c r="E179" s="14">
        <f t="shared" si="6"/>
        <v>1.2401154017942998E-4</v>
      </c>
      <c r="F179">
        <v>107.127</v>
      </c>
      <c r="G179" s="1">
        <f t="shared" si="7"/>
        <v>106.325751</v>
      </c>
    </row>
    <row r="180" spans="1:7" x14ac:dyDescent="0.3">
      <c r="A180">
        <v>1780</v>
      </c>
      <c r="B180">
        <v>1165</v>
      </c>
      <c r="C180">
        <v>114.729</v>
      </c>
      <c r="D180" s="15">
        <f t="shared" si="8"/>
        <v>2.2500000000000853E-4</v>
      </c>
      <c r="E180" s="14">
        <f t="shared" si="6"/>
        <v>1.2396519747228001E-4</v>
      </c>
      <c r="F180">
        <v>107.127</v>
      </c>
      <c r="G180" s="1">
        <f t="shared" si="7"/>
        <v>106.32462100000001</v>
      </c>
    </row>
    <row r="181" spans="1:7" x14ac:dyDescent="0.3">
      <c r="A181">
        <v>1790</v>
      </c>
      <c r="B181">
        <v>1165.8</v>
      </c>
      <c r="C181">
        <v>114.727</v>
      </c>
      <c r="D181" s="15">
        <f t="shared" si="8"/>
        <v>1.9999999999988915E-4</v>
      </c>
      <c r="E181" s="14">
        <f t="shared" si="6"/>
        <v>1.2391886744847E-4</v>
      </c>
      <c r="F181">
        <v>107.127</v>
      </c>
      <c r="G181" s="1">
        <f t="shared" si="7"/>
        <v>106.323491</v>
      </c>
    </row>
    <row r="182" spans="1:7" x14ac:dyDescent="0.3">
      <c r="A182">
        <v>1800</v>
      </c>
      <c r="B182">
        <v>1166.5</v>
      </c>
      <c r="C182">
        <v>114.72499999999999</v>
      </c>
      <c r="D182" s="15">
        <f t="shared" si="8"/>
        <v>1.9999999999988915E-4</v>
      </c>
      <c r="E182" s="14">
        <f t="shared" si="6"/>
        <v>1.23872550108E-4</v>
      </c>
      <c r="F182">
        <v>107.127</v>
      </c>
      <c r="G182" s="1">
        <f t="shared" si="7"/>
        <v>106.322361</v>
      </c>
    </row>
    <row r="183" spans="1:7" x14ac:dyDescent="0.3">
      <c r="A183">
        <v>1810</v>
      </c>
      <c r="B183">
        <v>1167.2</v>
      </c>
      <c r="C183">
        <v>114.723</v>
      </c>
      <c r="D183" s="15">
        <f t="shared" si="8"/>
        <v>2.0000000000024442E-4</v>
      </c>
      <c r="E183" s="14">
        <f t="shared" si="6"/>
        <v>1.2382624545087E-4</v>
      </c>
      <c r="F183">
        <v>107.127</v>
      </c>
      <c r="G183" s="1">
        <f t="shared" si="7"/>
        <v>106.321231</v>
      </c>
    </row>
    <row r="184" spans="1:7" x14ac:dyDescent="0.3">
      <c r="A184">
        <v>1820</v>
      </c>
      <c r="B184">
        <v>1167.9000000000001</v>
      </c>
      <c r="C184">
        <v>114.721</v>
      </c>
      <c r="D184" s="15">
        <f t="shared" si="8"/>
        <v>1.9999999999988915E-4</v>
      </c>
      <c r="E184" s="14">
        <f t="shared" si="6"/>
        <v>1.2377995347708E-4</v>
      </c>
      <c r="F184">
        <v>107.127</v>
      </c>
      <c r="G184" s="1">
        <f t="shared" si="7"/>
        <v>106.32010100000001</v>
      </c>
    </row>
    <row r="185" spans="1:7" x14ac:dyDescent="0.3">
      <c r="A185">
        <v>1830</v>
      </c>
      <c r="B185">
        <v>1168.7</v>
      </c>
      <c r="C185">
        <v>114.71899999999999</v>
      </c>
      <c r="D185" s="15">
        <f t="shared" si="8"/>
        <v>2.2500000000000853E-4</v>
      </c>
      <c r="E185" s="14">
        <f t="shared" si="6"/>
        <v>1.2373367418663E-4</v>
      </c>
      <c r="F185">
        <v>107.127</v>
      </c>
      <c r="G185" s="1">
        <f t="shared" si="7"/>
        <v>106.318971</v>
      </c>
    </row>
    <row r="186" spans="1:7" x14ac:dyDescent="0.3">
      <c r="A186">
        <v>1840</v>
      </c>
      <c r="B186">
        <v>1169.4000000000001</v>
      </c>
      <c r="C186">
        <v>114.717</v>
      </c>
      <c r="D186" s="15">
        <f t="shared" si="8"/>
        <v>2.2500000000000853E-4</v>
      </c>
      <c r="E186" s="14">
        <f t="shared" si="6"/>
        <v>1.2368740757952E-4</v>
      </c>
      <c r="F186">
        <v>107.127</v>
      </c>
      <c r="G186" s="1">
        <f t="shared" si="7"/>
        <v>106.317841</v>
      </c>
    </row>
    <row r="187" spans="1:7" x14ac:dyDescent="0.3">
      <c r="A187">
        <v>1850</v>
      </c>
      <c r="B187">
        <v>1170.2</v>
      </c>
      <c r="C187">
        <v>114.714</v>
      </c>
      <c r="D187" s="15">
        <f t="shared" si="8"/>
        <v>2.2500000000000853E-4</v>
      </c>
      <c r="E187" s="14">
        <f t="shared" si="6"/>
        <v>1.2364115365575001E-4</v>
      </c>
      <c r="F187">
        <v>107.127</v>
      </c>
      <c r="G187" s="1">
        <f t="shared" si="7"/>
        <v>106.316711</v>
      </c>
    </row>
    <row r="188" spans="1:7" x14ac:dyDescent="0.3">
      <c r="A188">
        <v>1860</v>
      </c>
      <c r="B188">
        <v>1170.9000000000001</v>
      </c>
      <c r="C188">
        <v>114.712</v>
      </c>
      <c r="D188" s="15">
        <f t="shared" si="8"/>
        <v>2.2500000000000853E-4</v>
      </c>
      <c r="E188" s="14">
        <f t="shared" si="6"/>
        <v>1.2359491241531998E-4</v>
      </c>
      <c r="F188">
        <v>107.128</v>
      </c>
      <c r="G188" s="1">
        <f t="shared" si="7"/>
        <v>106.31558100000001</v>
      </c>
    </row>
    <row r="189" spans="1:7" x14ac:dyDescent="0.3">
      <c r="A189">
        <v>1870</v>
      </c>
      <c r="B189">
        <v>1171.7</v>
      </c>
      <c r="C189">
        <v>114.71</v>
      </c>
      <c r="D189" s="15">
        <f t="shared" si="8"/>
        <v>1.9999999999988915E-4</v>
      </c>
      <c r="E189" s="14">
        <f t="shared" si="6"/>
        <v>1.2354868385822999E-4</v>
      </c>
      <c r="F189">
        <v>107.128</v>
      </c>
      <c r="G189" s="1">
        <f t="shared" si="7"/>
        <v>106.31445100000001</v>
      </c>
    </row>
    <row r="190" spans="1:7" x14ac:dyDescent="0.3">
      <c r="A190">
        <v>1880</v>
      </c>
      <c r="B190">
        <v>1172.4000000000001</v>
      </c>
      <c r="C190">
        <v>114.708</v>
      </c>
      <c r="D190" s="15">
        <f t="shared" si="8"/>
        <v>2.0000000000024442E-4</v>
      </c>
      <c r="E190" s="14">
        <f t="shared" si="6"/>
        <v>1.2350246798448E-4</v>
      </c>
      <c r="F190">
        <v>107.129</v>
      </c>
      <c r="G190" s="1">
        <f t="shared" si="7"/>
        <v>106.313321</v>
      </c>
    </row>
    <row r="191" spans="1:7" x14ac:dyDescent="0.3">
      <c r="A191">
        <v>1890</v>
      </c>
      <c r="B191">
        <v>1173.0999999999999</v>
      </c>
      <c r="C191">
        <v>114.706</v>
      </c>
      <c r="D191" s="15">
        <f t="shared" si="8"/>
        <v>1.9999999999988915E-4</v>
      </c>
      <c r="E191" s="14">
        <f t="shared" si="6"/>
        <v>1.2345626479407E-4</v>
      </c>
      <c r="F191">
        <v>107.129</v>
      </c>
      <c r="G191" s="1">
        <f t="shared" si="7"/>
        <v>106.312191</v>
      </c>
    </row>
    <row r="192" spans="1:7" x14ac:dyDescent="0.3">
      <c r="A192">
        <v>1900</v>
      </c>
      <c r="B192">
        <v>1173.8</v>
      </c>
      <c r="C192">
        <v>114.70399999999999</v>
      </c>
      <c r="D192" s="15">
        <f t="shared" si="8"/>
        <v>1.9999999999988915E-4</v>
      </c>
      <c r="E192" s="14">
        <f t="shared" si="6"/>
        <v>1.2341007428699999E-4</v>
      </c>
      <c r="F192">
        <v>107.129</v>
      </c>
      <c r="G192" s="1">
        <f t="shared" si="7"/>
        <v>106.31106100000001</v>
      </c>
    </row>
    <row r="193" spans="1:7" x14ac:dyDescent="0.3">
      <c r="A193">
        <v>1910</v>
      </c>
      <c r="B193">
        <v>1174.4000000000001</v>
      </c>
      <c r="C193">
        <v>114.702</v>
      </c>
      <c r="D193" s="15">
        <f t="shared" si="8"/>
        <v>2.0000000000024442E-4</v>
      </c>
      <c r="E193" s="14">
        <f t="shared" si="6"/>
        <v>1.2336389646327E-4</v>
      </c>
      <c r="F193">
        <v>107.129</v>
      </c>
      <c r="G193" s="1">
        <f t="shared" si="7"/>
        <v>106.30993100000001</v>
      </c>
    </row>
    <row r="194" spans="1:7" x14ac:dyDescent="0.3">
      <c r="A194">
        <v>1920</v>
      </c>
      <c r="B194">
        <v>1175.2</v>
      </c>
      <c r="C194">
        <v>114.7</v>
      </c>
      <c r="D194" s="15">
        <f t="shared" si="8"/>
        <v>1.9999999999988915E-4</v>
      </c>
      <c r="E194" s="14">
        <f t="shared" ref="E194:E257" si="9">0.0000000000000634167*A194*A194 - 0.0000000048594*A194 + 0.000132414</f>
        <v>1.2331773132288001E-4</v>
      </c>
      <c r="F194">
        <v>107.129</v>
      </c>
      <c r="G194" s="1">
        <f t="shared" si="7"/>
        <v>106.308801</v>
      </c>
    </row>
    <row r="195" spans="1:7" x14ac:dyDescent="0.3">
      <c r="A195">
        <v>1930</v>
      </c>
      <c r="B195">
        <v>1175.9000000000001</v>
      </c>
      <c r="C195">
        <v>114.69799999999999</v>
      </c>
      <c r="D195" s="15">
        <f t="shared" si="8"/>
        <v>2.2500000000000853E-4</v>
      </c>
      <c r="E195" s="14">
        <f t="shared" si="9"/>
        <v>1.2327157886582999E-4</v>
      </c>
      <c r="F195">
        <v>107.129</v>
      </c>
      <c r="G195" s="1">
        <f t="shared" ref="G195:G258" si="10">-0.000113*A195 + 106.525761</f>
        <v>106.307671</v>
      </c>
    </row>
    <row r="196" spans="1:7" x14ac:dyDescent="0.3">
      <c r="A196">
        <v>1940</v>
      </c>
      <c r="B196">
        <v>1176.5999999999999</v>
      </c>
      <c r="C196">
        <v>114.696</v>
      </c>
      <c r="D196" s="15">
        <f t="shared" si="8"/>
        <v>2.2500000000000853E-4</v>
      </c>
      <c r="E196" s="14">
        <f t="shared" si="9"/>
        <v>1.2322543909212E-4</v>
      </c>
      <c r="F196">
        <v>107.129</v>
      </c>
      <c r="G196" s="1">
        <f t="shared" si="10"/>
        <v>106.306541</v>
      </c>
    </row>
    <row r="197" spans="1:7" x14ac:dyDescent="0.3">
      <c r="A197">
        <v>1950</v>
      </c>
      <c r="B197">
        <v>1177.3</v>
      </c>
      <c r="C197">
        <v>114.693</v>
      </c>
      <c r="D197" s="15">
        <f t="shared" ref="D197:D260" si="11">(C195-C199)/(A199-A195)</f>
        <v>2.2500000000000853E-4</v>
      </c>
      <c r="E197" s="14">
        <f t="shared" si="9"/>
        <v>1.2317931200174999E-4</v>
      </c>
      <c r="F197">
        <v>107.129</v>
      </c>
      <c r="G197" s="1">
        <f t="shared" si="10"/>
        <v>106.30541100000001</v>
      </c>
    </row>
    <row r="198" spans="1:7" x14ac:dyDescent="0.3">
      <c r="A198">
        <v>1960</v>
      </c>
      <c r="B198">
        <v>1178</v>
      </c>
      <c r="C198">
        <v>114.691</v>
      </c>
      <c r="D198" s="15">
        <f t="shared" si="11"/>
        <v>2.2500000000000853E-4</v>
      </c>
      <c r="E198" s="14">
        <f t="shared" si="9"/>
        <v>1.2313319759472001E-4</v>
      </c>
      <c r="F198">
        <v>107.129</v>
      </c>
      <c r="G198" s="1">
        <f t="shared" si="10"/>
        <v>106.304281</v>
      </c>
    </row>
    <row r="199" spans="1:7" x14ac:dyDescent="0.3">
      <c r="A199">
        <v>1970</v>
      </c>
      <c r="B199">
        <v>1178.8</v>
      </c>
      <c r="C199">
        <v>114.68899999999999</v>
      </c>
      <c r="D199" s="15">
        <f t="shared" si="11"/>
        <v>1.9999999999988915E-4</v>
      </c>
      <c r="E199" s="14">
        <f t="shared" si="9"/>
        <v>1.2308709587103E-4</v>
      </c>
      <c r="F199">
        <v>107.129</v>
      </c>
      <c r="G199" s="1">
        <f t="shared" si="10"/>
        <v>106.303151</v>
      </c>
    </row>
    <row r="200" spans="1:7" x14ac:dyDescent="0.3">
      <c r="A200">
        <v>1980</v>
      </c>
      <c r="B200">
        <v>1179.5</v>
      </c>
      <c r="C200">
        <v>114.687</v>
      </c>
      <c r="D200" s="15">
        <f t="shared" si="11"/>
        <v>1.9999999999988915E-4</v>
      </c>
      <c r="E200" s="14">
        <f t="shared" si="9"/>
        <v>1.2304100683067999E-4</v>
      </c>
      <c r="F200">
        <v>107.129</v>
      </c>
      <c r="G200" s="1">
        <f t="shared" si="10"/>
        <v>106.302021</v>
      </c>
    </row>
    <row r="201" spans="1:7" x14ac:dyDescent="0.3">
      <c r="A201">
        <v>1990</v>
      </c>
      <c r="B201">
        <v>1180.3</v>
      </c>
      <c r="C201">
        <v>114.685</v>
      </c>
      <c r="D201" s="15">
        <f t="shared" si="11"/>
        <v>1.9999999999988915E-4</v>
      </c>
      <c r="E201" s="14">
        <f t="shared" si="9"/>
        <v>1.2299493047367001E-4</v>
      </c>
      <c r="F201">
        <v>107.129</v>
      </c>
      <c r="G201" s="1">
        <f t="shared" si="10"/>
        <v>106.30089100000001</v>
      </c>
    </row>
    <row r="202" spans="1:7" x14ac:dyDescent="0.3">
      <c r="A202">
        <v>2000</v>
      </c>
      <c r="B202">
        <v>1181.0999999999999</v>
      </c>
      <c r="C202">
        <v>114.68300000000001</v>
      </c>
      <c r="D202" s="15">
        <f t="shared" si="11"/>
        <v>1.9999999999988915E-4</v>
      </c>
      <c r="E202" s="14">
        <f t="shared" si="9"/>
        <v>1.229488668E-4</v>
      </c>
      <c r="F202">
        <v>107.129</v>
      </c>
      <c r="G202" s="1">
        <f t="shared" si="10"/>
        <v>106.299761</v>
      </c>
    </row>
    <row r="203" spans="1:7" x14ac:dyDescent="0.3">
      <c r="A203">
        <v>2010</v>
      </c>
      <c r="B203">
        <v>1181.9000000000001</v>
      </c>
      <c r="C203">
        <v>114.681</v>
      </c>
      <c r="D203" s="15">
        <f t="shared" si="11"/>
        <v>1.9999999999988915E-4</v>
      </c>
      <c r="E203" s="14">
        <f t="shared" si="9"/>
        <v>1.2290281580966999E-4</v>
      </c>
      <c r="F203">
        <v>107.13</v>
      </c>
      <c r="G203" s="1">
        <f t="shared" si="10"/>
        <v>106.298631</v>
      </c>
    </row>
    <row r="204" spans="1:7" x14ac:dyDescent="0.3">
      <c r="A204">
        <v>2020</v>
      </c>
      <c r="B204">
        <v>1182.8</v>
      </c>
      <c r="C204">
        <v>114.679</v>
      </c>
      <c r="D204" s="15">
        <f t="shared" si="11"/>
        <v>2.0000000000024442E-4</v>
      </c>
      <c r="E204" s="14">
        <f t="shared" si="9"/>
        <v>1.2285677750267999E-4</v>
      </c>
      <c r="F204">
        <v>107.13</v>
      </c>
      <c r="G204" s="1">
        <f t="shared" si="10"/>
        <v>106.297501</v>
      </c>
    </row>
    <row r="205" spans="1:7" x14ac:dyDescent="0.3">
      <c r="A205">
        <v>2030</v>
      </c>
      <c r="B205">
        <v>1183.5999999999999</v>
      </c>
      <c r="C205">
        <v>114.67700000000001</v>
      </c>
      <c r="D205" s="15">
        <f t="shared" si="11"/>
        <v>1.9999999999988915E-4</v>
      </c>
      <c r="E205" s="14">
        <f t="shared" si="9"/>
        <v>1.2281075187903001E-4</v>
      </c>
      <c r="F205">
        <v>107.13</v>
      </c>
      <c r="G205" s="1">
        <f t="shared" si="10"/>
        <v>106.29637100000001</v>
      </c>
    </row>
    <row r="206" spans="1:7" x14ac:dyDescent="0.3">
      <c r="A206">
        <v>2040</v>
      </c>
      <c r="B206">
        <v>1184.5</v>
      </c>
      <c r="C206">
        <v>114.675</v>
      </c>
      <c r="D206" s="15">
        <f t="shared" si="11"/>
        <v>1.9999999999988915E-4</v>
      </c>
      <c r="E206" s="14">
        <f t="shared" si="9"/>
        <v>1.2276473893872001E-4</v>
      </c>
      <c r="F206">
        <v>107.13</v>
      </c>
      <c r="G206" s="1">
        <f t="shared" si="10"/>
        <v>106.295241</v>
      </c>
    </row>
    <row r="207" spans="1:7" x14ac:dyDescent="0.3">
      <c r="A207">
        <v>2050</v>
      </c>
      <c r="B207">
        <v>1185.4000000000001</v>
      </c>
      <c r="C207">
        <v>114.673</v>
      </c>
      <c r="D207" s="15">
        <f t="shared" si="11"/>
        <v>2.0000000000024442E-4</v>
      </c>
      <c r="E207" s="14">
        <f t="shared" si="9"/>
        <v>1.2271873868175E-4</v>
      </c>
      <c r="F207">
        <v>107.13</v>
      </c>
      <c r="G207" s="1">
        <f t="shared" si="10"/>
        <v>106.294111</v>
      </c>
    </row>
    <row r="208" spans="1:7" x14ac:dyDescent="0.3">
      <c r="A208">
        <v>2060</v>
      </c>
      <c r="B208">
        <v>1186.3</v>
      </c>
      <c r="C208">
        <v>114.67100000000001</v>
      </c>
      <c r="D208" s="15">
        <f t="shared" si="11"/>
        <v>1.9999999999988915E-4</v>
      </c>
      <c r="E208" s="14">
        <f t="shared" si="9"/>
        <v>1.2267275110812E-4</v>
      </c>
      <c r="F208">
        <v>107.13</v>
      </c>
      <c r="G208" s="1">
        <f t="shared" si="10"/>
        <v>106.292981</v>
      </c>
    </row>
    <row r="209" spans="1:7" x14ac:dyDescent="0.3">
      <c r="A209">
        <v>2070</v>
      </c>
      <c r="B209">
        <v>1187.3</v>
      </c>
      <c r="C209">
        <v>114.669</v>
      </c>
      <c r="D209" s="15">
        <f t="shared" si="11"/>
        <v>1.9999999999988915E-4</v>
      </c>
      <c r="E209" s="14">
        <f t="shared" si="9"/>
        <v>1.2262677621783E-4</v>
      </c>
      <c r="F209">
        <v>107.13</v>
      </c>
      <c r="G209" s="1">
        <f t="shared" si="10"/>
        <v>106.29185100000001</v>
      </c>
    </row>
    <row r="210" spans="1:7" x14ac:dyDescent="0.3">
      <c r="A210">
        <v>2080</v>
      </c>
      <c r="B210">
        <v>1188.2</v>
      </c>
      <c r="C210">
        <v>114.667</v>
      </c>
      <c r="D210" s="15">
        <f t="shared" si="11"/>
        <v>2.0000000000024442E-4</v>
      </c>
      <c r="E210" s="14">
        <f t="shared" si="9"/>
        <v>1.2258081401088E-4</v>
      </c>
      <c r="F210">
        <v>107.13</v>
      </c>
      <c r="G210" s="1">
        <f t="shared" si="10"/>
        <v>106.290721</v>
      </c>
    </row>
    <row r="211" spans="1:7" x14ac:dyDescent="0.3">
      <c r="A211">
        <v>2090</v>
      </c>
      <c r="B211">
        <v>1189.0999999999999</v>
      </c>
      <c r="C211">
        <v>114.66500000000001</v>
      </c>
      <c r="D211" s="15">
        <f t="shared" si="11"/>
        <v>1.9999999999988915E-4</v>
      </c>
      <c r="E211" s="14">
        <f t="shared" si="9"/>
        <v>1.2253486448727001E-4</v>
      </c>
      <c r="F211">
        <v>107.13</v>
      </c>
      <c r="G211" s="1">
        <f t="shared" si="10"/>
        <v>106.289591</v>
      </c>
    </row>
    <row r="212" spans="1:7" x14ac:dyDescent="0.3">
      <c r="A212">
        <v>2100</v>
      </c>
      <c r="B212">
        <v>1190.0999999999999</v>
      </c>
      <c r="C212">
        <v>114.663</v>
      </c>
      <c r="D212" s="15">
        <f t="shared" si="11"/>
        <v>1.9999999999988915E-4</v>
      </c>
      <c r="E212" s="14">
        <f t="shared" si="9"/>
        <v>1.2248892764699998E-4</v>
      </c>
      <c r="F212">
        <v>107.131</v>
      </c>
      <c r="G212" s="1">
        <f t="shared" si="10"/>
        <v>106.288461</v>
      </c>
    </row>
    <row r="213" spans="1:7" x14ac:dyDescent="0.3">
      <c r="A213">
        <v>2110</v>
      </c>
      <c r="B213">
        <v>1191.0999999999999</v>
      </c>
      <c r="C213">
        <v>114.661</v>
      </c>
      <c r="D213" s="15">
        <f t="shared" si="11"/>
        <v>2.0000000000024442E-4</v>
      </c>
      <c r="E213" s="14">
        <f t="shared" si="9"/>
        <v>1.2244300349006999E-4</v>
      </c>
      <c r="F213">
        <v>107.131</v>
      </c>
      <c r="G213" s="1">
        <f t="shared" si="10"/>
        <v>106.28733100000001</v>
      </c>
    </row>
    <row r="214" spans="1:7" x14ac:dyDescent="0.3">
      <c r="A214">
        <v>2120</v>
      </c>
      <c r="B214">
        <v>1192.2</v>
      </c>
      <c r="C214">
        <v>114.65900000000001</v>
      </c>
      <c r="D214" s="15">
        <f t="shared" si="11"/>
        <v>1.9999999999988915E-4</v>
      </c>
      <c r="E214" s="14">
        <f t="shared" si="9"/>
        <v>1.2239709201647999E-4</v>
      </c>
      <c r="F214">
        <v>107.131</v>
      </c>
      <c r="G214" s="1">
        <f t="shared" si="10"/>
        <v>106.28620100000001</v>
      </c>
    </row>
    <row r="215" spans="1:7" x14ac:dyDescent="0.3">
      <c r="A215">
        <v>2130</v>
      </c>
      <c r="B215">
        <v>1193.2</v>
      </c>
      <c r="C215">
        <v>114.657</v>
      </c>
      <c r="D215" s="15">
        <f t="shared" si="11"/>
        <v>1.9999999999988915E-4</v>
      </c>
      <c r="E215" s="14">
        <f t="shared" si="9"/>
        <v>1.2235119322623E-4</v>
      </c>
      <c r="F215">
        <v>107.131</v>
      </c>
      <c r="G215" s="1">
        <f t="shared" si="10"/>
        <v>106.285071</v>
      </c>
    </row>
    <row r="216" spans="1:7" x14ac:dyDescent="0.3">
      <c r="A216">
        <v>2140</v>
      </c>
      <c r="B216">
        <v>1194.3</v>
      </c>
      <c r="C216">
        <v>114.655</v>
      </c>
      <c r="D216" s="15">
        <f t="shared" si="11"/>
        <v>2.0000000000024442E-4</v>
      </c>
      <c r="E216" s="14">
        <f t="shared" si="9"/>
        <v>1.2230530711932001E-4</v>
      </c>
      <c r="F216">
        <v>107.131</v>
      </c>
      <c r="G216" s="1">
        <f t="shared" si="10"/>
        <v>106.283941</v>
      </c>
    </row>
    <row r="217" spans="1:7" x14ac:dyDescent="0.3">
      <c r="A217">
        <v>2150</v>
      </c>
      <c r="B217">
        <v>1195.4000000000001</v>
      </c>
      <c r="C217">
        <v>114.65300000000001</v>
      </c>
      <c r="D217" s="15">
        <f t="shared" si="11"/>
        <v>2.2500000000000853E-4</v>
      </c>
      <c r="E217" s="14">
        <f t="shared" si="9"/>
        <v>1.2225943369574999E-4</v>
      </c>
      <c r="F217">
        <v>107.131</v>
      </c>
      <c r="G217" s="1">
        <f t="shared" si="10"/>
        <v>106.28281100000001</v>
      </c>
    </row>
    <row r="218" spans="1:7" x14ac:dyDescent="0.3">
      <c r="A218">
        <v>2160</v>
      </c>
      <c r="B218">
        <v>1196.8</v>
      </c>
      <c r="C218">
        <v>114.651</v>
      </c>
      <c r="D218" s="15">
        <f t="shared" si="11"/>
        <v>2.2500000000000853E-4</v>
      </c>
      <c r="E218" s="14">
        <f t="shared" si="9"/>
        <v>1.2221357295552E-4</v>
      </c>
      <c r="F218">
        <v>107.13200000000001</v>
      </c>
      <c r="G218" s="1">
        <f t="shared" si="10"/>
        <v>106.28168100000001</v>
      </c>
    </row>
    <row r="219" spans="1:7" x14ac:dyDescent="0.3">
      <c r="A219">
        <v>2170</v>
      </c>
      <c r="B219">
        <v>1198.0999999999999</v>
      </c>
      <c r="C219">
        <v>114.648</v>
      </c>
      <c r="D219" s="15">
        <f t="shared" si="11"/>
        <v>2.2500000000000853E-4</v>
      </c>
      <c r="E219" s="14">
        <f t="shared" si="9"/>
        <v>1.2216772489862998E-4</v>
      </c>
      <c r="F219">
        <v>107.13200000000001</v>
      </c>
      <c r="G219" s="1">
        <f t="shared" si="10"/>
        <v>106.280551</v>
      </c>
    </row>
    <row r="220" spans="1:7" x14ac:dyDescent="0.3">
      <c r="A220">
        <v>2180</v>
      </c>
      <c r="B220">
        <v>1199.9000000000001</v>
      </c>
      <c r="C220">
        <v>114.646</v>
      </c>
      <c r="D220" s="15">
        <f t="shared" si="11"/>
        <v>2.2500000000000853E-4</v>
      </c>
      <c r="E220" s="14">
        <f t="shared" si="9"/>
        <v>1.2212188952508E-4</v>
      </c>
      <c r="F220">
        <v>107.13200000000001</v>
      </c>
      <c r="G220" s="1">
        <f t="shared" si="10"/>
        <v>106.279421</v>
      </c>
    </row>
    <row r="221" spans="1:7" x14ac:dyDescent="0.3">
      <c r="A221">
        <v>2190</v>
      </c>
      <c r="B221">
        <v>1201.8</v>
      </c>
      <c r="C221">
        <v>114.64400000000001</v>
      </c>
      <c r="D221" s="15">
        <f t="shared" si="11"/>
        <v>1.9999999999988915E-4</v>
      </c>
      <c r="E221" s="14">
        <f t="shared" si="9"/>
        <v>1.2207606683486998E-4</v>
      </c>
      <c r="F221">
        <v>107.13200000000001</v>
      </c>
      <c r="G221" s="1">
        <f t="shared" si="10"/>
        <v>106.278291</v>
      </c>
    </row>
    <row r="222" spans="1:7" x14ac:dyDescent="0.3">
      <c r="A222">
        <v>2200</v>
      </c>
      <c r="B222">
        <v>1203.9000000000001</v>
      </c>
      <c r="C222">
        <v>114.642</v>
      </c>
      <c r="D222" s="15">
        <f t="shared" si="11"/>
        <v>1.9999999999988915E-4</v>
      </c>
      <c r="E222" s="14">
        <f t="shared" si="9"/>
        <v>1.22030256828E-4</v>
      </c>
      <c r="F222">
        <v>107.131</v>
      </c>
      <c r="G222" s="1">
        <f t="shared" si="10"/>
        <v>106.27716100000001</v>
      </c>
    </row>
    <row r="223" spans="1:7" x14ac:dyDescent="0.3">
      <c r="A223">
        <v>2210</v>
      </c>
      <c r="B223">
        <v>1205.7</v>
      </c>
      <c r="C223">
        <v>114.64</v>
      </c>
      <c r="D223" s="15">
        <f t="shared" si="11"/>
        <v>2.0000000000024442E-4</v>
      </c>
      <c r="E223" s="14">
        <f t="shared" si="9"/>
        <v>1.2198445950447E-4</v>
      </c>
      <c r="F223">
        <v>107.131</v>
      </c>
      <c r="G223" s="1">
        <f t="shared" si="10"/>
        <v>106.276031</v>
      </c>
    </row>
    <row r="224" spans="1:7" x14ac:dyDescent="0.3">
      <c r="A224">
        <v>2220</v>
      </c>
      <c r="B224">
        <v>1207.5</v>
      </c>
      <c r="C224">
        <v>114.63800000000001</v>
      </c>
      <c r="D224" s="15">
        <f t="shared" si="11"/>
        <v>1.9999999999988915E-4</v>
      </c>
      <c r="E224" s="14">
        <f t="shared" si="9"/>
        <v>1.2193867486428E-4</v>
      </c>
      <c r="F224">
        <v>107.13200000000001</v>
      </c>
      <c r="G224" s="1">
        <f t="shared" si="10"/>
        <v>106.274901</v>
      </c>
    </row>
    <row r="225" spans="1:7" x14ac:dyDescent="0.3">
      <c r="A225">
        <v>2230</v>
      </c>
      <c r="B225">
        <v>1209.4000000000001</v>
      </c>
      <c r="C225">
        <v>114.636</v>
      </c>
      <c r="D225" s="15">
        <f t="shared" si="11"/>
        <v>1.9999999999988915E-4</v>
      </c>
      <c r="E225" s="14">
        <f t="shared" si="9"/>
        <v>1.2189290290742999E-4</v>
      </c>
      <c r="F225">
        <v>107.13200000000001</v>
      </c>
      <c r="G225" s="1">
        <f t="shared" si="10"/>
        <v>106.273771</v>
      </c>
    </row>
    <row r="226" spans="1:7" x14ac:dyDescent="0.3">
      <c r="A226">
        <v>2240</v>
      </c>
      <c r="B226">
        <v>1211.5999999999999</v>
      </c>
      <c r="C226">
        <v>114.634</v>
      </c>
      <c r="D226" s="15">
        <f t="shared" si="11"/>
        <v>2.0000000000024442E-4</v>
      </c>
      <c r="E226" s="14">
        <f t="shared" si="9"/>
        <v>1.2184714363392E-4</v>
      </c>
      <c r="F226">
        <v>107.13200000000001</v>
      </c>
      <c r="G226" s="1">
        <f t="shared" si="10"/>
        <v>106.27264100000001</v>
      </c>
    </row>
    <row r="227" spans="1:7" x14ac:dyDescent="0.3">
      <c r="A227">
        <v>2250</v>
      </c>
      <c r="B227">
        <v>1213.5</v>
      </c>
      <c r="C227">
        <v>114.63200000000001</v>
      </c>
      <c r="D227" s="15">
        <f t="shared" si="11"/>
        <v>1.9999999999988915E-4</v>
      </c>
      <c r="E227" s="14">
        <f t="shared" si="9"/>
        <v>1.2180139704374999E-4</v>
      </c>
      <c r="F227">
        <v>107.13200000000001</v>
      </c>
      <c r="G227" s="1">
        <f t="shared" si="10"/>
        <v>106.271511</v>
      </c>
    </row>
    <row r="228" spans="1:7" x14ac:dyDescent="0.3">
      <c r="A228">
        <v>2260</v>
      </c>
      <c r="B228">
        <v>1215</v>
      </c>
      <c r="C228">
        <v>114.63</v>
      </c>
      <c r="D228" s="15">
        <f t="shared" si="11"/>
        <v>1.9999999999988915E-4</v>
      </c>
      <c r="E228" s="14">
        <f t="shared" si="9"/>
        <v>1.2175566313692E-4</v>
      </c>
      <c r="F228">
        <v>107.13200000000001</v>
      </c>
      <c r="G228" s="1">
        <f t="shared" si="10"/>
        <v>106.270381</v>
      </c>
    </row>
    <row r="229" spans="1:7" x14ac:dyDescent="0.3">
      <c r="A229">
        <v>2270</v>
      </c>
      <c r="B229">
        <v>1216.4000000000001</v>
      </c>
      <c r="C229">
        <v>114.628</v>
      </c>
      <c r="D229" s="15">
        <f t="shared" si="11"/>
        <v>2.0000000000024442E-4</v>
      </c>
      <c r="E229" s="14">
        <f t="shared" si="9"/>
        <v>1.2170994191342999E-4</v>
      </c>
      <c r="F229">
        <v>107.13200000000001</v>
      </c>
      <c r="G229" s="1">
        <f t="shared" si="10"/>
        <v>106.269251</v>
      </c>
    </row>
    <row r="230" spans="1:7" x14ac:dyDescent="0.3">
      <c r="A230">
        <v>2280</v>
      </c>
      <c r="B230">
        <v>1217.9000000000001</v>
      </c>
      <c r="C230">
        <v>114.626</v>
      </c>
      <c r="D230" s="15">
        <f t="shared" si="11"/>
        <v>1.7499999999976979E-4</v>
      </c>
      <c r="E230" s="14">
        <f t="shared" si="9"/>
        <v>1.2166423337327999E-4</v>
      </c>
      <c r="F230">
        <v>107.133</v>
      </c>
      <c r="G230" s="1">
        <f t="shared" si="10"/>
        <v>106.26812100000001</v>
      </c>
    </row>
    <row r="231" spans="1:7" x14ac:dyDescent="0.3">
      <c r="A231">
        <v>2290</v>
      </c>
      <c r="B231">
        <v>1219.5</v>
      </c>
      <c r="C231">
        <v>114.624</v>
      </c>
      <c r="D231" s="15">
        <f t="shared" si="11"/>
        <v>1.7500000000012506E-4</v>
      </c>
      <c r="E231" s="14">
        <f t="shared" si="9"/>
        <v>1.2161853751647E-4</v>
      </c>
      <c r="F231">
        <v>107.133</v>
      </c>
      <c r="G231" s="1">
        <f t="shared" si="10"/>
        <v>106.266991</v>
      </c>
    </row>
    <row r="232" spans="1:7" x14ac:dyDescent="0.3">
      <c r="A232">
        <v>2300</v>
      </c>
      <c r="B232">
        <v>1220.9000000000001</v>
      </c>
      <c r="C232">
        <v>114.623</v>
      </c>
      <c r="D232" s="15">
        <f t="shared" si="11"/>
        <v>1.7500000000012506E-4</v>
      </c>
      <c r="E232" s="14">
        <f t="shared" si="9"/>
        <v>1.21572854343E-4</v>
      </c>
      <c r="F232">
        <v>107.133</v>
      </c>
      <c r="G232" s="1">
        <f t="shared" si="10"/>
        <v>106.265861</v>
      </c>
    </row>
    <row r="233" spans="1:7" x14ac:dyDescent="0.3">
      <c r="A233">
        <v>2310</v>
      </c>
      <c r="B233">
        <v>1222.5</v>
      </c>
      <c r="C233">
        <v>114.621</v>
      </c>
      <c r="D233" s="15">
        <f t="shared" si="11"/>
        <v>1.7499999999976979E-4</v>
      </c>
      <c r="E233" s="14">
        <f t="shared" si="9"/>
        <v>1.2152718385287E-4</v>
      </c>
      <c r="F233">
        <v>107.133</v>
      </c>
      <c r="G233" s="1">
        <f t="shared" si="10"/>
        <v>106.264731</v>
      </c>
    </row>
    <row r="234" spans="1:7" x14ac:dyDescent="0.3">
      <c r="A234">
        <v>2320</v>
      </c>
      <c r="B234">
        <v>1224.0999999999999</v>
      </c>
      <c r="C234">
        <v>114.619</v>
      </c>
      <c r="D234" s="15">
        <f t="shared" si="11"/>
        <v>2.0000000000024442E-4</v>
      </c>
      <c r="E234" s="14">
        <f t="shared" si="9"/>
        <v>1.2148152604608E-4</v>
      </c>
      <c r="F234">
        <v>107.133</v>
      </c>
      <c r="G234" s="1">
        <f t="shared" si="10"/>
        <v>106.26360100000001</v>
      </c>
    </row>
    <row r="235" spans="1:7" x14ac:dyDescent="0.3">
      <c r="A235">
        <v>2330</v>
      </c>
      <c r="B235">
        <v>1225.5</v>
      </c>
      <c r="C235">
        <v>114.617</v>
      </c>
      <c r="D235" s="15">
        <f t="shared" si="11"/>
        <v>1.9999999999988915E-4</v>
      </c>
      <c r="E235" s="14">
        <f t="shared" si="9"/>
        <v>1.2143588092263E-4</v>
      </c>
      <c r="F235">
        <v>107.134</v>
      </c>
      <c r="G235" s="1">
        <f t="shared" si="10"/>
        <v>106.26247100000001</v>
      </c>
    </row>
    <row r="236" spans="1:7" x14ac:dyDescent="0.3">
      <c r="A236">
        <v>2340</v>
      </c>
      <c r="B236">
        <v>1226.8</v>
      </c>
      <c r="C236">
        <v>114.61499999999999</v>
      </c>
      <c r="D236" s="15">
        <f t="shared" si="11"/>
        <v>1.9999999999988915E-4</v>
      </c>
      <c r="E236" s="14">
        <f t="shared" si="9"/>
        <v>1.2139024848251999E-4</v>
      </c>
      <c r="F236">
        <v>107.133</v>
      </c>
      <c r="G236" s="1">
        <f t="shared" si="10"/>
        <v>106.261341</v>
      </c>
    </row>
    <row r="237" spans="1:7" x14ac:dyDescent="0.3">
      <c r="A237">
        <v>2350</v>
      </c>
      <c r="B237">
        <v>1227.9000000000001</v>
      </c>
      <c r="C237">
        <v>114.613</v>
      </c>
      <c r="D237" s="15">
        <f t="shared" si="11"/>
        <v>2.0000000000024442E-4</v>
      </c>
      <c r="E237" s="14">
        <f t="shared" si="9"/>
        <v>1.2134462872574999E-4</v>
      </c>
      <c r="F237">
        <v>107.133</v>
      </c>
      <c r="G237" s="1">
        <f t="shared" si="10"/>
        <v>106.260211</v>
      </c>
    </row>
    <row r="238" spans="1:7" x14ac:dyDescent="0.3">
      <c r="A238">
        <v>2360</v>
      </c>
      <c r="B238">
        <v>1229.2</v>
      </c>
      <c r="C238">
        <v>114.611</v>
      </c>
      <c r="D238" s="15">
        <f t="shared" si="11"/>
        <v>1.9999999999988915E-4</v>
      </c>
      <c r="E238" s="14">
        <f t="shared" si="9"/>
        <v>1.2129902165232E-4</v>
      </c>
      <c r="F238">
        <v>107.133</v>
      </c>
      <c r="G238" s="1">
        <f t="shared" si="10"/>
        <v>106.25908100000001</v>
      </c>
    </row>
    <row r="239" spans="1:7" x14ac:dyDescent="0.3">
      <c r="A239">
        <v>2370</v>
      </c>
      <c r="B239">
        <v>1230.3</v>
      </c>
      <c r="C239">
        <v>114.60899999999999</v>
      </c>
      <c r="D239" s="15">
        <f t="shared" si="11"/>
        <v>1.9999999999988915E-4</v>
      </c>
      <c r="E239" s="14">
        <f t="shared" si="9"/>
        <v>1.2125342726223E-4</v>
      </c>
      <c r="F239">
        <v>107.133</v>
      </c>
      <c r="G239" s="1">
        <f t="shared" si="10"/>
        <v>106.25795100000001</v>
      </c>
    </row>
    <row r="240" spans="1:7" x14ac:dyDescent="0.3">
      <c r="A240">
        <v>2380</v>
      </c>
      <c r="B240">
        <v>1231.5999999999999</v>
      </c>
      <c r="C240">
        <v>114.607</v>
      </c>
      <c r="D240" s="15">
        <f t="shared" si="11"/>
        <v>2.0000000000024442E-4</v>
      </c>
      <c r="E240" s="14">
        <f t="shared" si="9"/>
        <v>1.2120784555548E-4</v>
      </c>
      <c r="F240">
        <v>107.134</v>
      </c>
      <c r="G240" s="1">
        <f t="shared" si="10"/>
        <v>106.256821</v>
      </c>
    </row>
    <row r="241" spans="1:7" x14ac:dyDescent="0.3">
      <c r="A241">
        <v>2390</v>
      </c>
      <c r="B241">
        <v>1232.9000000000001</v>
      </c>
      <c r="C241">
        <v>114.605</v>
      </c>
      <c r="D241" s="15">
        <f t="shared" si="11"/>
        <v>1.9999999999988915E-4</v>
      </c>
      <c r="E241" s="14">
        <f t="shared" si="9"/>
        <v>1.2116227653206999E-4</v>
      </c>
      <c r="F241">
        <v>107.134</v>
      </c>
      <c r="G241" s="1">
        <f t="shared" si="10"/>
        <v>106.255691</v>
      </c>
    </row>
    <row r="242" spans="1:7" x14ac:dyDescent="0.3">
      <c r="A242">
        <v>2400</v>
      </c>
      <c r="B242">
        <v>1234.0999999999999</v>
      </c>
      <c r="C242">
        <v>114.60299999999999</v>
      </c>
      <c r="D242" s="15">
        <f t="shared" si="11"/>
        <v>1.9999999999988915E-4</v>
      </c>
      <c r="E242" s="14">
        <f t="shared" si="9"/>
        <v>1.21116720192E-4</v>
      </c>
      <c r="F242">
        <v>107.134</v>
      </c>
      <c r="G242" s="1">
        <f t="shared" si="10"/>
        <v>106.25456100000001</v>
      </c>
    </row>
    <row r="243" spans="1:7" x14ac:dyDescent="0.3">
      <c r="A243">
        <v>2410</v>
      </c>
      <c r="B243">
        <v>1235.4000000000001</v>
      </c>
      <c r="C243">
        <v>114.601</v>
      </c>
      <c r="D243" s="15">
        <f t="shared" si="11"/>
        <v>2.0000000000024442E-4</v>
      </c>
      <c r="E243" s="14">
        <f t="shared" si="9"/>
        <v>1.2107117653527E-4</v>
      </c>
      <c r="F243">
        <v>107.134</v>
      </c>
      <c r="G243" s="1">
        <f t="shared" si="10"/>
        <v>106.25343100000001</v>
      </c>
    </row>
    <row r="244" spans="1:7" x14ac:dyDescent="0.3">
      <c r="A244">
        <v>2420</v>
      </c>
      <c r="B244">
        <v>1236.5</v>
      </c>
      <c r="C244">
        <v>114.599</v>
      </c>
      <c r="D244" s="15">
        <f t="shared" si="11"/>
        <v>1.9999999999988915E-4</v>
      </c>
      <c r="E244" s="14">
        <f t="shared" si="9"/>
        <v>1.2102564556188E-4</v>
      </c>
      <c r="F244">
        <v>107.13500000000001</v>
      </c>
      <c r="G244" s="1">
        <f t="shared" si="10"/>
        <v>106.252301</v>
      </c>
    </row>
    <row r="245" spans="1:7" x14ac:dyDescent="0.3">
      <c r="A245">
        <v>2430</v>
      </c>
      <c r="B245">
        <v>1237.8</v>
      </c>
      <c r="C245">
        <v>114.59699999999999</v>
      </c>
      <c r="D245" s="15">
        <f t="shared" si="11"/>
        <v>1.9999999999988915E-4</v>
      </c>
      <c r="E245" s="14">
        <f t="shared" si="9"/>
        <v>1.2098012727182999E-4</v>
      </c>
      <c r="F245">
        <v>107.134</v>
      </c>
      <c r="G245" s="1">
        <f t="shared" si="10"/>
        <v>106.251171</v>
      </c>
    </row>
    <row r="246" spans="1:7" x14ac:dyDescent="0.3">
      <c r="A246">
        <v>2440</v>
      </c>
      <c r="B246">
        <v>1239</v>
      </c>
      <c r="C246">
        <v>114.595</v>
      </c>
      <c r="D246" s="15">
        <f t="shared" si="11"/>
        <v>2.0000000000024442E-4</v>
      </c>
      <c r="E246" s="14">
        <f t="shared" si="9"/>
        <v>1.2093462166511999E-4</v>
      </c>
      <c r="F246">
        <v>107.134</v>
      </c>
      <c r="G246" s="1">
        <f t="shared" si="10"/>
        <v>106.250041</v>
      </c>
    </row>
    <row r="247" spans="1:7" x14ac:dyDescent="0.3">
      <c r="A247">
        <v>2450</v>
      </c>
      <c r="B247">
        <v>1240.2</v>
      </c>
      <c r="C247">
        <v>114.593</v>
      </c>
      <c r="D247" s="15">
        <f t="shared" si="11"/>
        <v>1.9999999999988915E-4</v>
      </c>
      <c r="E247" s="14">
        <f t="shared" si="9"/>
        <v>1.2088912874175E-4</v>
      </c>
      <c r="F247">
        <v>107.134</v>
      </c>
      <c r="G247" s="1">
        <f t="shared" si="10"/>
        <v>106.24891100000001</v>
      </c>
    </row>
    <row r="248" spans="1:7" x14ac:dyDescent="0.3">
      <c r="A248">
        <v>2460</v>
      </c>
      <c r="B248">
        <v>1241.5</v>
      </c>
      <c r="C248">
        <v>114.59099999999999</v>
      </c>
      <c r="D248" s="15">
        <f t="shared" si="11"/>
        <v>1.7500000000012506E-4</v>
      </c>
      <c r="E248" s="14">
        <f t="shared" si="9"/>
        <v>1.2084364850172E-4</v>
      </c>
      <c r="F248">
        <v>107.13500000000001</v>
      </c>
      <c r="G248" s="1">
        <f t="shared" si="10"/>
        <v>106.247781</v>
      </c>
    </row>
    <row r="249" spans="1:7" x14ac:dyDescent="0.3">
      <c r="A249">
        <v>2470</v>
      </c>
      <c r="B249">
        <v>1242.5999999999999</v>
      </c>
      <c r="C249">
        <v>114.589</v>
      </c>
      <c r="D249" s="15">
        <f t="shared" si="11"/>
        <v>1.7500000000012506E-4</v>
      </c>
      <c r="E249" s="14">
        <f t="shared" si="9"/>
        <v>1.2079818094503E-4</v>
      </c>
      <c r="F249">
        <v>107.13500000000001</v>
      </c>
      <c r="G249" s="1">
        <f t="shared" si="10"/>
        <v>106.246651</v>
      </c>
    </row>
    <row r="250" spans="1:7" x14ac:dyDescent="0.3">
      <c r="A250">
        <v>2480</v>
      </c>
      <c r="B250">
        <v>1243.9000000000001</v>
      </c>
      <c r="C250">
        <v>114.58799999999999</v>
      </c>
      <c r="D250" s="15">
        <f t="shared" si="11"/>
        <v>1.7499999999976979E-4</v>
      </c>
      <c r="E250" s="14">
        <f t="shared" si="9"/>
        <v>1.2075272607167999E-4</v>
      </c>
      <c r="F250">
        <v>107.13500000000001</v>
      </c>
      <c r="G250" s="1">
        <f t="shared" si="10"/>
        <v>106.245521</v>
      </c>
    </row>
    <row r="251" spans="1:7" x14ac:dyDescent="0.3">
      <c r="A251">
        <v>2490</v>
      </c>
      <c r="B251">
        <v>1245.2</v>
      </c>
      <c r="C251">
        <v>114.586</v>
      </c>
      <c r="D251" s="15">
        <f t="shared" si="11"/>
        <v>1.7500000000012506E-4</v>
      </c>
      <c r="E251" s="14">
        <f t="shared" si="9"/>
        <v>1.2070728388167E-4</v>
      </c>
      <c r="F251">
        <v>107.134</v>
      </c>
      <c r="G251" s="1">
        <f t="shared" si="10"/>
        <v>106.24439100000001</v>
      </c>
    </row>
    <row r="252" spans="1:7" x14ac:dyDescent="0.3">
      <c r="A252">
        <v>2500</v>
      </c>
      <c r="B252">
        <v>1246.4000000000001</v>
      </c>
      <c r="C252">
        <v>114.584</v>
      </c>
      <c r="D252" s="15">
        <f t="shared" si="11"/>
        <v>1.9999999999988915E-4</v>
      </c>
      <c r="E252" s="14">
        <f t="shared" si="9"/>
        <v>1.2066185437499999E-4</v>
      </c>
      <c r="F252">
        <v>107.13500000000001</v>
      </c>
      <c r="G252" s="1">
        <f t="shared" si="10"/>
        <v>106.243261</v>
      </c>
    </row>
    <row r="253" spans="1:7" x14ac:dyDescent="0.3">
      <c r="A253">
        <v>2510</v>
      </c>
      <c r="B253">
        <v>1247.5999999999999</v>
      </c>
      <c r="C253">
        <v>114.58199999999999</v>
      </c>
      <c r="D253" s="15">
        <f t="shared" si="11"/>
        <v>1.9999999999988915E-4</v>
      </c>
      <c r="E253" s="14">
        <f t="shared" si="9"/>
        <v>1.2061643755167E-4</v>
      </c>
      <c r="F253">
        <v>107.13500000000001</v>
      </c>
      <c r="G253" s="1">
        <f t="shared" si="10"/>
        <v>106.242131</v>
      </c>
    </row>
    <row r="254" spans="1:7" x14ac:dyDescent="0.3">
      <c r="A254">
        <v>2520</v>
      </c>
      <c r="B254">
        <v>1248.7</v>
      </c>
      <c r="C254">
        <v>114.58</v>
      </c>
      <c r="D254" s="15">
        <f t="shared" si="11"/>
        <v>2.0000000000024442E-4</v>
      </c>
      <c r="E254" s="14">
        <f t="shared" si="9"/>
        <v>1.2057103341167999E-4</v>
      </c>
      <c r="F254">
        <v>107.13500000000001</v>
      </c>
      <c r="G254" s="1">
        <f t="shared" si="10"/>
        <v>106.241001</v>
      </c>
    </row>
    <row r="255" spans="1:7" x14ac:dyDescent="0.3">
      <c r="A255">
        <v>2530</v>
      </c>
      <c r="B255">
        <v>1249.7</v>
      </c>
      <c r="C255">
        <v>114.578</v>
      </c>
      <c r="D255" s="15">
        <f t="shared" si="11"/>
        <v>1.9999999999988915E-4</v>
      </c>
      <c r="E255" s="14">
        <f t="shared" si="9"/>
        <v>1.2052564195503E-4</v>
      </c>
      <c r="F255">
        <v>107.136</v>
      </c>
      <c r="G255" s="1">
        <f t="shared" si="10"/>
        <v>106.23987100000001</v>
      </c>
    </row>
    <row r="256" spans="1:7" x14ac:dyDescent="0.3">
      <c r="A256">
        <v>2540</v>
      </c>
      <c r="B256">
        <v>1250.8</v>
      </c>
      <c r="C256">
        <v>114.57599999999999</v>
      </c>
      <c r="D256" s="15">
        <f t="shared" si="11"/>
        <v>1.9999999999988915E-4</v>
      </c>
      <c r="E256" s="14">
        <f t="shared" si="9"/>
        <v>1.2048026318172E-4</v>
      </c>
      <c r="F256">
        <v>107.136</v>
      </c>
      <c r="G256" s="1">
        <f t="shared" si="10"/>
        <v>106.238741</v>
      </c>
    </row>
    <row r="257" spans="1:7" x14ac:dyDescent="0.3">
      <c r="A257">
        <v>2550</v>
      </c>
      <c r="B257">
        <v>1251.9000000000001</v>
      </c>
      <c r="C257">
        <v>114.574</v>
      </c>
      <c r="D257" s="15">
        <f t="shared" si="11"/>
        <v>1.7500000000012506E-4</v>
      </c>
      <c r="E257" s="14">
        <f t="shared" si="9"/>
        <v>1.2043489709175E-4</v>
      </c>
      <c r="F257">
        <v>107.13500000000001</v>
      </c>
      <c r="G257" s="1">
        <f t="shared" si="10"/>
        <v>106.237611</v>
      </c>
    </row>
    <row r="258" spans="1:7" x14ac:dyDescent="0.3">
      <c r="A258">
        <v>2560</v>
      </c>
      <c r="B258">
        <v>1253.0999999999999</v>
      </c>
      <c r="C258">
        <v>114.572</v>
      </c>
      <c r="D258" s="15">
        <f t="shared" si="11"/>
        <v>1.7499999999976979E-4</v>
      </c>
      <c r="E258" s="14">
        <f t="shared" ref="E258:E321" si="12">0.0000000000000634167*A258*A258 - 0.0000000048594*A258 + 0.000132414</f>
        <v>1.2038954368512E-4</v>
      </c>
      <c r="F258">
        <v>107.13500000000001</v>
      </c>
      <c r="G258" s="1">
        <f t="shared" si="10"/>
        <v>106.236481</v>
      </c>
    </row>
    <row r="259" spans="1:7" x14ac:dyDescent="0.3">
      <c r="A259">
        <v>2570</v>
      </c>
      <c r="B259">
        <v>1254.2</v>
      </c>
      <c r="C259">
        <v>114.571</v>
      </c>
      <c r="D259" s="15">
        <f t="shared" si="11"/>
        <v>1.7500000000012506E-4</v>
      </c>
      <c r="E259" s="14">
        <f t="shared" si="12"/>
        <v>1.2034420296183E-4</v>
      </c>
      <c r="F259">
        <v>107.136</v>
      </c>
      <c r="G259" s="1">
        <f t="shared" ref="G259:G322" si="13">-0.000113*A259 + 106.525761</f>
        <v>106.23535100000001</v>
      </c>
    </row>
    <row r="260" spans="1:7" x14ac:dyDescent="0.3">
      <c r="A260">
        <v>2580</v>
      </c>
      <c r="B260">
        <v>1255.3</v>
      </c>
      <c r="C260">
        <v>114.569</v>
      </c>
      <c r="D260" s="15">
        <f t="shared" si="11"/>
        <v>1.7500000000012506E-4</v>
      </c>
      <c r="E260" s="14">
        <f t="shared" si="12"/>
        <v>1.2029887492188E-4</v>
      </c>
      <c r="F260">
        <v>107.136</v>
      </c>
      <c r="G260" s="1">
        <f t="shared" si="13"/>
        <v>106.23422100000001</v>
      </c>
    </row>
    <row r="261" spans="1:7" x14ac:dyDescent="0.3">
      <c r="A261">
        <v>2590</v>
      </c>
      <c r="B261">
        <v>1256.4000000000001</v>
      </c>
      <c r="C261">
        <v>114.56699999999999</v>
      </c>
      <c r="D261" s="15">
        <f t="shared" ref="D261:D324" si="14">(C259-C263)/(A263-A259)</f>
        <v>1.9999999999988915E-4</v>
      </c>
      <c r="E261" s="14">
        <f t="shared" si="12"/>
        <v>1.2025355956527E-4</v>
      </c>
      <c r="F261">
        <v>107.13500000000001</v>
      </c>
      <c r="G261" s="1">
        <f t="shared" si="13"/>
        <v>106.233091</v>
      </c>
    </row>
    <row r="262" spans="1:7" x14ac:dyDescent="0.3">
      <c r="A262">
        <v>2600</v>
      </c>
      <c r="B262">
        <v>1257.4000000000001</v>
      </c>
      <c r="C262">
        <v>114.565</v>
      </c>
      <c r="D262" s="15">
        <f t="shared" si="14"/>
        <v>1.9999999999988915E-4</v>
      </c>
      <c r="E262" s="14">
        <f t="shared" si="12"/>
        <v>1.2020825689199999E-4</v>
      </c>
      <c r="F262">
        <v>107.136</v>
      </c>
      <c r="G262" s="1">
        <f t="shared" si="13"/>
        <v>106.231961</v>
      </c>
    </row>
    <row r="263" spans="1:7" x14ac:dyDescent="0.3">
      <c r="A263">
        <v>2610</v>
      </c>
      <c r="B263">
        <v>1258.5999999999999</v>
      </c>
      <c r="C263">
        <v>114.563</v>
      </c>
      <c r="D263" s="15">
        <f t="shared" si="14"/>
        <v>1.7499999999976979E-4</v>
      </c>
      <c r="E263" s="14">
        <f t="shared" si="12"/>
        <v>1.2016296690207E-4</v>
      </c>
      <c r="F263">
        <v>107.136</v>
      </c>
      <c r="G263" s="1">
        <f t="shared" si="13"/>
        <v>106.23083100000001</v>
      </c>
    </row>
    <row r="264" spans="1:7" x14ac:dyDescent="0.3">
      <c r="A264">
        <v>2620</v>
      </c>
      <c r="B264">
        <v>1259.7</v>
      </c>
      <c r="C264">
        <v>114.56100000000001</v>
      </c>
      <c r="D264" s="15">
        <f t="shared" si="14"/>
        <v>1.7499999999976979E-4</v>
      </c>
      <c r="E264" s="14">
        <f t="shared" si="12"/>
        <v>1.2011768959547999E-4</v>
      </c>
      <c r="F264">
        <v>107.136</v>
      </c>
      <c r="G264" s="1">
        <f t="shared" si="13"/>
        <v>106.22970100000001</v>
      </c>
    </row>
    <row r="265" spans="1:7" x14ac:dyDescent="0.3">
      <c r="A265">
        <v>2630</v>
      </c>
      <c r="B265">
        <v>1260.8</v>
      </c>
      <c r="C265">
        <v>114.56</v>
      </c>
      <c r="D265" s="15">
        <f t="shared" si="14"/>
        <v>1.7500000000012506E-4</v>
      </c>
      <c r="E265" s="14">
        <f t="shared" si="12"/>
        <v>1.2007242497223E-4</v>
      </c>
      <c r="F265">
        <v>107.137</v>
      </c>
      <c r="G265" s="1">
        <f t="shared" si="13"/>
        <v>106.228571</v>
      </c>
    </row>
    <row r="266" spans="1:7" x14ac:dyDescent="0.3">
      <c r="A266">
        <v>2640</v>
      </c>
      <c r="B266">
        <v>1261.9000000000001</v>
      </c>
      <c r="C266">
        <v>114.55800000000001</v>
      </c>
      <c r="D266" s="15">
        <f t="shared" si="14"/>
        <v>1.7500000000012506E-4</v>
      </c>
      <c r="E266" s="14">
        <f t="shared" si="12"/>
        <v>1.2002717303231999E-4</v>
      </c>
      <c r="F266">
        <v>107.136</v>
      </c>
      <c r="G266" s="1">
        <f t="shared" si="13"/>
        <v>106.227441</v>
      </c>
    </row>
    <row r="267" spans="1:7" x14ac:dyDescent="0.3">
      <c r="A267">
        <v>2650</v>
      </c>
      <c r="B267">
        <v>1263</v>
      </c>
      <c r="C267">
        <v>114.556</v>
      </c>
      <c r="D267" s="15">
        <f t="shared" si="14"/>
        <v>1.9999999999988915E-4</v>
      </c>
      <c r="E267" s="14">
        <f t="shared" si="12"/>
        <v>1.1998193377574999E-4</v>
      </c>
      <c r="F267">
        <v>107.137</v>
      </c>
      <c r="G267" s="1">
        <f t="shared" si="13"/>
        <v>106.22631100000001</v>
      </c>
    </row>
    <row r="268" spans="1:7" x14ac:dyDescent="0.3">
      <c r="A268">
        <v>2660</v>
      </c>
      <c r="B268">
        <v>1264.0999999999999</v>
      </c>
      <c r="C268">
        <v>114.554</v>
      </c>
      <c r="D268" s="15">
        <f t="shared" si="14"/>
        <v>1.7500000000012506E-4</v>
      </c>
      <c r="E268" s="14">
        <f t="shared" si="12"/>
        <v>1.1993670720252E-4</v>
      </c>
      <c r="F268">
        <v>107.137</v>
      </c>
      <c r="G268" s="1">
        <f t="shared" si="13"/>
        <v>106.22518100000001</v>
      </c>
    </row>
    <row r="269" spans="1:7" x14ac:dyDescent="0.3">
      <c r="A269">
        <v>2670</v>
      </c>
      <c r="B269">
        <v>1265.2</v>
      </c>
      <c r="C269">
        <v>114.55200000000001</v>
      </c>
      <c r="D269" s="15">
        <f t="shared" si="14"/>
        <v>1.7499999999976979E-4</v>
      </c>
      <c r="E269" s="14">
        <f t="shared" si="12"/>
        <v>1.1989149331263E-4</v>
      </c>
      <c r="F269">
        <v>107.136</v>
      </c>
      <c r="G269" s="1">
        <f t="shared" si="13"/>
        <v>106.224051</v>
      </c>
    </row>
    <row r="270" spans="1:7" x14ac:dyDescent="0.3">
      <c r="A270">
        <v>2680</v>
      </c>
      <c r="B270">
        <v>1266.3</v>
      </c>
      <c r="C270">
        <v>114.551</v>
      </c>
      <c r="D270" s="15">
        <f t="shared" si="14"/>
        <v>1.7500000000012506E-4</v>
      </c>
      <c r="E270" s="14">
        <f t="shared" si="12"/>
        <v>1.1984629210608E-4</v>
      </c>
      <c r="F270">
        <v>107.137</v>
      </c>
      <c r="G270" s="1">
        <f t="shared" si="13"/>
        <v>106.222921</v>
      </c>
    </row>
    <row r="271" spans="1:7" x14ac:dyDescent="0.3">
      <c r="A271">
        <v>2690</v>
      </c>
      <c r="B271">
        <v>1267.4000000000001</v>
      </c>
      <c r="C271">
        <v>114.54900000000001</v>
      </c>
      <c r="D271" s="15">
        <f t="shared" si="14"/>
        <v>1.7500000000012506E-4</v>
      </c>
      <c r="E271" s="14">
        <f t="shared" si="12"/>
        <v>1.1980110358287E-4</v>
      </c>
      <c r="F271">
        <v>107.137</v>
      </c>
      <c r="G271" s="1">
        <f t="shared" si="13"/>
        <v>106.221791</v>
      </c>
    </row>
    <row r="272" spans="1:7" x14ac:dyDescent="0.3">
      <c r="A272">
        <v>2700</v>
      </c>
      <c r="B272">
        <v>1268.5</v>
      </c>
      <c r="C272">
        <v>114.547</v>
      </c>
      <c r="D272" s="15">
        <f t="shared" si="14"/>
        <v>1.9999999999988915E-4</v>
      </c>
      <c r="E272" s="14">
        <f t="shared" si="12"/>
        <v>1.19755927743E-4</v>
      </c>
      <c r="F272">
        <v>107.137</v>
      </c>
      <c r="G272" s="1">
        <f t="shared" si="13"/>
        <v>106.22066100000001</v>
      </c>
    </row>
    <row r="273" spans="1:7" x14ac:dyDescent="0.3">
      <c r="A273">
        <v>2710</v>
      </c>
      <c r="B273">
        <v>1269.7</v>
      </c>
      <c r="C273">
        <v>114.545</v>
      </c>
      <c r="D273" s="15">
        <f t="shared" si="14"/>
        <v>1.7500000000012506E-4</v>
      </c>
      <c r="E273" s="14">
        <f t="shared" si="12"/>
        <v>1.1971076458647E-4</v>
      </c>
      <c r="F273">
        <v>107.137</v>
      </c>
      <c r="G273" s="1">
        <f t="shared" si="13"/>
        <v>106.219531</v>
      </c>
    </row>
    <row r="274" spans="1:7" x14ac:dyDescent="0.3">
      <c r="A274">
        <v>2720</v>
      </c>
      <c r="B274">
        <v>1270.8</v>
      </c>
      <c r="C274">
        <v>114.54300000000001</v>
      </c>
      <c r="D274" s="15">
        <f t="shared" si="14"/>
        <v>1.7499999999976979E-4</v>
      </c>
      <c r="E274" s="14">
        <f t="shared" si="12"/>
        <v>1.1966561411328E-4</v>
      </c>
      <c r="F274">
        <v>107.137</v>
      </c>
      <c r="G274" s="1">
        <f t="shared" si="13"/>
        <v>106.218401</v>
      </c>
    </row>
    <row r="275" spans="1:7" x14ac:dyDescent="0.3">
      <c r="A275">
        <v>2730</v>
      </c>
      <c r="B275">
        <v>1271.9000000000001</v>
      </c>
      <c r="C275">
        <v>114.542</v>
      </c>
      <c r="D275" s="15">
        <f t="shared" si="14"/>
        <v>1.7500000000012506E-4</v>
      </c>
      <c r="E275" s="14">
        <f t="shared" si="12"/>
        <v>1.1962047632343E-4</v>
      </c>
      <c r="F275">
        <v>107.13800000000001</v>
      </c>
      <c r="G275" s="1">
        <f t="shared" si="13"/>
        <v>106.217271</v>
      </c>
    </row>
    <row r="276" spans="1:7" x14ac:dyDescent="0.3">
      <c r="A276">
        <v>2740</v>
      </c>
      <c r="B276">
        <v>1273</v>
      </c>
      <c r="C276">
        <v>114.54</v>
      </c>
      <c r="D276" s="15">
        <f t="shared" si="14"/>
        <v>1.7500000000012506E-4</v>
      </c>
      <c r="E276" s="14">
        <f t="shared" si="12"/>
        <v>1.1957535121692E-4</v>
      </c>
      <c r="F276">
        <v>107.137</v>
      </c>
      <c r="G276" s="1">
        <f t="shared" si="13"/>
        <v>106.21614100000001</v>
      </c>
    </row>
    <row r="277" spans="1:7" x14ac:dyDescent="0.3">
      <c r="A277">
        <v>2750</v>
      </c>
      <c r="B277">
        <v>1274.0999999999999</v>
      </c>
      <c r="C277">
        <v>114.538</v>
      </c>
      <c r="D277" s="15">
        <f t="shared" si="14"/>
        <v>1.7500000000012506E-4</v>
      </c>
      <c r="E277" s="14">
        <f t="shared" si="12"/>
        <v>1.1953023879374999E-4</v>
      </c>
      <c r="F277">
        <v>107.13800000000001</v>
      </c>
      <c r="G277" s="1">
        <f t="shared" si="13"/>
        <v>106.215011</v>
      </c>
    </row>
    <row r="278" spans="1:7" x14ac:dyDescent="0.3">
      <c r="A278">
        <v>2760</v>
      </c>
      <c r="B278">
        <v>1275.3</v>
      </c>
      <c r="C278">
        <v>114.536</v>
      </c>
      <c r="D278" s="15">
        <f t="shared" si="14"/>
        <v>1.7500000000012506E-4</v>
      </c>
      <c r="E278" s="14">
        <f t="shared" si="12"/>
        <v>1.1948513905392E-4</v>
      </c>
      <c r="F278">
        <v>107.13800000000001</v>
      </c>
      <c r="G278" s="1">
        <f t="shared" si="13"/>
        <v>106.213881</v>
      </c>
    </row>
    <row r="279" spans="1:7" x14ac:dyDescent="0.3">
      <c r="A279">
        <v>2770</v>
      </c>
      <c r="B279">
        <v>1276.4000000000001</v>
      </c>
      <c r="C279">
        <v>114.535</v>
      </c>
      <c r="D279" s="15">
        <f t="shared" si="14"/>
        <v>1.7499999999976979E-4</v>
      </c>
      <c r="E279" s="14">
        <f t="shared" si="12"/>
        <v>1.1944005199743E-4</v>
      </c>
      <c r="F279">
        <v>107.137</v>
      </c>
      <c r="G279" s="1">
        <f t="shared" si="13"/>
        <v>106.212751</v>
      </c>
    </row>
    <row r="280" spans="1:7" x14ac:dyDescent="0.3">
      <c r="A280">
        <v>2780</v>
      </c>
      <c r="B280">
        <v>1277.5</v>
      </c>
      <c r="C280">
        <v>114.533</v>
      </c>
      <c r="D280" s="15">
        <f t="shared" si="14"/>
        <v>1.7500000000012506E-4</v>
      </c>
      <c r="E280" s="14">
        <f t="shared" si="12"/>
        <v>1.1939497762427999E-4</v>
      </c>
      <c r="F280">
        <v>107.13800000000001</v>
      </c>
      <c r="G280" s="1">
        <f t="shared" si="13"/>
        <v>106.21162100000001</v>
      </c>
    </row>
    <row r="281" spans="1:7" x14ac:dyDescent="0.3">
      <c r="A281">
        <v>2790</v>
      </c>
      <c r="B281">
        <v>1278.5999999999999</v>
      </c>
      <c r="C281">
        <v>114.53100000000001</v>
      </c>
      <c r="D281" s="15">
        <f t="shared" si="14"/>
        <v>1.7499999999976979E-4</v>
      </c>
      <c r="E281" s="14">
        <f t="shared" si="12"/>
        <v>1.1934991593446999E-4</v>
      </c>
      <c r="F281">
        <v>107.13800000000001</v>
      </c>
      <c r="G281" s="1">
        <f t="shared" si="13"/>
        <v>106.210491</v>
      </c>
    </row>
    <row r="282" spans="1:7" x14ac:dyDescent="0.3">
      <c r="A282">
        <v>2800</v>
      </c>
      <c r="B282">
        <v>1279.8</v>
      </c>
      <c r="C282">
        <v>114.529</v>
      </c>
      <c r="D282" s="15">
        <f t="shared" si="14"/>
        <v>1.7500000000012506E-4</v>
      </c>
      <c r="E282" s="14">
        <f t="shared" si="12"/>
        <v>1.1930486692799999E-4</v>
      </c>
      <c r="F282">
        <v>107.13800000000001</v>
      </c>
      <c r="G282" s="1">
        <f t="shared" si="13"/>
        <v>106.209361</v>
      </c>
    </row>
    <row r="283" spans="1:7" x14ac:dyDescent="0.3">
      <c r="A283">
        <v>2810</v>
      </c>
      <c r="B283">
        <v>1280.9000000000001</v>
      </c>
      <c r="C283">
        <v>114.52800000000001</v>
      </c>
      <c r="D283" s="15">
        <f t="shared" si="14"/>
        <v>1.7500000000012506E-4</v>
      </c>
      <c r="E283" s="14">
        <f t="shared" si="12"/>
        <v>1.1925983060486999E-4</v>
      </c>
      <c r="F283">
        <v>107.13800000000001</v>
      </c>
      <c r="G283" s="1">
        <f t="shared" si="13"/>
        <v>106.208231</v>
      </c>
    </row>
    <row r="284" spans="1:7" x14ac:dyDescent="0.3">
      <c r="A284">
        <v>2820</v>
      </c>
      <c r="B284">
        <v>1282.0999999999999</v>
      </c>
      <c r="C284">
        <v>114.526</v>
      </c>
      <c r="D284" s="15">
        <f t="shared" si="14"/>
        <v>1.5000000000000568E-4</v>
      </c>
      <c r="E284" s="14">
        <f t="shared" si="12"/>
        <v>1.1921480696507999E-4</v>
      </c>
      <c r="F284">
        <v>107.139</v>
      </c>
      <c r="G284" s="1">
        <f t="shared" si="13"/>
        <v>106.20710100000001</v>
      </c>
    </row>
    <row r="285" spans="1:7" x14ac:dyDescent="0.3">
      <c r="A285">
        <v>2830</v>
      </c>
      <c r="B285">
        <v>1283.2</v>
      </c>
      <c r="C285">
        <v>114.524</v>
      </c>
      <c r="D285" s="15">
        <f t="shared" si="14"/>
        <v>1.7500000000012506E-4</v>
      </c>
      <c r="E285" s="14">
        <f t="shared" si="12"/>
        <v>1.1916979600862999E-4</v>
      </c>
      <c r="F285">
        <v>107.13800000000001</v>
      </c>
      <c r="G285" s="1">
        <f t="shared" si="13"/>
        <v>106.20597100000001</v>
      </c>
    </row>
    <row r="286" spans="1:7" x14ac:dyDescent="0.3">
      <c r="A286">
        <v>2840</v>
      </c>
      <c r="B286">
        <v>1284.4000000000001</v>
      </c>
      <c r="C286">
        <v>114.523</v>
      </c>
      <c r="D286" s="15">
        <f t="shared" si="14"/>
        <v>1.7499999999976979E-4</v>
      </c>
      <c r="E286" s="14">
        <f t="shared" si="12"/>
        <v>1.1912479773552E-4</v>
      </c>
      <c r="F286">
        <v>107.139</v>
      </c>
      <c r="G286" s="1">
        <f t="shared" si="13"/>
        <v>106.204841</v>
      </c>
    </row>
    <row r="287" spans="1:7" x14ac:dyDescent="0.3">
      <c r="A287">
        <v>2850</v>
      </c>
      <c r="B287">
        <v>1285.5</v>
      </c>
      <c r="C287">
        <v>114.521</v>
      </c>
      <c r="D287" s="15">
        <f t="shared" si="14"/>
        <v>1.5000000000000568E-4</v>
      </c>
      <c r="E287" s="14">
        <f t="shared" si="12"/>
        <v>1.1907981214575E-4</v>
      </c>
      <c r="F287">
        <v>107.13800000000001</v>
      </c>
      <c r="G287" s="1">
        <f t="shared" si="13"/>
        <v>106.203711</v>
      </c>
    </row>
    <row r="288" spans="1:7" x14ac:dyDescent="0.3">
      <c r="A288">
        <v>2860</v>
      </c>
      <c r="B288">
        <v>1286.7</v>
      </c>
      <c r="C288">
        <v>114.51900000000001</v>
      </c>
      <c r="D288" s="15">
        <f t="shared" si="14"/>
        <v>1.7499999999976979E-4</v>
      </c>
      <c r="E288" s="14">
        <f t="shared" si="12"/>
        <v>1.1903483923931999E-4</v>
      </c>
      <c r="F288">
        <v>107.139</v>
      </c>
      <c r="G288" s="1">
        <f t="shared" si="13"/>
        <v>106.20258100000001</v>
      </c>
    </row>
    <row r="289" spans="1:7" x14ac:dyDescent="0.3">
      <c r="A289">
        <v>2870</v>
      </c>
      <c r="B289">
        <v>1287.9000000000001</v>
      </c>
      <c r="C289">
        <v>114.518</v>
      </c>
      <c r="D289" s="15">
        <f t="shared" si="14"/>
        <v>1.7500000000012506E-4</v>
      </c>
      <c r="E289" s="14">
        <f t="shared" si="12"/>
        <v>1.1898987901623E-4</v>
      </c>
      <c r="F289">
        <v>107.139</v>
      </c>
      <c r="G289" s="1">
        <f t="shared" si="13"/>
        <v>106.20145100000001</v>
      </c>
    </row>
    <row r="290" spans="1:7" x14ac:dyDescent="0.3">
      <c r="A290">
        <v>2880</v>
      </c>
      <c r="B290">
        <v>1289</v>
      </c>
      <c r="C290">
        <v>114.51600000000001</v>
      </c>
      <c r="D290" s="15">
        <f t="shared" si="14"/>
        <v>1.5000000000000568E-4</v>
      </c>
      <c r="E290" s="14">
        <f t="shared" si="12"/>
        <v>1.1894493147647999E-4</v>
      </c>
      <c r="F290">
        <v>107.139</v>
      </c>
      <c r="G290" s="1">
        <f t="shared" si="13"/>
        <v>106.200321</v>
      </c>
    </row>
    <row r="291" spans="1:7" x14ac:dyDescent="0.3">
      <c r="A291">
        <v>2890</v>
      </c>
      <c r="B291">
        <v>1290.0999999999999</v>
      </c>
      <c r="C291">
        <v>114.514</v>
      </c>
      <c r="D291" s="15">
        <f t="shared" si="14"/>
        <v>1.7500000000012506E-4</v>
      </c>
      <c r="E291" s="14">
        <f t="shared" si="12"/>
        <v>1.1889999662007E-4</v>
      </c>
      <c r="F291">
        <v>107.139</v>
      </c>
      <c r="G291" s="1">
        <f t="shared" si="13"/>
        <v>106.199191</v>
      </c>
    </row>
    <row r="292" spans="1:7" x14ac:dyDescent="0.3">
      <c r="A292">
        <v>2900</v>
      </c>
      <c r="B292">
        <v>1291.4000000000001</v>
      </c>
      <c r="C292">
        <v>114.51300000000001</v>
      </c>
      <c r="D292" s="15">
        <f t="shared" si="14"/>
        <v>1.7500000000012506E-4</v>
      </c>
      <c r="E292" s="14">
        <f t="shared" si="12"/>
        <v>1.18855074447E-4</v>
      </c>
      <c r="F292">
        <v>107.139</v>
      </c>
      <c r="G292" s="1">
        <f t="shared" si="13"/>
        <v>106.19806100000001</v>
      </c>
    </row>
    <row r="293" spans="1:7" x14ac:dyDescent="0.3">
      <c r="A293">
        <v>2910</v>
      </c>
      <c r="B293">
        <v>1292.5</v>
      </c>
      <c r="C293">
        <v>114.511</v>
      </c>
      <c r="D293" s="15">
        <f t="shared" si="14"/>
        <v>1.5000000000000568E-4</v>
      </c>
      <c r="E293" s="14">
        <f t="shared" si="12"/>
        <v>1.1881016495726999E-4</v>
      </c>
      <c r="F293">
        <v>107.139</v>
      </c>
      <c r="G293" s="1">
        <f t="shared" si="13"/>
        <v>106.19693100000001</v>
      </c>
    </row>
    <row r="294" spans="1:7" x14ac:dyDescent="0.3">
      <c r="A294">
        <v>2920</v>
      </c>
      <c r="B294">
        <v>1293.7</v>
      </c>
      <c r="C294">
        <v>114.509</v>
      </c>
      <c r="D294" s="15">
        <f t="shared" si="14"/>
        <v>1.7500000000012506E-4</v>
      </c>
      <c r="E294" s="14">
        <f t="shared" si="12"/>
        <v>1.1876526815087999E-4</v>
      </c>
      <c r="F294">
        <v>107.14</v>
      </c>
      <c r="G294" s="1">
        <f t="shared" si="13"/>
        <v>106.195801</v>
      </c>
    </row>
    <row r="295" spans="1:7" x14ac:dyDescent="0.3">
      <c r="A295">
        <v>2930</v>
      </c>
      <c r="B295">
        <v>1294.9000000000001</v>
      </c>
      <c r="C295">
        <v>114.508</v>
      </c>
      <c r="D295" s="15">
        <f t="shared" si="14"/>
        <v>1.7499999999976979E-4</v>
      </c>
      <c r="E295" s="14">
        <f t="shared" si="12"/>
        <v>1.1872038402782999E-4</v>
      </c>
      <c r="F295">
        <v>107.14</v>
      </c>
      <c r="G295" s="1">
        <f t="shared" si="13"/>
        <v>106.194671</v>
      </c>
    </row>
    <row r="296" spans="1:7" x14ac:dyDescent="0.3">
      <c r="A296">
        <v>2940</v>
      </c>
      <c r="B296">
        <v>1296.0999999999999</v>
      </c>
      <c r="C296">
        <v>114.506</v>
      </c>
      <c r="D296" s="15">
        <f t="shared" si="14"/>
        <v>1.5000000000000568E-4</v>
      </c>
      <c r="E296" s="14">
        <f t="shared" si="12"/>
        <v>1.1867551258811999E-4</v>
      </c>
      <c r="F296">
        <v>107.14</v>
      </c>
      <c r="G296" s="1">
        <f t="shared" si="13"/>
        <v>106.193541</v>
      </c>
    </row>
    <row r="297" spans="1:7" x14ac:dyDescent="0.3">
      <c r="A297">
        <v>2950</v>
      </c>
      <c r="B297">
        <v>1297.2</v>
      </c>
      <c r="C297">
        <v>114.504</v>
      </c>
      <c r="D297" s="15">
        <f t="shared" si="14"/>
        <v>1.7499999999976979E-4</v>
      </c>
      <c r="E297" s="14">
        <f t="shared" si="12"/>
        <v>1.1863065383174999E-4</v>
      </c>
      <c r="F297">
        <v>107.14</v>
      </c>
      <c r="G297" s="1">
        <f t="shared" si="13"/>
        <v>106.19241100000001</v>
      </c>
    </row>
    <row r="298" spans="1:7" x14ac:dyDescent="0.3">
      <c r="A298">
        <v>2960</v>
      </c>
      <c r="B298">
        <v>1298.5</v>
      </c>
      <c r="C298">
        <v>114.503</v>
      </c>
      <c r="D298" s="15">
        <f t="shared" si="14"/>
        <v>1.5000000000000568E-4</v>
      </c>
      <c r="E298" s="14">
        <f t="shared" si="12"/>
        <v>1.1858580775872E-4</v>
      </c>
      <c r="F298">
        <v>107.14</v>
      </c>
      <c r="G298" s="1">
        <f t="shared" si="13"/>
        <v>106.191281</v>
      </c>
    </row>
    <row r="299" spans="1:7" x14ac:dyDescent="0.3">
      <c r="A299">
        <v>2970</v>
      </c>
      <c r="B299">
        <v>1299.8</v>
      </c>
      <c r="C299">
        <v>114.501</v>
      </c>
      <c r="D299" s="15">
        <f t="shared" si="14"/>
        <v>1.5000000000000568E-4</v>
      </c>
      <c r="E299" s="14">
        <f t="shared" si="12"/>
        <v>1.1854097436903E-4</v>
      </c>
      <c r="F299">
        <v>107.14</v>
      </c>
      <c r="G299" s="1">
        <f t="shared" si="13"/>
        <v>106.190151</v>
      </c>
    </row>
    <row r="300" spans="1:7" x14ac:dyDescent="0.3">
      <c r="A300">
        <v>2980</v>
      </c>
      <c r="B300">
        <v>1301</v>
      </c>
      <c r="C300">
        <v>114.5</v>
      </c>
      <c r="D300" s="15">
        <f t="shared" si="14"/>
        <v>1.7500000000012506E-4</v>
      </c>
      <c r="E300" s="14">
        <f t="shared" si="12"/>
        <v>1.1849615366267999E-4</v>
      </c>
      <c r="F300">
        <v>107.14</v>
      </c>
      <c r="G300" s="1">
        <f t="shared" si="13"/>
        <v>106.189021</v>
      </c>
    </row>
    <row r="301" spans="1:7" x14ac:dyDescent="0.3">
      <c r="A301">
        <v>2990</v>
      </c>
      <c r="B301">
        <v>1302.3</v>
      </c>
      <c r="C301">
        <v>114.498</v>
      </c>
      <c r="D301" s="15">
        <f t="shared" si="14"/>
        <v>1.5000000000000568E-4</v>
      </c>
      <c r="E301" s="14">
        <f t="shared" si="12"/>
        <v>1.1845134563967E-4</v>
      </c>
      <c r="F301">
        <v>107.14</v>
      </c>
      <c r="G301" s="1">
        <f t="shared" si="13"/>
        <v>106.18789100000001</v>
      </c>
    </row>
    <row r="302" spans="1:7" x14ac:dyDescent="0.3">
      <c r="A302">
        <v>3000</v>
      </c>
      <c r="B302">
        <v>1303.5999999999999</v>
      </c>
      <c r="C302">
        <v>114.496</v>
      </c>
      <c r="D302" s="15">
        <f t="shared" si="14"/>
        <v>1.7500000000012506E-4</v>
      </c>
      <c r="E302" s="14">
        <f t="shared" si="12"/>
        <v>1.1840655029999999E-4</v>
      </c>
      <c r="F302">
        <v>107.14100000000001</v>
      </c>
      <c r="G302" s="1">
        <f t="shared" si="13"/>
        <v>106.186761</v>
      </c>
    </row>
    <row r="303" spans="1:7" x14ac:dyDescent="0.3">
      <c r="A303">
        <v>3010</v>
      </c>
      <c r="B303">
        <v>1304.8</v>
      </c>
      <c r="C303">
        <v>114.495</v>
      </c>
      <c r="D303" s="15">
        <f t="shared" si="14"/>
        <v>1.5000000000000568E-4</v>
      </c>
      <c r="E303" s="14">
        <f t="shared" si="12"/>
        <v>1.1836176764367E-4</v>
      </c>
      <c r="F303">
        <v>107.14</v>
      </c>
      <c r="G303" s="1">
        <f t="shared" si="13"/>
        <v>106.185631</v>
      </c>
    </row>
    <row r="304" spans="1:7" x14ac:dyDescent="0.3">
      <c r="A304">
        <v>3020</v>
      </c>
      <c r="B304">
        <v>1306.0999999999999</v>
      </c>
      <c r="C304">
        <v>114.49299999999999</v>
      </c>
      <c r="D304" s="15">
        <f t="shared" si="14"/>
        <v>1.5000000000000568E-4</v>
      </c>
      <c r="E304" s="14">
        <f t="shared" si="12"/>
        <v>1.1831699767067999E-4</v>
      </c>
      <c r="F304">
        <v>107.14100000000001</v>
      </c>
      <c r="G304" s="1">
        <f t="shared" si="13"/>
        <v>106.184501</v>
      </c>
    </row>
    <row r="305" spans="1:7" x14ac:dyDescent="0.3">
      <c r="A305">
        <v>3030</v>
      </c>
      <c r="B305">
        <v>1307.4000000000001</v>
      </c>
      <c r="C305">
        <v>114.492</v>
      </c>
      <c r="D305" s="15">
        <f t="shared" si="14"/>
        <v>1.5000000000000568E-4</v>
      </c>
      <c r="E305" s="14">
        <f t="shared" si="12"/>
        <v>1.1827224038102999E-4</v>
      </c>
      <c r="F305">
        <v>107.14</v>
      </c>
      <c r="G305" s="1">
        <f t="shared" si="13"/>
        <v>106.18337100000001</v>
      </c>
    </row>
    <row r="306" spans="1:7" x14ac:dyDescent="0.3">
      <c r="A306">
        <v>3040</v>
      </c>
      <c r="B306">
        <v>1308.7</v>
      </c>
      <c r="C306">
        <v>114.49</v>
      </c>
      <c r="D306" s="15">
        <f t="shared" si="14"/>
        <v>1.5000000000000568E-4</v>
      </c>
      <c r="E306" s="14">
        <f t="shared" si="12"/>
        <v>1.1822749577472E-4</v>
      </c>
      <c r="F306">
        <v>107.14100000000001</v>
      </c>
      <c r="G306" s="1">
        <f t="shared" si="13"/>
        <v>106.182241</v>
      </c>
    </row>
    <row r="307" spans="1:7" x14ac:dyDescent="0.3">
      <c r="A307">
        <v>3050</v>
      </c>
      <c r="B307">
        <v>1310</v>
      </c>
      <c r="C307">
        <v>114.489</v>
      </c>
      <c r="D307" s="15">
        <f t="shared" si="14"/>
        <v>1.7500000000012506E-4</v>
      </c>
      <c r="E307" s="14">
        <f t="shared" si="12"/>
        <v>1.1818276385175E-4</v>
      </c>
      <c r="F307">
        <v>107.14100000000001</v>
      </c>
      <c r="G307" s="1">
        <f t="shared" si="13"/>
        <v>106.181111</v>
      </c>
    </row>
    <row r="308" spans="1:7" x14ac:dyDescent="0.3">
      <c r="A308">
        <v>3060</v>
      </c>
      <c r="B308">
        <v>1311.2</v>
      </c>
      <c r="C308">
        <v>114.48699999999999</v>
      </c>
      <c r="D308" s="15">
        <f t="shared" si="14"/>
        <v>1.5000000000000568E-4</v>
      </c>
      <c r="E308" s="14">
        <f t="shared" si="12"/>
        <v>1.1813804461212E-4</v>
      </c>
      <c r="F308">
        <v>107.14100000000001</v>
      </c>
      <c r="G308" s="1">
        <f t="shared" si="13"/>
        <v>106.179981</v>
      </c>
    </row>
    <row r="309" spans="1:7" x14ac:dyDescent="0.3">
      <c r="A309">
        <v>3070</v>
      </c>
      <c r="B309">
        <v>1312.5</v>
      </c>
      <c r="C309">
        <v>114.485</v>
      </c>
      <c r="D309" s="15">
        <f t="shared" si="14"/>
        <v>1.7500000000012506E-4</v>
      </c>
      <c r="E309" s="14">
        <f t="shared" si="12"/>
        <v>1.1809333805583E-4</v>
      </c>
      <c r="F309">
        <v>107.14100000000001</v>
      </c>
      <c r="G309" s="1">
        <f t="shared" si="13"/>
        <v>106.17885100000001</v>
      </c>
    </row>
    <row r="310" spans="1:7" x14ac:dyDescent="0.3">
      <c r="A310">
        <v>3080</v>
      </c>
      <c r="B310">
        <v>1313.9</v>
      </c>
      <c r="C310">
        <v>114.48399999999999</v>
      </c>
      <c r="D310" s="15">
        <f t="shared" si="14"/>
        <v>1.5000000000000568E-4</v>
      </c>
      <c r="E310" s="14">
        <f t="shared" si="12"/>
        <v>1.1804864418287999E-4</v>
      </c>
      <c r="F310">
        <v>107.142</v>
      </c>
      <c r="G310" s="1">
        <f t="shared" si="13"/>
        <v>106.17772100000001</v>
      </c>
    </row>
    <row r="311" spans="1:7" x14ac:dyDescent="0.3">
      <c r="A311">
        <v>3090</v>
      </c>
      <c r="B311">
        <v>1315.2</v>
      </c>
      <c r="C311">
        <v>114.482</v>
      </c>
      <c r="D311" s="15">
        <f t="shared" si="14"/>
        <v>1.5000000000000568E-4</v>
      </c>
      <c r="E311" s="14">
        <f t="shared" si="12"/>
        <v>1.1800396299326999E-4</v>
      </c>
      <c r="F311">
        <v>107.14100000000001</v>
      </c>
      <c r="G311" s="1">
        <f t="shared" si="13"/>
        <v>106.176591</v>
      </c>
    </row>
    <row r="312" spans="1:7" x14ac:dyDescent="0.3">
      <c r="A312">
        <v>3100</v>
      </c>
      <c r="B312">
        <v>1316.4</v>
      </c>
      <c r="C312">
        <v>114.48099999999999</v>
      </c>
      <c r="D312" s="15">
        <f t="shared" si="14"/>
        <v>1.5000000000000568E-4</v>
      </c>
      <c r="E312" s="14">
        <f t="shared" si="12"/>
        <v>1.17959294487E-4</v>
      </c>
      <c r="F312">
        <v>107.142</v>
      </c>
      <c r="G312" s="1">
        <f t="shared" si="13"/>
        <v>106.175461</v>
      </c>
    </row>
    <row r="313" spans="1:7" x14ac:dyDescent="0.3">
      <c r="A313">
        <v>3110</v>
      </c>
      <c r="B313">
        <v>1317.8</v>
      </c>
      <c r="C313">
        <v>114.479</v>
      </c>
      <c r="D313" s="15">
        <f t="shared" si="14"/>
        <v>1.5000000000000568E-4</v>
      </c>
      <c r="E313" s="14">
        <f t="shared" si="12"/>
        <v>1.1791463866407E-4</v>
      </c>
      <c r="F313">
        <v>107.142</v>
      </c>
      <c r="G313" s="1">
        <f t="shared" si="13"/>
        <v>106.17433100000001</v>
      </c>
    </row>
    <row r="314" spans="1:7" x14ac:dyDescent="0.3">
      <c r="A314">
        <v>3120</v>
      </c>
      <c r="B314">
        <v>1319</v>
      </c>
      <c r="C314">
        <v>114.47799999999999</v>
      </c>
      <c r="D314" s="15">
        <f t="shared" si="14"/>
        <v>1.5000000000000568E-4</v>
      </c>
      <c r="E314" s="14">
        <f t="shared" si="12"/>
        <v>1.1786999552448E-4</v>
      </c>
      <c r="F314">
        <v>107.14100000000001</v>
      </c>
      <c r="G314" s="1">
        <f t="shared" si="13"/>
        <v>106.17320100000001</v>
      </c>
    </row>
    <row r="315" spans="1:7" x14ac:dyDescent="0.3">
      <c r="A315">
        <v>3130</v>
      </c>
      <c r="B315">
        <v>1320.4</v>
      </c>
      <c r="C315">
        <v>114.476</v>
      </c>
      <c r="D315" s="15">
        <f t="shared" si="14"/>
        <v>1.5000000000000568E-4</v>
      </c>
      <c r="E315" s="14">
        <f t="shared" si="12"/>
        <v>1.1782536506822999E-4</v>
      </c>
      <c r="F315">
        <v>107.142</v>
      </c>
      <c r="G315" s="1">
        <f t="shared" si="13"/>
        <v>106.172071</v>
      </c>
    </row>
    <row r="316" spans="1:7" x14ac:dyDescent="0.3">
      <c r="A316">
        <v>3140</v>
      </c>
      <c r="B316">
        <v>1321.7</v>
      </c>
      <c r="C316">
        <v>114.47499999999999</v>
      </c>
      <c r="D316" s="15">
        <f t="shared" si="14"/>
        <v>1.5000000000000568E-4</v>
      </c>
      <c r="E316" s="14">
        <f t="shared" si="12"/>
        <v>1.1778074729532E-4</v>
      </c>
      <c r="F316">
        <v>107.142</v>
      </c>
      <c r="G316" s="1">
        <f t="shared" si="13"/>
        <v>106.170941</v>
      </c>
    </row>
    <row r="317" spans="1:7" x14ac:dyDescent="0.3">
      <c r="A317">
        <v>3150</v>
      </c>
      <c r="B317">
        <v>1323</v>
      </c>
      <c r="C317">
        <v>114.473</v>
      </c>
      <c r="D317" s="15">
        <f t="shared" si="14"/>
        <v>1.5000000000000568E-4</v>
      </c>
      <c r="E317" s="14">
        <f t="shared" si="12"/>
        <v>1.1773614220575E-4</v>
      </c>
      <c r="F317">
        <v>107.142</v>
      </c>
      <c r="G317" s="1">
        <f t="shared" si="13"/>
        <v>106.16981100000001</v>
      </c>
    </row>
    <row r="318" spans="1:7" x14ac:dyDescent="0.3">
      <c r="A318">
        <v>3160</v>
      </c>
      <c r="B318">
        <v>1324.2</v>
      </c>
      <c r="C318">
        <v>114.47199999999999</v>
      </c>
      <c r="D318" s="15">
        <f t="shared" si="14"/>
        <v>1.5000000000000568E-4</v>
      </c>
      <c r="E318" s="14">
        <f t="shared" si="12"/>
        <v>1.1769154979951999E-4</v>
      </c>
      <c r="F318">
        <v>107.142</v>
      </c>
      <c r="G318" s="1">
        <f t="shared" si="13"/>
        <v>106.16868100000001</v>
      </c>
    </row>
    <row r="319" spans="1:7" x14ac:dyDescent="0.3">
      <c r="A319">
        <v>3170</v>
      </c>
      <c r="B319">
        <v>1325.6</v>
      </c>
      <c r="C319">
        <v>114.47</v>
      </c>
      <c r="D319" s="15">
        <f t="shared" si="14"/>
        <v>1.5000000000000568E-4</v>
      </c>
      <c r="E319" s="14">
        <f t="shared" si="12"/>
        <v>1.1764697007663001E-4</v>
      </c>
      <c r="F319">
        <v>107.142</v>
      </c>
      <c r="G319" s="1">
        <f t="shared" si="13"/>
        <v>106.167551</v>
      </c>
    </row>
    <row r="320" spans="1:7" x14ac:dyDescent="0.3">
      <c r="A320">
        <v>3180</v>
      </c>
      <c r="B320">
        <v>1326.9</v>
      </c>
      <c r="C320">
        <v>114.46899999999999</v>
      </c>
      <c r="D320" s="15">
        <f t="shared" si="14"/>
        <v>1.5000000000000568E-4</v>
      </c>
      <c r="E320" s="14">
        <f t="shared" si="12"/>
        <v>1.1760240303707999E-4</v>
      </c>
      <c r="F320">
        <v>107.143</v>
      </c>
      <c r="G320" s="1">
        <f t="shared" si="13"/>
        <v>106.166421</v>
      </c>
    </row>
    <row r="321" spans="1:7" x14ac:dyDescent="0.3">
      <c r="A321">
        <v>3190</v>
      </c>
      <c r="B321">
        <v>1328.2</v>
      </c>
      <c r="C321">
        <v>114.467</v>
      </c>
      <c r="D321" s="15">
        <f t="shared" si="14"/>
        <v>1.2499999999988632E-4</v>
      </c>
      <c r="E321" s="14">
        <f t="shared" si="12"/>
        <v>1.1755784868086999E-4</v>
      </c>
      <c r="F321">
        <v>107.142</v>
      </c>
      <c r="G321" s="1">
        <f t="shared" si="13"/>
        <v>106.165291</v>
      </c>
    </row>
    <row r="322" spans="1:7" x14ac:dyDescent="0.3">
      <c r="A322">
        <v>3200</v>
      </c>
      <c r="B322">
        <v>1329.6</v>
      </c>
      <c r="C322">
        <v>114.46599999999999</v>
      </c>
      <c r="D322" s="15">
        <f t="shared" si="14"/>
        <v>1.5000000000000568E-4</v>
      </c>
      <c r="E322" s="14">
        <f t="shared" ref="E322:E385" si="15">0.0000000000000634167*A322*A322 - 0.0000000048594*A322 + 0.000132414</f>
        <v>1.1751330700799999E-4</v>
      </c>
      <c r="F322">
        <v>107.143</v>
      </c>
      <c r="G322" s="1">
        <f t="shared" si="13"/>
        <v>106.16416100000001</v>
      </c>
    </row>
    <row r="323" spans="1:7" x14ac:dyDescent="0.3">
      <c r="A323">
        <v>3210</v>
      </c>
      <c r="B323">
        <v>1330.8</v>
      </c>
      <c r="C323">
        <v>114.465</v>
      </c>
      <c r="D323" s="15">
        <f t="shared" si="14"/>
        <v>1.2499999999988632E-4</v>
      </c>
      <c r="E323" s="14">
        <f t="shared" si="15"/>
        <v>1.1746877801847E-4</v>
      </c>
      <c r="F323">
        <v>107.143</v>
      </c>
      <c r="G323" s="1">
        <f t="shared" ref="G323:G386" si="16">-0.000113*A323 + 106.525761</f>
        <v>106.163031</v>
      </c>
    </row>
    <row r="324" spans="1:7" x14ac:dyDescent="0.3">
      <c r="A324">
        <v>3220</v>
      </c>
      <c r="B324">
        <v>1332.2</v>
      </c>
      <c r="C324">
        <v>114.46299999999999</v>
      </c>
      <c r="D324" s="15">
        <f t="shared" si="14"/>
        <v>1.5000000000000568E-4</v>
      </c>
      <c r="E324" s="14">
        <f t="shared" si="15"/>
        <v>1.1742426171228E-4</v>
      </c>
      <c r="F324">
        <v>107.143</v>
      </c>
      <c r="G324" s="1">
        <f t="shared" si="16"/>
        <v>106.161901</v>
      </c>
    </row>
    <row r="325" spans="1:7" x14ac:dyDescent="0.3">
      <c r="A325">
        <v>3230</v>
      </c>
      <c r="B325">
        <v>1333.5</v>
      </c>
      <c r="C325">
        <v>114.462</v>
      </c>
      <c r="D325" s="15">
        <f t="shared" ref="D325:D388" si="17">(C323-C327)/(A327-A323)</f>
        <v>1.5000000000000568E-4</v>
      </c>
      <c r="E325" s="14">
        <f t="shared" si="15"/>
        <v>1.1737975808942999E-4</v>
      </c>
      <c r="F325">
        <v>107.143</v>
      </c>
      <c r="G325" s="1">
        <f t="shared" si="16"/>
        <v>106.160771</v>
      </c>
    </row>
    <row r="326" spans="1:7" x14ac:dyDescent="0.3">
      <c r="A326">
        <v>3240</v>
      </c>
      <c r="B326">
        <v>1334.8</v>
      </c>
      <c r="C326">
        <v>114.46</v>
      </c>
      <c r="D326" s="15">
        <f t="shared" si="17"/>
        <v>1.5000000000000568E-4</v>
      </c>
      <c r="E326" s="14">
        <f t="shared" si="15"/>
        <v>1.1733526714992E-4</v>
      </c>
      <c r="F326">
        <v>107.143</v>
      </c>
      <c r="G326" s="1">
        <f t="shared" si="16"/>
        <v>106.15964100000001</v>
      </c>
    </row>
    <row r="327" spans="1:7" x14ac:dyDescent="0.3">
      <c r="A327">
        <v>3250</v>
      </c>
      <c r="B327">
        <v>1336.1</v>
      </c>
      <c r="C327">
        <v>114.459</v>
      </c>
      <c r="D327" s="15">
        <f t="shared" si="17"/>
        <v>1.5000000000000568E-4</v>
      </c>
      <c r="E327" s="14">
        <f t="shared" si="15"/>
        <v>1.1729078889374999E-4</v>
      </c>
      <c r="F327">
        <v>107.143</v>
      </c>
      <c r="G327" s="1">
        <f t="shared" si="16"/>
        <v>106.158511</v>
      </c>
    </row>
    <row r="328" spans="1:7" x14ac:dyDescent="0.3">
      <c r="A328">
        <v>3260</v>
      </c>
      <c r="B328">
        <v>1337.4</v>
      </c>
      <c r="C328">
        <v>114.45699999999999</v>
      </c>
      <c r="D328" s="15">
        <f t="shared" si="17"/>
        <v>1.2499999999988632E-4</v>
      </c>
      <c r="E328" s="14">
        <f t="shared" si="15"/>
        <v>1.1724632332092E-4</v>
      </c>
      <c r="F328">
        <v>107.14400000000001</v>
      </c>
      <c r="G328" s="1">
        <f t="shared" si="16"/>
        <v>106.157381</v>
      </c>
    </row>
    <row r="329" spans="1:7" x14ac:dyDescent="0.3">
      <c r="A329">
        <v>3270</v>
      </c>
      <c r="B329">
        <v>1338.7</v>
      </c>
      <c r="C329">
        <v>114.456</v>
      </c>
      <c r="D329" s="15">
        <f t="shared" si="17"/>
        <v>1.5000000000000568E-4</v>
      </c>
      <c r="E329" s="14">
        <f t="shared" si="15"/>
        <v>1.1720187043143E-4</v>
      </c>
      <c r="F329">
        <v>107.143</v>
      </c>
      <c r="G329" s="1">
        <f t="shared" si="16"/>
        <v>106.156251</v>
      </c>
    </row>
    <row r="330" spans="1:7" x14ac:dyDescent="0.3">
      <c r="A330">
        <v>3280</v>
      </c>
      <c r="B330">
        <v>1340.1</v>
      </c>
      <c r="C330">
        <v>114.455</v>
      </c>
      <c r="D330" s="15">
        <f t="shared" si="17"/>
        <v>1.2499999999988632E-4</v>
      </c>
      <c r="E330" s="14">
        <f t="shared" si="15"/>
        <v>1.1715743022527999E-4</v>
      </c>
      <c r="F330">
        <v>107.143</v>
      </c>
      <c r="G330" s="1">
        <f t="shared" si="16"/>
        <v>106.15512100000001</v>
      </c>
    </row>
    <row r="331" spans="1:7" x14ac:dyDescent="0.3">
      <c r="A331">
        <v>3290</v>
      </c>
      <c r="B331">
        <v>1341.4</v>
      </c>
      <c r="C331">
        <v>114.453</v>
      </c>
      <c r="D331" s="15">
        <f t="shared" si="17"/>
        <v>1.2500000000024159E-4</v>
      </c>
      <c r="E331" s="14">
        <f t="shared" si="15"/>
        <v>1.1711300270246999E-4</v>
      </c>
      <c r="F331">
        <v>107.14400000000001</v>
      </c>
      <c r="G331" s="1">
        <f t="shared" si="16"/>
        <v>106.153991</v>
      </c>
    </row>
    <row r="332" spans="1:7" x14ac:dyDescent="0.3">
      <c r="A332">
        <v>3300</v>
      </c>
      <c r="B332">
        <v>1342.7</v>
      </c>
      <c r="C332">
        <v>114.452</v>
      </c>
      <c r="D332" s="15">
        <f t="shared" si="17"/>
        <v>1.5000000000000568E-4</v>
      </c>
      <c r="E332" s="14">
        <f t="shared" si="15"/>
        <v>1.1706858786299999E-4</v>
      </c>
      <c r="F332">
        <v>107.14400000000001</v>
      </c>
      <c r="G332" s="1">
        <f t="shared" si="16"/>
        <v>106.152861</v>
      </c>
    </row>
    <row r="333" spans="1:7" x14ac:dyDescent="0.3">
      <c r="A333">
        <v>3310</v>
      </c>
      <c r="B333">
        <v>1344</v>
      </c>
      <c r="C333">
        <v>114.45099999999999</v>
      </c>
      <c r="D333" s="15">
        <f t="shared" si="17"/>
        <v>1.2500000000024159E-4</v>
      </c>
      <c r="E333" s="14">
        <f t="shared" si="15"/>
        <v>1.1702418570686999E-4</v>
      </c>
      <c r="F333">
        <v>107.14400000000001</v>
      </c>
      <c r="G333" s="1">
        <f t="shared" si="16"/>
        <v>106.151731</v>
      </c>
    </row>
    <row r="334" spans="1:7" x14ac:dyDescent="0.3">
      <c r="A334">
        <v>3320</v>
      </c>
      <c r="B334">
        <v>1345.3</v>
      </c>
      <c r="C334">
        <v>114.449</v>
      </c>
      <c r="D334" s="15">
        <f t="shared" si="17"/>
        <v>1.5000000000000568E-4</v>
      </c>
      <c r="E334" s="14">
        <f t="shared" si="15"/>
        <v>1.1697979623407999E-4</v>
      </c>
      <c r="F334">
        <v>107.143</v>
      </c>
      <c r="G334" s="1">
        <f t="shared" si="16"/>
        <v>106.15060100000001</v>
      </c>
    </row>
    <row r="335" spans="1:7" x14ac:dyDescent="0.3">
      <c r="A335">
        <v>3330</v>
      </c>
      <c r="B335">
        <v>1346.7</v>
      </c>
      <c r="C335">
        <v>114.44799999999999</v>
      </c>
      <c r="D335" s="15">
        <f t="shared" si="17"/>
        <v>1.5000000000000568E-4</v>
      </c>
      <c r="E335" s="14">
        <f t="shared" si="15"/>
        <v>1.1693541944462999E-4</v>
      </c>
      <c r="F335">
        <v>107.14400000000001</v>
      </c>
      <c r="G335" s="1">
        <f t="shared" si="16"/>
        <v>106.14947100000001</v>
      </c>
    </row>
    <row r="336" spans="1:7" x14ac:dyDescent="0.3">
      <c r="A336">
        <v>3340</v>
      </c>
      <c r="B336">
        <v>1348</v>
      </c>
      <c r="C336">
        <v>114.446</v>
      </c>
      <c r="D336" s="15">
        <f t="shared" si="17"/>
        <v>1.2499999999988632E-4</v>
      </c>
      <c r="E336" s="14">
        <f t="shared" si="15"/>
        <v>1.1689105533852E-4</v>
      </c>
      <c r="F336">
        <v>107.14400000000001</v>
      </c>
      <c r="G336" s="1">
        <f t="shared" si="16"/>
        <v>106.148341</v>
      </c>
    </row>
    <row r="337" spans="1:7" x14ac:dyDescent="0.3">
      <c r="A337">
        <v>3350</v>
      </c>
      <c r="B337">
        <v>1349.3</v>
      </c>
      <c r="C337">
        <v>114.44499999999999</v>
      </c>
      <c r="D337" s="15">
        <f t="shared" si="17"/>
        <v>1.5000000000000568E-4</v>
      </c>
      <c r="E337" s="14">
        <f t="shared" si="15"/>
        <v>1.1684670391575E-4</v>
      </c>
      <c r="F337">
        <v>107.14400000000001</v>
      </c>
      <c r="G337" s="1">
        <f t="shared" si="16"/>
        <v>106.147211</v>
      </c>
    </row>
    <row r="338" spans="1:7" x14ac:dyDescent="0.3">
      <c r="A338">
        <v>3360</v>
      </c>
      <c r="B338">
        <v>1350.6</v>
      </c>
      <c r="C338">
        <v>114.444</v>
      </c>
      <c r="D338" s="15">
        <f t="shared" si="17"/>
        <v>1.2499999999988632E-4</v>
      </c>
      <c r="E338" s="14">
        <f t="shared" si="15"/>
        <v>1.1680236517631999E-4</v>
      </c>
      <c r="F338">
        <v>107.145</v>
      </c>
      <c r="G338" s="1">
        <f t="shared" si="16"/>
        <v>106.14608100000001</v>
      </c>
    </row>
    <row r="339" spans="1:7" x14ac:dyDescent="0.3">
      <c r="A339">
        <v>3370</v>
      </c>
      <c r="B339">
        <v>1352</v>
      </c>
      <c r="C339">
        <v>114.44199999999999</v>
      </c>
      <c r="D339" s="15">
        <f t="shared" si="17"/>
        <v>1.2499999999988632E-4</v>
      </c>
      <c r="E339" s="14">
        <f t="shared" si="15"/>
        <v>1.1675803912023E-4</v>
      </c>
      <c r="F339">
        <v>107.145</v>
      </c>
      <c r="G339" s="1">
        <f t="shared" si="16"/>
        <v>106.14495100000001</v>
      </c>
    </row>
    <row r="340" spans="1:7" x14ac:dyDescent="0.3">
      <c r="A340">
        <v>3380</v>
      </c>
      <c r="B340">
        <v>1353.3</v>
      </c>
      <c r="C340">
        <v>114.441</v>
      </c>
      <c r="D340" s="15">
        <f t="shared" si="17"/>
        <v>1.2500000000024159E-4</v>
      </c>
      <c r="E340" s="14">
        <f t="shared" si="15"/>
        <v>1.1671372574747999E-4</v>
      </c>
      <c r="F340">
        <v>107.145</v>
      </c>
      <c r="G340" s="1">
        <f t="shared" si="16"/>
        <v>106.143821</v>
      </c>
    </row>
    <row r="341" spans="1:7" x14ac:dyDescent="0.3">
      <c r="A341">
        <v>3390</v>
      </c>
      <c r="B341">
        <v>1354.7</v>
      </c>
      <c r="C341">
        <v>114.44</v>
      </c>
      <c r="D341" s="15">
        <f t="shared" si="17"/>
        <v>1.2499999999988632E-4</v>
      </c>
      <c r="E341" s="14">
        <f t="shared" si="15"/>
        <v>1.1666942505807E-4</v>
      </c>
      <c r="F341">
        <v>107.14400000000001</v>
      </c>
      <c r="G341" s="1">
        <f t="shared" si="16"/>
        <v>106.142691</v>
      </c>
    </row>
    <row r="342" spans="1:7" x14ac:dyDescent="0.3">
      <c r="A342">
        <v>3400</v>
      </c>
      <c r="B342">
        <v>1356</v>
      </c>
      <c r="C342">
        <v>114.43899999999999</v>
      </c>
      <c r="D342" s="15">
        <f t="shared" si="17"/>
        <v>1.2499999999988632E-4</v>
      </c>
      <c r="E342" s="14">
        <f t="shared" si="15"/>
        <v>1.16625137052E-4</v>
      </c>
      <c r="F342">
        <v>107.145</v>
      </c>
      <c r="G342" s="1">
        <f t="shared" si="16"/>
        <v>106.141561</v>
      </c>
    </row>
    <row r="343" spans="1:7" x14ac:dyDescent="0.3">
      <c r="A343">
        <v>3410</v>
      </c>
      <c r="B343">
        <v>1357.3</v>
      </c>
      <c r="C343">
        <v>114.437</v>
      </c>
      <c r="D343" s="15">
        <f t="shared" si="17"/>
        <v>1.2499999999988632E-4</v>
      </c>
      <c r="E343" s="14">
        <f t="shared" si="15"/>
        <v>1.1658086172927E-4</v>
      </c>
      <c r="F343">
        <v>107.145</v>
      </c>
      <c r="G343" s="1">
        <f t="shared" si="16"/>
        <v>106.14043100000001</v>
      </c>
    </row>
    <row r="344" spans="1:7" x14ac:dyDescent="0.3">
      <c r="A344">
        <v>3420</v>
      </c>
      <c r="B344">
        <v>1358.6</v>
      </c>
      <c r="C344">
        <v>114.43600000000001</v>
      </c>
      <c r="D344" s="15">
        <f t="shared" si="17"/>
        <v>1.4999999999965041E-4</v>
      </c>
      <c r="E344" s="14">
        <f t="shared" si="15"/>
        <v>1.1653659908988E-4</v>
      </c>
      <c r="F344">
        <v>107.145</v>
      </c>
      <c r="G344" s="1">
        <f t="shared" si="16"/>
        <v>106.139301</v>
      </c>
    </row>
    <row r="345" spans="1:7" x14ac:dyDescent="0.3">
      <c r="A345">
        <v>3430</v>
      </c>
      <c r="B345">
        <v>1360</v>
      </c>
      <c r="C345">
        <v>114.435</v>
      </c>
      <c r="D345" s="15">
        <f t="shared" si="17"/>
        <v>1.2499999999988632E-4</v>
      </c>
      <c r="E345" s="14">
        <f t="shared" si="15"/>
        <v>1.1649234913383E-4</v>
      </c>
      <c r="F345">
        <v>107.145</v>
      </c>
      <c r="G345" s="1">
        <f t="shared" si="16"/>
        <v>106.138171</v>
      </c>
    </row>
    <row r="346" spans="1:7" x14ac:dyDescent="0.3">
      <c r="A346">
        <v>3440</v>
      </c>
      <c r="B346">
        <v>1361.3</v>
      </c>
      <c r="C346">
        <v>114.43300000000001</v>
      </c>
      <c r="D346" s="15">
        <f t="shared" si="17"/>
        <v>1.2500000000024159E-4</v>
      </c>
      <c r="E346" s="14">
        <f t="shared" si="15"/>
        <v>1.1644811186112E-4</v>
      </c>
      <c r="F346">
        <v>107.145</v>
      </c>
      <c r="G346" s="1">
        <f t="shared" si="16"/>
        <v>106.137041</v>
      </c>
    </row>
    <row r="347" spans="1:7" x14ac:dyDescent="0.3">
      <c r="A347">
        <v>3450</v>
      </c>
      <c r="B347">
        <v>1362.7</v>
      </c>
      <c r="C347">
        <v>114.432</v>
      </c>
      <c r="D347" s="15">
        <f t="shared" si="17"/>
        <v>1.2499999999988632E-4</v>
      </c>
      <c r="E347" s="14">
        <f t="shared" si="15"/>
        <v>1.1640388727175E-4</v>
      </c>
      <c r="F347">
        <v>107.146</v>
      </c>
      <c r="G347" s="1">
        <f t="shared" si="16"/>
        <v>106.13591100000001</v>
      </c>
    </row>
    <row r="348" spans="1:7" x14ac:dyDescent="0.3">
      <c r="A348">
        <v>3460</v>
      </c>
      <c r="B348">
        <v>1363.9</v>
      </c>
      <c r="C348">
        <v>114.431</v>
      </c>
      <c r="D348" s="15">
        <f t="shared" si="17"/>
        <v>1.2500000000024159E-4</v>
      </c>
      <c r="E348" s="14">
        <f t="shared" si="15"/>
        <v>1.1635967536571999E-4</v>
      </c>
      <c r="F348">
        <v>107.146</v>
      </c>
      <c r="G348" s="1">
        <f t="shared" si="16"/>
        <v>106.134781</v>
      </c>
    </row>
    <row r="349" spans="1:7" x14ac:dyDescent="0.3">
      <c r="A349">
        <v>3470</v>
      </c>
      <c r="B349">
        <v>1365.2</v>
      </c>
      <c r="C349">
        <v>114.43</v>
      </c>
      <c r="D349" s="15">
        <f t="shared" si="17"/>
        <v>1.2499999999988632E-4</v>
      </c>
      <c r="E349" s="14">
        <f t="shared" si="15"/>
        <v>1.1631547614302999E-4</v>
      </c>
      <c r="F349">
        <v>107.146</v>
      </c>
      <c r="G349" s="1">
        <f t="shared" si="16"/>
        <v>106.133651</v>
      </c>
    </row>
    <row r="350" spans="1:7" x14ac:dyDescent="0.3">
      <c r="A350">
        <v>3480</v>
      </c>
      <c r="B350">
        <v>1366.5</v>
      </c>
      <c r="C350">
        <v>114.428</v>
      </c>
      <c r="D350" s="15">
        <f t="shared" si="17"/>
        <v>1.2499999999988632E-4</v>
      </c>
      <c r="E350" s="14">
        <f t="shared" si="15"/>
        <v>1.1627128960368E-4</v>
      </c>
      <c r="F350">
        <v>107.146</v>
      </c>
      <c r="G350" s="1">
        <f t="shared" si="16"/>
        <v>106.132521</v>
      </c>
    </row>
    <row r="351" spans="1:7" x14ac:dyDescent="0.3">
      <c r="A351">
        <v>3490</v>
      </c>
      <c r="B351">
        <v>1367.8</v>
      </c>
      <c r="C351">
        <v>114.42700000000001</v>
      </c>
      <c r="D351" s="15">
        <f t="shared" si="17"/>
        <v>1.2500000000024159E-4</v>
      </c>
      <c r="E351" s="14">
        <f t="shared" si="15"/>
        <v>1.1622711574766999E-4</v>
      </c>
      <c r="F351">
        <v>107.145</v>
      </c>
      <c r="G351" s="1">
        <f t="shared" si="16"/>
        <v>106.13139100000001</v>
      </c>
    </row>
    <row r="352" spans="1:7" x14ac:dyDescent="0.3">
      <c r="A352">
        <v>3500</v>
      </c>
      <c r="B352">
        <v>1369</v>
      </c>
      <c r="C352">
        <v>114.426</v>
      </c>
      <c r="D352" s="15">
        <f t="shared" si="17"/>
        <v>1.2499999999988632E-4</v>
      </c>
      <c r="E352" s="14">
        <f t="shared" si="15"/>
        <v>1.16182954575E-4</v>
      </c>
      <c r="F352">
        <v>107.145</v>
      </c>
      <c r="G352" s="1">
        <f t="shared" si="16"/>
        <v>106.130261</v>
      </c>
    </row>
    <row r="353" spans="1:7" x14ac:dyDescent="0.3">
      <c r="A353">
        <v>3510</v>
      </c>
      <c r="B353">
        <v>1370.9</v>
      </c>
      <c r="C353">
        <v>114.425</v>
      </c>
      <c r="D353" s="15">
        <f t="shared" si="17"/>
        <v>1.2500000000024159E-4</v>
      </c>
      <c r="E353" s="14">
        <f t="shared" si="15"/>
        <v>1.1613880608566999E-4</v>
      </c>
      <c r="F353">
        <v>107.146</v>
      </c>
      <c r="G353" s="1">
        <f t="shared" si="16"/>
        <v>106.129131</v>
      </c>
    </row>
    <row r="354" spans="1:7" x14ac:dyDescent="0.3">
      <c r="A354">
        <v>3520</v>
      </c>
      <c r="B354">
        <v>1374.1</v>
      </c>
      <c r="C354">
        <v>114.423</v>
      </c>
      <c r="D354" s="15">
        <f t="shared" si="17"/>
        <v>1.2499999999988632E-4</v>
      </c>
      <c r="E354" s="14">
        <f t="shared" si="15"/>
        <v>1.1609467027968E-4</v>
      </c>
      <c r="F354">
        <v>107.13800000000001</v>
      </c>
      <c r="G354" s="1">
        <f t="shared" si="16"/>
        <v>106.128001</v>
      </c>
    </row>
    <row r="355" spans="1:7" x14ac:dyDescent="0.3">
      <c r="A355">
        <v>3530</v>
      </c>
      <c r="B355">
        <v>1378.4</v>
      </c>
      <c r="C355">
        <v>114.422</v>
      </c>
      <c r="D355" s="15">
        <f t="shared" si="17"/>
        <v>1.2499999999988632E-4</v>
      </c>
      <c r="E355" s="14">
        <f t="shared" si="15"/>
        <v>1.1605054715703E-4</v>
      </c>
      <c r="F355">
        <v>107.13</v>
      </c>
      <c r="G355" s="1">
        <f t="shared" si="16"/>
        <v>106.12687100000001</v>
      </c>
    </row>
    <row r="356" spans="1:7" x14ac:dyDescent="0.3">
      <c r="A356">
        <v>3540</v>
      </c>
      <c r="B356">
        <v>1382.8</v>
      </c>
      <c r="C356">
        <v>114.42100000000001</v>
      </c>
      <c r="D356" s="15">
        <f t="shared" si="17"/>
        <v>1.2499999999988632E-4</v>
      </c>
      <c r="E356" s="14">
        <f t="shared" si="15"/>
        <v>1.1600643671772E-4</v>
      </c>
      <c r="F356">
        <v>107.121</v>
      </c>
      <c r="G356" s="1">
        <f t="shared" si="16"/>
        <v>106.125741</v>
      </c>
    </row>
    <row r="357" spans="1:7" x14ac:dyDescent="0.3">
      <c r="A357">
        <v>3550</v>
      </c>
      <c r="B357">
        <v>1387.1</v>
      </c>
      <c r="C357">
        <v>114.42</v>
      </c>
      <c r="D357" s="15">
        <f t="shared" si="17"/>
        <v>1.2499999999988632E-4</v>
      </c>
      <c r="E357" s="14">
        <f t="shared" si="15"/>
        <v>1.1596233896175E-4</v>
      </c>
      <c r="F357">
        <v>107.113</v>
      </c>
      <c r="G357" s="1">
        <f t="shared" si="16"/>
        <v>106.124611</v>
      </c>
    </row>
    <row r="358" spans="1:7" x14ac:dyDescent="0.3">
      <c r="A358">
        <v>3560</v>
      </c>
      <c r="B358">
        <v>1391.5</v>
      </c>
      <c r="C358">
        <v>114.41800000000001</v>
      </c>
      <c r="D358" s="15">
        <f t="shared" si="17"/>
        <v>1.2500000000024159E-4</v>
      </c>
      <c r="E358" s="14">
        <f t="shared" si="15"/>
        <v>1.1591825388912E-4</v>
      </c>
      <c r="F358">
        <v>107.105</v>
      </c>
      <c r="G358" s="1">
        <f t="shared" si="16"/>
        <v>106.123481</v>
      </c>
    </row>
    <row r="359" spans="1:7" x14ac:dyDescent="0.3">
      <c r="A359">
        <v>3570</v>
      </c>
      <c r="B359">
        <v>1395.9</v>
      </c>
      <c r="C359">
        <v>114.417</v>
      </c>
      <c r="D359" s="15">
        <f t="shared" si="17"/>
        <v>1.2499999999988632E-4</v>
      </c>
      <c r="E359" s="14">
        <f t="shared" si="15"/>
        <v>1.1587418149983E-4</v>
      </c>
      <c r="F359">
        <v>107.09699999999999</v>
      </c>
      <c r="G359" s="1">
        <f t="shared" si="16"/>
        <v>106.12235100000001</v>
      </c>
    </row>
    <row r="360" spans="1:7" x14ac:dyDescent="0.3">
      <c r="A360">
        <v>3580</v>
      </c>
      <c r="B360">
        <v>1400.3</v>
      </c>
      <c r="C360">
        <v>114.416</v>
      </c>
      <c r="D360" s="15">
        <f t="shared" si="17"/>
        <v>1.0000000000012221E-4</v>
      </c>
      <c r="E360" s="14">
        <f t="shared" si="15"/>
        <v>1.1583012179388E-4</v>
      </c>
      <c r="F360">
        <v>107.089</v>
      </c>
      <c r="G360" s="1">
        <f t="shared" si="16"/>
        <v>106.12122100000001</v>
      </c>
    </row>
    <row r="361" spans="1:7" x14ac:dyDescent="0.3">
      <c r="A361">
        <v>3590</v>
      </c>
      <c r="B361">
        <v>1404.6</v>
      </c>
      <c r="C361">
        <v>114.41500000000001</v>
      </c>
      <c r="D361" s="15">
        <f t="shared" si="17"/>
        <v>1.2499999999988632E-4</v>
      </c>
      <c r="E361" s="14">
        <f t="shared" si="15"/>
        <v>1.1578607477126999E-4</v>
      </c>
      <c r="F361">
        <v>107.081</v>
      </c>
      <c r="G361" s="1">
        <f t="shared" si="16"/>
        <v>106.120091</v>
      </c>
    </row>
    <row r="362" spans="1:7" x14ac:dyDescent="0.3">
      <c r="A362">
        <v>3600</v>
      </c>
      <c r="B362">
        <v>1409</v>
      </c>
      <c r="C362">
        <v>114.414</v>
      </c>
      <c r="D362" s="15">
        <f t="shared" si="17"/>
        <v>1.2499999999988632E-4</v>
      </c>
      <c r="E362" s="14">
        <f t="shared" si="15"/>
        <v>1.15742040432E-4</v>
      </c>
      <c r="F362">
        <v>107.07299999999999</v>
      </c>
      <c r="G362" s="1">
        <f t="shared" si="16"/>
        <v>106.118961</v>
      </c>
    </row>
    <row r="363" spans="1:7" x14ac:dyDescent="0.3">
      <c r="A363">
        <v>3610</v>
      </c>
      <c r="B363">
        <v>1413.3</v>
      </c>
      <c r="C363">
        <v>114.41200000000001</v>
      </c>
      <c r="D363" s="15">
        <f t="shared" si="17"/>
        <v>1.2500000000024159E-4</v>
      </c>
      <c r="E363" s="14">
        <f t="shared" si="15"/>
        <v>1.1569801877606999E-4</v>
      </c>
      <c r="F363">
        <v>107.065</v>
      </c>
      <c r="G363" s="1">
        <f t="shared" si="16"/>
        <v>106.11783100000001</v>
      </c>
    </row>
    <row r="364" spans="1:7" x14ac:dyDescent="0.3">
      <c r="A364">
        <v>3620</v>
      </c>
      <c r="B364">
        <v>1417.7</v>
      </c>
      <c r="C364">
        <v>114.411</v>
      </c>
      <c r="D364" s="15">
        <f t="shared" si="17"/>
        <v>1.2499999999988632E-4</v>
      </c>
      <c r="E364" s="14">
        <f t="shared" si="15"/>
        <v>1.1565400980348E-4</v>
      </c>
      <c r="F364">
        <v>107.057</v>
      </c>
      <c r="G364" s="1">
        <f t="shared" si="16"/>
        <v>106.11670100000001</v>
      </c>
    </row>
    <row r="365" spans="1:7" x14ac:dyDescent="0.3">
      <c r="A365">
        <v>3630</v>
      </c>
      <c r="B365">
        <v>1422.1</v>
      </c>
      <c r="C365">
        <v>114.41</v>
      </c>
      <c r="D365" s="15">
        <f t="shared" si="17"/>
        <v>1.0000000000012221E-4</v>
      </c>
      <c r="E365" s="14">
        <f t="shared" si="15"/>
        <v>1.1561001351423E-4</v>
      </c>
      <c r="F365">
        <v>107.04900000000001</v>
      </c>
      <c r="G365" s="1">
        <f t="shared" si="16"/>
        <v>106.115571</v>
      </c>
    </row>
    <row r="366" spans="1:7" x14ac:dyDescent="0.3">
      <c r="A366">
        <v>3640</v>
      </c>
      <c r="B366">
        <v>1426.4</v>
      </c>
      <c r="C366">
        <v>114.40900000000001</v>
      </c>
      <c r="D366" s="15">
        <f t="shared" si="17"/>
        <v>1.2499999999988632E-4</v>
      </c>
      <c r="E366" s="14">
        <f t="shared" si="15"/>
        <v>1.1556602990832E-4</v>
      </c>
      <c r="F366">
        <v>107.041</v>
      </c>
      <c r="G366" s="1">
        <f t="shared" si="16"/>
        <v>106.114441</v>
      </c>
    </row>
    <row r="367" spans="1:7" x14ac:dyDescent="0.3">
      <c r="A367">
        <v>3650</v>
      </c>
      <c r="B367">
        <v>1430.8</v>
      </c>
      <c r="C367">
        <v>114.408</v>
      </c>
      <c r="D367" s="15">
        <f t="shared" si="17"/>
        <v>1.2499999999988632E-4</v>
      </c>
      <c r="E367" s="14">
        <f t="shared" si="15"/>
        <v>1.1552205898575E-4</v>
      </c>
      <c r="F367">
        <v>107.033</v>
      </c>
      <c r="G367" s="1">
        <f t="shared" si="16"/>
        <v>106.113311</v>
      </c>
    </row>
    <row r="368" spans="1:7" x14ac:dyDescent="0.3">
      <c r="A368">
        <v>3660</v>
      </c>
      <c r="B368">
        <v>1435.2</v>
      </c>
      <c r="C368">
        <v>114.40600000000001</v>
      </c>
      <c r="D368" s="15">
        <f t="shared" si="17"/>
        <v>1.2500000000024159E-4</v>
      </c>
      <c r="E368" s="14">
        <f t="shared" si="15"/>
        <v>1.1547810074651999E-4</v>
      </c>
      <c r="F368">
        <v>107.02500000000001</v>
      </c>
      <c r="G368" s="1">
        <f t="shared" si="16"/>
        <v>106.11218100000001</v>
      </c>
    </row>
    <row r="369" spans="1:7" x14ac:dyDescent="0.3">
      <c r="A369">
        <v>3670</v>
      </c>
      <c r="B369">
        <v>1439.6</v>
      </c>
      <c r="C369">
        <v>114.405</v>
      </c>
      <c r="D369" s="15">
        <f t="shared" si="17"/>
        <v>1.2499999999988632E-4</v>
      </c>
      <c r="E369" s="14">
        <f t="shared" si="15"/>
        <v>1.1543415519062999E-4</v>
      </c>
      <c r="F369">
        <v>107.017</v>
      </c>
      <c r="G369" s="1">
        <f t="shared" si="16"/>
        <v>106.111051</v>
      </c>
    </row>
    <row r="370" spans="1:7" x14ac:dyDescent="0.3">
      <c r="A370">
        <v>3680</v>
      </c>
      <c r="B370">
        <v>1443.9</v>
      </c>
      <c r="C370">
        <v>114.404</v>
      </c>
      <c r="D370" s="15">
        <f t="shared" si="17"/>
        <v>1.0000000000012221E-4</v>
      </c>
      <c r="E370" s="14">
        <f t="shared" si="15"/>
        <v>1.1539022231807999E-4</v>
      </c>
      <c r="F370">
        <v>107.009</v>
      </c>
      <c r="G370" s="1">
        <f t="shared" si="16"/>
        <v>106.109921</v>
      </c>
    </row>
    <row r="371" spans="1:7" x14ac:dyDescent="0.3">
      <c r="A371">
        <v>3690</v>
      </c>
      <c r="B371">
        <v>1448.3</v>
      </c>
      <c r="C371">
        <v>114.40300000000001</v>
      </c>
      <c r="D371" s="15">
        <f t="shared" si="17"/>
        <v>1.2499999999988632E-4</v>
      </c>
      <c r="E371" s="14">
        <f t="shared" si="15"/>
        <v>1.1534630212886999E-4</v>
      </c>
      <c r="F371">
        <v>107</v>
      </c>
      <c r="G371" s="1">
        <f t="shared" si="16"/>
        <v>106.108791</v>
      </c>
    </row>
    <row r="372" spans="1:7" x14ac:dyDescent="0.3">
      <c r="A372">
        <v>3700</v>
      </c>
      <c r="B372">
        <v>1452.7</v>
      </c>
      <c r="C372">
        <v>114.402</v>
      </c>
      <c r="D372" s="15">
        <f t="shared" si="17"/>
        <v>1.2499999999988632E-4</v>
      </c>
      <c r="E372" s="14">
        <f t="shared" si="15"/>
        <v>1.15302394623E-4</v>
      </c>
      <c r="F372">
        <v>106.992</v>
      </c>
      <c r="G372" s="1">
        <f t="shared" si="16"/>
        <v>106.10766100000001</v>
      </c>
    </row>
    <row r="373" spans="1:7" x14ac:dyDescent="0.3">
      <c r="A373">
        <v>3710</v>
      </c>
      <c r="B373">
        <v>1457.1</v>
      </c>
      <c r="C373">
        <v>114.4</v>
      </c>
      <c r="D373" s="15">
        <f t="shared" si="17"/>
        <v>1.2500000000024159E-4</v>
      </c>
      <c r="E373" s="14">
        <f t="shared" si="15"/>
        <v>1.1525849980047E-4</v>
      </c>
      <c r="F373">
        <v>106.98399999999999</v>
      </c>
      <c r="G373" s="1">
        <f t="shared" si="16"/>
        <v>106.106531</v>
      </c>
    </row>
    <row r="374" spans="1:7" x14ac:dyDescent="0.3">
      <c r="A374">
        <v>3720</v>
      </c>
      <c r="B374">
        <v>1461.5</v>
      </c>
      <c r="C374">
        <v>114.399</v>
      </c>
      <c r="D374" s="15">
        <f t="shared" si="17"/>
        <v>1.2499999999988632E-4</v>
      </c>
      <c r="E374" s="14">
        <f t="shared" si="15"/>
        <v>1.1521461766127999E-4</v>
      </c>
      <c r="F374">
        <v>106.976</v>
      </c>
      <c r="G374" s="1">
        <f t="shared" si="16"/>
        <v>106.105401</v>
      </c>
    </row>
    <row r="375" spans="1:7" x14ac:dyDescent="0.3">
      <c r="A375">
        <v>3730</v>
      </c>
      <c r="B375">
        <v>1465.8</v>
      </c>
      <c r="C375">
        <v>114.398</v>
      </c>
      <c r="D375" s="15">
        <f t="shared" si="17"/>
        <v>1.0000000000012221E-4</v>
      </c>
      <c r="E375" s="14">
        <f t="shared" si="15"/>
        <v>1.1517074820543E-4</v>
      </c>
      <c r="F375">
        <v>106.968</v>
      </c>
      <c r="G375" s="1">
        <f t="shared" si="16"/>
        <v>106.104271</v>
      </c>
    </row>
    <row r="376" spans="1:7" x14ac:dyDescent="0.3">
      <c r="A376">
        <v>3740</v>
      </c>
      <c r="B376">
        <v>1470.2</v>
      </c>
      <c r="C376">
        <v>114.39700000000001</v>
      </c>
      <c r="D376" s="15">
        <f t="shared" si="17"/>
        <v>1.2499999999988632E-4</v>
      </c>
      <c r="E376" s="14">
        <f t="shared" si="15"/>
        <v>1.1512689143292E-4</v>
      </c>
      <c r="F376">
        <v>106.96</v>
      </c>
      <c r="G376" s="1">
        <f t="shared" si="16"/>
        <v>106.10314100000001</v>
      </c>
    </row>
    <row r="377" spans="1:7" x14ac:dyDescent="0.3">
      <c r="A377">
        <v>3750</v>
      </c>
      <c r="B377">
        <v>1474.6</v>
      </c>
      <c r="C377">
        <v>114.396</v>
      </c>
      <c r="D377" s="15">
        <f t="shared" si="17"/>
        <v>1.2499999999988632E-4</v>
      </c>
      <c r="E377" s="14">
        <f t="shared" si="15"/>
        <v>1.1508304734375E-4</v>
      </c>
      <c r="F377">
        <v>106.952</v>
      </c>
      <c r="G377" s="1">
        <f t="shared" si="16"/>
        <v>106.102011</v>
      </c>
    </row>
    <row r="378" spans="1:7" x14ac:dyDescent="0.3">
      <c r="A378">
        <v>3760</v>
      </c>
      <c r="B378">
        <v>1479</v>
      </c>
      <c r="C378">
        <v>114.39400000000001</v>
      </c>
      <c r="D378" s="15">
        <f t="shared" si="17"/>
        <v>1.2500000000024159E-4</v>
      </c>
      <c r="E378" s="14">
        <f t="shared" si="15"/>
        <v>1.1503921593791999E-4</v>
      </c>
      <c r="F378">
        <v>106.944</v>
      </c>
      <c r="G378" s="1">
        <f t="shared" si="16"/>
        <v>106.100881</v>
      </c>
    </row>
    <row r="379" spans="1:7" x14ac:dyDescent="0.3">
      <c r="A379">
        <v>3770</v>
      </c>
      <c r="B379">
        <v>1483.4</v>
      </c>
      <c r="C379">
        <v>114.393</v>
      </c>
      <c r="D379" s="15">
        <f t="shared" si="17"/>
        <v>1.2499999999988632E-4</v>
      </c>
      <c r="E379" s="14">
        <f t="shared" si="15"/>
        <v>1.1499539721542999E-4</v>
      </c>
      <c r="F379">
        <v>106.93600000000001</v>
      </c>
      <c r="G379" s="1">
        <f t="shared" si="16"/>
        <v>106.099751</v>
      </c>
    </row>
    <row r="380" spans="1:7" x14ac:dyDescent="0.3">
      <c r="A380">
        <v>3780</v>
      </c>
      <c r="B380">
        <v>1487.8</v>
      </c>
      <c r="C380">
        <v>114.392</v>
      </c>
      <c r="D380" s="15">
        <f t="shared" si="17"/>
        <v>1.0000000000012221E-4</v>
      </c>
      <c r="E380" s="14">
        <f t="shared" si="15"/>
        <v>1.1495159117628E-4</v>
      </c>
      <c r="F380">
        <v>106.928</v>
      </c>
      <c r="G380" s="1">
        <f t="shared" si="16"/>
        <v>106.09862100000001</v>
      </c>
    </row>
    <row r="381" spans="1:7" x14ac:dyDescent="0.3">
      <c r="A381">
        <v>3790</v>
      </c>
      <c r="B381">
        <v>1492.1</v>
      </c>
      <c r="C381">
        <v>114.39100000000001</v>
      </c>
      <c r="D381" s="15">
        <f t="shared" si="17"/>
        <v>1.0000000000012221E-4</v>
      </c>
      <c r="E381" s="14">
        <f t="shared" si="15"/>
        <v>1.1490779782047E-4</v>
      </c>
      <c r="F381">
        <v>106.92</v>
      </c>
      <c r="G381" s="1">
        <f t="shared" si="16"/>
        <v>106.09749100000001</v>
      </c>
    </row>
    <row r="382" spans="1:7" x14ac:dyDescent="0.3">
      <c r="A382">
        <v>3800</v>
      </c>
      <c r="B382">
        <v>1496.5</v>
      </c>
      <c r="C382">
        <v>114.39</v>
      </c>
      <c r="D382" s="15">
        <f t="shared" si="17"/>
        <v>1.2499999999988632E-4</v>
      </c>
      <c r="E382" s="14">
        <f t="shared" si="15"/>
        <v>1.14864017148E-4</v>
      </c>
      <c r="F382">
        <v>106.91200000000001</v>
      </c>
      <c r="G382" s="1">
        <f t="shared" si="16"/>
        <v>106.096361</v>
      </c>
    </row>
    <row r="383" spans="1:7" x14ac:dyDescent="0.3">
      <c r="A383">
        <v>3810</v>
      </c>
      <c r="B383">
        <v>1500.9</v>
      </c>
      <c r="C383">
        <v>114.389</v>
      </c>
      <c r="D383" s="15">
        <f t="shared" si="17"/>
        <v>1.2500000000024159E-4</v>
      </c>
      <c r="E383" s="14">
        <f t="shared" si="15"/>
        <v>1.1482024915887E-4</v>
      </c>
      <c r="F383">
        <v>106.904</v>
      </c>
      <c r="G383" s="1">
        <f t="shared" si="16"/>
        <v>106.095231</v>
      </c>
    </row>
    <row r="384" spans="1:7" x14ac:dyDescent="0.3">
      <c r="A384">
        <v>3820</v>
      </c>
      <c r="B384">
        <v>1505.3</v>
      </c>
      <c r="C384">
        <v>114.387</v>
      </c>
      <c r="D384" s="15">
        <f t="shared" si="17"/>
        <v>1.2499999999988632E-4</v>
      </c>
      <c r="E384" s="14">
        <f t="shared" si="15"/>
        <v>1.1477649385308E-4</v>
      </c>
      <c r="F384">
        <v>106.896</v>
      </c>
      <c r="G384" s="1">
        <f t="shared" si="16"/>
        <v>106.09410100000001</v>
      </c>
    </row>
    <row r="385" spans="1:7" x14ac:dyDescent="0.3">
      <c r="A385">
        <v>3830</v>
      </c>
      <c r="B385">
        <v>1509.7</v>
      </c>
      <c r="C385">
        <v>114.386</v>
      </c>
      <c r="D385" s="15">
        <f t="shared" si="17"/>
        <v>1.2499999999988632E-4</v>
      </c>
      <c r="E385" s="14">
        <f t="shared" si="15"/>
        <v>1.1473275123063E-4</v>
      </c>
      <c r="F385">
        <v>106.887</v>
      </c>
      <c r="G385" s="1">
        <f t="shared" si="16"/>
        <v>106.09297100000001</v>
      </c>
    </row>
    <row r="386" spans="1:7" x14ac:dyDescent="0.3">
      <c r="A386">
        <v>3840</v>
      </c>
      <c r="B386">
        <v>1514.1</v>
      </c>
      <c r="C386">
        <v>114.38500000000001</v>
      </c>
      <c r="D386" s="15">
        <f t="shared" si="17"/>
        <v>1.0000000000012221E-4</v>
      </c>
      <c r="E386" s="14">
        <f t="shared" ref="E386:E449" si="18">0.0000000000000634167*A386*A386 - 0.0000000048594*A386 + 0.000132414</f>
        <v>1.1468902129151999E-4</v>
      </c>
      <c r="F386">
        <v>106.879</v>
      </c>
      <c r="G386" s="1">
        <f t="shared" si="16"/>
        <v>106.091841</v>
      </c>
    </row>
    <row r="387" spans="1:7" x14ac:dyDescent="0.3">
      <c r="A387">
        <v>3850</v>
      </c>
      <c r="B387">
        <v>1518.5</v>
      </c>
      <c r="C387">
        <v>114.384</v>
      </c>
      <c r="D387" s="15">
        <f t="shared" si="17"/>
        <v>1.2499999999988632E-4</v>
      </c>
      <c r="E387" s="14">
        <f t="shared" si="18"/>
        <v>1.1464530403575E-4</v>
      </c>
      <c r="F387">
        <v>106.871</v>
      </c>
      <c r="G387" s="1">
        <f t="shared" ref="G387:G450" si="19">-0.000113*A387 + 106.525761</f>
        <v>106.090711</v>
      </c>
    </row>
    <row r="388" spans="1:7" x14ac:dyDescent="0.3">
      <c r="A388">
        <v>3860</v>
      </c>
      <c r="B388">
        <v>1522.8</v>
      </c>
      <c r="C388">
        <v>114.383</v>
      </c>
      <c r="D388" s="15">
        <f t="shared" si="17"/>
        <v>1.2500000000024159E-4</v>
      </c>
      <c r="E388" s="14">
        <f t="shared" si="18"/>
        <v>1.1460159946332E-4</v>
      </c>
      <c r="F388">
        <v>106.863</v>
      </c>
      <c r="G388" s="1">
        <f t="shared" si="19"/>
        <v>106.08958100000001</v>
      </c>
    </row>
    <row r="389" spans="1:7" x14ac:dyDescent="0.3">
      <c r="A389">
        <v>3870</v>
      </c>
      <c r="B389">
        <v>1527.3</v>
      </c>
      <c r="C389">
        <v>114.381</v>
      </c>
      <c r="D389" s="15">
        <f t="shared" ref="D389:D452" si="20">(C387-C391)/(A391-A387)</f>
        <v>1.2499999999988632E-4</v>
      </c>
      <c r="E389" s="14">
        <f t="shared" si="18"/>
        <v>1.1455790757423E-4</v>
      </c>
      <c r="F389">
        <v>106.855</v>
      </c>
      <c r="G389" s="1">
        <f t="shared" si="19"/>
        <v>106.08845100000001</v>
      </c>
    </row>
    <row r="390" spans="1:7" x14ac:dyDescent="0.3">
      <c r="A390">
        <v>3880</v>
      </c>
      <c r="B390">
        <v>1531.6</v>
      </c>
      <c r="C390">
        <v>114.38</v>
      </c>
      <c r="D390" s="15">
        <f t="shared" si="20"/>
        <v>1.2499999999988632E-4</v>
      </c>
      <c r="E390" s="14">
        <f t="shared" si="18"/>
        <v>1.1451422836847999E-4</v>
      </c>
      <c r="F390">
        <v>106.84699999999999</v>
      </c>
      <c r="G390" s="1">
        <f t="shared" si="19"/>
        <v>106.087321</v>
      </c>
    </row>
    <row r="391" spans="1:7" x14ac:dyDescent="0.3">
      <c r="A391">
        <v>3890</v>
      </c>
      <c r="B391">
        <v>1536</v>
      </c>
      <c r="C391">
        <v>114.379</v>
      </c>
      <c r="D391" s="15">
        <f t="shared" si="20"/>
        <v>1.0000000000012221E-4</v>
      </c>
      <c r="E391" s="14">
        <f t="shared" si="18"/>
        <v>1.1447056184607E-4</v>
      </c>
      <c r="F391">
        <v>106.839</v>
      </c>
      <c r="G391" s="1">
        <f t="shared" si="19"/>
        <v>106.086191</v>
      </c>
    </row>
    <row r="392" spans="1:7" x14ac:dyDescent="0.3">
      <c r="A392">
        <v>3900</v>
      </c>
      <c r="B392">
        <v>1540.4</v>
      </c>
      <c r="C392">
        <v>114.378</v>
      </c>
      <c r="D392" s="15">
        <f t="shared" si="20"/>
        <v>9.9999999999766942E-5</v>
      </c>
      <c r="E392" s="14">
        <f t="shared" si="18"/>
        <v>1.14426908007E-4</v>
      </c>
      <c r="F392">
        <v>106.83</v>
      </c>
      <c r="G392" s="1">
        <f t="shared" si="19"/>
        <v>106.085061</v>
      </c>
    </row>
    <row r="393" spans="1:7" x14ac:dyDescent="0.3">
      <c r="A393">
        <v>3910</v>
      </c>
      <c r="B393">
        <v>1544.8</v>
      </c>
      <c r="C393">
        <v>114.377</v>
      </c>
      <c r="D393" s="15">
        <f t="shared" si="20"/>
        <v>1.2500000000024159E-4</v>
      </c>
      <c r="E393" s="14">
        <f t="shared" si="18"/>
        <v>1.1438326685127E-4</v>
      </c>
      <c r="F393">
        <v>106.822</v>
      </c>
      <c r="G393" s="1">
        <f t="shared" si="19"/>
        <v>106.08393100000001</v>
      </c>
    </row>
    <row r="394" spans="1:7" x14ac:dyDescent="0.3">
      <c r="A394">
        <v>3920</v>
      </c>
      <c r="B394">
        <v>1549.2</v>
      </c>
      <c r="C394">
        <v>114.376</v>
      </c>
      <c r="D394" s="15">
        <f t="shared" si="20"/>
        <v>1.2499999999988632E-4</v>
      </c>
      <c r="E394" s="14">
        <f t="shared" si="18"/>
        <v>1.1433963837887999E-4</v>
      </c>
      <c r="F394">
        <v>106.81399999999999</v>
      </c>
      <c r="G394" s="1">
        <f t="shared" si="19"/>
        <v>106.082801</v>
      </c>
    </row>
    <row r="395" spans="1:7" x14ac:dyDescent="0.3">
      <c r="A395">
        <v>3930</v>
      </c>
      <c r="B395">
        <v>1553.6</v>
      </c>
      <c r="C395">
        <v>114.374</v>
      </c>
      <c r="D395" s="15">
        <f t="shared" si="20"/>
        <v>1.2499999999988632E-4</v>
      </c>
      <c r="E395" s="14">
        <f t="shared" si="18"/>
        <v>1.1429602258983E-4</v>
      </c>
      <c r="F395">
        <v>106.806</v>
      </c>
      <c r="G395" s="1">
        <f t="shared" si="19"/>
        <v>106.081671</v>
      </c>
    </row>
    <row r="396" spans="1:7" x14ac:dyDescent="0.3">
      <c r="A396">
        <v>3940</v>
      </c>
      <c r="B396">
        <v>1558</v>
      </c>
      <c r="C396">
        <v>114.373</v>
      </c>
      <c r="D396" s="15">
        <f t="shared" si="20"/>
        <v>1.2500000000024159E-4</v>
      </c>
      <c r="E396" s="14">
        <f t="shared" si="18"/>
        <v>1.1425241948412E-4</v>
      </c>
      <c r="F396">
        <v>106.797</v>
      </c>
      <c r="G396" s="1">
        <f t="shared" si="19"/>
        <v>106.080541</v>
      </c>
    </row>
    <row r="397" spans="1:7" x14ac:dyDescent="0.3">
      <c r="A397">
        <v>3950</v>
      </c>
      <c r="B397">
        <v>1562.4</v>
      </c>
      <c r="C397">
        <v>114.372</v>
      </c>
      <c r="D397" s="15">
        <f t="shared" si="20"/>
        <v>9.9999999999766942E-5</v>
      </c>
      <c r="E397" s="14">
        <f t="shared" si="18"/>
        <v>1.1420882906175E-4</v>
      </c>
      <c r="F397">
        <v>106.789</v>
      </c>
      <c r="G397" s="1">
        <f t="shared" si="19"/>
        <v>106.07941100000001</v>
      </c>
    </row>
    <row r="398" spans="1:7" x14ac:dyDescent="0.3">
      <c r="A398">
        <v>3960</v>
      </c>
      <c r="B398">
        <v>1566.8</v>
      </c>
      <c r="C398">
        <v>114.371</v>
      </c>
      <c r="D398" s="15">
        <f t="shared" si="20"/>
        <v>1.0000000000012221E-4</v>
      </c>
      <c r="E398" s="14">
        <f t="shared" si="18"/>
        <v>1.1416525132271999E-4</v>
      </c>
      <c r="F398">
        <v>106.78100000000001</v>
      </c>
      <c r="G398" s="1">
        <f t="shared" si="19"/>
        <v>106.078281</v>
      </c>
    </row>
    <row r="399" spans="1:7" x14ac:dyDescent="0.3">
      <c r="A399">
        <v>3970</v>
      </c>
      <c r="B399">
        <v>1571.1</v>
      </c>
      <c r="C399">
        <v>114.37</v>
      </c>
      <c r="D399" s="15">
        <f t="shared" si="20"/>
        <v>1.0000000000012221E-4</v>
      </c>
      <c r="E399" s="14">
        <f t="shared" si="18"/>
        <v>1.1412168626702999E-4</v>
      </c>
      <c r="F399">
        <v>106.774</v>
      </c>
      <c r="G399" s="1">
        <f t="shared" si="19"/>
        <v>106.077151</v>
      </c>
    </row>
    <row r="400" spans="1:7" x14ac:dyDescent="0.3">
      <c r="A400">
        <v>3980</v>
      </c>
      <c r="B400">
        <v>1575.6</v>
      </c>
      <c r="C400">
        <v>114.369</v>
      </c>
      <c r="D400" s="15">
        <f t="shared" si="20"/>
        <v>1.2499999999988632E-4</v>
      </c>
      <c r="E400" s="14">
        <f t="shared" si="18"/>
        <v>1.1407813389468E-4</v>
      </c>
      <c r="F400">
        <v>106.76600000000001</v>
      </c>
      <c r="G400" s="1">
        <f t="shared" si="19"/>
        <v>106.076021</v>
      </c>
    </row>
    <row r="401" spans="1:7" x14ac:dyDescent="0.3">
      <c r="A401">
        <v>3990</v>
      </c>
      <c r="B401">
        <v>1579.9</v>
      </c>
      <c r="C401">
        <v>114.36799999999999</v>
      </c>
      <c r="D401" s="15">
        <f t="shared" si="20"/>
        <v>1.2500000000024159E-4</v>
      </c>
      <c r="E401" s="14">
        <f t="shared" si="18"/>
        <v>1.1403459420566999E-4</v>
      </c>
      <c r="F401">
        <v>106.758</v>
      </c>
      <c r="G401" s="1">
        <f t="shared" si="19"/>
        <v>106.07489100000001</v>
      </c>
    </row>
    <row r="402" spans="1:7" x14ac:dyDescent="0.3">
      <c r="A402">
        <v>4000</v>
      </c>
      <c r="B402">
        <v>1584.3</v>
      </c>
      <c r="C402">
        <v>114.366</v>
      </c>
      <c r="D402" s="15">
        <f t="shared" si="20"/>
        <v>1.2499999999988632E-4</v>
      </c>
      <c r="E402" s="14">
        <f t="shared" si="18"/>
        <v>1.139910672E-4</v>
      </c>
      <c r="F402">
        <v>106.75</v>
      </c>
      <c r="G402" s="1">
        <f t="shared" si="19"/>
        <v>106.073761</v>
      </c>
    </row>
    <row r="403" spans="1:7" x14ac:dyDescent="0.3">
      <c r="A403">
        <v>4010</v>
      </c>
      <c r="B403">
        <v>1588.7</v>
      </c>
      <c r="C403">
        <v>114.36499999999999</v>
      </c>
      <c r="D403" s="15">
        <f t="shared" si="20"/>
        <v>1.2499999999988632E-4</v>
      </c>
      <c r="E403" s="14">
        <f t="shared" si="18"/>
        <v>1.1394755287767E-4</v>
      </c>
      <c r="F403">
        <v>106.742</v>
      </c>
      <c r="G403" s="1">
        <f t="shared" si="19"/>
        <v>106.072631</v>
      </c>
    </row>
    <row r="404" spans="1:7" x14ac:dyDescent="0.3">
      <c r="A404">
        <v>4020</v>
      </c>
      <c r="B404">
        <v>1593</v>
      </c>
      <c r="C404">
        <v>114.364</v>
      </c>
      <c r="D404" s="15">
        <f t="shared" si="20"/>
        <v>1.0000000000012221E-4</v>
      </c>
      <c r="E404" s="14">
        <f t="shared" si="18"/>
        <v>1.1390405123868001E-4</v>
      </c>
      <c r="F404">
        <v>106.73399999999999</v>
      </c>
      <c r="G404" s="1">
        <f t="shared" si="19"/>
        <v>106.071501</v>
      </c>
    </row>
    <row r="405" spans="1:7" x14ac:dyDescent="0.3">
      <c r="A405">
        <v>4030</v>
      </c>
      <c r="B405">
        <v>1597.5</v>
      </c>
      <c r="C405">
        <v>114.363</v>
      </c>
      <c r="D405" s="15">
        <f t="shared" si="20"/>
        <v>9.9999999999766942E-5</v>
      </c>
      <c r="E405" s="14">
        <f t="shared" si="18"/>
        <v>1.1386056228303E-4</v>
      </c>
      <c r="F405">
        <v>106.726</v>
      </c>
      <c r="G405" s="1">
        <f t="shared" si="19"/>
        <v>106.07037100000001</v>
      </c>
    </row>
    <row r="406" spans="1:7" x14ac:dyDescent="0.3">
      <c r="A406">
        <v>4040</v>
      </c>
      <c r="B406">
        <v>1601.9</v>
      </c>
      <c r="C406">
        <v>114.36199999999999</v>
      </c>
      <c r="D406" s="15">
        <f t="shared" si="20"/>
        <v>1.0000000000012221E-4</v>
      </c>
      <c r="E406" s="14">
        <f t="shared" si="18"/>
        <v>1.1381708601072E-4</v>
      </c>
      <c r="F406">
        <v>106.717</v>
      </c>
      <c r="G406" s="1">
        <f t="shared" si="19"/>
        <v>106.06924100000001</v>
      </c>
    </row>
    <row r="407" spans="1:7" x14ac:dyDescent="0.3">
      <c r="A407">
        <v>4050</v>
      </c>
      <c r="B407">
        <v>1606.3</v>
      </c>
      <c r="C407">
        <v>114.361</v>
      </c>
      <c r="D407" s="15">
        <f t="shared" si="20"/>
        <v>1.2499999999988632E-4</v>
      </c>
      <c r="E407" s="14">
        <f t="shared" si="18"/>
        <v>1.1377362242175E-4</v>
      </c>
      <c r="F407">
        <v>106.709</v>
      </c>
      <c r="G407" s="1">
        <f t="shared" si="19"/>
        <v>106.068111</v>
      </c>
    </row>
    <row r="408" spans="1:7" x14ac:dyDescent="0.3">
      <c r="A408">
        <v>4060</v>
      </c>
      <c r="B408">
        <v>1610.7</v>
      </c>
      <c r="C408">
        <v>114.36</v>
      </c>
      <c r="D408" s="15">
        <f t="shared" si="20"/>
        <v>1.2499999999988632E-4</v>
      </c>
      <c r="E408" s="14">
        <f t="shared" si="18"/>
        <v>1.1373017151612E-4</v>
      </c>
      <c r="F408">
        <v>106.70099999999999</v>
      </c>
      <c r="G408" s="1">
        <f t="shared" si="19"/>
        <v>106.066981</v>
      </c>
    </row>
    <row r="409" spans="1:7" x14ac:dyDescent="0.3">
      <c r="A409">
        <v>4070</v>
      </c>
      <c r="B409">
        <v>1615</v>
      </c>
      <c r="C409">
        <v>114.358</v>
      </c>
      <c r="D409" s="15">
        <f t="shared" si="20"/>
        <v>1.2500000000024159E-4</v>
      </c>
      <c r="E409" s="14">
        <f t="shared" si="18"/>
        <v>1.1368673329383E-4</v>
      </c>
      <c r="F409">
        <v>106.693</v>
      </c>
      <c r="G409" s="1">
        <f t="shared" si="19"/>
        <v>106.06585100000001</v>
      </c>
    </row>
    <row r="410" spans="1:7" x14ac:dyDescent="0.3">
      <c r="A410">
        <v>4080</v>
      </c>
      <c r="B410">
        <v>1619.4</v>
      </c>
      <c r="C410">
        <v>114.357</v>
      </c>
      <c r="D410" s="15">
        <f t="shared" si="20"/>
        <v>1.2499999999988632E-4</v>
      </c>
      <c r="E410" s="14">
        <f t="shared" si="18"/>
        <v>1.1364330775487999E-4</v>
      </c>
      <c r="F410">
        <v>106.685</v>
      </c>
      <c r="G410" s="1">
        <f t="shared" si="19"/>
        <v>106.06472100000001</v>
      </c>
    </row>
    <row r="411" spans="1:7" x14ac:dyDescent="0.3">
      <c r="A411">
        <v>4090</v>
      </c>
      <c r="B411">
        <v>1623.8</v>
      </c>
      <c r="C411">
        <v>114.35599999999999</v>
      </c>
      <c r="D411" s="15">
        <f t="shared" si="20"/>
        <v>1.0000000000012221E-4</v>
      </c>
      <c r="E411" s="14">
        <f t="shared" si="18"/>
        <v>1.1359989489927E-4</v>
      </c>
      <c r="F411">
        <v>106.67700000000001</v>
      </c>
      <c r="G411" s="1">
        <f t="shared" si="19"/>
        <v>106.063591</v>
      </c>
    </row>
    <row r="412" spans="1:7" x14ac:dyDescent="0.3">
      <c r="A412">
        <v>4100</v>
      </c>
      <c r="B412">
        <v>1628.2</v>
      </c>
      <c r="C412">
        <v>114.355</v>
      </c>
      <c r="D412" s="15">
        <f t="shared" si="20"/>
        <v>1.0000000000012221E-4</v>
      </c>
      <c r="E412" s="14">
        <f t="shared" si="18"/>
        <v>1.1355649472699999E-4</v>
      </c>
      <c r="F412">
        <v>106.669</v>
      </c>
      <c r="G412" s="1">
        <f t="shared" si="19"/>
        <v>106.062461</v>
      </c>
    </row>
    <row r="413" spans="1:7" x14ac:dyDescent="0.3">
      <c r="A413">
        <v>4110</v>
      </c>
      <c r="B413">
        <v>1632.5</v>
      </c>
      <c r="C413">
        <v>114.354</v>
      </c>
      <c r="D413" s="15">
        <f t="shared" si="20"/>
        <v>9.9999999999766942E-5</v>
      </c>
      <c r="E413" s="14">
        <f t="shared" si="18"/>
        <v>1.1351310723807E-4</v>
      </c>
      <c r="F413">
        <v>106.661</v>
      </c>
      <c r="G413" s="1">
        <f t="shared" si="19"/>
        <v>106.06133100000001</v>
      </c>
    </row>
    <row r="414" spans="1:7" x14ac:dyDescent="0.3">
      <c r="A414">
        <v>4120</v>
      </c>
      <c r="B414">
        <v>1637</v>
      </c>
      <c r="C414">
        <v>114.35299999999999</v>
      </c>
      <c r="D414" s="15">
        <f t="shared" si="20"/>
        <v>1.2500000000024159E-4</v>
      </c>
      <c r="E414" s="14">
        <f t="shared" si="18"/>
        <v>1.1346973243248E-4</v>
      </c>
      <c r="F414">
        <v>106.65300000000001</v>
      </c>
      <c r="G414" s="1">
        <f t="shared" si="19"/>
        <v>106.06020100000001</v>
      </c>
    </row>
    <row r="415" spans="1:7" x14ac:dyDescent="0.3">
      <c r="A415">
        <v>4130</v>
      </c>
      <c r="B415">
        <v>1641.3</v>
      </c>
      <c r="C415">
        <v>114.352</v>
      </c>
      <c r="D415" s="15">
        <f t="shared" si="20"/>
        <v>1.2499999999988632E-4</v>
      </c>
      <c r="E415" s="14">
        <f t="shared" si="18"/>
        <v>1.1342637031023E-4</v>
      </c>
      <c r="F415">
        <v>106.64400000000001</v>
      </c>
      <c r="G415" s="1">
        <f t="shared" si="19"/>
        <v>106.059071</v>
      </c>
    </row>
    <row r="416" spans="1:7" x14ac:dyDescent="0.3">
      <c r="A416">
        <v>4140</v>
      </c>
      <c r="B416">
        <v>1645.7</v>
      </c>
      <c r="C416">
        <v>114.35</v>
      </c>
      <c r="D416" s="15">
        <f t="shared" si="20"/>
        <v>1.2499999999988632E-4</v>
      </c>
      <c r="E416" s="14">
        <f t="shared" si="18"/>
        <v>1.1338302087131999E-4</v>
      </c>
      <c r="F416">
        <v>106.636</v>
      </c>
      <c r="G416" s="1">
        <f t="shared" si="19"/>
        <v>106.057941</v>
      </c>
    </row>
    <row r="417" spans="1:7" x14ac:dyDescent="0.3">
      <c r="A417">
        <v>4150</v>
      </c>
      <c r="B417">
        <v>1650</v>
      </c>
      <c r="C417">
        <v>114.349</v>
      </c>
      <c r="D417" s="15">
        <f t="shared" si="20"/>
        <v>1.2500000000024159E-4</v>
      </c>
      <c r="E417" s="14">
        <f t="shared" si="18"/>
        <v>1.1333968411574999E-4</v>
      </c>
      <c r="F417">
        <v>106.628</v>
      </c>
      <c r="G417" s="1">
        <f t="shared" si="19"/>
        <v>106.056811</v>
      </c>
    </row>
    <row r="418" spans="1:7" x14ac:dyDescent="0.3">
      <c r="A418">
        <v>4160</v>
      </c>
      <c r="B418">
        <v>1654.5</v>
      </c>
      <c r="C418">
        <v>114.348</v>
      </c>
      <c r="D418" s="15">
        <f t="shared" si="20"/>
        <v>9.9999999999766942E-5</v>
      </c>
      <c r="E418" s="14">
        <f t="shared" si="18"/>
        <v>1.1329636004351999E-4</v>
      </c>
      <c r="F418">
        <v>106.62</v>
      </c>
      <c r="G418" s="1">
        <f t="shared" si="19"/>
        <v>106.05568100000001</v>
      </c>
    </row>
    <row r="419" spans="1:7" x14ac:dyDescent="0.3">
      <c r="A419">
        <v>4170</v>
      </c>
      <c r="B419">
        <v>1658.9</v>
      </c>
      <c r="C419">
        <v>114.34699999999999</v>
      </c>
      <c r="D419" s="15">
        <f t="shared" si="20"/>
        <v>1.0000000000012221E-4</v>
      </c>
      <c r="E419" s="14">
        <f t="shared" si="18"/>
        <v>1.1325304865463E-4</v>
      </c>
      <c r="F419">
        <v>106.61199999999999</v>
      </c>
      <c r="G419" s="1">
        <f t="shared" si="19"/>
        <v>106.054551</v>
      </c>
    </row>
    <row r="420" spans="1:7" x14ac:dyDescent="0.3">
      <c r="A420">
        <v>4180</v>
      </c>
      <c r="B420">
        <v>1663.2</v>
      </c>
      <c r="C420">
        <v>114.346</v>
      </c>
      <c r="D420" s="15">
        <f t="shared" si="20"/>
        <v>1.0000000000012221E-4</v>
      </c>
      <c r="E420" s="14">
        <f t="shared" si="18"/>
        <v>1.1320974994907999E-4</v>
      </c>
      <c r="F420">
        <v>106.604</v>
      </c>
      <c r="G420" s="1">
        <f t="shared" si="19"/>
        <v>106.053421</v>
      </c>
    </row>
    <row r="421" spans="1:7" x14ac:dyDescent="0.3">
      <c r="A421">
        <v>4190</v>
      </c>
      <c r="B421">
        <v>1667.6</v>
      </c>
      <c r="C421">
        <v>114.345</v>
      </c>
      <c r="D421" s="15">
        <f t="shared" si="20"/>
        <v>9.9999999999766942E-5</v>
      </c>
      <c r="E421" s="14">
        <f t="shared" si="18"/>
        <v>1.1316646392687E-4</v>
      </c>
      <c r="F421">
        <v>106.596</v>
      </c>
      <c r="G421" s="1">
        <f t="shared" si="19"/>
        <v>106.052291</v>
      </c>
    </row>
    <row r="422" spans="1:7" x14ac:dyDescent="0.3">
      <c r="A422">
        <v>4200</v>
      </c>
      <c r="B422">
        <v>1672</v>
      </c>
      <c r="C422">
        <v>114.34399999999999</v>
      </c>
      <c r="D422" s="15">
        <f t="shared" si="20"/>
        <v>1.2500000000024159E-4</v>
      </c>
      <c r="E422" s="14">
        <f t="shared" si="18"/>
        <v>1.1312319058799999E-4</v>
      </c>
      <c r="F422">
        <v>106.58799999999999</v>
      </c>
      <c r="G422" s="1">
        <f t="shared" si="19"/>
        <v>106.05116100000001</v>
      </c>
    </row>
    <row r="423" spans="1:7" x14ac:dyDescent="0.3">
      <c r="A423">
        <v>4210</v>
      </c>
      <c r="B423">
        <v>1676.4</v>
      </c>
      <c r="C423">
        <v>114.343</v>
      </c>
      <c r="D423" s="15">
        <f t="shared" si="20"/>
        <v>1.2499999999988632E-4</v>
      </c>
      <c r="E423" s="14">
        <f t="shared" si="18"/>
        <v>1.1307992993247E-4</v>
      </c>
      <c r="F423">
        <v>106.57899999999999</v>
      </c>
      <c r="G423" s="1">
        <f t="shared" si="19"/>
        <v>106.050031</v>
      </c>
    </row>
    <row r="424" spans="1:7" x14ac:dyDescent="0.3">
      <c r="A424">
        <v>4220</v>
      </c>
      <c r="B424">
        <v>1680.8</v>
      </c>
      <c r="C424">
        <v>114.34099999999999</v>
      </c>
      <c r="D424" s="15">
        <f t="shared" si="20"/>
        <v>1.2499999999988632E-4</v>
      </c>
      <c r="E424" s="14">
        <f t="shared" si="18"/>
        <v>1.1303668196028E-4</v>
      </c>
      <c r="F424">
        <v>106.571</v>
      </c>
      <c r="G424" s="1">
        <f t="shared" si="19"/>
        <v>106.048901</v>
      </c>
    </row>
    <row r="425" spans="1:7" x14ac:dyDescent="0.3">
      <c r="A425">
        <v>4230</v>
      </c>
      <c r="B425">
        <v>1685.2</v>
      </c>
      <c r="C425">
        <v>114.34</v>
      </c>
      <c r="D425" s="15">
        <f t="shared" si="20"/>
        <v>1.2500000000024159E-4</v>
      </c>
      <c r="E425" s="14">
        <f t="shared" si="18"/>
        <v>1.1299344667142999E-4</v>
      </c>
      <c r="F425">
        <v>106.563</v>
      </c>
      <c r="G425" s="1">
        <f t="shared" si="19"/>
        <v>106.047771</v>
      </c>
    </row>
    <row r="426" spans="1:7" x14ac:dyDescent="0.3">
      <c r="A426">
        <v>4240</v>
      </c>
      <c r="B426">
        <v>1689.5</v>
      </c>
      <c r="C426">
        <v>114.339</v>
      </c>
      <c r="D426" s="15">
        <f t="shared" si="20"/>
        <v>9.9999999999766942E-5</v>
      </c>
      <c r="E426" s="14">
        <f t="shared" si="18"/>
        <v>1.1295022406591999E-4</v>
      </c>
      <c r="F426">
        <v>106.55500000000001</v>
      </c>
      <c r="G426" s="1">
        <f t="shared" si="19"/>
        <v>106.04664100000001</v>
      </c>
    </row>
    <row r="427" spans="1:7" x14ac:dyDescent="0.3">
      <c r="A427">
        <v>4250</v>
      </c>
      <c r="B427">
        <v>1694</v>
      </c>
      <c r="C427">
        <v>114.33799999999999</v>
      </c>
      <c r="D427" s="15">
        <f t="shared" si="20"/>
        <v>1.0000000000012221E-4</v>
      </c>
      <c r="E427" s="14">
        <f t="shared" si="18"/>
        <v>1.1290701414375E-4</v>
      </c>
      <c r="F427">
        <v>106.547</v>
      </c>
      <c r="G427" s="1">
        <f t="shared" si="19"/>
        <v>106.045511</v>
      </c>
    </row>
    <row r="428" spans="1:7" x14ac:dyDescent="0.3">
      <c r="A428">
        <v>4260</v>
      </c>
      <c r="B428">
        <v>1698.3</v>
      </c>
      <c r="C428">
        <v>114.337</v>
      </c>
      <c r="D428" s="15">
        <f t="shared" si="20"/>
        <v>1.0000000000012221E-4</v>
      </c>
      <c r="E428" s="14">
        <f t="shared" si="18"/>
        <v>1.1286381690491999E-4</v>
      </c>
      <c r="F428">
        <v>106.539</v>
      </c>
      <c r="G428" s="1">
        <f t="shared" si="19"/>
        <v>106.044381</v>
      </c>
    </row>
    <row r="429" spans="1:7" x14ac:dyDescent="0.3">
      <c r="A429">
        <v>4270</v>
      </c>
      <c r="B429">
        <v>1702.7</v>
      </c>
      <c r="C429">
        <v>114.336</v>
      </c>
      <c r="D429" s="15">
        <f t="shared" si="20"/>
        <v>9.9999999999766942E-5</v>
      </c>
      <c r="E429" s="14">
        <f t="shared" si="18"/>
        <v>1.1282063234943E-4</v>
      </c>
      <c r="F429">
        <v>106.53100000000001</v>
      </c>
      <c r="G429" s="1">
        <f t="shared" si="19"/>
        <v>106.043251</v>
      </c>
    </row>
    <row r="430" spans="1:7" x14ac:dyDescent="0.3">
      <c r="A430">
        <v>4280</v>
      </c>
      <c r="B430">
        <v>1707.1</v>
      </c>
      <c r="C430">
        <v>114.33499999999999</v>
      </c>
      <c r="D430" s="15">
        <f t="shared" si="20"/>
        <v>1.0000000000012221E-4</v>
      </c>
      <c r="E430" s="14">
        <f t="shared" si="18"/>
        <v>1.1277746047728E-4</v>
      </c>
      <c r="F430">
        <v>106.523</v>
      </c>
      <c r="G430" s="1">
        <f t="shared" si="19"/>
        <v>106.04212100000001</v>
      </c>
    </row>
    <row r="431" spans="1:7" x14ac:dyDescent="0.3">
      <c r="A431">
        <v>4290</v>
      </c>
      <c r="B431">
        <v>1711.4</v>
      </c>
      <c r="C431">
        <v>114.334</v>
      </c>
      <c r="D431" s="15">
        <f t="shared" si="20"/>
        <v>1.2499999999988632E-4</v>
      </c>
      <c r="E431" s="14">
        <f t="shared" si="18"/>
        <v>1.1273430128847E-4</v>
      </c>
      <c r="F431">
        <v>106.514</v>
      </c>
      <c r="G431" s="1">
        <f t="shared" si="19"/>
        <v>106.04099100000001</v>
      </c>
    </row>
    <row r="432" spans="1:7" x14ac:dyDescent="0.3">
      <c r="A432">
        <v>4300</v>
      </c>
      <c r="B432">
        <v>1715.9</v>
      </c>
      <c r="C432">
        <v>114.333</v>
      </c>
      <c r="D432" s="15">
        <f t="shared" si="20"/>
        <v>1.2499999999988632E-4</v>
      </c>
      <c r="E432" s="14">
        <f t="shared" si="18"/>
        <v>1.12691154783E-4</v>
      </c>
      <c r="F432">
        <v>106.506</v>
      </c>
      <c r="G432" s="1">
        <f t="shared" si="19"/>
        <v>106.039861</v>
      </c>
    </row>
    <row r="433" spans="1:7" x14ac:dyDescent="0.3">
      <c r="A433">
        <v>4310</v>
      </c>
      <c r="B433">
        <v>1720.3</v>
      </c>
      <c r="C433">
        <v>114.331</v>
      </c>
      <c r="D433" s="15">
        <f t="shared" si="20"/>
        <v>1.2500000000024159E-4</v>
      </c>
      <c r="E433" s="14">
        <f t="shared" si="18"/>
        <v>1.1264802096087E-4</v>
      </c>
      <c r="F433">
        <v>106.498</v>
      </c>
      <c r="G433" s="1">
        <f t="shared" si="19"/>
        <v>106.038731</v>
      </c>
    </row>
    <row r="434" spans="1:7" x14ac:dyDescent="0.3">
      <c r="A434">
        <v>4320</v>
      </c>
      <c r="B434">
        <v>1724.6</v>
      </c>
      <c r="C434">
        <v>114.33</v>
      </c>
      <c r="D434" s="15">
        <f t="shared" si="20"/>
        <v>1.2499999999988632E-4</v>
      </c>
      <c r="E434" s="14">
        <f t="shared" si="18"/>
        <v>1.1260489982208E-4</v>
      </c>
      <c r="F434">
        <v>106.49</v>
      </c>
      <c r="G434" s="1">
        <f t="shared" si="19"/>
        <v>106.03760100000001</v>
      </c>
    </row>
    <row r="435" spans="1:7" x14ac:dyDescent="0.3">
      <c r="A435">
        <v>4330</v>
      </c>
      <c r="B435">
        <v>1729</v>
      </c>
      <c r="C435">
        <v>114.32899999999999</v>
      </c>
      <c r="D435" s="15">
        <f t="shared" si="20"/>
        <v>1.0000000000012221E-4</v>
      </c>
      <c r="E435" s="14">
        <f t="shared" si="18"/>
        <v>1.1256179136663E-4</v>
      </c>
      <c r="F435">
        <v>106.482</v>
      </c>
      <c r="G435" s="1">
        <f t="shared" si="19"/>
        <v>106.03647100000001</v>
      </c>
    </row>
    <row r="436" spans="1:7" x14ac:dyDescent="0.3">
      <c r="A436">
        <v>4340</v>
      </c>
      <c r="B436">
        <v>1733.4</v>
      </c>
      <c r="C436">
        <v>114.328</v>
      </c>
      <c r="D436" s="15">
        <f t="shared" si="20"/>
        <v>1.0000000000012221E-4</v>
      </c>
      <c r="E436" s="14">
        <f t="shared" si="18"/>
        <v>1.1251869559451999E-4</v>
      </c>
      <c r="F436">
        <v>106.474</v>
      </c>
      <c r="G436" s="1">
        <f t="shared" si="19"/>
        <v>106.035341</v>
      </c>
    </row>
    <row r="437" spans="1:7" x14ac:dyDescent="0.3">
      <c r="A437">
        <v>4350</v>
      </c>
      <c r="B437">
        <v>1737.8</v>
      </c>
      <c r="C437">
        <v>114.327</v>
      </c>
      <c r="D437" s="15">
        <f t="shared" si="20"/>
        <v>9.9999999999766942E-5</v>
      </c>
      <c r="E437" s="14">
        <f t="shared" si="18"/>
        <v>1.1247561250575E-4</v>
      </c>
      <c r="F437">
        <v>106.46599999999999</v>
      </c>
      <c r="G437" s="1">
        <f t="shared" si="19"/>
        <v>106.034211</v>
      </c>
    </row>
    <row r="438" spans="1:7" x14ac:dyDescent="0.3">
      <c r="A438">
        <v>4360</v>
      </c>
      <c r="B438">
        <v>1742.3</v>
      </c>
      <c r="C438">
        <v>114.32599999999999</v>
      </c>
      <c r="D438" s="15">
        <f t="shared" si="20"/>
        <v>1.0000000000012221E-4</v>
      </c>
      <c r="E438" s="14">
        <f t="shared" si="18"/>
        <v>1.1243254210031999E-4</v>
      </c>
      <c r="F438">
        <v>106.458</v>
      </c>
      <c r="G438" s="1">
        <f t="shared" si="19"/>
        <v>106.03308100000001</v>
      </c>
    </row>
    <row r="439" spans="1:7" x14ac:dyDescent="0.3">
      <c r="A439">
        <v>4370</v>
      </c>
      <c r="B439">
        <v>1746.5</v>
      </c>
      <c r="C439">
        <v>114.325</v>
      </c>
      <c r="D439" s="15">
        <f t="shared" si="20"/>
        <v>1.0000000000012221E-4</v>
      </c>
      <c r="E439" s="14">
        <f t="shared" si="18"/>
        <v>1.1238948437823E-4</v>
      </c>
      <c r="F439">
        <v>106.45</v>
      </c>
      <c r="G439" s="1">
        <f t="shared" si="19"/>
        <v>106.03195100000001</v>
      </c>
    </row>
    <row r="440" spans="1:7" x14ac:dyDescent="0.3">
      <c r="A440">
        <v>4380</v>
      </c>
      <c r="B440">
        <v>1750.9</v>
      </c>
      <c r="C440">
        <v>114.324</v>
      </c>
      <c r="D440" s="15">
        <f t="shared" si="20"/>
        <v>9.9999999999766942E-5</v>
      </c>
      <c r="E440" s="14">
        <f t="shared" si="18"/>
        <v>1.1234643933948E-4</v>
      </c>
      <c r="F440">
        <v>106.44199999999999</v>
      </c>
      <c r="G440" s="1">
        <f t="shared" si="19"/>
        <v>106.030821</v>
      </c>
    </row>
    <row r="441" spans="1:7" x14ac:dyDescent="0.3">
      <c r="A441">
        <v>4390</v>
      </c>
      <c r="B441">
        <v>1755.4</v>
      </c>
      <c r="C441">
        <v>114.32299999999999</v>
      </c>
      <c r="D441" s="15">
        <f t="shared" si="20"/>
        <v>1.2500000000024159E-4</v>
      </c>
      <c r="E441" s="14">
        <f t="shared" si="18"/>
        <v>1.1230340698406999E-4</v>
      </c>
      <c r="F441">
        <v>106.434</v>
      </c>
      <c r="G441" s="1">
        <f t="shared" si="19"/>
        <v>106.029691</v>
      </c>
    </row>
    <row r="442" spans="1:7" x14ac:dyDescent="0.3">
      <c r="A442">
        <v>4400</v>
      </c>
      <c r="B442">
        <v>1759.7</v>
      </c>
      <c r="C442">
        <v>114.322</v>
      </c>
      <c r="D442" s="15">
        <f t="shared" si="20"/>
        <v>1.2499999999988632E-4</v>
      </c>
      <c r="E442" s="14">
        <f t="shared" si="18"/>
        <v>1.12260387312E-4</v>
      </c>
      <c r="F442">
        <v>106.426</v>
      </c>
      <c r="G442" s="1">
        <f t="shared" si="19"/>
        <v>106.028561</v>
      </c>
    </row>
    <row r="443" spans="1:7" x14ac:dyDescent="0.3">
      <c r="A443">
        <v>4410</v>
      </c>
      <c r="B443">
        <v>1764.2</v>
      </c>
      <c r="C443">
        <v>114.32</v>
      </c>
      <c r="D443" s="15">
        <f t="shared" si="20"/>
        <v>1.2499999999988632E-4</v>
      </c>
      <c r="E443" s="14">
        <f t="shared" si="18"/>
        <v>1.1221738032326999E-4</v>
      </c>
      <c r="F443">
        <v>106.41800000000001</v>
      </c>
      <c r="G443" s="1">
        <f t="shared" si="19"/>
        <v>106.02743100000001</v>
      </c>
    </row>
    <row r="444" spans="1:7" x14ac:dyDescent="0.3">
      <c r="A444">
        <v>4420</v>
      </c>
      <c r="B444">
        <v>1768.5</v>
      </c>
      <c r="C444">
        <v>114.319</v>
      </c>
      <c r="D444" s="15">
        <f t="shared" si="20"/>
        <v>1.2500000000024159E-4</v>
      </c>
      <c r="E444" s="14">
        <f t="shared" si="18"/>
        <v>1.1217438601788E-4</v>
      </c>
      <c r="F444">
        <v>106.41</v>
      </c>
      <c r="G444" s="1">
        <f t="shared" si="19"/>
        <v>106.026301</v>
      </c>
    </row>
    <row r="445" spans="1:7" x14ac:dyDescent="0.3">
      <c r="A445">
        <v>4430</v>
      </c>
      <c r="B445">
        <v>1772.9</v>
      </c>
      <c r="C445">
        <v>114.318</v>
      </c>
      <c r="D445" s="15">
        <f t="shared" si="20"/>
        <v>9.9999999999766942E-5</v>
      </c>
      <c r="E445" s="14">
        <f t="shared" si="18"/>
        <v>1.1213140439582999E-4</v>
      </c>
      <c r="F445">
        <v>106.401</v>
      </c>
      <c r="G445" s="1">
        <f t="shared" si="19"/>
        <v>106.025171</v>
      </c>
    </row>
    <row r="446" spans="1:7" x14ac:dyDescent="0.3">
      <c r="A446">
        <v>4440</v>
      </c>
      <c r="B446">
        <v>1777.2</v>
      </c>
      <c r="C446">
        <v>114.31699999999999</v>
      </c>
      <c r="D446" s="15">
        <f t="shared" si="20"/>
        <v>1.0000000000012221E-4</v>
      </c>
      <c r="E446" s="14">
        <f t="shared" si="18"/>
        <v>1.1208843545712E-4</v>
      </c>
      <c r="F446">
        <v>106.393</v>
      </c>
      <c r="G446" s="1">
        <f t="shared" si="19"/>
        <v>106.024041</v>
      </c>
    </row>
    <row r="447" spans="1:7" x14ac:dyDescent="0.3">
      <c r="A447">
        <v>4450</v>
      </c>
      <c r="B447">
        <v>1781.5</v>
      </c>
      <c r="C447">
        <v>114.316</v>
      </c>
      <c r="D447" s="15">
        <f t="shared" si="20"/>
        <v>1.0000000000012221E-4</v>
      </c>
      <c r="E447" s="14">
        <f t="shared" si="18"/>
        <v>1.1204547920174999E-4</v>
      </c>
      <c r="F447">
        <v>106.38500000000001</v>
      </c>
      <c r="G447" s="1">
        <f t="shared" si="19"/>
        <v>106.02291100000001</v>
      </c>
    </row>
    <row r="448" spans="1:7" x14ac:dyDescent="0.3">
      <c r="A448">
        <v>4460</v>
      </c>
      <c r="B448">
        <v>1785.9</v>
      </c>
      <c r="C448">
        <v>114.315</v>
      </c>
      <c r="D448" s="15">
        <f t="shared" si="20"/>
        <v>9.9999999999766942E-5</v>
      </c>
      <c r="E448" s="14">
        <f t="shared" si="18"/>
        <v>1.1200253562972E-4</v>
      </c>
      <c r="F448">
        <v>106.377</v>
      </c>
      <c r="G448" s="1">
        <f t="shared" si="19"/>
        <v>106.021781</v>
      </c>
    </row>
    <row r="449" spans="1:7" x14ac:dyDescent="0.3">
      <c r="A449">
        <v>4470</v>
      </c>
      <c r="B449">
        <v>1790.2</v>
      </c>
      <c r="C449">
        <v>114.31399999999999</v>
      </c>
      <c r="D449" s="15">
        <f t="shared" si="20"/>
        <v>1.0000000000012221E-4</v>
      </c>
      <c r="E449" s="14">
        <f t="shared" si="18"/>
        <v>1.1195960474103E-4</v>
      </c>
      <c r="F449">
        <v>106.369</v>
      </c>
      <c r="G449" s="1">
        <f t="shared" si="19"/>
        <v>106.020651</v>
      </c>
    </row>
    <row r="450" spans="1:7" x14ac:dyDescent="0.3">
      <c r="A450">
        <v>4480</v>
      </c>
      <c r="B450">
        <v>1794.5</v>
      </c>
      <c r="C450">
        <v>114.313</v>
      </c>
      <c r="D450" s="15">
        <f t="shared" si="20"/>
        <v>9.9999999999766942E-5</v>
      </c>
      <c r="E450" s="14">
        <f t="shared" ref="E450:E513" si="21">0.0000000000000634167*A450*A450 - 0.0000000048594*A450 + 0.000132414</f>
        <v>1.1191668653567999E-4</v>
      </c>
      <c r="F450">
        <v>106.361</v>
      </c>
      <c r="G450" s="1">
        <f t="shared" si="19"/>
        <v>106.019521</v>
      </c>
    </row>
    <row r="451" spans="1:7" x14ac:dyDescent="0.3">
      <c r="A451">
        <v>4490</v>
      </c>
      <c r="B451">
        <v>1798.8</v>
      </c>
      <c r="C451">
        <v>114.312</v>
      </c>
      <c r="D451" s="15">
        <f t="shared" si="20"/>
        <v>9.9999999999766942E-5</v>
      </c>
      <c r="E451" s="14">
        <f t="shared" si="21"/>
        <v>1.1187378101366999E-4</v>
      </c>
      <c r="F451">
        <v>106.352</v>
      </c>
      <c r="G451" s="1">
        <f t="shared" ref="G451:G514" si="22">-0.000113*A451 + 106.525761</f>
        <v>106.01839100000001</v>
      </c>
    </row>
    <row r="452" spans="1:7" x14ac:dyDescent="0.3">
      <c r="A452">
        <v>4500</v>
      </c>
      <c r="B452">
        <v>1803.2</v>
      </c>
      <c r="C452">
        <v>114.31100000000001</v>
      </c>
      <c r="D452" s="15">
        <f t="shared" si="20"/>
        <v>1.0000000000012221E-4</v>
      </c>
      <c r="E452" s="14">
        <f t="shared" si="21"/>
        <v>1.11830888175E-4</v>
      </c>
      <c r="F452">
        <v>106.34399999999999</v>
      </c>
      <c r="G452" s="1">
        <f t="shared" si="22"/>
        <v>106.017261</v>
      </c>
    </row>
    <row r="453" spans="1:7" x14ac:dyDescent="0.3">
      <c r="A453">
        <v>4510</v>
      </c>
      <c r="B453">
        <v>1807.4</v>
      </c>
      <c r="C453">
        <v>114.31</v>
      </c>
      <c r="D453" s="15">
        <f t="shared" ref="D453:D516" si="23">(C451-C455)/(A455-A451)</f>
        <v>9.9999999999766942E-5</v>
      </c>
      <c r="E453" s="14">
        <f t="shared" si="21"/>
        <v>1.1178800801966999E-4</v>
      </c>
      <c r="F453">
        <v>106.336</v>
      </c>
      <c r="G453" s="1">
        <f t="shared" si="22"/>
        <v>106.016131</v>
      </c>
    </row>
    <row r="454" spans="1:7" x14ac:dyDescent="0.3">
      <c r="A454">
        <v>4520</v>
      </c>
      <c r="B454">
        <v>1811.8</v>
      </c>
      <c r="C454">
        <v>114.309</v>
      </c>
      <c r="D454" s="15">
        <f t="shared" si="23"/>
        <v>1.2500000000024159E-4</v>
      </c>
      <c r="E454" s="14">
        <f t="shared" si="21"/>
        <v>1.1174514054768E-4</v>
      </c>
      <c r="F454">
        <v>106.328</v>
      </c>
      <c r="G454" s="1">
        <f t="shared" si="22"/>
        <v>106.015001</v>
      </c>
    </row>
    <row r="455" spans="1:7" x14ac:dyDescent="0.3">
      <c r="A455">
        <v>4530</v>
      </c>
      <c r="B455">
        <v>1816.1</v>
      </c>
      <c r="C455">
        <v>114.30800000000001</v>
      </c>
      <c r="D455" s="15">
        <f t="shared" si="23"/>
        <v>1.2499999999988632E-4</v>
      </c>
      <c r="E455" s="14">
        <f t="shared" si="21"/>
        <v>1.1170228575903E-4</v>
      </c>
      <c r="F455">
        <v>106.321</v>
      </c>
      <c r="G455" s="1">
        <f t="shared" si="22"/>
        <v>106.01387100000001</v>
      </c>
    </row>
    <row r="456" spans="1:7" x14ac:dyDescent="0.3">
      <c r="A456">
        <v>4540</v>
      </c>
      <c r="B456">
        <v>1820.4</v>
      </c>
      <c r="C456">
        <v>114.306</v>
      </c>
      <c r="D456" s="15">
        <f t="shared" si="23"/>
        <v>1.2499999999988632E-4</v>
      </c>
      <c r="E456" s="14">
        <f t="shared" si="21"/>
        <v>1.1165944365372E-4</v>
      </c>
      <c r="F456">
        <v>106.313</v>
      </c>
      <c r="G456" s="1">
        <f t="shared" si="22"/>
        <v>106.01274100000001</v>
      </c>
    </row>
    <row r="457" spans="1:7" x14ac:dyDescent="0.3">
      <c r="A457">
        <v>4550</v>
      </c>
      <c r="B457">
        <v>1824.8</v>
      </c>
      <c r="C457">
        <v>114.30500000000001</v>
      </c>
      <c r="D457" s="15">
        <f t="shared" si="23"/>
        <v>1.2500000000024159E-4</v>
      </c>
      <c r="E457" s="14">
        <f t="shared" si="21"/>
        <v>1.1161661423175E-4</v>
      </c>
      <c r="F457">
        <v>106.304</v>
      </c>
      <c r="G457" s="1">
        <f t="shared" si="22"/>
        <v>106.011611</v>
      </c>
    </row>
    <row r="458" spans="1:7" x14ac:dyDescent="0.3">
      <c r="A458">
        <v>4560</v>
      </c>
      <c r="B458">
        <v>1829.1</v>
      </c>
      <c r="C458">
        <v>114.304</v>
      </c>
      <c r="D458" s="15">
        <f t="shared" si="23"/>
        <v>9.9999999999766942E-5</v>
      </c>
      <c r="E458" s="14">
        <f t="shared" si="21"/>
        <v>1.1157379749312E-4</v>
      </c>
      <c r="F458">
        <v>106.29600000000001</v>
      </c>
      <c r="G458" s="1">
        <f t="shared" si="22"/>
        <v>106.010481</v>
      </c>
    </row>
    <row r="459" spans="1:7" x14ac:dyDescent="0.3">
      <c r="A459">
        <v>4570</v>
      </c>
      <c r="B459">
        <v>1833.4</v>
      </c>
      <c r="C459">
        <v>114.303</v>
      </c>
      <c r="D459" s="15">
        <f t="shared" si="23"/>
        <v>1.0000000000012221E-4</v>
      </c>
      <c r="E459" s="14">
        <f t="shared" si="21"/>
        <v>1.1153099343783E-4</v>
      </c>
      <c r="F459">
        <v>106.288</v>
      </c>
      <c r="G459" s="1">
        <f t="shared" si="22"/>
        <v>106.00935100000001</v>
      </c>
    </row>
    <row r="460" spans="1:7" x14ac:dyDescent="0.3">
      <c r="A460">
        <v>4580</v>
      </c>
      <c r="B460">
        <v>1837.7</v>
      </c>
      <c r="C460">
        <v>114.30200000000001</v>
      </c>
      <c r="D460" s="15">
        <f t="shared" si="23"/>
        <v>1.0000000000012221E-4</v>
      </c>
      <c r="E460" s="14">
        <f t="shared" si="21"/>
        <v>1.1148820206587999E-4</v>
      </c>
      <c r="F460">
        <v>106.28</v>
      </c>
      <c r="G460" s="1">
        <f t="shared" si="22"/>
        <v>106.00822100000001</v>
      </c>
    </row>
    <row r="461" spans="1:7" x14ac:dyDescent="0.3">
      <c r="A461">
        <v>4590</v>
      </c>
      <c r="B461">
        <v>1842</v>
      </c>
      <c r="C461">
        <v>114.301</v>
      </c>
      <c r="D461" s="15">
        <f t="shared" si="23"/>
        <v>9.9999999999766942E-5</v>
      </c>
      <c r="E461" s="14">
        <f t="shared" si="21"/>
        <v>1.1144542337727E-4</v>
      </c>
      <c r="F461">
        <v>106.27200000000001</v>
      </c>
      <c r="G461" s="1">
        <f t="shared" si="22"/>
        <v>106.007091</v>
      </c>
    </row>
    <row r="462" spans="1:7" x14ac:dyDescent="0.3">
      <c r="A462">
        <v>4600</v>
      </c>
      <c r="B462">
        <v>1846.3</v>
      </c>
      <c r="C462">
        <v>114.3</v>
      </c>
      <c r="D462" s="15">
        <f t="shared" si="23"/>
        <v>1.0000000000012221E-4</v>
      </c>
      <c r="E462" s="14">
        <f t="shared" si="21"/>
        <v>1.1140265737199999E-4</v>
      </c>
      <c r="F462">
        <v>106.264</v>
      </c>
      <c r="G462" s="1">
        <f t="shared" si="22"/>
        <v>106.005961</v>
      </c>
    </row>
    <row r="463" spans="1:7" x14ac:dyDescent="0.3">
      <c r="A463">
        <v>4610</v>
      </c>
      <c r="B463">
        <v>1850.6</v>
      </c>
      <c r="C463">
        <v>114.29900000000001</v>
      </c>
      <c r="D463" s="15">
        <f t="shared" si="23"/>
        <v>1.0000000000012221E-4</v>
      </c>
      <c r="E463" s="14">
        <f t="shared" si="21"/>
        <v>1.1135990405007E-4</v>
      </c>
      <c r="F463">
        <v>106.255</v>
      </c>
      <c r="G463" s="1">
        <f t="shared" si="22"/>
        <v>106.004831</v>
      </c>
    </row>
    <row r="464" spans="1:7" x14ac:dyDescent="0.3">
      <c r="A464">
        <v>4620</v>
      </c>
      <c r="B464">
        <v>1854.9</v>
      </c>
      <c r="C464">
        <v>114.298</v>
      </c>
      <c r="D464" s="15">
        <f t="shared" si="23"/>
        <v>9.9999999999766942E-5</v>
      </c>
      <c r="E464" s="14">
        <f t="shared" si="21"/>
        <v>1.1131716341147999E-4</v>
      </c>
      <c r="F464">
        <v>106.247</v>
      </c>
      <c r="G464" s="1">
        <f t="shared" si="22"/>
        <v>106.00370100000001</v>
      </c>
    </row>
    <row r="465" spans="1:7" x14ac:dyDescent="0.3">
      <c r="A465">
        <v>4630</v>
      </c>
      <c r="B465">
        <v>1859.3</v>
      </c>
      <c r="C465">
        <v>114.297</v>
      </c>
      <c r="D465" s="15">
        <f t="shared" si="23"/>
        <v>1.0000000000012221E-4</v>
      </c>
      <c r="E465" s="14">
        <f t="shared" si="21"/>
        <v>1.1127443545623E-4</v>
      </c>
      <c r="F465">
        <v>106.239</v>
      </c>
      <c r="G465" s="1">
        <f t="shared" si="22"/>
        <v>106.002571</v>
      </c>
    </row>
    <row r="466" spans="1:7" x14ac:dyDescent="0.3">
      <c r="A466">
        <v>4640</v>
      </c>
      <c r="B466">
        <v>1863.5</v>
      </c>
      <c r="C466">
        <v>114.29600000000001</v>
      </c>
      <c r="D466" s="15">
        <f t="shared" si="23"/>
        <v>1.0000000000012221E-4</v>
      </c>
      <c r="E466" s="14">
        <f t="shared" si="21"/>
        <v>1.1123172018432E-4</v>
      </c>
      <c r="F466">
        <v>106.23099999999999</v>
      </c>
      <c r="G466" s="1">
        <f t="shared" si="22"/>
        <v>106.001441</v>
      </c>
    </row>
    <row r="467" spans="1:7" x14ac:dyDescent="0.3">
      <c r="A467">
        <v>4650</v>
      </c>
      <c r="B467">
        <v>1867.9</v>
      </c>
      <c r="C467">
        <v>114.295</v>
      </c>
      <c r="D467" s="15">
        <f t="shared" si="23"/>
        <v>9.9999999999766942E-5</v>
      </c>
      <c r="E467" s="14">
        <f t="shared" si="21"/>
        <v>1.1118901759574999E-4</v>
      </c>
      <c r="F467">
        <v>106.223</v>
      </c>
      <c r="G467" s="1">
        <f t="shared" si="22"/>
        <v>106.000311</v>
      </c>
    </row>
    <row r="468" spans="1:7" x14ac:dyDescent="0.3">
      <c r="A468">
        <v>4660</v>
      </c>
      <c r="B468">
        <v>1872.2</v>
      </c>
      <c r="C468">
        <v>114.294</v>
      </c>
      <c r="D468" s="15">
        <f t="shared" si="23"/>
        <v>1.0000000000012221E-4</v>
      </c>
      <c r="E468" s="14">
        <f t="shared" si="21"/>
        <v>1.1114632769051999E-4</v>
      </c>
      <c r="F468">
        <v>106.21599999999999</v>
      </c>
      <c r="G468" s="1">
        <f t="shared" si="22"/>
        <v>105.99918100000001</v>
      </c>
    </row>
    <row r="469" spans="1:7" x14ac:dyDescent="0.3">
      <c r="A469">
        <v>4670</v>
      </c>
      <c r="B469">
        <v>1876.4</v>
      </c>
      <c r="C469">
        <v>114.29300000000001</v>
      </c>
      <c r="D469" s="15">
        <f t="shared" si="23"/>
        <v>1.0000000000012221E-4</v>
      </c>
      <c r="E469" s="14">
        <f t="shared" si="21"/>
        <v>1.1110365046862999E-4</v>
      </c>
      <c r="F469">
        <v>106.20699999999999</v>
      </c>
      <c r="G469" s="1">
        <f t="shared" si="22"/>
        <v>105.998051</v>
      </c>
    </row>
    <row r="470" spans="1:7" x14ac:dyDescent="0.3">
      <c r="A470">
        <v>4680</v>
      </c>
      <c r="B470">
        <v>1880.7</v>
      </c>
      <c r="C470">
        <v>114.292</v>
      </c>
      <c r="D470" s="15">
        <f t="shared" si="23"/>
        <v>9.9999999999766942E-5</v>
      </c>
      <c r="E470" s="14">
        <f t="shared" si="21"/>
        <v>1.1106098593007999E-4</v>
      </c>
      <c r="F470">
        <v>106.199</v>
      </c>
      <c r="G470" s="1">
        <f t="shared" si="22"/>
        <v>105.996921</v>
      </c>
    </row>
    <row r="471" spans="1:7" x14ac:dyDescent="0.3">
      <c r="A471">
        <v>4690</v>
      </c>
      <c r="B471">
        <v>1885.1</v>
      </c>
      <c r="C471">
        <v>114.291</v>
      </c>
      <c r="D471" s="15">
        <f t="shared" si="23"/>
        <v>1.0000000000012221E-4</v>
      </c>
      <c r="E471" s="14">
        <f t="shared" si="21"/>
        <v>1.1101833407486999E-4</v>
      </c>
      <c r="F471">
        <v>106.191</v>
      </c>
      <c r="G471" s="1">
        <f t="shared" si="22"/>
        <v>105.995791</v>
      </c>
    </row>
    <row r="472" spans="1:7" x14ac:dyDescent="0.3">
      <c r="A472">
        <v>4700</v>
      </c>
      <c r="B472">
        <v>1889.3</v>
      </c>
      <c r="C472">
        <v>114.29</v>
      </c>
      <c r="D472" s="15">
        <f t="shared" si="23"/>
        <v>1.0000000000012221E-4</v>
      </c>
      <c r="E472" s="14">
        <f t="shared" si="21"/>
        <v>1.10975694903E-4</v>
      </c>
      <c r="F472">
        <v>106.18300000000001</v>
      </c>
      <c r="G472" s="1">
        <f t="shared" si="22"/>
        <v>105.99466100000001</v>
      </c>
    </row>
    <row r="473" spans="1:7" x14ac:dyDescent="0.3">
      <c r="A473">
        <v>4710</v>
      </c>
      <c r="B473">
        <v>1893.6</v>
      </c>
      <c r="C473">
        <v>114.289</v>
      </c>
      <c r="D473" s="15">
        <f t="shared" si="23"/>
        <v>1.2499999999988632E-4</v>
      </c>
      <c r="E473" s="14">
        <f t="shared" si="21"/>
        <v>1.1093306841446999E-4</v>
      </c>
      <c r="F473">
        <v>106.175</v>
      </c>
      <c r="G473" s="1">
        <f t="shared" si="22"/>
        <v>105.993531</v>
      </c>
    </row>
    <row r="474" spans="1:7" x14ac:dyDescent="0.3">
      <c r="A474">
        <v>4720</v>
      </c>
      <c r="B474">
        <v>1897.9</v>
      </c>
      <c r="C474">
        <v>114.288</v>
      </c>
      <c r="D474" s="15">
        <f t="shared" si="23"/>
        <v>1.2500000000024159E-4</v>
      </c>
      <c r="E474" s="14">
        <f t="shared" si="21"/>
        <v>1.1089045460927999E-4</v>
      </c>
      <c r="F474">
        <v>106.166</v>
      </c>
      <c r="G474" s="1">
        <f t="shared" si="22"/>
        <v>105.992401</v>
      </c>
    </row>
    <row r="475" spans="1:7" x14ac:dyDescent="0.3">
      <c r="A475">
        <v>4730</v>
      </c>
      <c r="B475">
        <v>1902.2</v>
      </c>
      <c r="C475">
        <v>114.286</v>
      </c>
      <c r="D475" s="15">
        <f t="shared" si="23"/>
        <v>1.2499999999988632E-4</v>
      </c>
      <c r="E475" s="14">
        <f t="shared" si="21"/>
        <v>1.1084785348743E-4</v>
      </c>
      <c r="F475">
        <v>106.158</v>
      </c>
      <c r="G475" s="1">
        <f t="shared" si="22"/>
        <v>105.991271</v>
      </c>
    </row>
    <row r="476" spans="1:7" x14ac:dyDescent="0.3">
      <c r="A476">
        <v>4740</v>
      </c>
      <c r="B476">
        <v>1906.5</v>
      </c>
      <c r="C476">
        <v>114.285</v>
      </c>
      <c r="D476" s="15">
        <f t="shared" si="23"/>
        <v>1.2499999999988632E-4</v>
      </c>
      <c r="E476" s="14">
        <f t="shared" si="21"/>
        <v>1.1080526504891999E-4</v>
      </c>
      <c r="F476">
        <v>106.15</v>
      </c>
      <c r="G476" s="1">
        <f t="shared" si="22"/>
        <v>105.99014100000001</v>
      </c>
    </row>
    <row r="477" spans="1:7" x14ac:dyDescent="0.3">
      <c r="A477">
        <v>4750</v>
      </c>
      <c r="B477">
        <v>1910.7</v>
      </c>
      <c r="C477">
        <v>114.28400000000001</v>
      </c>
      <c r="D477" s="15">
        <f t="shared" si="23"/>
        <v>1.0000000000012221E-4</v>
      </c>
      <c r="E477" s="14">
        <f t="shared" si="21"/>
        <v>1.1076268929374999E-4</v>
      </c>
      <c r="F477">
        <v>106.142</v>
      </c>
      <c r="G477" s="1">
        <f t="shared" si="22"/>
        <v>105.989011</v>
      </c>
    </row>
    <row r="478" spans="1:7" x14ac:dyDescent="0.3">
      <c r="A478">
        <v>4760</v>
      </c>
      <c r="B478">
        <v>1915</v>
      </c>
      <c r="C478">
        <v>114.283</v>
      </c>
      <c r="D478" s="15">
        <f t="shared" si="23"/>
        <v>9.9999999999766942E-5</v>
      </c>
      <c r="E478" s="14">
        <f t="shared" si="21"/>
        <v>1.1072012622192E-4</v>
      </c>
      <c r="F478">
        <v>106.134</v>
      </c>
      <c r="G478" s="1">
        <f t="shared" si="22"/>
        <v>105.987881</v>
      </c>
    </row>
    <row r="479" spans="1:7" x14ac:dyDescent="0.3">
      <c r="A479">
        <v>4770</v>
      </c>
      <c r="B479">
        <v>1919.3</v>
      </c>
      <c r="C479">
        <v>114.282</v>
      </c>
      <c r="D479" s="15">
        <f t="shared" si="23"/>
        <v>1.0000000000012221E-4</v>
      </c>
      <c r="E479" s="14">
        <f t="shared" si="21"/>
        <v>1.1067757583343E-4</v>
      </c>
      <c r="F479">
        <v>106.127</v>
      </c>
      <c r="G479" s="1">
        <f t="shared" si="22"/>
        <v>105.986751</v>
      </c>
    </row>
    <row r="480" spans="1:7" x14ac:dyDescent="0.3">
      <c r="A480">
        <v>4780</v>
      </c>
      <c r="B480">
        <v>1923.5</v>
      </c>
      <c r="C480">
        <v>114.28100000000001</v>
      </c>
      <c r="D480" s="15">
        <f t="shared" si="23"/>
        <v>1.0000000000012221E-4</v>
      </c>
      <c r="E480" s="14">
        <f t="shared" si="21"/>
        <v>1.1063503812827999E-4</v>
      </c>
      <c r="F480">
        <v>106.11799999999999</v>
      </c>
      <c r="G480" s="1">
        <f t="shared" si="22"/>
        <v>105.98562100000001</v>
      </c>
    </row>
    <row r="481" spans="1:7" x14ac:dyDescent="0.3">
      <c r="A481">
        <v>4790</v>
      </c>
      <c r="B481">
        <v>1927.9</v>
      </c>
      <c r="C481">
        <v>114.28</v>
      </c>
      <c r="D481" s="15">
        <f t="shared" si="23"/>
        <v>9.9999999999766942E-5</v>
      </c>
      <c r="E481" s="14">
        <f t="shared" si="21"/>
        <v>1.1059251310646999E-4</v>
      </c>
      <c r="F481">
        <v>106.11</v>
      </c>
      <c r="G481" s="1">
        <f t="shared" si="22"/>
        <v>105.98449100000001</v>
      </c>
    </row>
    <row r="482" spans="1:7" x14ac:dyDescent="0.3">
      <c r="A482">
        <v>4800</v>
      </c>
      <c r="B482">
        <v>1932</v>
      </c>
      <c r="C482">
        <v>114.279</v>
      </c>
      <c r="D482" s="15">
        <f t="shared" si="23"/>
        <v>1.0000000000012221E-4</v>
      </c>
      <c r="E482" s="14">
        <f t="shared" si="21"/>
        <v>1.1055000076799999E-4</v>
      </c>
      <c r="F482">
        <v>106.102</v>
      </c>
      <c r="G482" s="1">
        <f t="shared" si="22"/>
        <v>105.983361</v>
      </c>
    </row>
    <row r="483" spans="1:7" x14ac:dyDescent="0.3">
      <c r="A483">
        <v>4810</v>
      </c>
      <c r="B483">
        <v>1936.4</v>
      </c>
      <c r="C483">
        <v>114.27800000000001</v>
      </c>
      <c r="D483" s="15">
        <f t="shared" si="23"/>
        <v>1.0000000000012221E-4</v>
      </c>
      <c r="E483" s="14">
        <f t="shared" si="21"/>
        <v>1.1050750111286999E-4</v>
      </c>
      <c r="F483">
        <v>106.09399999999999</v>
      </c>
      <c r="G483" s="1">
        <f t="shared" si="22"/>
        <v>105.982231</v>
      </c>
    </row>
    <row r="484" spans="1:7" x14ac:dyDescent="0.3">
      <c r="A484">
        <v>4820</v>
      </c>
      <c r="B484">
        <v>1940.7</v>
      </c>
      <c r="C484">
        <v>114.277</v>
      </c>
      <c r="D484" s="15">
        <f t="shared" si="23"/>
        <v>9.9999999999766942E-5</v>
      </c>
      <c r="E484" s="14">
        <f t="shared" si="21"/>
        <v>1.1046501414108E-4</v>
      </c>
      <c r="F484">
        <v>106.086</v>
      </c>
      <c r="G484" s="1">
        <f t="shared" si="22"/>
        <v>105.98110100000001</v>
      </c>
    </row>
    <row r="485" spans="1:7" x14ac:dyDescent="0.3">
      <c r="A485">
        <v>4830</v>
      </c>
      <c r="B485">
        <v>1944.9</v>
      </c>
      <c r="C485">
        <v>114.276</v>
      </c>
      <c r="D485" s="15">
        <f t="shared" si="23"/>
        <v>1.0000000000012221E-4</v>
      </c>
      <c r="E485" s="14">
        <f t="shared" si="21"/>
        <v>1.1042253985262999E-4</v>
      </c>
      <c r="F485">
        <v>106.077</v>
      </c>
      <c r="G485" s="1">
        <f t="shared" si="22"/>
        <v>105.97997100000001</v>
      </c>
    </row>
    <row r="486" spans="1:7" x14ac:dyDescent="0.3">
      <c r="A486">
        <v>4840</v>
      </c>
      <c r="B486">
        <v>1949.1</v>
      </c>
      <c r="C486">
        <v>114.27500000000001</v>
      </c>
      <c r="D486" s="15">
        <f t="shared" si="23"/>
        <v>1.0000000000012221E-4</v>
      </c>
      <c r="E486" s="14">
        <f t="shared" si="21"/>
        <v>1.1038007824751999E-4</v>
      </c>
      <c r="F486">
        <v>106.069</v>
      </c>
      <c r="G486" s="1">
        <f t="shared" si="22"/>
        <v>105.978841</v>
      </c>
    </row>
    <row r="487" spans="1:7" x14ac:dyDescent="0.3">
      <c r="A487">
        <v>4850</v>
      </c>
      <c r="B487">
        <v>1953.5</v>
      </c>
      <c r="C487">
        <v>114.274</v>
      </c>
      <c r="D487" s="15">
        <f t="shared" si="23"/>
        <v>9.9999999999766942E-5</v>
      </c>
      <c r="E487" s="14">
        <f t="shared" si="21"/>
        <v>1.1033762932575E-4</v>
      </c>
      <c r="F487">
        <v>106.06100000000001</v>
      </c>
      <c r="G487" s="1">
        <f t="shared" si="22"/>
        <v>105.977711</v>
      </c>
    </row>
    <row r="488" spans="1:7" x14ac:dyDescent="0.3">
      <c r="A488">
        <v>4860</v>
      </c>
      <c r="B488">
        <v>1957.7</v>
      </c>
      <c r="C488">
        <v>114.273</v>
      </c>
      <c r="D488" s="15">
        <f t="shared" si="23"/>
        <v>1.0000000000012221E-4</v>
      </c>
      <c r="E488" s="14">
        <f t="shared" si="21"/>
        <v>1.1029519308732E-4</v>
      </c>
      <c r="F488">
        <v>106.053</v>
      </c>
      <c r="G488" s="1">
        <f t="shared" si="22"/>
        <v>105.976581</v>
      </c>
    </row>
    <row r="489" spans="1:7" x14ac:dyDescent="0.3">
      <c r="A489">
        <v>4870</v>
      </c>
      <c r="B489">
        <v>1961.9</v>
      </c>
      <c r="C489">
        <v>114.27200000000001</v>
      </c>
      <c r="D489" s="15">
        <f t="shared" si="23"/>
        <v>1.0000000000012221E-4</v>
      </c>
      <c r="E489" s="14">
        <f t="shared" si="21"/>
        <v>1.1025276953223E-4</v>
      </c>
      <c r="F489">
        <v>106.04600000000001</v>
      </c>
      <c r="G489" s="1">
        <f t="shared" si="22"/>
        <v>105.97545100000001</v>
      </c>
    </row>
    <row r="490" spans="1:7" x14ac:dyDescent="0.3">
      <c r="A490">
        <v>4880</v>
      </c>
      <c r="B490">
        <v>1966.1</v>
      </c>
      <c r="C490">
        <v>114.271</v>
      </c>
      <c r="D490" s="15">
        <f t="shared" si="23"/>
        <v>9.9999999999766942E-5</v>
      </c>
      <c r="E490" s="14">
        <f t="shared" si="21"/>
        <v>1.1021035866047999E-4</v>
      </c>
      <c r="F490">
        <v>106.03700000000001</v>
      </c>
      <c r="G490" s="1">
        <f t="shared" si="22"/>
        <v>105.974321</v>
      </c>
    </row>
    <row r="491" spans="1:7" x14ac:dyDescent="0.3">
      <c r="A491">
        <v>4890</v>
      </c>
      <c r="B491">
        <v>1970.4</v>
      </c>
      <c r="C491">
        <v>114.27</v>
      </c>
      <c r="D491" s="15">
        <f t="shared" si="23"/>
        <v>1.0000000000012221E-4</v>
      </c>
      <c r="E491" s="14">
        <f t="shared" si="21"/>
        <v>1.1016796047207E-4</v>
      </c>
      <c r="F491">
        <v>106.029</v>
      </c>
      <c r="G491" s="1">
        <f t="shared" si="22"/>
        <v>105.973191</v>
      </c>
    </row>
    <row r="492" spans="1:7" x14ac:dyDescent="0.3">
      <c r="A492">
        <v>4900</v>
      </c>
      <c r="B492">
        <v>1974.6</v>
      </c>
      <c r="C492">
        <v>114.26900000000001</v>
      </c>
      <c r="D492" s="15">
        <f t="shared" si="23"/>
        <v>1.0000000000012221E-4</v>
      </c>
      <c r="E492" s="14">
        <f t="shared" si="21"/>
        <v>1.1012557496699999E-4</v>
      </c>
      <c r="F492">
        <v>106.021</v>
      </c>
      <c r="G492" s="1">
        <f t="shared" si="22"/>
        <v>105.972061</v>
      </c>
    </row>
    <row r="493" spans="1:7" x14ac:dyDescent="0.3">
      <c r="A493">
        <v>4910</v>
      </c>
      <c r="B493">
        <v>1978.8</v>
      </c>
      <c r="C493">
        <v>114.268</v>
      </c>
      <c r="D493" s="15">
        <f t="shared" si="23"/>
        <v>9.9999999999766942E-5</v>
      </c>
      <c r="E493" s="14">
        <f t="shared" si="21"/>
        <v>1.1008320214527E-4</v>
      </c>
      <c r="F493">
        <v>106.01300000000001</v>
      </c>
      <c r="G493" s="1">
        <f t="shared" si="22"/>
        <v>105.97093100000001</v>
      </c>
    </row>
    <row r="494" spans="1:7" x14ac:dyDescent="0.3">
      <c r="A494">
        <v>4920</v>
      </c>
      <c r="B494">
        <v>1983.2</v>
      </c>
      <c r="C494">
        <v>114.267</v>
      </c>
      <c r="D494" s="15">
        <f t="shared" si="23"/>
        <v>1.0000000000012221E-4</v>
      </c>
      <c r="E494" s="14">
        <f t="shared" si="21"/>
        <v>1.1004084200687999E-4</v>
      </c>
      <c r="F494">
        <v>106.004</v>
      </c>
      <c r="G494" s="1">
        <f t="shared" si="22"/>
        <v>105.969801</v>
      </c>
    </row>
    <row r="495" spans="1:7" x14ac:dyDescent="0.3">
      <c r="A495">
        <v>4930</v>
      </c>
      <c r="B495">
        <v>1987.3</v>
      </c>
      <c r="C495">
        <v>114.26600000000001</v>
      </c>
      <c r="D495" s="15">
        <f t="shared" si="23"/>
        <v>1.0000000000012221E-4</v>
      </c>
      <c r="E495" s="14">
        <f t="shared" si="21"/>
        <v>1.0999849455183E-4</v>
      </c>
      <c r="F495">
        <v>105.996</v>
      </c>
      <c r="G495" s="1">
        <f t="shared" si="22"/>
        <v>105.968671</v>
      </c>
    </row>
    <row r="496" spans="1:7" x14ac:dyDescent="0.3">
      <c r="A496">
        <v>4940</v>
      </c>
      <c r="B496">
        <v>1991.6</v>
      </c>
      <c r="C496">
        <v>114.265</v>
      </c>
      <c r="D496" s="15">
        <f t="shared" si="23"/>
        <v>9.9999999999766942E-5</v>
      </c>
      <c r="E496" s="14">
        <f t="shared" si="21"/>
        <v>1.0995615978011999E-4</v>
      </c>
      <c r="F496">
        <v>105.988</v>
      </c>
      <c r="G496" s="1">
        <f t="shared" si="22"/>
        <v>105.967541</v>
      </c>
    </row>
    <row r="497" spans="1:7" x14ac:dyDescent="0.3">
      <c r="A497">
        <v>4950</v>
      </c>
      <c r="B497">
        <v>1995.8</v>
      </c>
      <c r="C497">
        <v>114.264</v>
      </c>
      <c r="D497" s="15">
        <f t="shared" si="23"/>
        <v>1.0000000000012221E-4</v>
      </c>
      <c r="E497" s="14">
        <f t="shared" si="21"/>
        <v>1.0991383769174999E-4</v>
      </c>
      <c r="F497">
        <v>105.98099999999999</v>
      </c>
      <c r="G497" s="1">
        <f t="shared" si="22"/>
        <v>105.96641100000001</v>
      </c>
    </row>
    <row r="498" spans="1:7" x14ac:dyDescent="0.3">
      <c r="A498">
        <v>4960</v>
      </c>
      <c r="B498">
        <v>2000.1</v>
      </c>
      <c r="C498">
        <v>114.26300000000001</v>
      </c>
      <c r="D498" s="15">
        <f t="shared" si="23"/>
        <v>1.0000000000012221E-4</v>
      </c>
      <c r="E498" s="14">
        <f t="shared" si="21"/>
        <v>1.0987152828672E-4</v>
      </c>
      <c r="F498">
        <v>105.973</v>
      </c>
      <c r="G498" s="1">
        <f t="shared" si="22"/>
        <v>105.965281</v>
      </c>
    </row>
    <row r="499" spans="1:7" x14ac:dyDescent="0.3">
      <c r="A499">
        <v>4970</v>
      </c>
      <c r="B499">
        <v>2004.2</v>
      </c>
      <c r="C499">
        <v>114.262</v>
      </c>
      <c r="D499" s="15">
        <f t="shared" si="23"/>
        <v>9.9999999999766942E-5</v>
      </c>
      <c r="E499" s="14">
        <f t="shared" si="21"/>
        <v>1.0982923156502999E-4</v>
      </c>
      <c r="F499">
        <v>105.964</v>
      </c>
      <c r="G499" s="1">
        <f t="shared" si="22"/>
        <v>105.964151</v>
      </c>
    </row>
    <row r="500" spans="1:7" x14ac:dyDescent="0.3">
      <c r="A500">
        <v>4980</v>
      </c>
      <c r="B500">
        <v>2008.5</v>
      </c>
      <c r="C500">
        <v>114.261</v>
      </c>
      <c r="D500" s="15">
        <f t="shared" si="23"/>
        <v>1.0000000000012221E-4</v>
      </c>
      <c r="E500" s="14">
        <f t="shared" si="21"/>
        <v>1.0978694752668E-4</v>
      </c>
      <c r="F500">
        <v>105.956</v>
      </c>
      <c r="G500" s="1">
        <f t="shared" si="22"/>
        <v>105.963021</v>
      </c>
    </row>
    <row r="501" spans="1:7" x14ac:dyDescent="0.3">
      <c r="A501">
        <v>4990</v>
      </c>
      <c r="B501">
        <v>2012.7</v>
      </c>
      <c r="C501">
        <v>114.26</v>
      </c>
      <c r="D501" s="15">
        <f t="shared" si="23"/>
        <v>1.0000000000012221E-4</v>
      </c>
      <c r="E501" s="14">
        <f t="shared" si="21"/>
        <v>1.0974467617167E-4</v>
      </c>
      <c r="F501">
        <v>105.94799999999999</v>
      </c>
      <c r="G501" s="1">
        <f t="shared" si="22"/>
        <v>105.96189100000001</v>
      </c>
    </row>
    <row r="502" spans="1:7" x14ac:dyDescent="0.3">
      <c r="A502">
        <v>5000</v>
      </c>
      <c r="B502">
        <v>2016.8</v>
      </c>
      <c r="C502">
        <v>114.259</v>
      </c>
      <c r="D502" s="15">
        <f t="shared" si="23"/>
        <v>9.9999999999766942E-5</v>
      </c>
      <c r="E502" s="14">
        <f t="shared" si="21"/>
        <v>1.097024175E-4</v>
      </c>
      <c r="F502">
        <v>105.94</v>
      </c>
      <c r="G502" s="1">
        <f t="shared" si="22"/>
        <v>105.96076100000001</v>
      </c>
    </row>
    <row r="503" spans="1:7" x14ac:dyDescent="0.3">
      <c r="A503">
        <v>5010</v>
      </c>
      <c r="B503">
        <v>2021.1</v>
      </c>
      <c r="C503">
        <v>114.258</v>
      </c>
      <c r="D503" s="15">
        <f t="shared" si="23"/>
        <v>1.0000000000012221E-4</v>
      </c>
      <c r="E503" s="14">
        <f t="shared" si="21"/>
        <v>1.0966017151167E-4</v>
      </c>
      <c r="F503">
        <v>105.931</v>
      </c>
      <c r="G503" s="1">
        <f t="shared" si="22"/>
        <v>105.959631</v>
      </c>
    </row>
    <row r="504" spans="1:7" x14ac:dyDescent="0.3">
      <c r="A504">
        <v>5020</v>
      </c>
      <c r="B504">
        <v>2025.3</v>
      </c>
      <c r="C504">
        <v>114.25700000000001</v>
      </c>
      <c r="D504" s="15">
        <f t="shared" si="23"/>
        <v>1.0000000000012221E-4</v>
      </c>
      <c r="E504" s="14">
        <f t="shared" si="21"/>
        <v>1.0961793820667999E-4</v>
      </c>
      <c r="F504">
        <v>105.923</v>
      </c>
      <c r="G504" s="1">
        <f t="shared" si="22"/>
        <v>105.958501</v>
      </c>
    </row>
    <row r="505" spans="1:7" x14ac:dyDescent="0.3">
      <c r="A505">
        <v>5030</v>
      </c>
      <c r="B505">
        <v>2029.5</v>
      </c>
      <c r="C505">
        <v>114.256</v>
      </c>
      <c r="D505" s="15">
        <f t="shared" si="23"/>
        <v>9.9999999999766942E-5</v>
      </c>
      <c r="E505" s="14">
        <f t="shared" si="21"/>
        <v>1.0957571758502999E-4</v>
      </c>
      <c r="F505">
        <v>105.916</v>
      </c>
      <c r="G505" s="1">
        <f t="shared" si="22"/>
        <v>105.95737100000001</v>
      </c>
    </row>
    <row r="506" spans="1:7" x14ac:dyDescent="0.3">
      <c r="A506">
        <v>5040</v>
      </c>
      <c r="B506">
        <v>2033.7</v>
      </c>
      <c r="C506">
        <v>114.255</v>
      </c>
      <c r="D506" s="15">
        <f t="shared" si="23"/>
        <v>1.0000000000012221E-4</v>
      </c>
      <c r="E506" s="14">
        <f t="shared" si="21"/>
        <v>1.0953350964671999E-4</v>
      </c>
      <c r="F506">
        <v>105.908</v>
      </c>
      <c r="G506" s="1">
        <f t="shared" si="22"/>
        <v>105.95624100000001</v>
      </c>
    </row>
    <row r="507" spans="1:7" x14ac:dyDescent="0.3">
      <c r="A507">
        <v>5050</v>
      </c>
      <c r="B507">
        <v>2037.9</v>
      </c>
      <c r="C507">
        <v>114.254</v>
      </c>
      <c r="D507" s="15">
        <f t="shared" si="23"/>
        <v>1.0000000000012221E-4</v>
      </c>
      <c r="E507" s="14">
        <f t="shared" si="21"/>
        <v>1.0949131439174999E-4</v>
      </c>
      <c r="F507">
        <v>105.9</v>
      </c>
      <c r="G507" s="1">
        <f t="shared" si="22"/>
        <v>105.955111</v>
      </c>
    </row>
    <row r="508" spans="1:7" x14ac:dyDescent="0.3">
      <c r="A508">
        <v>5060</v>
      </c>
      <c r="B508">
        <v>2042.2</v>
      </c>
      <c r="C508">
        <v>114.253</v>
      </c>
      <c r="D508" s="15">
        <f t="shared" si="23"/>
        <v>9.9999999999766942E-5</v>
      </c>
      <c r="E508" s="14">
        <f t="shared" si="21"/>
        <v>1.0944913182011999E-4</v>
      </c>
      <c r="F508">
        <v>105.89100000000001</v>
      </c>
      <c r="G508" s="1">
        <f t="shared" si="22"/>
        <v>105.953981</v>
      </c>
    </row>
    <row r="509" spans="1:7" x14ac:dyDescent="0.3">
      <c r="A509">
        <v>5070</v>
      </c>
      <c r="B509">
        <v>2046.2</v>
      </c>
      <c r="C509">
        <v>114.252</v>
      </c>
      <c r="D509" s="15">
        <f t="shared" si="23"/>
        <v>1.0000000000012221E-4</v>
      </c>
      <c r="E509" s="14">
        <f t="shared" si="21"/>
        <v>1.0940696193183E-4</v>
      </c>
      <c r="F509">
        <v>105.883</v>
      </c>
      <c r="G509" s="1">
        <f t="shared" si="22"/>
        <v>105.95285100000001</v>
      </c>
    </row>
    <row r="510" spans="1:7" x14ac:dyDescent="0.3">
      <c r="A510">
        <v>5080</v>
      </c>
      <c r="B510">
        <v>2050.5</v>
      </c>
      <c r="C510">
        <v>114.251</v>
      </c>
      <c r="D510" s="15">
        <f t="shared" si="23"/>
        <v>1.0000000000012221E-4</v>
      </c>
      <c r="E510" s="14">
        <f t="shared" si="21"/>
        <v>1.0936480472688E-4</v>
      </c>
      <c r="F510">
        <v>105.875</v>
      </c>
      <c r="G510" s="1">
        <f t="shared" si="22"/>
        <v>105.95172100000001</v>
      </c>
    </row>
    <row r="511" spans="1:7" x14ac:dyDescent="0.3">
      <c r="A511">
        <v>5090</v>
      </c>
      <c r="B511">
        <v>2054.6999999999998</v>
      </c>
      <c r="C511">
        <v>114.25</v>
      </c>
      <c r="D511" s="15">
        <f t="shared" si="23"/>
        <v>9.9999999999766942E-5</v>
      </c>
      <c r="E511" s="14">
        <f t="shared" si="21"/>
        <v>1.0932266020526999E-4</v>
      </c>
      <c r="F511">
        <v>105.867</v>
      </c>
      <c r="G511" s="1">
        <f t="shared" si="22"/>
        <v>105.950591</v>
      </c>
    </row>
    <row r="512" spans="1:7" x14ac:dyDescent="0.3">
      <c r="A512">
        <v>5100</v>
      </c>
      <c r="B512">
        <v>2058.6999999999998</v>
      </c>
      <c r="C512">
        <v>114.249</v>
      </c>
      <c r="D512" s="15">
        <f t="shared" si="23"/>
        <v>1.0000000000012221E-4</v>
      </c>
      <c r="E512" s="14">
        <f t="shared" si="21"/>
        <v>1.09280528367E-4</v>
      </c>
      <c r="F512">
        <v>105.858</v>
      </c>
      <c r="G512" s="1">
        <f t="shared" si="22"/>
        <v>105.949461</v>
      </c>
    </row>
    <row r="513" spans="1:7" x14ac:dyDescent="0.3">
      <c r="A513">
        <v>5110</v>
      </c>
      <c r="B513">
        <v>2062.9</v>
      </c>
      <c r="C513">
        <v>114.248</v>
      </c>
      <c r="D513" s="15">
        <f t="shared" si="23"/>
        <v>1.0000000000012221E-4</v>
      </c>
      <c r="E513" s="14">
        <f t="shared" si="21"/>
        <v>1.0923840921206999E-4</v>
      </c>
      <c r="F513">
        <v>105.851</v>
      </c>
      <c r="G513" s="1">
        <f t="shared" si="22"/>
        <v>105.948331</v>
      </c>
    </row>
    <row r="514" spans="1:7" x14ac:dyDescent="0.3">
      <c r="A514">
        <v>5120</v>
      </c>
      <c r="B514">
        <v>2067.1999999999998</v>
      </c>
      <c r="C514">
        <v>114.247</v>
      </c>
      <c r="D514" s="15">
        <f t="shared" si="23"/>
        <v>9.9999999999766942E-5</v>
      </c>
      <c r="E514" s="14">
        <f t="shared" ref="E514:E577" si="24">0.0000000000000634167*A514*A514 - 0.0000000048594*A514 + 0.000132414</f>
        <v>1.0919630274048E-4</v>
      </c>
      <c r="F514">
        <v>105.843</v>
      </c>
      <c r="G514" s="1">
        <f t="shared" si="22"/>
        <v>105.94720100000001</v>
      </c>
    </row>
    <row r="515" spans="1:7" x14ac:dyDescent="0.3">
      <c r="A515">
        <v>5130</v>
      </c>
      <c r="B515">
        <v>2071.1999999999998</v>
      </c>
      <c r="C515">
        <v>114.246</v>
      </c>
      <c r="D515" s="15">
        <f t="shared" si="23"/>
        <v>1.0000000000012221E-4</v>
      </c>
      <c r="E515" s="14">
        <f t="shared" si="24"/>
        <v>1.0915420895223E-4</v>
      </c>
      <c r="F515">
        <v>105.83499999999999</v>
      </c>
      <c r="G515" s="1">
        <f t="shared" ref="G515:G578" si="25">-0.000113*A515 + 106.525761</f>
        <v>105.946071</v>
      </c>
    </row>
    <row r="516" spans="1:7" x14ac:dyDescent="0.3">
      <c r="A516">
        <v>5140</v>
      </c>
      <c r="B516">
        <v>2075.4</v>
      </c>
      <c r="C516">
        <v>114.245</v>
      </c>
      <c r="D516" s="15">
        <f t="shared" si="23"/>
        <v>1.0000000000012221E-4</v>
      </c>
      <c r="E516" s="14">
        <f t="shared" si="24"/>
        <v>1.0911212784731999E-4</v>
      </c>
      <c r="F516">
        <v>105.82599999999999</v>
      </c>
      <c r="G516" s="1">
        <f t="shared" si="25"/>
        <v>105.944941</v>
      </c>
    </row>
    <row r="517" spans="1:7" x14ac:dyDescent="0.3">
      <c r="A517">
        <v>5150</v>
      </c>
      <c r="B517">
        <v>2079.6</v>
      </c>
      <c r="C517">
        <v>114.244</v>
      </c>
      <c r="D517" s="15">
        <f t="shared" ref="D517:D580" si="26">(C515-C519)/(A519-A515)</f>
        <v>9.9999999999766942E-5</v>
      </c>
      <c r="E517" s="14">
        <f t="shared" si="24"/>
        <v>1.0907005942575E-4</v>
      </c>
      <c r="F517">
        <v>105.818</v>
      </c>
      <c r="G517" s="1">
        <f t="shared" si="25"/>
        <v>105.943811</v>
      </c>
    </row>
    <row r="518" spans="1:7" x14ac:dyDescent="0.3">
      <c r="A518">
        <v>5160</v>
      </c>
      <c r="B518">
        <v>2078.6999999999998</v>
      </c>
      <c r="C518">
        <v>114.24299999999999</v>
      </c>
      <c r="D518" s="15">
        <f t="shared" si="26"/>
        <v>1.0000000000012221E-4</v>
      </c>
      <c r="E518" s="14">
        <f t="shared" si="24"/>
        <v>1.0902800368751999E-4</v>
      </c>
      <c r="F518">
        <v>105.812</v>
      </c>
      <c r="G518" s="1">
        <f t="shared" si="25"/>
        <v>105.94268100000001</v>
      </c>
    </row>
    <row r="519" spans="1:7" x14ac:dyDescent="0.3">
      <c r="A519">
        <v>5170</v>
      </c>
      <c r="B519">
        <v>2075.8000000000002</v>
      </c>
      <c r="C519">
        <v>114.242</v>
      </c>
      <c r="D519" s="15">
        <f t="shared" si="26"/>
        <v>7.5000000000002839E-5</v>
      </c>
      <c r="E519" s="14">
        <f t="shared" si="24"/>
        <v>1.0898596063263E-4</v>
      </c>
      <c r="F519">
        <v>105.80800000000001</v>
      </c>
      <c r="G519" s="1">
        <f t="shared" si="25"/>
        <v>105.941551</v>
      </c>
    </row>
    <row r="520" spans="1:7" x14ac:dyDescent="0.3">
      <c r="A520">
        <v>5180</v>
      </c>
      <c r="B520">
        <v>2072.8000000000002</v>
      </c>
      <c r="C520">
        <v>114.241</v>
      </c>
      <c r="D520" s="15">
        <f t="shared" si="26"/>
        <v>7.5000000000002839E-5</v>
      </c>
      <c r="E520" s="14">
        <f t="shared" si="24"/>
        <v>1.0894393026107999E-4</v>
      </c>
      <c r="F520">
        <v>105.803</v>
      </c>
      <c r="G520" s="1">
        <f t="shared" si="25"/>
        <v>105.940421</v>
      </c>
    </row>
    <row r="521" spans="1:7" x14ac:dyDescent="0.3">
      <c r="A521">
        <v>5190</v>
      </c>
      <c r="B521">
        <v>2069.9</v>
      </c>
      <c r="C521">
        <v>114.241</v>
      </c>
      <c r="D521" s="15">
        <f t="shared" si="26"/>
        <v>7.5000000000002839E-5</v>
      </c>
      <c r="E521" s="14">
        <f t="shared" si="24"/>
        <v>1.0890191257286999E-4</v>
      </c>
      <c r="F521">
        <v>105.798</v>
      </c>
      <c r="G521" s="1">
        <f t="shared" si="25"/>
        <v>105.939291</v>
      </c>
    </row>
    <row r="522" spans="1:7" x14ac:dyDescent="0.3">
      <c r="A522">
        <v>5200</v>
      </c>
      <c r="B522">
        <v>2066.8000000000002</v>
      </c>
      <c r="C522">
        <v>114.24</v>
      </c>
      <c r="D522" s="15">
        <f t="shared" si="26"/>
        <v>7.5000000000002839E-5</v>
      </c>
      <c r="E522" s="14">
        <f t="shared" si="24"/>
        <v>1.08859907568E-4</v>
      </c>
      <c r="F522">
        <v>105.794</v>
      </c>
      <c r="G522" s="1">
        <f t="shared" si="25"/>
        <v>105.93816100000001</v>
      </c>
    </row>
    <row r="523" spans="1:7" x14ac:dyDescent="0.3">
      <c r="A523">
        <v>5210</v>
      </c>
      <c r="B523">
        <v>2063.9</v>
      </c>
      <c r="C523">
        <v>114.239</v>
      </c>
      <c r="D523" s="15">
        <f t="shared" si="26"/>
        <v>1.0000000000012221E-4</v>
      </c>
      <c r="E523" s="14">
        <f t="shared" si="24"/>
        <v>1.0881791524647E-4</v>
      </c>
      <c r="F523">
        <v>105.789</v>
      </c>
      <c r="G523" s="1">
        <f t="shared" si="25"/>
        <v>105.937031</v>
      </c>
    </row>
    <row r="524" spans="1:7" x14ac:dyDescent="0.3">
      <c r="A524">
        <v>5220</v>
      </c>
      <c r="B524">
        <v>2061</v>
      </c>
      <c r="C524">
        <v>114.238</v>
      </c>
      <c r="D524" s="15">
        <f t="shared" si="26"/>
        <v>9.9999999999766942E-5</v>
      </c>
      <c r="E524" s="14">
        <f t="shared" si="24"/>
        <v>1.0877593560827999E-4</v>
      </c>
      <c r="F524">
        <v>105.78400000000001</v>
      </c>
      <c r="G524" s="1">
        <f t="shared" si="25"/>
        <v>105.935901</v>
      </c>
    </row>
    <row r="525" spans="1:7" x14ac:dyDescent="0.3">
      <c r="A525">
        <v>5230</v>
      </c>
      <c r="B525">
        <v>2058.1</v>
      </c>
      <c r="C525">
        <v>114.23699999999999</v>
      </c>
      <c r="D525" s="15">
        <f t="shared" si="26"/>
        <v>1.0000000000012221E-4</v>
      </c>
      <c r="E525" s="14">
        <f t="shared" si="24"/>
        <v>1.0873396865343E-4</v>
      </c>
      <c r="F525">
        <v>105.78</v>
      </c>
      <c r="G525" s="1">
        <f t="shared" si="25"/>
        <v>105.934771</v>
      </c>
    </row>
    <row r="526" spans="1:7" x14ac:dyDescent="0.3">
      <c r="A526">
        <v>5240</v>
      </c>
      <c r="B526">
        <v>2055.1</v>
      </c>
      <c r="C526">
        <v>114.236</v>
      </c>
      <c r="D526" s="15">
        <f t="shared" si="26"/>
        <v>1.0000000000012221E-4</v>
      </c>
      <c r="E526" s="14">
        <f t="shared" si="24"/>
        <v>1.0869201438191999E-4</v>
      </c>
      <c r="F526">
        <v>105.77500000000001</v>
      </c>
      <c r="G526" s="1">
        <f t="shared" si="25"/>
        <v>105.93364100000001</v>
      </c>
    </row>
    <row r="527" spans="1:7" x14ac:dyDescent="0.3">
      <c r="A527">
        <v>5250</v>
      </c>
      <c r="B527">
        <v>2052.1999999999998</v>
      </c>
      <c r="C527">
        <v>114.235</v>
      </c>
      <c r="D527" s="15">
        <f t="shared" si="26"/>
        <v>9.9999999999766942E-5</v>
      </c>
      <c r="E527" s="14">
        <f t="shared" si="24"/>
        <v>1.0865007279374999E-4</v>
      </c>
      <c r="F527">
        <v>105.77</v>
      </c>
      <c r="G527" s="1">
        <f t="shared" si="25"/>
        <v>105.93251100000001</v>
      </c>
    </row>
    <row r="528" spans="1:7" x14ac:dyDescent="0.3">
      <c r="A528">
        <v>5260</v>
      </c>
      <c r="B528">
        <v>2049.1</v>
      </c>
      <c r="C528">
        <v>114.23399999999999</v>
      </c>
      <c r="D528" s="15">
        <f t="shared" si="26"/>
        <v>1.0000000000012221E-4</v>
      </c>
      <c r="E528" s="14">
        <f t="shared" si="24"/>
        <v>1.0860814388892E-4</v>
      </c>
      <c r="F528">
        <v>105.765</v>
      </c>
      <c r="G528" s="1">
        <f t="shared" si="25"/>
        <v>105.931381</v>
      </c>
    </row>
    <row r="529" spans="1:7" x14ac:dyDescent="0.3">
      <c r="A529">
        <v>5270</v>
      </c>
      <c r="B529">
        <v>2046.3</v>
      </c>
      <c r="C529">
        <v>114.233</v>
      </c>
      <c r="D529" s="15">
        <f t="shared" si="26"/>
        <v>1.0000000000012221E-4</v>
      </c>
      <c r="E529" s="14">
        <f t="shared" si="24"/>
        <v>1.0856622766743E-4</v>
      </c>
      <c r="F529">
        <v>105.76</v>
      </c>
      <c r="G529" s="1">
        <f t="shared" si="25"/>
        <v>105.930251</v>
      </c>
    </row>
    <row r="530" spans="1:7" x14ac:dyDescent="0.3">
      <c r="A530">
        <v>5280</v>
      </c>
      <c r="B530">
        <v>2043.3</v>
      </c>
      <c r="C530">
        <v>114.232</v>
      </c>
      <c r="D530" s="15">
        <f t="shared" si="26"/>
        <v>9.9999999999766942E-5</v>
      </c>
      <c r="E530" s="14">
        <f t="shared" si="24"/>
        <v>1.0852432412928E-4</v>
      </c>
      <c r="F530">
        <v>105.755</v>
      </c>
      <c r="G530" s="1">
        <f t="shared" si="25"/>
        <v>105.92912100000001</v>
      </c>
    </row>
    <row r="531" spans="1:7" x14ac:dyDescent="0.3">
      <c r="A531">
        <v>5290</v>
      </c>
      <c r="B531">
        <v>2040.4</v>
      </c>
      <c r="C531">
        <v>114.23099999999999</v>
      </c>
      <c r="D531" s="15">
        <f t="shared" si="26"/>
        <v>1.0000000000012221E-4</v>
      </c>
      <c r="E531" s="14">
        <f t="shared" si="24"/>
        <v>1.0848243327447E-4</v>
      </c>
      <c r="F531">
        <v>105.752</v>
      </c>
      <c r="G531" s="1">
        <f t="shared" si="25"/>
        <v>105.92799100000001</v>
      </c>
    </row>
    <row r="532" spans="1:7" x14ac:dyDescent="0.3">
      <c r="A532">
        <v>5300</v>
      </c>
      <c r="B532">
        <v>2037.4</v>
      </c>
      <c r="C532">
        <v>114.23</v>
      </c>
      <c r="D532" s="15">
        <f t="shared" si="26"/>
        <v>1.0000000000012221E-4</v>
      </c>
      <c r="E532" s="14">
        <f t="shared" si="24"/>
        <v>1.08440555103E-4</v>
      </c>
      <c r="F532">
        <v>105.747</v>
      </c>
      <c r="G532" s="1">
        <f t="shared" si="25"/>
        <v>105.926861</v>
      </c>
    </row>
    <row r="533" spans="1:7" x14ac:dyDescent="0.3">
      <c r="A533">
        <v>5310</v>
      </c>
      <c r="B533">
        <v>2034.6</v>
      </c>
      <c r="C533">
        <v>114.229</v>
      </c>
      <c r="D533" s="15">
        <f t="shared" si="26"/>
        <v>9.9999999999766942E-5</v>
      </c>
      <c r="E533" s="14">
        <f t="shared" si="24"/>
        <v>1.0839868961487E-4</v>
      </c>
      <c r="F533">
        <v>105.742</v>
      </c>
      <c r="G533" s="1">
        <f t="shared" si="25"/>
        <v>105.925731</v>
      </c>
    </row>
    <row r="534" spans="1:7" x14ac:dyDescent="0.3">
      <c r="A534">
        <v>5320</v>
      </c>
      <c r="B534">
        <v>2031.6</v>
      </c>
      <c r="C534">
        <v>114.22799999999999</v>
      </c>
      <c r="D534" s="15">
        <f t="shared" si="26"/>
        <v>1.0000000000012221E-4</v>
      </c>
      <c r="E534" s="14">
        <f t="shared" si="24"/>
        <v>1.0835683681007999E-4</v>
      </c>
      <c r="F534">
        <v>105.73699999999999</v>
      </c>
      <c r="G534" s="1">
        <f t="shared" si="25"/>
        <v>105.92460100000001</v>
      </c>
    </row>
    <row r="535" spans="1:7" x14ac:dyDescent="0.3">
      <c r="A535">
        <v>5330</v>
      </c>
      <c r="B535">
        <v>2028.6</v>
      </c>
      <c r="C535">
        <v>114.227</v>
      </c>
      <c r="D535" s="15">
        <f t="shared" si="26"/>
        <v>1.0000000000012221E-4</v>
      </c>
      <c r="E535" s="14">
        <f t="shared" si="24"/>
        <v>1.0831499668862999E-4</v>
      </c>
      <c r="F535">
        <v>105.732</v>
      </c>
      <c r="G535" s="1">
        <f t="shared" si="25"/>
        <v>105.92347100000001</v>
      </c>
    </row>
    <row r="536" spans="1:7" x14ac:dyDescent="0.3">
      <c r="A536">
        <v>5340</v>
      </c>
      <c r="B536">
        <v>2025.7</v>
      </c>
      <c r="C536">
        <v>114.226</v>
      </c>
      <c r="D536" s="15">
        <f t="shared" si="26"/>
        <v>9.9999999999766942E-5</v>
      </c>
      <c r="E536" s="14">
        <f t="shared" si="24"/>
        <v>1.0827316925052E-4</v>
      </c>
      <c r="F536">
        <v>105.727</v>
      </c>
      <c r="G536" s="1">
        <f t="shared" si="25"/>
        <v>105.922341</v>
      </c>
    </row>
    <row r="537" spans="1:7" x14ac:dyDescent="0.3">
      <c r="A537">
        <v>5350</v>
      </c>
      <c r="B537">
        <v>2022.8</v>
      </c>
      <c r="C537">
        <v>114.22499999999999</v>
      </c>
      <c r="D537" s="15">
        <f t="shared" si="26"/>
        <v>1.0000000000012221E-4</v>
      </c>
      <c r="E537" s="14">
        <f t="shared" si="24"/>
        <v>1.0823135449575E-4</v>
      </c>
      <c r="F537">
        <v>105.72199999999999</v>
      </c>
      <c r="G537" s="1">
        <f t="shared" si="25"/>
        <v>105.921211</v>
      </c>
    </row>
    <row r="538" spans="1:7" x14ac:dyDescent="0.3">
      <c r="A538">
        <v>5360</v>
      </c>
      <c r="B538">
        <v>2019.8</v>
      </c>
      <c r="C538">
        <v>114.224</v>
      </c>
      <c r="D538" s="15">
        <f t="shared" si="26"/>
        <v>1.0000000000012221E-4</v>
      </c>
      <c r="E538" s="14">
        <f t="shared" si="24"/>
        <v>1.0818955242432E-4</v>
      </c>
      <c r="F538">
        <v>105.718</v>
      </c>
      <c r="G538" s="1">
        <f t="shared" si="25"/>
        <v>105.920081</v>
      </c>
    </row>
    <row r="539" spans="1:7" x14ac:dyDescent="0.3">
      <c r="A539">
        <v>5370</v>
      </c>
      <c r="B539">
        <v>2017</v>
      </c>
      <c r="C539">
        <v>114.223</v>
      </c>
      <c r="D539" s="15">
        <f t="shared" si="26"/>
        <v>9.9999999999766942E-5</v>
      </c>
      <c r="E539" s="14">
        <f t="shared" si="24"/>
        <v>1.0814776303622999E-4</v>
      </c>
      <c r="F539">
        <v>105.714</v>
      </c>
      <c r="G539" s="1">
        <f t="shared" si="25"/>
        <v>105.91895100000001</v>
      </c>
    </row>
    <row r="540" spans="1:7" x14ac:dyDescent="0.3">
      <c r="A540">
        <v>5380</v>
      </c>
      <c r="B540">
        <v>2014</v>
      </c>
      <c r="C540">
        <v>114.22199999999999</v>
      </c>
      <c r="D540" s="15">
        <f t="shared" si="26"/>
        <v>1.0000000000012221E-4</v>
      </c>
      <c r="E540" s="14">
        <f t="shared" si="24"/>
        <v>1.0810598633148E-4</v>
      </c>
      <c r="F540">
        <v>105.709</v>
      </c>
      <c r="G540" s="1">
        <f t="shared" si="25"/>
        <v>105.917821</v>
      </c>
    </row>
    <row r="541" spans="1:7" x14ac:dyDescent="0.3">
      <c r="A541">
        <v>5390</v>
      </c>
      <c r="B541">
        <v>2011</v>
      </c>
      <c r="C541">
        <v>114.221</v>
      </c>
      <c r="D541" s="15">
        <f t="shared" si="26"/>
        <v>1.0000000000012221E-4</v>
      </c>
      <c r="E541" s="14">
        <f t="shared" si="24"/>
        <v>1.0806422231007E-4</v>
      </c>
      <c r="F541">
        <v>105.70399999999999</v>
      </c>
      <c r="G541" s="1">
        <f t="shared" si="25"/>
        <v>105.916691</v>
      </c>
    </row>
    <row r="542" spans="1:7" x14ac:dyDescent="0.3">
      <c r="A542">
        <v>5400</v>
      </c>
      <c r="B542">
        <v>2008.1</v>
      </c>
      <c r="C542">
        <v>114.22</v>
      </c>
      <c r="D542" s="15">
        <f t="shared" si="26"/>
        <v>9.9999999999766942E-5</v>
      </c>
      <c r="E542" s="14">
        <f t="shared" si="24"/>
        <v>1.08022470972E-4</v>
      </c>
      <c r="F542">
        <v>105.699</v>
      </c>
      <c r="G542" s="1">
        <f t="shared" si="25"/>
        <v>105.915561</v>
      </c>
    </row>
    <row r="543" spans="1:7" x14ac:dyDescent="0.3">
      <c r="A543">
        <v>5410</v>
      </c>
      <c r="B543">
        <v>2005.2</v>
      </c>
      <c r="C543">
        <v>114.21899999999999</v>
      </c>
      <c r="D543" s="15">
        <f t="shared" si="26"/>
        <v>1.0000000000012221E-4</v>
      </c>
      <c r="E543" s="14">
        <f t="shared" si="24"/>
        <v>1.0798073231727E-4</v>
      </c>
      <c r="F543">
        <v>105.694</v>
      </c>
      <c r="G543" s="1">
        <f t="shared" si="25"/>
        <v>105.91443100000001</v>
      </c>
    </row>
    <row r="544" spans="1:7" x14ac:dyDescent="0.3">
      <c r="A544">
        <v>5420</v>
      </c>
      <c r="B544">
        <v>2002.2</v>
      </c>
      <c r="C544">
        <v>114.218</v>
      </c>
      <c r="D544" s="15">
        <f t="shared" si="26"/>
        <v>1.0000000000012221E-4</v>
      </c>
      <c r="E544" s="14">
        <f t="shared" si="24"/>
        <v>1.0793900634588E-4</v>
      </c>
      <c r="F544">
        <v>105.69</v>
      </c>
      <c r="G544" s="1">
        <f t="shared" si="25"/>
        <v>105.913301</v>
      </c>
    </row>
    <row r="545" spans="1:7" x14ac:dyDescent="0.3">
      <c r="A545">
        <v>5430</v>
      </c>
      <c r="B545">
        <v>1999.4</v>
      </c>
      <c r="C545">
        <v>114.217</v>
      </c>
      <c r="D545" s="15">
        <f t="shared" si="26"/>
        <v>9.9999999999766942E-5</v>
      </c>
      <c r="E545" s="14">
        <f t="shared" si="24"/>
        <v>1.0789729305783E-4</v>
      </c>
      <c r="F545">
        <v>105.685</v>
      </c>
      <c r="G545" s="1">
        <f t="shared" si="25"/>
        <v>105.912171</v>
      </c>
    </row>
    <row r="546" spans="1:7" x14ac:dyDescent="0.3">
      <c r="A546">
        <v>5440</v>
      </c>
      <c r="B546">
        <v>1996.4</v>
      </c>
      <c r="C546">
        <v>114.21599999999999</v>
      </c>
      <c r="D546" s="15">
        <f t="shared" si="26"/>
        <v>1.2500000000024159E-4</v>
      </c>
      <c r="E546" s="14">
        <f t="shared" si="24"/>
        <v>1.0785559245312E-4</v>
      </c>
      <c r="F546">
        <v>105.68</v>
      </c>
      <c r="G546" s="1">
        <f t="shared" si="25"/>
        <v>105.911041</v>
      </c>
    </row>
    <row r="547" spans="1:7" x14ac:dyDescent="0.3">
      <c r="A547">
        <v>5450</v>
      </c>
      <c r="B547">
        <v>1993.4</v>
      </c>
      <c r="C547">
        <v>114.215</v>
      </c>
      <c r="D547" s="15">
        <f t="shared" si="26"/>
        <v>1.2499999999988632E-4</v>
      </c>
      <c r="E547" s="14">
        <f t="shared" si="24"/>
        <v>1.0781390453174999E-4</v>
      </c>
      <c r="F547">
        <v>105.675</v>
      </c>
      <c r="G547" s="1">
        <f t="shared" si="25"/>
        <v>105.90991100000001</v>
      </c>
    </row>
    <row r="548" spans="1:7" x14ac:dyDescent="0.3">
      <c r="A548">
        <v>5460</v>
      </c>
      <c r="B548">
        <v>1990.5</v>
      </c>
      <c r="C548">
        <v>114.21299999999999</v>
      </c>
      <c r="D548" s="15">
        <f t="shared" si="26"/>
        <v>1.2499999999988632E-4</v>
      </c>
      <c r="E548" s="14">
        <f t="shared" si="24"/>
        <v>1.0777222929371999E-4</v>
      </c>
      <c r="F548">
        <v>105.67100000000001</v>
      </c>
      <c r="G548" s="1">
        <f t="shared" si="25"/>
        <v>105.908781</v>
      </c>
    </row>
    <row r="549" spans="1:7" x14ac:dyDescent="0.3">
      <c r="A549">
        <v>5470</v>
      </c>
      <c r="B549">
        <v>1987.6</v>
      </c>
      <c r="C549">
        <v>114.212</v>
      </c>
      <c r="D549" s="15">
        <f t="shared" si="26"/>
        <v>1.2500000000024159E-4</v>
      </c>
      <c r="E549" s="14">
        <f t="shared" si="24"/>
        <v>1.0773056673903E-4</v>
      </c>
      <c r="F549">
        <v>105.666</v>
      </c>
      <c r="G549" s="1">
        <f t="shared" si="25"/>
        <v>105.907651</v>
      </c>
    </row>
    <row r="550" spans="1:7" x14ac:dyDescent="0.3">
      <c r="A550">
        <v>5480</v>
      </c>
      <c r="B550">
        <v>1984.6</v>
      </c>
      <c r="C550">
        <v>114.211</v>
      </c>
      <c r="D550" s="15">
        <f t="shared" si="26"/>
        <v>9.9999999999766942E-5</v>
      </c>
      <c r="E550" s="14">
        <f t="shared" si="24"/>
        <v>1.0768891686767999E-4</v>
      </c>
      <c r="F550">
        <v>105.661</v>
      </c>
      <c r="G550" s="1">
        <f t="shared" si="25"/>
        <v>105.906521</v>
      </c>
    </row>
    <row r="551" spans="1:7" x14ac:dyDescent="0.3">
      <c r="A551">
        <v>5490</v>
      </c>
      <c r="B551">
        <v>1981.7</v>
      </c>
      <c r="C551">
        <v>114.21</v>
      </c>
      <c r="D551" s="15">
        <f t="shared" si="26"/>
        <v>1.0000000000012221E-4</v>
      </c>
      <c r="E551" s="14">
        <f t="shared" si="24"/>
        <v>1.0764727967966999E-4</v>
      </c>
      <c r="F551">
        <v>105.65600000000001</v>
      </c>
      <c r="G551" s="1">
        <f t="shared" si="25"/>
        <v>105.90539100000001</v>
      </c>
    </row>
    <row r="552" spans="1:7" x14ac:dyDescent="0.3">
      <c r="A552">
        <v>5500</v>
      </c>
      <c r="B552">
        <v>1978.8</v>
      </c>
      <c r="C552">
        <v>114.209</v>
      </c>
      <c r="D552" s="15">
        <f t="shared" si="26"/>
        <v>1.0000000000012221E-4</v>
      </c>
      <c r="E552" s="14">
        <f t="shared" si="24"/>
        <v>1.07605655175E-4</v>
      </c>
      <c r="F552">
        <v>105.651</v>
      </c>
      <c r="G552" s="1">
        <f t="shared" si="25"/>
        <v>105.90426100000001</v>
      </c>
    </row>
    <row r="553" spans="1:7" x14ac:dyDescent="0.3">
      <c r="A553">
        <v>5510</v>
      </c>
      <c r="B553">
        <v>1975.8</v>
      </c>
      <c r="C553">
        <v>114.208</v>
      </c>
      <c r="D553" s="15">
        <f t="shared" si="26"/>
        <v>9.9999999999766942E-5</v>
      </c>
      <c r="E553" s="14">
        <f t="shared" si="24"/>
        <v>1.0756404335366999E-4</v>
      </c>
      <c r="F553">
        <v>105.64700000000001</v>
      </c>
      <c r="G553" s="1">
        <f t="shared" si="25"/>
        <v>105.903131</v>
      </c>
    </row>
    <row r="554" spans="1:7" x14ac:dyDescent="0.3">
      <c r="A554">
        <v>5520</v>
      </c>
      <c r="B554">
        <v>1972.9</v>
      </c>
      <c r="C554">
        <v>114.20699999999999</v>
      </c>
      <c r="D554" s="15">
        <f t="shared" si="26"/>
        <v>1.2500000000024159E-4</v>
      </c>
      <c r="E554" s="14">
        <f t="shared" si="24"/>
        <v>1.0752244421567999E-4</v>
      </c>
      <c r="F554">
        <v>105.642</v>
      </c>
      <c r="G554" s="1">
        <f t="shared" si="25"/>
        <v>105.902001</v>
      </c>
    </row>
    <row r="555" spans="1:7" x14ac:dyDescent="0.3">
      <c r="A555">
        <v>5530</v>
      </c>
      <c r="B555">
        <v>1970</v>
      </c>
      <c r="C555">
        <v>114.206</v>
      </c>
      <c r="D555" s="15">
        <f t="shared" si="26"/>
        <v>1.2499999999988632E-4</v>
      </c>
      <c r="E555" s="14">
        <f t="shared" si="24"/>
        <v>1.0748085776102999E-4</v>
      </c>
      <c r="F555">
        <v>105.637</v>
      </c>
      <c r="G555" s="1">
        <f t="shared" si="25"/>
        <v>105.90087100000001</v>
      </c>
    </row>
    <row r="556" spans="1:7" x14ac:dyDescent="0.3">
      <c r="A556">
        <v>5540</v>
      </c>
      <c r="B556">
        <v>1967.1</v>
      </c>
      <c r="C556">
        <v>114.20399999999999</v>
      </c>
      <c r="D556" s="15">
        <f t="shared" si="26"/>
        <v>1.2499999999988632E-4</v>
      </c>
      <c r="E556" s="14">
        <f t="shared" si="24"/>
        <v>1.0743928398972E-4</v>
      </c>
      <c r="F556">
        <v>105.63200000000001</v>
      </c>
      <c r="G556" s="1">
        <f t="shared" si="25"/>
        <v>105.89974100000001</v>
      </c>
    </row>
    <row r="557" spans="1:7" x14ac:dyDescent="0.3">
      <c r="A557">
        <v>5550</v>
      </c>
      <c r="B557">
        <v>1964.2</v>
      </c>
      <c r="C557">
        <v>114.203</v>
      </c>
      <c r="D557" s="15">
        <f t="shared" si="26"/>
        <v>1.2500000000024159E-4</v>
      </c>
      <c r="E557" s="14">
        <f t="shared" si="24"/>
        <v>1.0739772290174999E-4</v>
      </c>
      <c r="F557">
        <v>105.628</v>
      </c>
      <c r="G557" s="1">
        <f t="shared" si="25"/>
        <v>105.898611</v>
      </c>
    </row>
    <row r="558" spans="1:7" x14ac:dyDescent="0.3">
      <c r="A558">
        <v>5560</v>
      </c>
      <c r="B558">
        <v>1961.3</v>
      </c>
      <c r="C558">
        <v>114.202</v>
      </c>
      <c r="D558" s="15">
        <f t="shared" si="26"/>
        <v>9.9999999999766942E-5</v>
      </c>
      <c r="E558" s="14">
        <f t="shared" si="24"/>
        <v>1.0735617449711999E-4</v>
      </c>
      <c r="F558">
        <v>105.623</v>
      </c>
      <c r="G558" s="1">
        <f t="shared" si="25"/>
        <v>105.897481</v>
      </c>
    </row>
    <row r="559" spans="1:7" x14ac:dyDescent="0.3">
      <c r="A559">
        <v>5570</v>
      </c>
      <c r="B559">
        <v>1958.3</v>
      </c>
      <c r="C559">
        <v>114.20099999999999</v>
      </c>
      <c r="D559" s="15">
        <f t="shared" si="26"/>
        <v>1.0000000000012221E-4</v>
      </c>
      <c r="E559" s="14">
        <f t="shared" si="24"/>
        <v>1.0731463877583E-4</v>
      </c>
      <c r="F559">
        <v>105.61799999999999</v>
      </c>
      <c r="G559" s="1">
        <f t="shared" si="25"/>
        <v>105.89635100000001</v>
      </c>
    </row>
    <row r="560" spans="1:7" x14ac:dyDescent="0.3">
      <c r="A560">
        <v>5580</v>
      </c>
      <c r="B560">
        <v>1955.3</v>
      </c>
      <c r="C560">
        <v>114.2</v>
      </c>
      <c r="D560" s="15">
        <f t="shared" si="26"/>
        <v>1.2499999999988632E-4</v>
      </c>
      <c r="E560" s="14">
        <f t="shared" si="24"/>
        <v>1.0727311573787999E-4</v>
      </c>
      <c r="F560">
        <v>105.614</v>
      </c>
      <c r="G560" s="1">
        <f t="shared" si="25"/>
        <v>105.89522100000001</v>
      </c>
    </row>
    <row r="561" spans="1:7" x14ac:dyDescent="0.3">
      <c r="A561">
        <v>5590</v>
      </c>
      <c r="B561">
        <v>1952.4</v>
      </c>
      <c r="C561">
        <v>114.199</v>
      </c>
      <c r="D561" s="15">
        <f t="shared" si="26"/>
        <v>1.2499999999988632E-4</v>
      </c>
      <c r="E561" s="14">
        <f t="shared" si="24"/>
        <v>1.0723160538326999E-4</v>
      </c>
      <c r="F561">
        <v>105.60899999999999</v>
      </c>
      <c r="G561" s="1">
        <f t="shared" si="25"/>
        <v>105.894091</v>
      </c>
    </row>
    <row r="562" spans="1:7" x14ac:dyDescent="0.3">
      <c r="A562">
        <v>5600</v>
      </c>
      <c r="B562">
        <v>1949.5</v>
      </c>
      <c r="C562">
        <v>114.197</v>
      </c>
      <c r="D562" s="15">
        <f t="shared" si="26"/>
        <v>1.2500000000024159E-4</v>
      </c>
      <c r="E562" s="14">
        <f t="shared" si="24"/>
        <v>1.07190107712E-4</v>
      </c>
      <c r="F562">
        <v>105.604</v>
      </c>
      <c r="G562" s="1">
        <f t="shared" si="25"/>
        <v>105.892961</v>
      </c>
    </row>
    <row r="563" spans="1:7" x14ac:dyDescent="0.3">
      <c r="A563">
        <v>5610</v>
      </c>
      <c r="B563">
        <v>1946.6</v>
      </c>
      <c r="C563">
        <v>114.196</v>
      </c>
      <c r="D563" s="15">
        <f t="shared" si="26"/>
        <v>1.2499999999988632E-4</v>
      </c>
      <c r="E563" s="14">
        <f t="shared" si="24"/>
        <v>1.0714862272406999E-4</v>
      </c>
      <c r="F563">
        <v>105.6</v>
      </c>
      <c r="G563" s="1">
        <f t="shared" si="25"/>
        <v>105.891831</v>
      </c>
    </row>
    <row r="564" spans="1:7" x14ac:dyDescent="0.3">
      <c r="A564">
        <v>5620</v>
      </c>
      <c r="B564">
        <v>1943.7</v>
      </c>
      <c r="C564">
        <v>114.19499999999999</v>
      </c>
      <c r="D564" s="15">
        <f t="shared" si="26"/>
        <v>1.0000000000012221E-4</v>
      </c>
      <c r="E564" s="14">
        <f t="shared" si="24"/>
        <v>1.0710715041947999E-4</v>
      </c>
      <c r="F564">
        <v>105.595</v>
      </c>
      <c r="G564" s="1">
        <f t="shared" si="25"/>
        <v>105.89070100000001</v>
      </c>
    </row>
    <row r="565" spans="1:7" x14ac:dyDescent="0.3">
      <c r="A565">
        <v>5630</v>
      </c>
      <c r="B565">
        <v>1940.8</v>
      </c>
      <c r="C565">
        <v>114.194</v>
      </c>
      <c r="D565" s="15">
        <f t="shared" si="26"/>
        <v>1.2499999999988632E-4</v>
      </c>
      <c r="E565" s="14">
        <f t="shared" si="24"/>
        <v>1.0706569079823E-4</v>
      </c>
      <c r="F565">
        <v>105.59</v>
      </c>
      <c r="G565" s="1">
        <f t="shared" si="25"/>
        <v>105.889571</v>
      </c>
    </row>
    <row r="566" spans="1:7" x14ac:dyDescent="0.3">
      <c r="A566">
        <v>5640</v>
      </c>
      <c r="B566">
        <v>1937.8</v>
      </c>
      <c r="C566">
        <v>114.193</v>
      </c>
      <c r="D566" s="15">
        <f t="shared" si="26"/>
        <v>1.2499999999988632E-4</v>
      </c>
      <c r="E566" s="14">
        <f t="shared" si="24"/>
        <v>1.0702424386032E-4</v>
      </c>
      <c r="F566">
        <v>105.586</v>
      </c>
      <c r="G566" s="1">
        <f t="shared" si="25"/>
        <v>105.888441</v>
      </c>
    </row>
    <row r="567" spans="1:7" x14ac:dyDescent="0.3">
      <c r="A567">
        <v>5650</v>
      </c>
      <c r="B567">
        <v>1934.9</v>
      </c>
      <c r="C567">
        <v>114.191</v>
      </c>
      <c r="D567" s="15">
        <f t="shared" si="26"/>
        <v>1.2500000000024159E-4</v>
      </c>
      <c r="E567" s="14">
        <f t="shared" si="24"/>
        <v>1.0698280960574999E-4</v>
      </c>
      <c r="F567">
        <v>105.581</v>
      </c>
      <c r="G567" s="1">
        <f t="shared" si="25"/>
        <v>105.887311</v>
      </c>
    </row>
    <row r="568" spans="1:7" x14ac:dyDescent="0.3">
      <c r="A568">
        <v>5660</v>
      </c>
      <c r="B568">
        <v>1932</v>
      </c>
      <c r="C568">
        <v>114.19</v>
      </c>
      <c r="D568" s="15">
        <f t="shared" si="26"/>
        <v>1.2499999999988632E-4</v>
      </c>
      <c r="E568" s="14">
        <f t="shared" si="24"/>
        <v>1.0694138803451999E-4</v>
      </c>
      <c r="F568">
        <v>105.57599999999999</v>
      </c>
      <c r="G568" s="1">
        <f t="shared" si="25"/>
        <v>105.88618100000001</v>
      </c>
    </row>
    <row r="569" spans="1:7" x14ac:dyDescent="0.3">
      <c r="A569">
        <v>5670</v>
      </c>
      <c r="B569">
        <v>1929</v>
      </c>
      <c r="C569">
        <v>114.18899999999999</v>
      </c>
      <c r="D569" s="15">
        <f t="shared" si="26"/>
        <v>1.2499999999988632E-4</v>
      </c>
      <c r="E569" s="14">
        <f t="shared" si="24"/>
        <v>1.0689997914662999E-4</v>
      </c>
      <c r="F569">
        <v>105.572</v>
      </c>
      <c r="G569" s="1">
        <f t="shared" si="25"/>
        <v>105.885051</v>
      </c>
    </row>
    <row r="570" spans="1:7" x14ac:dyDescent="0.3">
      <c r="A570">
        <v>5680</v>
      </c>
      <c r="B570">
        <v>1926.1</v>
      </c>
      <c r="C570">
        <v>114.188</v>
      </c>
      <c r="D570" s="15">
        <f t="shared" si="26"/>
        <v>1.2499999999988632E-4</v>
      </c>
      <c r="E570" s="14">
        <f t="shared" si="24"/>
        <v>1.0685858294208E-4</v>
      </c>
      <c r="F570">
        <v>105.56699999999999</v>
      </c>
      <c r="G570" s="1">
        <f t="shared" si="25"/>
        <v>105.883921</v>
      </c>
    </row>
    <row r="571" spans="1:7" x14ac:dyDescent="0.3">
      <c r="A571">
        <v>5690</v>
      </c>
      <c r="B571">
        <v>1923.2</v>
      </c>
      <c r="C571">
        <v>114.18600000000001</v>
      </c>
      <c r="D571" s="15">
        <f t="shared" si="26"/>
        <v>1.2499999999988632E-4</v>
      </c>
      <c r="E571" s="14">
        <f t="shared" si="24"/>
        <v>1.0681719942087E-4</v>
      </c>
      <c r="F571">
        <v>105.56100000000001</v>
      </c>
      <c r="G571" s="1">
        <f t="shared" si="25"/>
        <v>105.882791</v>
      </c>
    </row>
    <row r="572" spans="1:7" x14ac:dyDescent="0.3">
      <c r="A572">
        <v>5700</v>
      </c>
      <c r="B572">
        <v>1920.2</v>
      </c>
      <c r="C572">
        <v>114.185</v>
      </c>
      <c r="D572" s="15">
        <f t="shared" si="26"/>
        <v>1.5000000000000568E-4</v>
      </c>
      <c r="E572" s="14">
        <f t="shared" si="24"/>
        <v>1.0677582858299999E-4</v>
      </c>
      <c r="F572">
        <v>105.557</v>
      </c>
      <c r="G572" s="1">
        <f t="shared" si="25"/>
        <v>105.88166100000001</v>
      </c>
    </row>
    <row r="573" spans="1:7" x14ac:dyDescent="0.3">
      <c r="A573">
        <v>5710</v>
      </c>
      <c r="B573">
        <v>1912.8</v>
      </c>
      <c r="C573">
        <v>114.184</v>
      </c>
      <c r="D573" s="15">
        <f t="shared" si="26"/>
        <v>1.2500000000024159E-4</v>
      </c>
      <c r="E573" s="14">
        <f t="shared" si="24"/>
        <v>1.0673447042846999E-4</v>
      </c>
      <c r="F573">
        <v>105.55200000000001</v>
      </c>
      <c r="G573" s="1">
        <f t="shared" si="25"/>
        <v>105.880531</v>
      </c>
    </row>
    <row r="574" spans="1:7" x14ac:dyDescent="0.3">
      <c r="A574">
        <v>5720</v>
      </c>
      <c r="B574">
        <v>1906.6</v>
      </c>
      <c r="C574">
        <v>114.182</v>
      </c>
      <c r="D574" s="15">
        <f t="shared" si="26"/>
        <v>1.2499999999988632E-4</v>
      </c>
      <c r="E574" s="14">
        <f t="shared" si="24"/>
        <v>1.0669312495728E-4</v>
      </c>
      <c r="F574">
        <v>105.548</v>
      </c>
      <c r="G574" s="1">
        <f t="shared" si="25"/>
        <v>105.879401</v>
      </c>
    </row>
    <row r="575" spans="1:7" x14ac:dyDescent="0.3">
      <c r="A575">
        <v>5730</v>
      </c>
      <c r="B575">
        <v>1899</v>
      </c>
      <c r="C575">
        <v>114.181</v>
      </c>
      <c r="D575" s="15">
        <f t="shared" si="26"/>
        <v>1.5000000000000568E-4</v>
      </c>
      <c r="E575" s="14">
        <f t="shared" si="24"/>
        <v>1.0665179216942999E-4</v>
      </c>
      <c r="F575">
        <v>105.54300000000001</v>
      </c>
      <c r="G575" s="1">
        <f t="shared" si="25"/>
        <v>105.878271</v>
      </c>
    </row>
    <row r="576" spans="1:7" x14ac:dyDescent="0.3">
      <c r="A576">
        <v>5740</v>
      </c>
      <c r="B576">
        <v>1892.7</v>
      </c>
      <c r="C576">
        <v>114.18</v>
      </c>
      <c r="D576" s="15">
        <f t="shared" si="26"/>
        <v>1.2499999999988632E-4</v>
      </c>
      <c r="E576" s="14">
        <f t="shared" si="24"/>
        <v>1.0661047206492E-4</v>
      </c>
      <c r="F576">
        <v>105.538</v>
      </c>
      <c r="G576" s="1">
        <f t="shared" si="25"/>
        <v>105.87714100000001</v>
      </c>
    </row>
    <row r="577" spans="1:7" x14ac:dyDescent="0.3">
      <c r="A577">
        <v>5750</v>
      </c>
      <c r="B577">
        <v>1885.2</v>
      </c>
      <c r="C577">
        <v>114.178</v>
      </c>
      <c r="D577" s="15">
        <f t="shared" si="26"/>
        <v>1.2499999999988632E-4</v>
      </c>
      <c r="E577" s="14">
        <f t="shared" si="24"/>
        <v>1.0656916464375E-4</v>
      </c>
      <c r="F577">
        <v>105.53400000000001</v>
      </c>
      <c r="G577" s="1">
        <f t="shared" si="25"/>
        <v>105.87601100000001</v>
      </c>
    </row>
    <row r="578" spans="1:7" x14ac:dyDescent="0.3">
      <c r="A578">
        <v>5760</v>
      </c>
      <c r="B578">
        <v>1878.8</v>
      </c>
      <c r="C578">
        <v>114.17700000000001</v>
      </c>
      <c r="D578" s="15">
        <f t="shared" si="26"/>
        <v>1.5000000000000568E-4</v>
      </c>
      <c r="E578" s="14">
        <f t="shared" ref="E578:E641" si="27">0.0000000000000634167*A578*A578 - 0.0000000048594*A578 + 0.000132414</f>
        <v>1.0652786990591999E-4</v>
      </c>
      <c r="F578">
        <v>105.52800000000001</v>
      </c>
      <c r="G578" s="1">
        <f t="shared" si="25"/>
        <v>105.874881</v>
      </c>
    </row>
    <row r="579" spans="1:7" x14ac:dyDescent="0.3">
      <c r="A579">
        <v>5770</v>
      </c>
      <c r="B579">
        <v>1871.1</v>
      </c>
      <c r="C579">
        <v>114.176</v>
      </c>
      <c r="D579" s="15">
        <f t="shared" si="26"/>
        <v>1.2499999999988632E-4</v>
      </c>
      <c r="E579" s="14">
        <f t="shared" si="27"/>
        <v>1.0648658785142999E-4</v>
      </c>
      <c r="F579">
        <v>105.524</v>
      </c>
      <c r="G579" s="1">
        <f t="shared" ref="G579:G642" si="28">-0.000113*A579 + 106.525761</f>
        <v>105.873751</v>
      </c>
    </row>
    <row r="580" spans="1:7" x14ac:dyDescent="0.3">
      <c r="A580">
        <v>5780</v>
      </c>
      <c r="B580">
        <v>1864.7</v>
      </c>
      <c r="C580">
        <v>114.17400000000001</v>
      </c>
      <c r="D580" s="15">
        <f t="shared" si="26"/>
        <v>1.2500000000024159E-4</v>
      </c>
      <c r="E580" s="14">
        <f t="shared" si="27"/>
        <v>1.0644531848028001E-4</v>
      </c>
      <c r="F580">
        <v>105.51900000000001</v>
      </c>
      <c r="G580" s="1">
        <f t="shared" si="28"/>
        <v>105.87262100000001</v>
      </c>
    </row>
    <row r="581" spans="1:7" x14ac:dyDescent="0.3">
      <c r="A581">
        <v>5790</v>
      </c>
      <c r="B581">
        <v>1857</v>
      </c>
      <c r="C581">
        <v>114.173</v>
      </c>
      <c r="D581" s="15">
        <f t="shared" ref="D581:D644" si="29">(C579-C583)/(A583-A579)</f>
        <v>1.5000000000000568E-4</v>
      </c>
      <c r="E581" s="14">
        <f t="shared" si="27"/>
        <v>1.0640406179246999E-4</v>
      </c>
      <c r="F581">
        <v>105.515</v>
      </c>
      <c r="G581" s="1">
        <f t="shared" si="28"/>
        <v>105.87149100000001</v>
      </c>
    </row>
    <row r="582" spans="1:7" x14ac:dyDescent="0.3">
      <c r="A582">
        <v>5800</v>
      </c>
      <c r="B582">
        <v>1850.6</v>
      </c>
      <c r="C582">
        <v>114.172</v>
      </c>
      <c r="D582" s="15">
        <f t="shared" si="29"/>
        <v>1.2500000000024159E-4</v>
      </c>
      <c r="E582" s="14">
        <f t="shared" si="27"/>
        <v>1.0636281778799999E-4</v>
      </c>
      <c r="F582">
        <v>105.51</v>
      </c>
      <c r="G582" s="1">
        <f t="shared" si="28"/>
        <v>105.870361</v>
      </c>
    </row>
    <row r="583" spans="1:7" x14ac:dyDescent="0.3">
      <c r="A583">
        <v>5810</v>
      </c>
      <c r="B583">
        <v>1842.9</v>
      </c>
      <c r="C583">
        <v>114.17</v>
      </c>
      <c r="D583" s="15">
        <f t="shared" si="29"/>
        <v>1.2499999999988632E-4</v>
      </c>
      <c r="E583" s="14">
        <f t="shared" si="27"/>
        <v>1.0632158646687E-4</v>
      </c>
      <c r="F583">
        <v>105.505</v>
      </c>
      <c r="G583" s="1">
        <f t="shared" si="28"/>
        <v>105.869231</v>
      </c>
    </row>
    <row r="584" spans="1:7" x14ac:dyDescent="0.3">
      <c r="A584">
        <v>5820</v>
      </c>
      <c r="B584">
        <v>1835.2</v>
      </c>
      <c r="C584">
        <v>114.169</v>
      </c>
      <c r="D584" s="15">
        <f t="shared" si="29"/>
        <v>1.5000000000000568E-4</v>
      </c>
      <c r="E584" s="14">
        <f t="shared" si="27"/>
        <v>1.0628036782908E-4</v>
      </c>
      <c r="F584">
        <v>105.5</v>
      </c>
      <c r="G584" s="1">
        <f t="shared" si="28"/>
        <v>105.868101</v>
      </c>
    </row>
    <row r="585" spans="1:7" x14ac:dyDescent="0.3">
      <c r="A585">
        <v>5830</v>
      </c>
      <c r="B585">
        <v>1828.7</v>
      </c>
      <c r="C585">
        <v>114.16800000000001</v>
      </c>
      <c r="D585" s="15">
        <f t="shared" si="29"/>
        <v>1.2499999999988632E-4</v>
      </c>
      <c r="E585" s="14">
        <f t="shared" si="27"/>
        <v>1.0623916187462999E-4</v>
      </c>
      <c r="F585">
        <v>105.495</v>
      </c>
      <c r="G585" s="1">
        <f t="shared" si="28"/>
        <v>105.86697100000001</v>
      </c>
    </row>
    <row r="586" spans="1:7" x14ac:dyDescent="0.3">
      <c r="A586">
        <v>5840</v>
      </c>
      <c r="B586">
        <v>1820.9</v>
      </c>
      <c r="C586">
        <v>114.166</v>
      </c>
      <c r="D586" s="15">
        <f t="shared" si="29"/>
        <v>1.5000000000000568E-4</v>
      </c>
      <c r="E586" s="14">
        <f t="shared" si="27"/>
        <v>1.0619796860352E-4</v>
      </c>
      <c r="F586">
        <v>105.491</v>
      </c>
      <c r="G586" s="1">
        <f t="shared" si="28"/>
        <v>105.865841</v>
      </c>
    </row>
    <row r="587" spans="1:7" x14ac:dyDescent="0.3">
      <c r="A587">
        <v>5850</v>
      </c>
      <c r="B587">
        <v>1814.6</v>
      </c>
      <c r="C587">
        <v>114.16500000000001</v>
      </c>
      <c r="D587" s="15">
        <f t="shared" si="29"/>
        <v>1.5000000000000568E-4</v>
      </c>
      <c r="E587" s="14">
        <f t="shared" si="27"/>
        <v>1.0615678801575E-4</v>
      </c>
      <c r="F587">
        <v>105.486</v>
      </c>
      <c r="G587" s="1">
        <f t="shared" si="28"/>
        <v>105.864711</v>
      </c>
    </row>
    <row r="588" spans="1:7" x14ac:dyDescent="0.3">
      <c r="A588">
        <v>5860</v>
      </c>
      <c r="B588">
        <v>1806.8</v>
      </c>
      <c r="C588">
        <v>114.163</v>
      </c>
      <c r="D588" s="15">
        <f t="shared" si="29"/>
        <v>1.2499999999988632E-4</v>
      </c>
      <c r="E588" s="14">
        <f t="shared" si="27"/>
        <v>1.0611562011132E-4</v>
      </c>
      <c r="F588">
        <v>105.482</v>
      </c>
      <c r="G588" s="1">
        <f t="shared" si="28"/>
        <v>105.863581</v>
      </c>
    </row>
    <row r="589" spans="1:7" x14ac:dyDescent="0.3">
      <c r="A589">
        <v>5870</v>
      </c>
      <c r="B589">
        <v>1800.4</v>
      </c>
      <c r="C589">
        <v>114.16200000000001</v>
      </c>
      <c r="D589" s="15">
        <f t="shared" si="29"/>
        <v>1.5000000000000568E-4</v>
      </c>
      <c r="E589" s="14">
        <f t="shared" si="27"/>
        <v>1.0607446489022999E-4</v>
      </c>
      <c r="F589">
        <v>105.476</v>
      </c>
      <c r="G589" s="1">
        <f t="shared" si="28"/>
        <v>105.86245100000001</v>
      </c>
    </row>
    <row r="590" spans="1:7" x14ac:dyDescent="0.3">
      <c r="A590">
        <v>5880</v>
      </c>
      <c r="B590">
        <v>1792.6</v>
      </c>
      <c r="C590">
        <v>114.161</v>
      </c>
      <c r="D590" s="15">
        <f t="shared" si="29"/>
        <v>1.2499999999988632E-4</v>
      </c>
      <c r="E590" s="14">
        <f t="shared" si="27"/>
        <v>1.0603332235248E-4</v>
      </c>
      <c r="F590">
        <v>105.47199999999999</v>
      </c>
      <c r="G590" s="1">
        <f t="shared" si="28"/>
        <v>105.861321</v>
      </c>
    </row>
    <row r="591" spans="1:7" x14ac:dyDescent="0.3">
      <c r="A591">
        <v>5890</v>
      </c>
      <c r="B591">
        <v>1786</v>
      </c>
      <c r="C591">
        <v>114.15900000000001</v>
      </c>
      <c r="D591" s="15">
        <f t="shared" si="29"/>
        <v>1.5000000000000568E-4</v>
      </c>
      <c r="E591" s="14">
        <f t="shared" si="27"/>
        <v>1.0599219249807E-4</v>
      </c>
      <c r="F591">
        <v>105.467</v>
      </c>
      <c r="G591" s="1">
        <f t="shared" si="28"/>
        <v>105.860191</v>
      </c>
    </row>
    <row r="592" spans="1:7" x14ac:dyDescent="0.3">
      <c r="A592">
        <v>5900</v>
      </c>
      <c r="B592">
        <v>1776.8</v>
      </c>
      <c r="C592">
        <v>114.158</v>
      </c>
      <c r="D592" s="15">
        <f t="shared" si="29"/>
        <v>1.5000000000000568E-4</v>
      </c>
      <c r="E592" s="14">
        <f t="shared" si="27"/>
        <v>1.05951075327E-4</v>
      </c>
      <c r="F592">
        <v>105.46299999999999</v>
      </c>
      <c r="G592" s="1">
        <f t="shared" si="28"/>
        <v>105.859061</v>
      </c>
    </row>
    <row r="593" spans="1:7" x14ac:dyDescent="0.3">
      <c r="A593">
        <v>5910</v>
      </c>
      <c r="B593">
        <v>1769.4</v>
      </c>
      <c r="C593">
        <v>114.15600000000001</v>
      </c>
      <c r="D593" s="15">
        <f t="shared" si="29"/>
        <v>1.2500000000024159E-4</v>
      </c>
      <c r="E593" s="14">
        <f t="shared" si="27"/>
        <v>1.0590997083927E-4</v>
      </c>
      <c r="F593">
        <v>105.458</v>
      </c>
      <c r="G593" s="1">
        <f t="shared" si="28"/>
        <v>105.85793100000001</v>
      </c>
    </row>
    <row r="594" spans="1:7" x14ac:dyDescent="0.3">
      <c r="A594">
        <v>5920</v>
      </c>
      <c r="B594">
        <v>1760.1</v>
      </c>
      <c r="C594">
        <v>114.155</v>
      </c>
      <c r="D594" s="15">
        <f t="shared" si="29"/>
        <v>1.5000000000000568E-4</v>
      </c>
      <c r="E594" s="14">
        <f t="shared" si="27"/>
        <v>1.0586887903488E-4</v>
      </c>
      <c r="F594">
        <v>105.453</v>
      </c>
      <c r="G594" s="1">
        <f t="shared" si="28"/>
        <v>105.856801</v>
      </c>
    </row>
    <row r="595" spans="1:7" x14ac:dyDescent="0.3">
      <c r="A595">
        <v>5930</v>
      </c>
      <c r="B595">
        <v>1751.4</v>
      </c>
      <c r="C595">
        <v>114.154</v>
      </c>
      <c r="D595" s="15">
        <f t="shared" si="29"/>
        <v>1.2500000000024159E-4</v>
      </c>
      <c r="E595" s="14">
        <f t="shared" si="27"/>
        <v>1.0582779991383E-4</v>
      </c>
      <c r="F595">
        <v>105.44799999999999</v>
      </c>
      <c r="G595" s="1">
        <f t="shared" si="28"/>
        <v>105.855671</v>
      </c>
    </row>
    <row r="596" spans="1:7" x14ac:dyDescent="0.3">
      <c r="A596">
        <v>5940</v>
      </c>
      <c r="B596">
        <v>1743.5</v>
      </c>
      <c r="C596">
        <v>114.152</v>
      </c>
      <c r="D596" s="15">
        <f t="shared" si="29"/>
        <v>1.5000000000000568E-4</v>
      </c>
      <c r="E596" s="14">
        <f t="shared" si="27"/>
        <v>1.0578673347612E-4</v>
      </c>
      <c r="F596">
        <v>105.444</v>
      </c>
      <c r="G596" s="1">
        <f t="shared" si="28"/>
        <v>105.854541</v>
      </c>
    </row>
    <row r="597" spans="1:7" x14ac:dyDescent="0.3">
      <c r="A597">
        <v>5950</v>
      </c>
      <c r="B597">
        <v>1734.7</v>
      </c>
      <c r="C597">
        <v>114.151</v>
      </c>
      <c r="D597" s="15">
        <f t="shared" si="29"/>
        <v>1.5000000000000568E-4</v>
      </c>
      <c r="E597" s="14">
        <f t="shared" si="27"/>
        <v>1.0574567972174999E-4</v>
      </c>
      <c r="F597">
        <v>105.43899999999999</v>
      </c>
      <c r="G597" s="1">
        <f t="shared" si="28"/>
        <v>105.85341100000001</v>
      </c>
    </row>
    <row r="598" spans="1:7" x14ac:dyDescent="0.3">
      <c r="A598">
        <v>5960</v>
      </c>
      <c r="B598">
        <v>1726.7</v>
      </c>
      <c r="C598">
        <v>114.149</v>
      </c>
      <c r="D598" s="15">
        <f t="shared" si="29"/>
        <v>1.5000000000000568E-4</v>
      </c>
      <c r="E598" s="14">
        <f t="shared" si="27"/>
        <v>1.0570463865072E-4</v>
      </c>
      <c r="F598">
        <v>105.434</v>
      </c>
      <c r="G598" s="1">
        <f t="shared" si="28"/>
        <v>105.852281</v>
      </c>
    </row>
    <row r="599" spans="1:7" x14ac:dyDescent="0.3">
      <c r="A599">
        <v>5970</v>
      </c>
      <c r="B599">
        <v>1718</v>
      </c>
      <c r="C599">
        <v>114.148</v>
      </c>
      <c r="D599" s="15">
        <f t="shared" si="29"/>
        <v>1.5000000000000568E-4</v>
      </c>
      <c r="E599" s="14">
        <f t="shared" si="27"/>
        <v>1.0566361026303E-4</v>
      </c>
      <c r="F599">
        <v>105.429</v>
      </c>
      <c r="G599" s="1">
        <f t="shared" si="28"/>
        <v>105.851151</v>
      </c>
    </row>
    <row r="600" spans="1:7" x14ac:dyDescent="0.3">
      <c r="A600">
        <v>5980</v>
      </c>
      <c r="B600">
        <v>1710</v>
      </c>
      <c r="C600">
        <v>114.146</v>
      </c>
      <c r="D600" s="15">
        <f t="shared" si="29"/>
        <v>1.2499999999988632E-4</v>
      </c>
      <c r="E600" s="14">
        <f t="shared" si="27"/>
        <v>1.0562259455868E-4</v>
      </c>
      <c r="F600">
        <v>105.425</v>
      </c>
      <c r="G600" s="1">
        <f t="shared" si="28"/>
        <v>105.850021</v>
      </c>
    </row>
    <row r="601" spans="1:7" x14ac:dyDescent="0.3">
      <c r="A601">
        <v>5990</v>
      </c>
      <c r="B601">
        <v>1701.3</v>
      </c>
      <c r="C601">
        <v>114.145</v>
      </c>
      <c r="D601" s="15">
        <f t="shared" si="29"/>
        <v>1.5000000000000568E-4</v>
      </c>
      <c r="E601" s="14">
        <f t="shared" si="27"/>
        <v>1.0558159153766999E-4</v>
      </c>
      <c r="F601">
        <v>105.42</v>
      </c>
      <c r="G601" s="1">
        <f t="shared" si="28"/>
        <v>105.84889100000001</v>
      </c>
    </row>
    <row r="602" spans="1:7" x14ac:dyDescent="0.3">
      <c r="A602">
        <v>6000</v>
      </c>
      <c r="B602">
        <v>1693.2</v>
      </c>
      <c r="C602">
        <v>114.14400000000001</v>
      </c>
      <c r="D602" s="15">
        <f t="shared" si="29"/>
        <v>1.2499999999988632E-4</v>
      </c>
      <c r="E602" s="14">
        <f t="shared" si="27"/>
        <v>1.0554060119999999E-4</v>
      </c>
      <c r="F602">
        <v>105.416</v>
      </c>
      <c r="G602" s="1">
        <f t="shared" si="28"/>
        <v>105.84776100000001</v>
      </c>
    </row>
    <row r="603" spans="1:7" x14ac:dyDescent="0.3">
      <c r="A603">
        <v>6010</v>
      </c>
      <c r="B603">
        <v>1684.5</v>
      </c>
      <c r="C603">
        <v>114.142</v>
      </c>
      <c r="D603" s="15">
        <f t="shared" si="29"/>
        <v>1.5000000000000568E-4</v>
      </c>
      <c r="E603" s="14">
        <f t="shared" si="27"/>
        <v>1.0549962354567E-4</v>
      </c>
      <c r="F603">
        <v>105.41</v>
      </c>
      <c r="G603" s="1">
        <f t="shared" si="28"/>
        <v>105.846631</v>
      </c>
    </row>
    <row r="604" spans="1:7" x14ac:dyDescent="0.3">
      <c r="A604">
        <v>6020</v>
      </c>
      <c r="B604">
        <v>1676.3</v>
      </c>
      <c r="C604">
        <v>114.14100000000001</v>
      </c>
      <c r="D604" s="15">
        <f t="shared" si="29"/>
        <v>1.5000000000000568E-4</v>
      </c>
      <c r="E604" s="14">
        <f t="shared" si="27"/>
        <v>1.0545865857468E-4</v>
      </c>
      <c r="F604">
        <v>105.40600000000001</v>
      </c>
      <c r="G604" s="1">
        <f t="shared" si="28"/>
        <v>105.845501</v>
      </c>
    </row>
    <row r="605" spans="1:7" x14ac:dyDescent="0.3">
      <c r="A605">
        <v>6030</v>
      </c>
      <c r="B605">
        <v>1667.7</v>
      </c>
      <c r="C605">
        <v>114.139</v>
      </c>
      <c r="D605" s="15">
        <f t="shared" si="29"/>
        <v>1.5000000000000568E-4</v>
      </c>
      <c r="E605" s="14">
        <f t="shared" si="27"/>
        <v>1.0541770628703E-4</v>
      </c>
      <c r="F605">
        <v>105.401</v>
      </c>
      <c r="G605" s="1">
        <f t="shared" si="28"/>
        <v>105.84437100000001</v>
      </c>
    </row>
    <row r="606" spans="1:7" x14ac:dyDescent="0.3">
      <c r="A606">
        <v>6040</v>
      </c>
      <c r="B606">
        <v>1658.4</v>
      </c>
      <c r="C606">
        <v>114.13800000000001</v>
      </c>
      <c r="D606" s="15">
        <f t="shared" si="29"/>
        <v>1.5000000000000568E-4</v>
      </c>
      <c r="E606" s="14">
        <f t="shared" si="27"/>
        <v>1.0537676668272E-4</v>
      </c>
      <c r="F606">
        <v>105.39700000000001</v>
      </c>
      <c r="G606" s="1">
        <f t="shared" si="28"/>
        <v>105.84324100000001</v>
      </c>
    </row>
    <row r="607" spans="1:7" x14ac:dyDescent="0.3">
      <c r="A607">
        <v>6050</v>
      </c>
      <c r="B607">
        <v>1650.9</v>
      </c>
      <c r="C607">
        <v>114.136</v>
      </c>
      <c r="D607" s="15">
        <f t="shared" si="29"/>
        <v>1.5000000000000568E-4</v>
      </c>
      <c r="E607" s="14">
        <f t="shared" si="27"/>
        <v>1.0533583976175E-4</v>
      </c>
      <c r="F607">
        <v>105.39100000000001</v>
      </c>
      <c r="G607" s="1">
        <f t="shared" si="28"/>
        <v>105.842111</v>
      </c>
    </row>
    <row r="608" spans="1:7" x14ac:dyDescent="0.3">
      <c r="A608">
        <v>6060</v>
      </c>
      <c r="B608">
        <v>1641.6</v>
      </c>
      <c r="C608">
        <v>114.13500000000001</v>
      </c>
      <c r="D608" s="15">
        <f t="shared" si="29"/>
        <v>1.5000000000000568E-4</v>
      </c>
      <c r="E608" s="14">
        <f t="shared" si="27"/>
        <v>1.0529492552411999E-4</v>
      </c>
      <c r="F608">
        <v>105.387</v>
      </c>
      <c r="G608" s="1">
        <f t="shared" si="28"/>
        <v>105.840981</v>
      </c>
    </row>
    <row r="609" spans="1:7" x14ac:dyDescent="0.3">
      <c r="A609">
        <v>6070</v>
      </c>
      <c r="B609">
        <v>1634.1</v>
      </c>
      <c r="C609">
        <v>114.133</v>
      </c>
      <c r="D609" s="15">
        <f t="shared" si="29"/>
        <v>1.5000000000000568E-4</v>
      </c>
      <c r="E609" s="14">
        <f t="shared" si="27"/>
        <v>1.0525402396982999E-4</v>
      </c>
      <c r="F609">
        <v>105.38200000000001</v>
      </c>
      <c r="G609" s="1">
        <f t="shared" si="28"/>
        <v>105.839851</v>
      </c>
    </row>
    <row r="610" spans="1:7" x14ac:dyDescent="0.3">
      <c r="A610">
        <v>6080</v>
      </c>
      <c r="B610">
        <v>1624.5</v>
      </c>
      <c r="C610">
        <v>114.13200000000001</v>
      </c>
      <c r="D610" s="15">
        <f t="shared" si="29"/>
        <v>1.5000000000000568E-4</v>
      </c>
      <c r="E610" s="14">
        <f t="shared" si="27"/>
        <v>1.0521313509888E-4</v>
      </c>
      <c r="F610">
        <v>105.378</v>
      </c>
      <c r="G610" s="1">
        <f t="shared" si="28"/>
        <v>105.83872100000001</v>
      </c>
    </row>
    <row r="611" spans="1:7" x14ac:dyDescent="0.3">
      <c r="A611">
        <v>6090</v>
      </c>
      <c r="B611">
        <v>1617</v>
      </c>
      <c r="C611">
        <v>114.13</v>
      </c>
      <c r="D611" s="15">
        <f t="shared" si="29"/>
        <v>1.5000000000000568E-4</v>
      </c>
      <c r="E611" s="14">
        <f t="shared" si="27"/>
        <v>1.0517225891127E-4</v>
      </c>
      <c r="F611">
        <v>105.372</v>
      </c>
      <c r="G611" s="1">
        <f t="shared" si="28"/>
        <v>105.837591</v>
      </c>
    </row>
    <row r="612" spans="1:7" x14ac:dyDescent="0.3">
      <c r="A612">
        <v>6100</v>
      </c>
      <c r="B612">
        <v>1607.6</v>
      </c>
      <c r="C612">
        <v>114.129</v>
      </c>
      <c r="D612" s="15">
        <f t="shared" si="29"/>
        <v>1.5000000000000568E-4</v>
      </c>
      <c r="E612" s="14">
        <f t="shared" si="27"/>
        <v>1.05131395407E-4</v>
      </c>
      <c r="F612">
        <v>105.36799999999999</v>
      </c>
      <c r="G612" s="1">
        <f t="shared" si="28"/>
        <v>105.836461</v>
      </c>
    </row>
    <row r="613" spans="1:7" x14ac:dyDescent="0.3">
      <c r="A613">
        <v>6110</v>
      </c>
      <c r="B613">
        <v>1600</v>
      </c>
      <c r="C613">
        <v>114.127</v>
      </c>
      <c r="D613" s="15">
        <f t="shared" si="29"/>
        <v>1.5000000000000568E-4</v>
      </c>
      <c r="E613" s="14">
        <f t="shared" si="27"/>
        <v>1.0509054458606999E-4</v>
      </c>
      <c r="F613">
        <v>105.363</v>
      </c>
      <c r="G613" s="1">
        <f t="shared" si="28"/>
        <v>105.835331</v>
      </c>
    </row>
    <row r="614" spans="1:7" x14ac:dyDescent="0.3">
      <c r="A614">
        <v>6120</v>
      </c>
      <c r="B614">
        <v>1590.6</v>
      </c>
      <c r="C614">
        <v>114.126</v>
      </c>
      <c r="D614" s="15">
        <f t="shared" si="29"/>
        <v>1.5000000000000568E-4</v>
      </c>
      <c r="E614" s="14">
        <f t="shared" si="27"/>
        <v>1.0504970644848E-4</v>
      </c>
      <c r="F614">
        <v>105.358</v>
      </c>
      <c r="G614" s="1">
        <f t="shared" si="28"/>
        <v>105.83420100000001</v>
      </c>
    </row>
    <row r="615" spans="1:7" x14ac:dyDescent="0.3">
      <c r="A615">
        <v>6130</v>
      </c>
      <c r="B615">
        <v>1582.3</v>
      </c>
      <c r="C615">
        <v>114.124</v>
      </c>
      <c r="D615" s="15">
        <f t="shared" si="29"/>
        <v>1.5000000000000568E-4</v>
      </c>
      <c r="E615" s="14">
        <f t="shared" si="27"/>
        <v>1.0500888099423E-4</v>
      </c>
      <c r="F615">
        <v>105.35299999999999</v>
      </c>
      <c r="G615" s="1">
        <f t="shared" si="28"/>
        <v>105.833071</v>
      </c>
    </row>
    <row r="616" spans="1:7" x14ac:dyDescent="0.3">
      <c r="A616">
        <v>6140</v>
      </c>
      <c r="B616">
        <v>1573.4</v>
      </c>
      <c r="C616">
        <v>114.123</v>
      </c>
      <c r="D616" s="15">
        <f t="shared" si="29"/>
        <v>1.5000000000000568E-4</v>
      </c>
      <c r="E616" s="14">
        <f t="shared" si="27"/>
        <v>1.0496806822331999E-4</v>
      </c>
      <c r="F616">
        <v>105.349</v>
      </c>
      <c r="G616" s="1">
        <f t="shared" si="28"/>
        <v>105.831941</v>
      </c>
    </row>
    <row r="617" spans="1:7" x14ac:dyDescent="0.3">
      <c r="A617">
        <v>6150</v>
      </c>
      <c r="B617">
        <v>1565.2</v>
      </c>
      <c r="C617">
        <v>114.121</v>
      </c>
      <c r="D617" s="15">
        <f t="shared" si="29"/>
        <v>1.5000000000000568E-4</v>
      </c>
      <c r="E617" s="14">
        <f t="shared" si="27"/>
        <v>1.0492726813574999E-4</v>
      </c>
      <c r="F617">
        <v>105.34399999999999</v>
      </c>
      <c r="G617" s="1">
        <f t="shared" si="28"/>
        <v>105.830811</v>
      </c>
    </row>
    <row r="618" spans="1:7" x14ac:dyDescent="0.3">
      <c r="A618">
        <v>6160</v>
      </c>
      <c r="B618">
        <v>1556.3</v>
      </c>
      <c r="C618">
        <v>114.12</v>
      </c>
      <c r="D618" s="15">
        <f t="shared" si="29"/>
        <v>1.5000000000000568E-4</v>
      </c>
      <c r="E618" s="14">
        <f t="shared" si="27"/>
        <v>1.0488648073151999E-4</v>
      </c>
      <c r="F618">
        <v>105.339</v>
      </c>
      <c r="G618" s="1">
        <f t="shared" si="28"/>
        <v>105.82968100000001</v>
      </c>
    </row>
    <row r="619" spans="1:7" x14ac:dyDescent="0.3">
      <c r="A619">
        <v>6170</v>
      </c>
      <c r="B619">
        <v>1548.1</v>
      </c>
      <c r="C619">
        <v>114.11799999999999</v>
      </c>
      <c r="D619" s="15">
        <f t="shared" si="29"/>
        <v>1.5000000000000568E-4</v>
      </c>
      <c r="E619" s="14">
        <f t="shared" si="27"/>
        <v>1.0484570601062999E-4</v>
      </c>
      <c r="F619">
        <v>105.33499999999999</v>
      </c>
      <c r="G619" s="1">
        <f t="shared" si="28"/>
        <v>105.828551</v>
      </c>
    </row>
    <row r="620" spans="1:7" x14ac:dyDescent="0.3">
      <c r="A620">
        <v>6180</v>
      </c>
      <c r="B620">
        <v>1539.2</v>
      </c>
      <c r="C620">
        <v>114.117</v>
      </c>
      <c r="D620" s="15">
        <f t="shared" si="29"/>
        <v>1.5000000000000568E-4</v>
      </c>
      <c r="E620" s="14">
        <f t="shared" si="27"/>
        <v>1.0480494397308E-4</v>
      </c>
      <c r="F620">
        <v>105.33</v>
      </c>
      <c r="G620" s="1">
        <f t="shared" si="28"/>
        <v>105.827421</v>
      </c>
    </row>
    <row r="621" spans="1:7" x14ac:dyDescent="0.3">
      <c r="A621">
        <v>6190</v>
      </c>
      <c r="B621">
        <v>1531</v>
      </c>
      <c r="C621">
        <v>114.11499999999999</v>
      </c>
      <c r="D621" s="15">
        <f t="shared" si="29"/>
        <v>1.5000000000000568E-4</v>
      </c>
      <c r="E621" s="14">
        <f t="shared" si="27"/>
        <v>1.0476419461887E-4</v>
      </c>
      <c r="F621">
        <v>105.32599999999999</v>
      </c>
      <c r="G621" s="1">
        <f t="shared" si="28"/>
        <v>105.826291</v>
      </c>
    </row>
    <row r="622" spans="1:7" x14ac:dyDescent="0.3">
      <c r="A622">
        <v>6200</v>
      </c>
      <c r="B622">
        <v>1521.9</v>
      </c>
      <c r="C622">
        <v>114.114</v>
      </c>
      <c r="D622" s="15">
        <f t="shared" si="29"/>
        <v>1.5000000000000568E-4</v>
      </c>
      <c r="E622" s="14">
        <f t="shared" si="27"/>
        <v>1.04723457948E-4</v>
      </c>
      <c r="F622">
        <v>105.32</v>
      </c>
      <c r="G622" s="1">
        <f t="shared" si="28"/>
        <v>105.82516100000001</v>
      </c>
    </row>
    <row r="623" spans="1:7" x14ac:dyDescent="0.3">
      <c r="A623">
        <v>6210</v>
      </c>
      <c r="B623">
        <v>1513.8</v>
      </c>
      <c r="C623">
        <v>114.11199999999999</v>
      </c>
      <c r="D623" s="15">
        <f t="shared" si="29"/>
        <v>1.5000000000000568E-4</v>
      </c>
      <c r="E623" s="14">
        <f t="shared" si="27"/>
        <v>1.0468273396047E-4</v>
      </c>
      <c r="F623">
        <v>105.316</v>
      </c>
      <c r="G623" s="1">
        <f t="shared" si="28"/>
        <v>105.82403100000001</v>
      </c>
    </row>
    <row r="624" spans="1:7" x14ac:dyDescent="0.3">
      <c r="A624">
        <v>6220</v>
      </c>
      <c r="B624">
        <v>1504.7</v>
      </c>
      <c r="C624">
        <v>114.111</v>
      </c>
      <c r="D624" s="15">
        <f t="shared" si="29"/>
        <v>1.5000000000000568E-4</v>
      </c>
      <c r="E624" s="14">
        <f t="shared" si="27"/>
        <v>1.0464202265628E-4</v>
      </c>
      <c r="F624">
        <v>105.31100000000001</v>
      </c>
      <c r="G624" s="1">
        <f t="shared" si="28"/>
        <v>105.822901</v>
      </c>
    </row>
    <row r="625" spans="1:7" x14ac:dyDescent="0.3">
      <c r="A625">
        <v>6230</v>
      </c>
      <c r="B625">
        <v>1496.6</v>
      </c>
      <c r="C625">
        <v>114.10899999999999</v>
      </c>
      <c r="D625" s="15">
        <f t="shared" si="29"/>
        <v>1.5000000000000568E-4</v>
      </c>
      <c r="E625" s="14">
        <f t="shared" si="27"/>
        <v>1.0460132403543E-4</v>
      </c>
      <c r="F625">
        <v>105.307</v>
      </c>
      <c r="G625" s="1">
        <f t="shared" si="28"/>
        <v>105.821771</v>
      </c>
    </row>
    <row r="626" spans="1:7" x14ac:dyDescent="0.3">
      <c r="A626">
        <v>6240</v>
      </c>
      <c r="B626">
        <v>1487</v>
      </c>
      <c r="C626">
        <v>114.108</v>
      </c>
      <c r="D626" s="15">
        <f t="shared" si="29"/>
        <v>1.5000000000000568E-4</v>
      </c>
      <c r="E626" s="14">
        <f t="shared" si="27"/>
        <v>1.0456063809792E-4</v>
      </c>
      <c r="F626">
        <v>105.301</v>
      </c>
      <c r="G626" s="1">
        <f t="shared" si="28"/>
        <v>105.82064100000001</v>
      </c>
    </row>
    <row r="627" spans="1:7" x14ac:dyDescent="0.3">
      <c r="A627">
        <v>6250</v>
      </c>
      <c r="B627">
        <v>1479.4</v>
      </c>
      <c r="C627">
        <v>114.10599999999999</v>
      </c>
      <c r="D627" s="15">
        <f t="shared" si="29"/>
        <v>1.5000000000000568E-4</v>
      </c>
      <c r="E627" s="14">
        <f t="shared" si="27"/>
        <v>1.0451996484375E-4</v>
      </c>
      <c r="F627">
        <v>105.297</v>
      </c>
      <c r="G627" s="1">
        <f t="shared" si="28"/>
        <v>105.81951100000001</v>
      </c>
    </row>
    <row r="628" spans="1:7" x14ac:dyDescent="0.3">
      <c r="A628">
        <v>6260</v>
      </c>
      <c r="B628">
        <v>1469.8</v>
      </c>
      <c r="C628">
        <v>114.105</v>
      </c>
      <c r="D628" s="15">
        <f t="shared" si="29"/>
        <v>1.5000000000000568E-4</v>
      </c>
      <c r="E628" s="14">
        <f t="shared" si="27"/>
        <v>1.0447930427292E-4</v>
      </c>
      <c r="F628">
        <v>105.292</v>
      </c>
      <c r="G628" s="1">
        <f t="shared" si="28"/>
        <v>105.818381</v>
      </c>
    </row>
    <row r="629" spans="1:7" x14ac:dyDescent="0.3">
      <c r="A629">
        <v>6270</v>
      </c>
      <c r="B629">
        <v>1462</v>
      </c>
      <c r="C629">
        <v>114.10299999999999</v>
      </c>
      <c r="D629" s="15">
        <f t="shared" si="29"/>
        <v>1.5000000000000568E-4</v>
      </c>
      <c r="E629" s="14">
        <f t="shared" si="27"/>
        <v>1.0443865638543E-4</v>
      </c>
      <c r="F629">
        <v>105.288</v>
      </c>
      <c r="G629" s="1">
        <f t="shared" si="28"/>
        <v>105.817251</v>
      </c>
    </row>
    <row r="630" spans="1:7" x14ac:dyDescent="0.3">
      <c r="A630">
        <v>6280</v>
      </c>
      <c r="B630">
        <v>1452.4</v>
      </c>
      <c r="C630">
        <v>114.102</v>
      </c>
      <c r="D630" s="15">
        <f t="shared" si="29"/>
        <v>1.5000000000000568E-4</v>
      </c>
      <c r="E630" s="14">
        <f t="shared" si="27"/>
        <v>1.0439802118128E-4</v>
      </c>
      <c r="F630">
        <v>105.282</v>
      </c>
      <c r="G630" s="1">
        <f t="shared" si="28"/>
        <v>105.81612100000001</v>
      </c>
    </row>
    <row r="631" spans="1:7" x14ac:dyDescent="0.3">
      <c r="A631">
        <v>6290</v>
      </c>
      <c r="B631">
        <v>1444.7</v>
      </c>
      <c r="C631">
        <v>114.1</v>
      </c>
      <c r="D631" s="15">
        <f t="shared" si="29"/>
        <v>1.5000000000000568E-4</v>
      </c>
      <c r="E631" s="14">
        <f t="shared" si="27"/>
        <v>1.0435739866047E-4</v>
      </c>
      <c r="F631">
        <v>105.27800000000001</v>
      </c>
      <c r="G631" s="1">
        <f t="shared" si="28"/>
        <v>105.81499100000001</v>
      </c>
    </row>
    <row r="632" spans="1:7" x14ac:dyDescent="0.3">
      <c r="A632">
        <v>6300</v>
      </c>
      <c r="B632">
        <v>1435.1</v>
      </c>
      <c r="C632">
        <v>114.099</v>
      </c>
      <c r="D632" s="15">
        <f t="shared" si="29"/>
        <v>1.5000000000000568E-4</v>
      </c>
      <c r="E632" s="14">
        <f t="shared" si="27"/>
        <v>1.04316788823E-4</v>
      </c>
      <c r="F632">
        <v>105.273</v>
      </c>
      <c r="G632" s="1">
        <f t="shared" si="28"/>
        <v>105.813861</v>
      </c>
    </row>
    <row r="633" spans="1:7" x14ac:dyDescent="0.3">
      <c r="A633">
        <v>6310</v>
      </c>
      <c r="B633">
        <v>1427.4</v>
      </c>
      <c r="C633">
        <v>114.09699999999999</v>
      </c>
      <c r="D633" s="15">
        <f t="shared" si="29"/>
        <v>1.2499999999988632E-4</v>
      </c>
      <c r="E633" s="14">
        <f t="shared" si="27"/>
        <v>1.0427619166887E-4</v>
      </c>
      <c r="F633">
        <v>105.26900000000001</v>
      </c>
      <c r="G633" s="1">
        <f t="shared" si="28"/>
        <v>105.812731</v>
      </c>
    </row>
    <row r="634" spans="1:7" x14ac:dyDescent="0.3">
      <c r="A634">
        <v>6320</v>
      </c>
      <c r="B634">
        <v>1421.5</v>
      </c>
      <c r="C634">
        <v>114.096</v>
      </c>
      <c r="D634" s="15">
        <f t="shared" si="29"/>
        <v>1.5000000000000568E-4</v>
      </c>
      <c r="E634" s="14">
        <f t="shared" si="27"/>
        <v>1.0423560719808E-4</v>
      </c>
      <c r="F634">
        <v>105.26300000000001</v>
      </c>
      <c r="G634" s="1">
        <f t="shared" si="28"/>
        <v>105.811601</v>
      </c>
    </row>
    <row r="635" spans="1:7" x14ac:dyDescent="0.3">
      <c r="A635">
        <v>6330</v>
      </c>
      <c r="B635">
        <v>1416.9</v>
      </c>
      <c r="C635">
        <v>114.095</v>
      </c>
      <c r="D635" s="15">
        <f t="shared" si="29"/>
        <v>1.2499999999988632E-4</v>
      </c>
      <c r="E635" s="14">
        <f t="shared" si="27"/>
        <v>1.0419503541063E-4</v>
      </c>
      <c r="F635">
        <v>105.259</v>
      </c>
      <c r="G635" s="1">
        <f t="shared" si="28"/>
        <v>105.81047100000001</v>
      </c>
    </row>
    <row r="636" spans="1:7" x14ac:dyDescent="0.3">
      <c r="A636">
        <v>6340</v>
      </c>
      <c r="B636">
        <v>1412</v>
      </c>
      <c r="C636">
        <v>114.093</v>
      </c>
      <c r="D636" s="15">
        <f t="shared" si="29"/>
        <v>1.5000000000000568E-4</v>
      </c>
      <c r="E636" s="14">
        <f t="shared" si="27"/>
        <v>1.0415447630652E-4</v>
      </c>
      <c r="F636">
        <v>105.254</v>
      </c>
      <c r="G636" s="1">
        <f t="shared" si="28"/>
        <v>105.809341</v>
      </c>
    </row>
    <row r="637" spans="1:7" x14ac:dyDescent="0.3">
      <c r="A637">
        <v>6350</v>
      </c>
      <c r="B637">
        <v>1407.3</v>
      </c>
      <c r="C637">
        <v>114.092</v>
      </c>
      <c r="D637" s="15">
        <f t="shared" si="29"/>
        <v>1.7500000000012506E-4</v>
      </c>
      <c r="E637" s="14">
        <f t="shared" si="27"/>
        <v>1.0411392988575E-4</v>
      </c>
      <c r="F637">
        <v>105.25</v>
      </c>
      <c r="G637" s="1">
        <f t="shared" si="28"/>
        <v>105.808211</v>
      </c>
    </row>
    <row r="638" spans="1:7" x14ac:dyDescent="0.3">
      <c r="A638">
        <v>6360</v>
      </c>
      <c r="B638">
        <v>1402.6</v>
      </c>
      <c r="C638">
        <v>114.09</v>
      </c>
      <c r="D638" s="15">
        <f t="shared" si="29"/>
        <v>1.5000000000000568E-4</v>
      </c>
      <c r="E638" s="14">
        <f t="shared" si="27"/>
        <v>1.0407339614832E-4</v>
      </c>
      <c r="F638">
        <v>105.245</v>
      </c>
      <c r="G638" s="1">
        <f t="shared" si="28"/>
        <v>105.807081</v>
      </c>
    </row>
    <row r="639" spans="1:7" x14ac:dyDescent="0.3">
      <c r="A639">
        <v>6370</v>
      </c>
      <c r="B639">
        <v>1398</v>
      </c>
      <c r="C639">
        <v>114.08799999999999</v>
      </c>
      <c r="D639" s="15">
        <f t="shared" si="29"/>
        <v>1.7500000000012506E-4</v>
      </c>
      <c r="E639" s="14">
        <f t="shared" si="27"/>
        <v>1.0403287509422999E-4</v>
      </c>
      <c r="F639">
        <v>105.24</v>
      </c>
      <c r="G639" s="1">
        <f t="shared" si="28"/>
        <v>105.80595100000001</v>
      </c>
    </row>
    <row r="640" spans="1:7" x14ac:dyDescent="0.3">
      <c r="A640">
        <v>6380</v>
      </c>
      <c r="B640">
        <v>1393.2</v>
      </c>
      <c r="C640">
        <v>114.087</v>
      </c>
      <c r="D640" s="15">
        <f t="shared" si="29"/>
        <v>1.5000000000000568E-4</v>
      </c>
      <c r="E640" s="14">
        <f t="shared" si="27"/>
        <v>1.0399236672348E-4</v>
      </c>
      <c r="F640">
        <v>105.236</v>
      </c>
      <c r="G640" s="1">
        <f t="shared" si="28"/>
        <v>105.804821</v>
      </c>
    </row>
    <row r="641" spans="1:7" x14ac:dyDescent="0.3">
      <c r="A641">
        <v>6390</v>
      </c>
      <c r="B641">
        <v>1388.5</v>
      </c>
      <c r="C641">
        <v>114.08499999999999</v>
      </c>
      <c r="D641" s="15">
        <f t="shared" si="29"/>
        <v>1.5000000000000568E-4</v>
      </c>
      <c r="E641" s="14">
        <f t="shared" si="27"/>
        <v>1.0395187103606999E-4</v>
      </c>
      <c r="F641">
        <v>105.23</v>
      </c>
      <c r="G641" s="1">
        <f t="shared" si="28"/>
        <v>105.803691</v>
      </c>
    </row>
    <row r="642" spans="1:7" x14ac:dyDescent="0.3">
      <c r="A642">
        <v>6400</v>
      </c>
      <c r="B642">
        <v>1383.7</v>
      </c>
      <c r="C642">
        <v>114.084</v>
      </c>
      <c r="D642" s="15">
        <f t="shared" si="29"/>
        <v>1.5000000000000568E-4</v>
      </c>
      <c r="E642" s="14">
        <f t="shared" ref="E642:E705" si="30">0.0000000000000634167*A642*A642 - 0.0000000048594*A642 + 0.000132414</f>
        <v>1.0391138803199999E-4</v>
      </c>
      <c r="F642">
        <v>105.226</v>
      </c>
      <c r="G642" s="1">
        <f t="shared" si="28"/>
        <v>105.802561</v>
      </c>
    </row>
    <row r="643" spans="1:7" x14ac:dyDescent="0.3">
      <c r="A643">
        <v>6410</v>
      </c>
      <c r="B643">
        <v>1379.2</v>
      </c>
      <c r="C643">
        <v>114.08199999999999</v>
      </c>
      <c r="D643" s="15">
        <f t="shared" si="29"/>
        <v>1.5000000000000568E-4</v>
      </c>
      <c r="E643" s="14">
        <f t="shared" si="30"/>
        <v>1.0387091771126999E-4</v>
      </c>
      <c r="F643">
        <v>105.221</v>
      </c>
      <c r="G643" s="1">
        <f t="shared" ref="G643:G706" si="31">-0.000113*A643 + 106.525761</f>
        <v>105.80143100000001</v>
      </c>
    </row>
    <row r="644" spans="1:7" x14ac:dyDescent="0.3">
      <c r="A644">
        <v>6420</v>
      </c>
      <c r="B644">
        <v>1374.4</v>
      </c>
      <c r="C644">
        <v>114.081</v>
      </c>
      <c r="D644" s="15">
        <f t="shared" si="29"/>
        <v>1.5000000000000568E-4</v>
      </c>
      <c r="E644" s="14">
        <f t="shared" si="30"/>
        <v>1.0383046007387999E-4</v>
      </c>
      <c r="F644">
        <v>105.217</v>
      </c>
      <c r="G644" s="1">
        <f t="shared" si="31"/>
        <v>105.800301</v>
      </c>
    </row>
    <row r="645" spans="1:7" x14ac:dyDescent="0.3">
      <c r="A645">
        <v>6430</v>
      </c>
      <c r="B645">
        <v>1369.9</v>
      </c>
      <c r="C645">
        <v>114.07899999999999</v>
      </c>
      <c r="D645" s="15">
        <f t="shared" ref="D645:D708" si="32">(C643-C647)/(A647-A643)</f>
        <v>1.5000000000000568E-4</v>
      </c>
      <c r="E645" s="14">
        <f t="shared" si="30"/>
        <v>1.0379001511983E-4</v>
      </c>
      <c r="F645">
        <v>105.211</v>
      </c>
      <c r="G645" s="1">
        <f t="shared" si="31"/>
        <v>105.799171</v>
      </c>
    </row>
    <row r="646" spans="1:7" x14ac:dyDescent="0.3">
      <c r="A646">
        <v>6440</v>
      </c>
      <c r="B646">
        <v>1365.1</v>
      </c>
      <c r="C646">
        <v>114.078</v>
      </c>
      <c r="D646" s="15">
        <f t="shared" si="32"/>
        <v>1.5000000000000568E-4</v>
      </c>
      <c r="E646" s="14">
        <f t="shared" si="30"/>
        <v>1.0374958284912E-4</v>
      </c>
      <c r="F646">
        <v>105.20699999999999</v>
      </c>
      <c r="G646" s="1">
        <f t="shared" si="31"/>
        <v>105.798041</v>
      </c>
    </row>
    <row r="647" spans="1:7" x14ac:dyDescent="0.3">
      <c r="A647">
        <v>6450</v>
      </c>
      <c r="B647">
        <v>1360.6</v>
      </c>
      <c r="C647">
        <v>114.07599999999999</v>
      </c>
      <c r="D647" s="15">
        <f t="shared" si="32"/>
        <v>1.5000000000000568E-4</v>
      </c>
      <c r="E647" s="14">
        <f t="shared" si="30"/>
        <v>1.0370916326174999E-4</v>
      </c>
      <c r="F647">
        <v>105.203</v>
      </c>
      <c r="G647" s="1">
        <f t="shared" si="31"/>
        <v>105.79691100000001</v>
      </c>
    </row>
    <row r="648" spans="1:7" x14ac:dyDescent="0.3">
      <c r="A648">
        <v>6460</v>
      </c>
      <c r="B648">
        <v>1355.7</v>
      </c>
      <c r="C648">
        <v>114.075</v>
      </c>
      <c r="D648" s="15">
        <f t="shared" si="32"/>
        <v>1.5000000000000568E-4</v>
      </c>
      <c r="E648" s="14">
        <f t="shared" si="30"/>
        <v>1.0366875635772E-4</v>
      </c>
      <c r="F648">
        <v>105.197</v>
      </c>
      <c r="G648" s="1">
        <f t="shared" si="31"/>
        <v>105.79578100000001</v>
      </c>
    </row>
    <row r="649" spans="1:7" x14ac:dyDescent="0.3">
      <c r="A649">
        <v>6470</v>
      </c>
      <c r="B649">
        <v>1351.3</v>
      </c>
      <c r="C649">
        <v>114.07299999999999</v>
      </c>
      <c r="D649" s="15">
        <f t="shared" si="32"/>
        <v>1.5000000000000568E-4</v>
      </c>
      <c r="E649" s="14">
        <f t="shared" si="30"/>
        <v>1.0362836213703E-4</v>
      </c>
      <c r="F649">
        <v>105.193</v>
      </c>
      <c r="G649" s="1">
        <f t="shared" si="31"/>
        <v>105.794651</v>
      </c>
    </row>
    <row r="650" spans="1:7" x14ac:dyDescent="0.3">
      <c r="A650">
        <v>6480</v>
      </c>
      <c r="B650">
        <v>1346.5</v>
      </c>
      <c r="C650">
        <v>114.072</v>
      </c>
      <c r="D650" s="15">
        <f t="shared" si="32"/>
        <v>1.7500000000012506E-4</v>
      </c>
      <c r="E650" s="14">
        <f t="shared" si="30"/>
        <v>1.0358798059968E-4</v>
      </c>
      <c r="F650">
        <v>105.188</v>
      </c>
      <c r="G650" s="1">
        <f t="shared" si="31"/>
        <v>105.793521</v>
      </c>
    </row>
    <row r="651" spans="1:7" x14ac:dyDescent="0.3">
      <c r="A651">
        <v>6490</v>
      </c>
      <c r="B651">
        <v>1342.1</v>
      </c>
      <c r="C651">
        <v>114.07</v>
      </c>
      <c r="D651" s="15">
        <f t="shared" si="32"/>
        <v>1.5000000000000568E-4</v>
      </c>
      <c r="E651" s="14">
        <f t="shared" si="30"/>
        <v>1.0354761174566999E-4</v>
      </c>
      <c r="F651">
        <v>105.18300000000001</v>
      </c>
      <c r="G651" s="1">
        <f t="shared" si="31"/>
        <v>105.79239100000001</v>
      </c>
    </row>
    <row r="652" spans="1:7" x14ac:dyDescent="0.3">
      <c r="A652">
        <v>6500</v>
      </c>
      <c r="B652">
        <v>1337.4</v>
      </c>
      <c r="C652">
        <v>114.068</v>
      </c>
      <c r="D652" s="15">
        <f t="shared" si="32"/>
        <v>1.7500000000012506E-4</v>
      </c>
      <c r="E652" s="14">
        <f t="shared" si="30"/>
        <v>1.0350725557499999E-4</v>
      </c>
      <c r="F652">
        <v>105.179</v>
      </c>
      <c r="G652" s="1">
        <f t="shared" si="31"/>
        <v>105.79126100000001</v>
      </c>
    </row>
    <row r="653" spans="1:7" x14ac:dyDescent="0.3">
      <c r="A653">
        <v>6510</v>
      </c>
      <c r="B653">
        <v>1333.6</v>
      </c>
      <c r="C653">
        <v>114.06699999999999</v>
      </c>
      <c r="D653" s="15">
        <f t="shared" si="32"/>
        <v>1.5000000000000568E-4</v>
      </c>
      <c r="E653" s="14">
        <f t="shared" si="30"/>
        <v>1.0346691208766999E-4</v>
      </c>
      <c r="F653">
        <v>105.17400000000001</v>
      </c>
      <c r="G653" s="1">
        <f t="shared" si="31"/>
        <v>105.790131</v>
      </c>
    </row>
    <row r="654" spans="1:7" x14ac:dyDescent="0.3">
      <c r="A654">
        <v>6520</v>
      </c>
      <c r="B654">
        <v>1330</v>
      </c>
      <c r="C654">
        <v>114.065</v>
      </c>
      <c r="D654" s="15">
        <f t="shared" si="32"/>
        <v>1.5000000000000568E-4</v>
      </c>
      <c r="E654" s="14">
        <f t="shared" si="30"/>
        <v>1.0342658128367999E-4</v>
      </c>
      <c r="F654">
        <v>105.169</v>
      </c>
      <c r="G654" s="1">
        <f t="shared" si="31"/>
        <v>105.789001</v>
      </c>
    </row>
    <row r="655" spans="1:7" x14ac:dyDescent="0.3">
      <c r="A655">
        <v>6530</v>
      </c>
      <c r="B655">
        <v>1326.4</v>
      </c>
      <c r="C655">
        <v>114.06399999999999</v>
      </c>
      <c r="D655" s="15">
        <f t="shared" si="32"/>
        <v>1.4999999999965041E-4</v>
      </c>
      <c r="E655" s="14">
        <f t="shared" si="30"/>
        <v>1.0338626316303E-4</v>
      </c>
      <c r="F655">
        <v>105.164</v>
      </c>
      <c r="G655" s="1">
        <f t="shared" si="31"/>
        <v>105.78787100000001</v>
      </c>
    </row>
    <row r="656" spans="1:7" x14ac:dyDescent="0.3">
      <c r="A656">
        <v>6540</v>
      </c>
      <c r="B656">
        <v>1322.8</v>
      </c>
      <c r="C656">
        <v>114.062</v>
      </c>
      <c r="D656" s="15">
        <f t="shared" si="32"/>
        <v>1.5000000000000568E-4</v>
      </c>
      <c r="E656" s="14">
        <f t="shared" si="30"/>
        <v>1.0334595772572E-4</v>
      </c>
      <c r="F656">
        <v>105.16</v>
      </c>
      <c r="G656" s="1">
        <f t="shared" si="31"/>
        <v>105.78674100000001</v>
      </c>
    </row>
    <row r="657" spans="1:7" x14ac:dyDescent="0.3">
      <c r="A657">
        <v>6550</v>
      </c>
      <c r="B657">
        <v>1319.3</v>
      </c>
      <c r="C657">
        <v>114.06100000000001</v>
      </c>
      <c r="D657" s="15">
        <f t="shared" si="32"/>
        <v>1.7499999999976979E-4</v>
      </c>
      <c r="E657" s="14">
        <f t="shared" si="30"/>
        <v>1.0330566497174999E-4</v>
      </c>
      <c r="F657">
        <v>105.155</v>
      </c>
      <c r="G657" s="1">
        <f t="shared" si="31"/>
        <v>105.785611</v>
      </c>
    </row>
    <row r="658" spans="1:7" x14ac:dyDescent="0.3">
      <c r="A658">
        <v>6560</v>
      </c>
      <c r="B658">
        <v>1315.7</v>
      </c>
      <c r="C658">
        <v>114.059</v>
      </c>
      <c r="D658" s="15">
        <f t="shared" si="32"/>
        <v>1.5000000000000568E-4</v>
      </c>
      <c r="E658" s="14">
        <f t="shared" si="30"/>
        <v>1.0326538490111999E-4</v>
      </c>
      <c r="F658">
        <v>105.15</v>
      </c>
      <c r="G658" s="1">
        <f t="shared" si="31"/>
        <v>105.784481</v>
      </c>
    </row>
    <row r="659" spans="1:7" x14ac:dyDescent="0.3">
      <c r="A659">
        <v>6570</v>
      </c>
      <c r="B659">
        <v>1312.1</v>
      </c>
      <c r="C659">
        <v>114.057</v>
      </c>
      <c r="D659" s="15">
        <f t="shared" si="32"/>
        <v>1.7500000000012506E-4</v>
      </c>
      <c r="E659" s="14">
        <f t="shared" si="30"/>
        <v>1.0322511751382999E-4</v>
      </c>
      <c r="F659">
        <v>105.146</v>
      </c>
      <c r="G659" s="1">
        <f t="shared" si="31"/>
        <v>105.783351</v>
      </c>
    </row>
    <row r="660" spans="1:7" x14ac:dyDescent="0.3">
      <c r="A660">
        <v>6580</v>
      </c>
      <c r="B660">
        <v>1308.5</v>
      </c>
      <c r="C660">
        <v>114.056</v>
      </c>
      <c r="D660" s="15">
        <f t="shared" si="32"/>
        <v>1.7499999999976979E-4</v>
      </c>
      <c r="E660" s="14">
        <f t="shared" si="30"/>
        <v>1.0318486280988E-4</v>
      </c>
      <c r="F660">
        <v>105.14</v>
      </c>
      <c r="G660" s="1">
        <f t="shared" si="31"/>
        <v>105.78222100000001</v>
      </c>
    </row>
    <row r="661" spans="1:7" x14ac:dyDescent="0.3">
      <c r="A661">
        <v>6590</v>
      </c>
      <c r="B661">
        <v>1304.9000000000001</v>
      </c>
      <c r="C661">
        <v>114.054</v>
      </c>
      <c r="D661" s="15">
        <f t="shared" si="32"/>
        <v>1.5000000000000568E-4</v>
      </c>
      <c r="E661" s="14">
        <f t="shared" si="30"/>
        <v>1.0314462078926999E-4</v>
      </c>
      <c r="F661">
        <v>105.136</v>
      </c>
      <c r="G661" s="1">
        <f t="shared" si="31"/>
        <v>105.781091</v>
      </c>
    </row>
    <row r="662" spans="1:7" x14ac:dyDescent="0.3">
      <c r="A662">
        <v>6600</v>
      </c>
      <c r="B662">
        <v>1301.4000000000001</v>
      </c>
      <c r="C662">
        <v>114.05200000000001</v>
      </c>
      <c r="D662" s="15">
        <f t="shared" si="32"/>
        <v>1.7499999999976979E-4</v>
      </c>
      <c r="E662" s="14">
        <f t="shared" si="30"/>
        <v>1.03104391452E-4</v>
      </c>
      <c r="F662">
        <v>105.13200000000001</v>
      </c>
      <c r="G662" s="1">
        <f t="shared" si="31"/>
        <v>105.779961</v>
      </c>
    </row>
    <row r="663" spans="1:7" x14ac:dyDescent="0.3">
      <c r="A663">
        <v>6610</v>
      </c>
      <c r="B663">
        <v>1297.8</v>
      </c>
      <c r="C663">
        <v>114.051</v>
      </c>
      <c r="D663" s="15">
        <f t="shared" si="32"/>
        <v>1.5000000000000568E-4</v>
      </c>
      <c r="E663" s="14">
        <f t="shared" si="30"/>
        <v>1.0306417479806999E-4</v>
      </c>
      <c r="F663">
        <v>105.126</v>
      </c>
      <c r="G663" s="1">
        <f t="shared" si="31"/>
        <v>105.778831</v>
      </c>
    </row>
    <row r="664" spans="1:7" x14ac:dyDescent="0.3">
      <c r="A664">
        <v>6620</v>
      </c>
      <c r="B664">
        <v>1294.3</v>
      </c>
      <c r="C664">
        <v>114.04900000000001</v>
      </c>
      <c r="D664" s="15">
        <f t="shared" si="32"/>
        <v>1.5000000000000568E-4</v>
      </c>
      <c r="E664" s="14">
        <f t="shared" si="30"/>
        <v>1.0302397082748E-4</v>
      </c>
      <c r="F664">
        <v>105.122</v>
      </c>
      <c r="G664" s="1">
        <f t="shared" si="31"/>
        <v>105.77770100000001</v>
      </c>
    </row>
    <row r="665" spans="1:7" x14ac:dyDescent="0.3">
      <c r="A665">
        <v>6630</v>
      </c>
      <c r="B665">
        <v>1290.7</v>
      </c>
      <c r="C665">
        <v>114.048</v>
      </c>
      <c r="D665" s="15">
        <f t="shared" si="32"/>
        <v>1.7500000000012506E-4</v>
      </c>
      <c r="E665" s="14">
        <f t="shared" si="30"/>
        <v>1.0298377954022999E-4</v>
      </c>
      <c r="F665">
        <v>105.117</v>
      </c>
      <c r="G665" s="1">
        <f t="shared" si="31"/>
        <v>105.776571</v>
      </c>
    </row>
    <row r="666" spans="1:7" x14ac:dyDescent="0.3">
      <c r="A666">
        <v>6640</v>
      </c>
      <c r="B666">
        <v>1287.0999999999999</v>
      </c>
      <c r="C666">
        <v>114.04600000000001</v>
      </c>
      <c r="D666" s="15">
        <f t="shared" si="32"/>
        <v>1.5000000000000568E-4</v>
      </c>
      <c r="E666" s="14">
        <f t="shared" si="30"/>
        <v>1.0294360093632E-4</v>
      </c>
      <c r="F666">
        <v>105.11199999999999</v>
      </c>
      <c r="G666" s="1">
        <f t="shared" si="31"/>
        <v>105.775441</v>
      </c>
    </row>
    <row r="667" spans="1:7" x14ac:dyDescent="0.3">
      <c r="A667">
        <v>6650</v>
      </c>
      <c r="B667">
        <v>1283.5999999999999</v>
      </c>
      <c r="C667">
        <v>114.044</v>
      </c>
      <c r="D667" s="15">
        <f t="shared" si="32"/>
        <v>1.7500000000012506E-4</v>
      </c>
      <c r="E667" s="14">
        <f t="shared" si="30"/>
        <v>1.0290343501575E-4</v>
      </c>
      <c r="F667">
        <v>105.108</v>
      </c>
      <c r="G667" s="1">
        <f t="shared" si="31"/>
        <v>105.774311</v>
      </c>
    </row>
    <row r="668" spans="1:7" x14ac:dyDescent="0.3">
      <c r="A668">
        <v>6660</v>
      </c>
      <c r="B668">
        <v>1280</v>
      </c>
      <c r="C668">
        <v>114.04300000000001</v>
      </c>
      <c r="D668" s="15">
        <f t="shared" si="32"/>
        <v>1.7500000000012506E-4</v>
      </c>
      <c r="E668" s="14">
        <f t="shared" si="30"/>
        <v>1.0286328177852E-4</v>
      </c>
      <c r="F668">
        <v>105.10299999999999</v>
      </c>
      <c r="G668" s="1">
        <f t="shared" si="31"/>
        <v>105.77318100000001</v>
      </c>
    </row>
    <row r="669" spans="1:7" x14ac:dyDescent="0.3">
      <c r="A669">
        <v>6670</v>
      </c>
      <c r="B669">
        <v>1276.5</v>
      </c>
      <c r="C669">
        <v>114.041</v>
      </c>
      <c r="D669" s="15">
        <f t="shared" si="32"/>
        <v>1.5000000000000568E-4</v>
      </c>
      <c r="E669" s="14">
        <f t="shared" si="30"/>
        <v>1.0282314122462999E-4</v>
      </c>
      <c r="F669">
        <v>105.098</v>
      </c>
      <c r="G669" s="1">
        <f t="shared" si="31"/>
        <v>105.772051</v>
      </c>
    </row>
    <row r="670" spans="1:7" x14ac:dyDescent="0.3">
      <c r="A670">
        <v>6680</v>
      </c>
      <c r="B670">
        <v>1273</v>
      </c>
      <c r="C670">
        <v>114.039</v>
      </c>
      <c r="D670" s="15">
        <f t="shared" si="32"/>
        <v>1.7500000000012506E-4</v>
      </c>
      <c r="E670" s="14">
        <f t="shared" si="30"/>
        <v>1.0278301335408E-4</v>
      </c>
      <c r="F670">
        <v>105.093</v>
      </c>
      <c r="G670" s="1">
        <f t="shared" si="31"/>
        <v>105.770921</v>
      </c>
    </row>
    <row r="671" spans="1:7" x14ac:dyDescent="0.3">
      <c r="A671">
        <v>6690</v>
      </c>
      <c r="B671">
        <v>1269.5</v>
      </c>
      <c r="C671">
        <v>114.038</v>
      </c>
      <c r="D671" s="15">
        <f t="shared" si="32"/>
        <v>1.7499999999976979E-4</v>
      </c>
      <c r="E671" s="14">
        <f t="shared" si="30"/>
        <v>1.0274289816686999E-4</v>
      </c>
      <c r="F671">
        <v>105.089</v>
      </c>
      <c r="G671" s="1">
        <f t="shared" si="31"/>
        <v>105.769791</v>
      </c>
    </row>
    <row r="672" spans="1:7" x14ac:dyDescent="0.3">
      <c r="A672">
        <v>6700</v>
      </c>
      <c r="B672">
        <v>1265.9000000000001</v>
      </c>
      <c r="C672">
        <v>114.036</v>
      </c>
      <c r="D672" s="15">
        <f t="shared" si="32"/>
        <v>1.7500000000012506E-4</v>
      </c>
      <c r="E672" s="14">
        <f t="shared" si="30"/>
        <v>1.02702795663E-4</v>
      </c>
      <c r="F672">
        <v>105.083</v>
      </c>
      <c r="G672" s="1">
        <f t="shared" si="31"/>
        <v>105.76866100000001</v>
      </c>
    </row>
    <row r="673" spans="1:7" x14ac:dyDescent="0.3">
      <c r="A673">
        <v>6710</v>
      </c>
      <c r="B673">
        <v>1262.4000000000001</v>
      </c>
      <c r="C673">
        <v>114.03400000000001</v>
      </c>
      <c r="D673" s="15">
        <f t="shared" si="32"/>
        <v>1.7499999999976979E-4</v>
      </c>
      <c r="E673" s="14">
        <f t="shared" si="30"/>
        <v>1.0266270584246999E-4</v>
      </c>
      <c r="F673">
        <v>105.07899999999999</v>
      </c>
      <c r="G673" s="1">
        <f t="shared" si="31"/>
        <v>105.76753100000001</v>
      </c>
    </row>
    <row r="674" spans="1:7" x14ac:dyDescent="0.3">
      <c r="A674">
        <v>6720</v>
      </c>
      <c r="B674">
        <v>1258.9000000000001</v>
      </c>
      <c r="C674">
        <v>114.032</v>
      </c>
      <c r="D674" s="15">
        <f t="shared" si="32"/>
        <v>1.7500000000012506E-4</v>
      </c>
      <c r="E674" s="14">
        <f t="shared" si="30"/>
        <v>1.0262262870528E-4</v>
      </c>
      <c r="F674">
        <v>105.075</v>
      </c>
      <c r="G674" s="1">
        <f t="shared" si="31"/>
        <v>105.766401</v>
      </c>
    </row>
    <row r="675" spans="1:7" x14ac:dyDescent="0.3">
      <c r="A675">
        <v>6730</v>
      </c>
      <c r="B675">
        <v>1255.4000000000001</v>
      </c>
      <c r="C675">
        <v>114.03100000000001</v>
      </c>
      <c r="D675" s="15">
        <f t="shared" si="32"/>
        <v>1.7500000000012506E-4</v>
      </c>
      <c r="E675" s="14">
        <f t="shared" si="30"/>
        <v>1.0258256425142999E-4</v>
      </c>
      <c r="F675">
        <v>105.07</v>
      </c>
      <c r="G675" s="1">
        <f t="shared" si="31"/>
        <v>105.765271</v>
      </c>
    </row>
    <row r="676" spans="1:7" x14ac:dyDescent="0.3">
      <c r="A676">
        <v>6740</v>
      </c>
      <c r="B676">
        <v>1251.9000000000001</v>
      </c>
      <c r="C676">
        <v>114.029</v>
      </c>
      <c r="D676" s="15">
        <f t="shared" si="32"/>
        <v>1.5000000000000568E-4</v>
      </c>
      <c r="E676" s="14">
        <f t="shared" si="30"/>
        <v>1.0254251248091999E-4</v>
      </c>
      <c r="F676">
        <v>105.065</v>
      </c>
      <c r="G676" s="1">
        <f t="shared" si="31"/>
        <v>105.76414100000001</v>
      </c>
    </row>
    <row r="677" spans="1:7" x14ac:dyDescent="0.3">
      <c r="A677">
        <v>6750</v>
      </c>
      <c r="B677">
        <v>1248.4000000000001</v>
      </c>
      <c r="C677">
        <v>114.027</v>
      </c>
      <c r="D677" s="15">
        <f t="shared" si="32"/>
        <v>1.7500000000012506E-4</v>
      </c>
      <c r="E677" s="14">
        <f t="shared" si="30"/>
        <v>1.0250247339375E-4</v>
      </c>
      <c r="F677">
        <v>105.06</v>
      </c>
      <c r="G677" s="1">
        <f t="shared" si="31"/>
        <v>105.76301100000001</v>
      </c>
    </row>
    <row r="678" spans="1:7" x14ac:dyDescent="0.3">
      <c r="A678">
        <v>6760</v>
      </c>
      <c r="B678">
        <v>1230.0999999999999</v>
      </c>
      <c r="C678">
        <v>114.026</v>
      </c>
      <c r="D678" s="15">
        <f t="shared" si="32"/>
        <v>1.7499999999976979E-4</v>
      </c>
      <c r="E678" s="14">
        <f t="shared" si="30"/>
        <v>1.0246244698991999E-4</v>
      </c>
      <c r="F678">
        <v>105.053</v>
      </c>
      <c r="G678" s="1">
        <f t="shared" si="31"/>
        <v>105.761881</v>
      </c>
    </row>
    <row r="679" spans="1:7" x14ac:dyDescent="0.3">
      <c r="A679">
        <v>6770</v>
      </c>
      <c r="B679">
        <v>1225</v>
      </c>
      <c r="C679">
        <v>114.024</v>
      </c>
      <c r="D679" s="15">
        <f t="shared" si="32"/>
        <v>1.7500000000012506E-4</v>
      </c>
      <c r="E679" s="14">
        <f t="shared" si="30"/>
        <v>1.0242243326942999E-4</v>
      </c>
      <c r="F679">
        <v>105.024</v>
      </c>
      <c r="G679" s="1">
        <f t="shared" si="31"/>
        <v>105.760751</v>
      </c>
    </row>
    <row r="680" spans="1:7" x14ac:dyDescent="0.3">
      <c r="A680">
        <v>6780</v>
      </c>
      <c r="B680">
        <v>1220.3</v>
      </c>
      <c r="C680">
        <v>114.02200000000001</v>
      </c>
      <c r="D680" s="15">
        <f t="shared" si="32"/>
        <v>1.9999999999988915E-4</v>
      </c>
      <c r="E680" s="14">
        <f t="shared" si="30"/>
        <v>1.0238243223227999E-4</v>
      </c>
      <c r="F680">
        <v>104.995</v>
      </c>
      <c r="G680" s="1">
        <f t="shared" si="31"/>
        <v>105.75962100000001</v>
      </c>
    </row>
    <row r="681" spans="1:7" x14ac:dyDescent="0.3">
      <c r="A681">
        <v>6790</v>
      </c>
      <c r="B681">
        <v>1215.4000000000001</v>
      </c>
      <c r="C681">
        <v>114.02</v>
      </c>
      <c r="D681" s="15">
        <f t="shared" si="32"/>
        <v>1.7500000000012506E-4</v>
      </c>
      <c r="E681" s="14">
        <f t="shared" si="30"/>
        <v>1.0234244387847001E-4</v>
      </c>
      <c r="F681">
        <v>104.965</v>
      </c>
      <c r="G681" s="1">
        <f t="shared" si="31"/>
        <v>105.75849100000001</v>
      </c>
    </row>
    <row r="682" spans="1:7" x14ac:dyDescent="0.3">
      <c r="A682">
        <v>6800</v>
      </c>
      <c r="B682">
        <v>1210.9000000000001</v>
      </c>
      <c r="C682">
        <v>114.018</v>
      </c>
      <c r="D682" s="15">
        <f t="shared" si="32"/>
        <v>1.7500000000012506E-4</v>
      </c>
      <c r="E682" s="14">
        <f t="shared" si="30"/>
        <v>1.02302468208E-4</v>
      </c>
      <c r="F682">
        <v>104.937</v>
      </c>
      <c r="G682" s="1">
        <f t="shared" si="31"/>
        <v>105.757361</v>
      </c>
    </row>
    <row r="683" spans="1:7" x14ac:dyDescent="0.3">
      <c r="A683">
        <v>6810</v>
      </c>
      <c r="B683">
        <v>1206.2</v>
      </c>
      <c r="C683">
        <v>114.017</v>
      </c>
      <c r="D683" s="15">
        <f t="shared" si="32"/>
        <v>1.7499999999976979E-4</v>
      </c>
      <c r="E683" s="14">
        <f t="shared" si="30"/>
        <v>1.0226250522087E-4</v>
      </c>
      <c r="F683">
        <v>104.907</v>
      </c>
      <c r="G683" s="1">
        <f t="shared" si="31"/>
        <v>105.756231</v>
      </c>
    </row>
    <row r="684" spans="1:7" x14ac:dyDescent="0.3">
      <c r="A684">
        <v>6820</v>
      </c>
      <c r="B684">
        <v>1201.5</v>
      </c>
      <c r="C684">
        <v>114.015</v>
      </c>
      <c r="D684" s="15">
        <f t="shared" si="32"/>
        <v>1.5000000000000568E-4</v>
      </c>
      <c r="E684" s="14">
        <f t="shared" si="30"/>
        <v>1.0222255491707999E-4</v>
      </c>
      <c r="F684">
        <v>104.878</v>
      </c>
      <c r="G684" s="1">
        <f t="shared" si="31"/>
        <v>105.755101</v>
      </c>
    </row>
    <row r="685" spans="1:7" x14ac:dyDescent="0.3">
      <c r="A685">
        <v>6830</v>
      </c>
      <c r="B685">
        <v>1197.0999999999999</v>
      </c>
      <c r="C685">
        <v>114.01300000000001</v>
      </c>
      <c r="D685" s="15">
        <f t="shared" si="32"/>
        <v>1.7499999999976979E-4</v>
      </c>
      <c r="E685" s="14">
        <f t="shared" si="30"/>
        <v>1.0218261729663E-4</v>
      </c>
      <c r="F685">
        <v>104.848</v>
      </c>
      <c r="G685" s="1">
        <f t="shared" si="31"/>
        <v>105.75397100000001</v>
      </c>
    </row>
    <row r="686" spans="1:7" x14ac:dyDescent="0.3">
      <c r="A686">
        <v>6840</v>
      </c>
      <c r="B686">
        <v>1192.5</v>
      </c>
      <c r="C686">
        <v>114.012</v>
      </c>
      <c r="D686" s="15">
        <f t="shared" si="32"/>
        <v>1.7500000000012506E-4</v>
      </c>
      <c r="E686" s="14">
        <f t="shared" si="30"/>
        <v>1.0214269235952E-4</v>
      </c>
      <c r="F686">
        <v>104.82</v>
      </c>
      <c r="G686" s="1">
        <f t="shared" si="31"/>
        <v>105.752841</v>
      </c>
    </row>
    <row r="687" spans="1:7" x14ac:dyDescent="0.3">
      <c r="A687">
        <v>6850</v>
      </c>
      <c r="B687">
        <v>1188.3</v>
      </c>
      <c r="C687">
        <v>114.01</v>
      </c>
      <c r="D687" s="15">
        <f t="shared" si="32"/>
        <v>1.7500000000012506E-4</v>
      </c>
      <c r="E687" s="14">
        <f t="shared" si="30"/>
        <v>1.0210278010575E-4</v>
      </c>
      <c r="F687">
        <v>104.791</v>
      </c>
      <c r="G687" s="1">
        <f t="shared" si="31"/>
        <v>105.751711</v>
      </c>
    </row>
    <row r="688" spans="1:7" x14ac:dyDescent="0.3">
      <c r="A688">
        <v>6860</v>
      </c>
      <c r="B688">
        <v>1183.9000000000001</v>
      </c>
      <c r="C688">
        <v>114.008</v>
      </c>
      <c r="D688" s="15">
        <f t="shared" si="32"/>
        <v>1.7500000000012506E-4</v>
      </c>
      <c r="E688" s="14">
        <f t="shared" si="30"/>
        <v>1.0206288053531999E-4</v>
      </c>
      <c r="F688">
        <v>104.761</v>
      </c>
      <c r="G688" s="1">
        <f t="shared" si="31"/>
        <v>105.750581</v>
      </c>
    </row>
    <row r="689" spans="1:7" x14ac:dyDescent="0.3">
      <c r="A689">
        <v>6870</v>
      </c>
      <c r="B689">
        <v>1179.5</v>
      </c>
      <c r="C689">
        <v>114.006</v>
      </c>
      <c r="D689" s="15">
        <f t="shared" si="32"/>
        <v>1.7500000000012506E-4</v>
      </c>
      <c r="E689" s="14">
        <f t="shared" si="30"/>
        <v>1.0202299364823E-4</v>
      </c>
      <c r="F689">
        <v>104.732</v>
      </c>
      <c r="G689" s="1">
        <f t="shared" si="31"/>
        <v>105.74945100000001</v>
      </c>
    </row>
    <row r="690" spans="1:7" x14ac:dyDescent="0.3">
      <c r="A690">
        <v>6880</v>
      </c>
      <c r="B690">
        <v>1175.5</v>
      </c>
      <c r="C690">
        <v>114.005</v>
      </c>
      <c r="D690" s="15">
        <f t="shared" si="32"/>
        <v>1.7499999999976979E-4</v>
      </c>
      <c r="E690" s="14">
        <f t="shared" si="30"/>
        <v>1.0198311944448E-4</v>
      </c>
      <c r="F690">
        <v>104.703</v>
      </c>
      <c r="G690" s="1">
        <f t="shared" si="31"/>
        <v>105.748321</v>
      </c>
    </row>
    <row r="691" spans="1:7" x14ac:dyDescent="0.3">
      <c r="A691">
        <v>6890</v>
      </c>
      <c r="B691">
        <v>1171.0999999999999</v>
      </c>
      <c r="C691">
        <v>114.003</v>
      </c>
      <c r="D691" s="15">
        <f t="shared" si="32"/>
        <v>1.5000000000000568E-4</v>
      </c>
      <c r="E691" s="14">
        <f t="shared" si="30"/>
        <v>1.0194325792407E-4</v>
      </c>
      <c r="F691">
        <v>104.67400000000001</v>
      </c>
      <c r="G691" s="1">
        <f t="shared" si="31"/>
        <v>105.747191</v>
      </c>
    </row>
    <row r="692" spans="1:7" x14ac:dyDescent="0.3">
      <c r="A692">
        <v>6900</v>
      </c>
      <c r="B692">
        <v>1167</v>
      </c>
      <c r="C692">
        <v>114.001</v>
      </c>
      <c r="D692" s="15">
        <f t="shared" si="32"/>
        <v>1.7499999999976979E-4</v>
      </c>
      <c r="E692" s="14">
        <f t="shared" si="30"/>
        <v>1.01903409087E-4</v>
      </c>
      <c r="F692">
        <v>104.64400000000001</v>
      </c>
      <c r="G692" s="1">
        <f t="shared" si="31"/>
        <v>105.746061</v>
      </c>
    </row>
    <row r="693" spans="1:7" x14ac:dyDescent="0.3">
      <c r="A693">
        <v>6910</v>
      </c>
      <c r="B693">
        <v>1162.9000000000001</v>
      </c>
      <c r="C693">
        <v>114</v>
      </c>
      <c r="D693" s="15">
        <f t="shared" si="32"/>
        <v>1.7500000000012506E-4</v>
      </c>
      <c r="E693" s="14">
        <f t="shared" si="30"/>
        <v>1.0186357293327E-4</v>
      </c>
      <c r="F693">
        <v>104.61499999999999</v>
      </c>
      <c r="G693" s="1">
        <f t="shared" si="31"/>
        <v>105.74493100000001</v>
      </c>
    </row>
    <row r="694" spans="1:7" x14ac:dyDescent="0.3">
      <c r="A694">
        <v>6920</v>
      </c>
      <c r="B694">
        <v>1159.2</v>
      </c>
      <c r="C694">
        <v>113.998</v>
      </c>
      <c r="D694" s="15">
        <f t="shared" si="32"/>
        <v>1.5000000000000568E-4</v>
      </c>
      <c r="E694" s="14">
        <f t="shared" si="30"/>
        <v>1.0182374946288E-4</v>
      </c>
      <c r="F694">
        <v>104.587</v>
      </c>
      <c r="G694" s="1">
        <f t="shared" si="31"/>
        <v>105.743801</v>
      </c>
    </row>
    <row r="695" spans="1:7" x14ac:dyDescent="0.3">
      <c r="A695">
        <v>6930</v>
      </c>
      <c r="B695">
        <v>1155.3</v>
      </c>
      <c r="C695">
        <v>113.996</v>
      </c>
      <c r="D695" s="15">
        <f t="shared" si="32"/>
        <v>1.7500000000012506E-4</v>
      </c>
      <c r="E695" s="14">
        <f t="shared" si="30"/>
        <v>1.0178393867583E-4</v>
      </c>
      <c r="F695">
        <v>104.557</v>
      </c>
      <c r="G695" s="1">
        <f t="shared" si="31"/>
        <v>105.742671</v>
      </c>
    </row>
    <row r="696" spans="1:7" x14ac:dyDescent="0.3">
      <c r="A696">
        <v>6940</v>
      </c>
      <c r="B696">
        <v>1151.4000000000001</v>
      </c>
      <c r="C696">
        <v>113.995</v>
      </c>
      <c r="D696" s="15">
        <f t="shared" si="32"/>
        <v>1.7500000000012506E-4</v>
      </c>
      <c r="E696" s="14">
        <f t="shared" si="30"/>
        <v>1.0174414057211999E-4</v>
      </c>
      <c r="F696">
        <v>104.52800000000001</v>
      </c>
      <c r="G696" s="1">
        <f t="shared" si="31"/>
        <v>105.741541</v>
      </c>
    </row>
    <row r="697" spans="1:7" x14ac:dyDescent="0.3">
      <c r="A697">
        <v>6950</v>
      </c>
      <c r="B697">
        <v>1147.5</v>
      </c>
      <c r="C697">
        <v>113.99299999999999</v>
      </c>
      <c r="D697" s="15">
        <f t="shared" si="32"/>
        <v>1.7499999999976979E-4</v>
      </c>
      <c r="E697" s="14">
        <f t="shared" si="30"/>
        <v>1.0170435515175E-4</v>
      </c>
      <c r="F697">
        <v>104.498</v>
      </c>
      <c r="G697" s="1">
        <f t="shared" si="31"/>
        <v>105.74041100000001</v>
      </c>
    </row>
    <row r="698" spans="1:7" x14ac:dyDescent="0.3">
      <c r="A698">
        <v>6960</v>
      </c>
      <c r="B698">
        <v>1146.2</v>
      </c>
      <c r="C698">
        <v>113.991</v>
      </c>
      <c r="D698" s="15">
        <f t="shared" si="32"/>
        <v>1.7500000000012506E-4</v>
      </c>
      <c r="E698" s="14">
        <f t="shared" si="30"/>
        <v>1.0166458241472E-4</v>
      </c>
      <c r="F698">
        <v>104.46899999999999</v>
      </c>
      <c r="G698" s="1">
        <f t="shared" si="31"/>
        <v>105.73928100000001</v>
      </c>
    </row>
    <row r="699" spans="1:7" x14ac:dyDescent="0.3">
      <c r="A699">
        <v>6970</v>
      </c>
      <c r="B699">
        <v>1143</v>
      </c>
      <c r="C699">
        <v>113.989</v>
      </c>
      <c r="D699" s="15">
        <f t="shared" si="32"/>
        <v>1.7499999999976979E-4</v>
      </c>
      <c r="E699" s="14">
        <f t="shared" si="30"/>
        <v>1.0162482236103E-4</v>
      </c>
      <c r="F699">
        <v>104.441</v>
      </c>
      <c r="G699" s="1">
        <f t="shared" si="31"/>
        <v>105.738151</v>
      </c>
    </row>
    <row r="700" spans="1:7" x14ac:dyDescent="0.3">
      <c r="A700">
        <v>6980</v>
      </c>
      <c r="B700">
        <v>1139.8</v>
      </c>
      <c r="C700">
        <v>113.988</v>
      </c>
      <c r="D700" s="15">
        <f t="shared" si="32"/>
        <v>1.5000000000000568E-4</v>
      </c>
      <c r="E700" s="14">
        <f t="shared" si="30"/>
        <v>1.0158507499067999E-4</v>
      </c>
      <c r="F700">
        <v>104.411</v>
      </c>
      <c r="G700" s="1">
        <f t="shared" si="31"/>
        <v>105.737021</v>
      </c>
    </row>
    <row r="701" spans="1:7" x14ac:dyDescent="0.3">
      <c r="A701">
        <v>6990</v>
      </c>
      <c r="B701">
        <v>1136.7</v>
      </c>
      <c r="C701">
        <v>113.986</v>
      </c>
      <c r="D701" s="15">
        <f t="shared" si="32"/>
        <v>1.5000000000000568E-4</v>
      </c>
      <c r="E701" s="14">
        <f t="shared" si="30"/>
        <v>1.0154534030367E-4</v>
      </c>
      <c r="F701">
        <v>104.38200000000001</v>
      </c>
      <c r="G701" s="1">
        <f t="shared" si="31"/>
        <v>105.73589100000001</v>
      </c>
    </row>
    <row r="702" spans="1:7" x14ac:dyDescent="0.3">
      <c r="A702">
        <v>7000</v>
      </c>
      <c r="B702">
        <v>1135.0999999999999</v>
      </c>
      <c r="C702">
        <v>113.985</v>
      </c>
      <c r="D702" s="15">
        <f t="shared" si="32"/>
        <v>1.7500000000012506E-4</v>
      </c>
      <c r="E702" s="14">
        <f t="shared" si="30"/>
        <v>1.015056183E-4</v>
      </c>
      <c r="F702">
        <v>104.352</v>
      </c>
      <c r="G702" s="1">
        <f t="shared" si="31"/>
        <v>105.73476100000001</v>
      </c>
    </row>
    <row r="703" spans="1:7" x14ac:dyDescent="0.3">
      <c r="A703">
        <v>7010</v>
      </c>
      <c r="B703">
        <v>1132.4000000000001</v>
      </c>
      <c r="C703">
        <v>113.983</v>
      </c>
      <c r="D703" s="15">
        <f t="shared" si="32"/>
        <v>1.5000000000000568E-4</v>
      </c>
      <c r="E703" s="14">
        <f t="shared" si="30"/>
        <v>1.0146590897966999E-4</v>
      </c>
      <c r="F703">
        <v>104.32299999999999</v>
      </c>
      <c r="G703" s="1">
        <f t="shared" si="31"/>
        <v>105.733631</v>
      </c>
    </row>
    <row r="704" spans="1:7" x14ac:dyDescent="0.3">
      <c r="A704">
        <v>7020</v>
      </c>
      <c r="B704">
        <v>1129.5999999999999</v>
      </c>
      <c r="C704">
        <v>113.98099999999999</v>
      </c>
      <c r="D704" s="15">
        <f t="shared" si="32"/>
        <v>1.7500000000012506E-4</v>
      </c>
      <c r="E704" s="14">
        <f t="shared" si="30"/>
        <v>1.0142621234268001E-4</v>
      </c>
      <c r="F704">
        <v>104.294</v>
      </c>
      <c r="G704" s="1">
        <f t="shared" si="31"/>
        <v>105.732501</v>
      </c>
    </row>
    <row r="705" spans="1:7" x14ac:dyDescent="0.3">
      <c r="A705">
        <v>7030</v>
      </c>
      <c r="B705">
        <v>1127.2</v>
      </c>
      <c r="C705">
        <v>113.98</v>
      </c>
      <c r="D705" s="15">
        <f t="shared" si="32"/>
        <v>1.7500000000012506E-4</v>
      </c>
      <c r="E705" s="14">
        <f t="shared" si="30"/>
        <v>1.0138652838902999E-4</v>
      </c>
      <c r="F705">
        <v>104.265</v>
      </c>
      <c r="G705" s="1">
        <f t="shared" si="31"/>
        <v>105.731371</v>
      </c>
    </row>
    <row r="706" spans="1:7" x14ac:dyDescent="0.3">
      <c r="A706">
        <v>7040</v>
      </c>
      <c r="B706">
        <v>1124.5</v>
      </c>
      <c r="C706">
        <v>113.97799999999999</v>
      </c>
      <c r="D706" s="15">
        <f t="shared" si="32"/>
        <v>1.5000000000000568E-4</v>
      </c>
      <c r="E706" s="14">
        <f t="shared" ref="E706:E769" si="33">0.0000000000000634167*A706*A706 - 0.0000000048594*A706 + 0.000132414</f>
        <v>1.0134685711871999E-4</v>
      </c>
      <c r="F706">
        <v>104.236</v>
      </c>
      <c r="G706" s="1">
        <f t="shared" si="31"/>
        <v>105.73024100000001</v>
      </c>
    </row>
    <row r="707" spans="1:7" x14ac:dyDescent="0.3">
      <c r="A707">
        <v>7050</v>
      </c>
      <c r="B707">
        <v>1121.5999999999999</v>
      </c>
      <c r="C707">
        <v>113.976</v>
      </c>
      <c r="D707" s="15">
        <f t="shared" si="32"/>
        <v>1.7500000000012506E-4</v>
      </c>
      <c r="E707" s="14">
        <f t="shared" si="33"/>
        <v>1.0130719853174998E-4</v>
      </c>
      <c r="F707">
        <v>104.20699999999999</v>
      </c>
      <c r="G707" s="1">
        <f t="shared" ref="G707:G770" si="34">-0.000113*A707 + 106.525761</f>
        <v>105.729111</v>
      </c>
    </row>
    <row r="708" spans="1:7" x14ac:dyDescent="0.3">
      <c r="A708">
        <v>7060</v>
      </c>
      <c r="B708">
        <v>1119.5</v>
      </c>
      <c r="C708">
        <v>113.97499999999999</v>
      </c>
      <c r="D708" s="15">
        <f t="shared" si="32"/>
        <v>1.7499999999976979E-4</v>
      </c>
      <c r="E708" s="14">
        <f t="shared" si="33"/>
        <v>1.0126755262812E-4</v>
      </c>
      <c r="F708">
        <v>104.17700000000001</v>
      </c>
      <c r="G708" s="1">
        <f t="shared" si="34"/>
        <v>105.727981</v>
      </c>
    </row>
    <row r="709" spans="1:7" x14ac:dyDescent="0.3">
      <c r="A709">
        <v>7070</v>
      </c>
      <c r="B709">
        <v>1118.5999999999999</v>
      </c>
      <c r="C709">
        <v>113.973</v>
      </c>
      <c r="D709" s="15">
        <f t="shared" ref="D709:D772" si="35">(C707-C711)/(A711-A707)</f>
        <v>1.5000000000000568E-4</v>
      </c>
      <c r="E709" s="14">
        <f t="shared" si="33"/>
        <v>1.0122791940782999E-4</v>
      </c>
      <c r="F709">
        <v>104.148</v>
      </c>
      <c r="G709" s="1">
        <f t="shared" si="34"/>
        <v>105.726851</v>
      </c>
    </row>
    <row r="710" spans="1:7" x14ac:dyDescent="0.3">
      <c r="A710">
        <v>7080</v>
      </c>
      <c r="B710">
        <v>1116.7</v>
      </c>
      <c r="C710">
        <v>113.971</v>
      </c>
      <c r="D710" s="15">
        <f t="shared" si="35"/>
        <v>1.7499999999976979E-4</v>
      </c>
      <c r="E710" s="14">
        <f t="shared" si="33"/>
        <v>1.0118829887088E-4</v>
      </c>
      <c r="F710">
        <v>104.119</v>
      </c>
      <c r="G710" s="1">
        <f t="shared" si="34"/>
        <v>105.72572100000001</v>
      </c>
    </row>
    <row r="711" spans="1:7" x14ac:dyDescent="0.3">
      <c r="A711">
        <v>7090</v>
      </c>
      <c r="B711">
        <v>1131.2</v>
      </c>
      <c r="C711">
        <v>113.97</v>
      </c>
      <c r="D711" s="15">
        <f t="shared" si="35"/>
        <v>1.7500000000012506E-4</v>
      </c>
      <c r="E711" s="14">
        <f t="shared" si="33"/>
        <v>1.0114869101726999E-4</v>
      </c>
      <c r="F711">
        <v>104.09</v>
      </c>
      <c r="G711" s="1">
        <f t="shared" si="34"/>
        <v>105.724591</v>
      </c>
    </row>
    <row r="712" spans="1:7" x14ac:dyDescent="0.3">
      <c r="A712">
        <v>7100</v>
      </c>
      <c r="B712">
        <v>1135.0999999999999</v>
      </c>
      <c r="C712">
        <v>113.968</v>
      </c>
      <c r="D712" s="15">
        <f t="shared" si="35"/>
        <v>1.5000000000000568E-4</v>
      </c>
      <c r="E712" s="14">
        <f t="shared" si="33"/>
        <v>1.01109095847E-4</v>
      </c>
      <c r="F712">
        <v>104.06100000000001</v>
      </c>
      <c r="G712" s="1">
        <f t="shared" si="34"/>
        <v>105.723461</v>
      </c>
    </row>
    <row r="713" spans="1:7" x14ac:dyDescent="0.3">
      <c r="A713">
        <v>7110</v>
      </c>
      <c r="B713">
        <v>1137.3</v>
      </c>
      <c r="C713">
        <v>113.96599999999999</v>
      </c>
      <c r="D713" s="15">
        <f t="shared" si="35"/>
        <v>1.7500000000012506E-4</v>
      </c>
      <c r="E713" s="14">
        <f t="shared" si="33"/>
        <v>1.0106951336006999E-4</v>
      </c>
      <c r="F713">
        <v>104.032</v>
      </c>
      <c r="G713" s="1">
        <f t="shared" si="34"/>
        <v>105.722331</v>
      </c>
    </row>
    <row r="714" spans="1:7" x14ac:dyDescent="0.3">
      <c r="A714">
        <v>7120</v>
      </c>
      <c r="B714">
        <v>1140.0999999999999</v>
      </c>
      <c r="C714">
        <v>113.965</v>
      </c>
      <c r="D714" s="15">
        <f t="shared" si="35"/>
        <v>1.7500000000012506E-4</v>
      </c>
      <c r="E714" s="14">
        <f t="shared" si="33"/>
        <v>1.0102994355648E-4</v>
      </c>
      <c r="F714">
        <v>104.002</v>
      </c>
      <c r="G714" s="1">
        <f t="shared" si="34"/>
        <v>105.72120100000001</v>
      </c>
    </row>
    <row r="715" spans="1:7" x14ac:dyDescent="0.3">
      <c r="A715">
        <v>7130</v>
      </c>
      <c r="B715">
        <v>1152.5999999999999</v>
      </c>
      <c r="C715">
        <v>113.96299999999999</v>
      </c>
      <c r="D715" s="15">
        <f t="shared" si="35"/>
        <v>1.5000000000000568E-4</v>
      </c>
      <c r="E715" s="14">
        <f t="shared" si="33"/>
        <v>1.0099038643623E-4</v>
      </c>
      <c r="F715">
        <v>103.973</v>
      </c>
      <c r="G715" s="1">
        <f t="shared" si="34"/>
        <v>105.720071</v>
      </c>
    </row>
    <row r="716" spans="1:7" x14ac:dyDescent="0.3">
      <c r="A716">
        <v>7140</v>
      </c>
      <c r="B716">
        <v>1156.8</v>
      </c>
      <c r="C716">
        <v>113.961</v>
      </c>
      <c r="D716" s="15">
        <f t="shared" si="35"/>
        <v>1.7500000000012506E-4</v>
      </c>
      <c r="E716" s="14">
        <f t="shared" si="33"/>
        <v>1.0095084199932E-4</v>
      </c>
      <c r="F716">
        <v>103.944</v>
      </c>
      <c r="G716" s="1">
        <f t="shared" si="34"/>
        <v>105.718941</v>
      </c>
    </row>
    <row r="717" spans="1:7" x14ac:dyDescent="0.3">
      <c r="A717">
        <v>7150</v>
      </c>
      <c r="B717">
        <v>1163.4000000000001</v>
      </c>
      <c r="C717">
        <v>113.96</v>
      </c>
      <c r="D717" s="15">
        <f t="shared" si="35"/>
        <v>1.7499999999976979E-4</v>
      </c>
      <c r="E717" s="14">
        <f t="shared" si="33"/>
        <v>1.0091131024575E-4</v>
      </c>
      <c r="F717">
        <v>103.91500000000001</v>
      </c>
      <c r="G717" s="1">
        <f t="shared" si="34"/>
        <v>105.717811</v>
      </c>
    </row>
    <row r="718" spans="1:7" x14ac:dyDescent="0.3">
      <c r="A718">
        <v>7160</v>
      </c>
      <c r="B718">
        <v>1178.2</v>
      </c>
      <c r="C718">
        <v>113.958</v>
      </c>
      <c r="D718" s="15">
        <f t="shared" si="35"/>
        <v>1.7500000000012506E-4</v>
      </c>
      <c r="E718" s="14">
        <f t="shared" si="33"/>
        <v>1.0087179117552E-4</v>
      </c>
      <c r="F718">
        <v>103.886</v>
      </c>
      <c r="G718" s="1">
        <f t="shared" si="34"/>
        <v>105.71668100000001</v>
      </c>
    </row>
    <row r="719" spans="1:7" x14ac:dyDescent="0.3">
      <c r="A719">
        <v>7170</v>
      </c>
      <c r="B719">
        <v>1201.5</v>
      </c>
      <c r="C719">
        <v>113.956</v>
      </c>
      <c r="D719" s="15">
        <f t="shared" si="35"/>
        <v>1.9999999999988915E-4</v>
      </c>
      <c r="E719" s="14">
        <f t="shared" si="33"/>
        <v>1.0083228478863E-4</v>
      </c>
      <c r="F719">
        <v>103.85599999999999</v>
      </c>
      <c r="G719" s="1">
        <f t="shared" si="34"/>
        <v>105.715551</v>
      </c>
    </row>
    <row r="720" spans="1:7" x14ac:dyDescent="0.3">
      <c r="A720">
        <v>7180</v>
      </c>
      <c r="B720">
        <v>1221.3</v>
      </c>
      <c r="C720">
        <v>113.95399999999999</v>
      </c>
      <c r="D720" s="15">
        <f t="shared" si="35"/>
        <v>1.9999999999988915E-4</v>
      </c>
      <c r="E720" s="14">
        <f t="shared" si="33"/>
        <v>1.0079279108508E-4</v>
      </c>
      <c r="F720">
        <v>103.827</v>
      </c>
      <c r="G720" s="1">
        <f t="shared" si="34"/>
        <v>105.714421</v>
      </c>
    </row>
    <row r="721" spans="1:7" x14ac:dyDescent="0.3">
      <c r="A721">
        <v>7190</v>
      </c>
      <c r="B721">
        <v>1238.3</v>
      </c>
      <c r="C721">
        <v>113.952</v>
      </c>
      <c r="D721" s="15">
        <f t="shared" si="35"/>
        <v>1.7500000000012506E-4</v>
      </c>
      <c r="E721" s="14">
        <f t="shared" si="33"/>
        <v>1.0075331006487E-4</v>
      </c>
      <c r="F721">
        <v>103.798</v>
      </c>
      <c r="G721" s="1">
        <f t="shared" si="34"/>
        <v>105.713291</v>
      </c>
    </row>
    <row r="722" spans="1:7" x14ac:dyDescent="0.3">
      <c r="A722">
        <v>7200</v>
      </c>
      <c r="B722">
        <v>1247.9000000000001</v>
      </c>
      <c r="C722">
        <v>113.95</v>
      </c>
      <c r="D722" s="15">
        <f t="shared" si="35"/>
        <v>1.7499999999976979E-4</v>
      </c>
      <c r="E722" s="14">
        <f t="shared" si="33"/>
        <v>1.0071384172799999E-4</v>
      </c>
      <c r="F722">
        <v>103.76900000000001</v>
      </c>
      <c r="G722" s="1">
        <f t="shared" si="34"/>
        <v>105.71216100000001</v>
      </c>
    </row>
    <row r="723" spans="1:7" x14ac:dyDescent="0.3">
      <c r="A723">
        <v>7210</v>
      </c>
      <c r="B723">
        <v>1256.4000000000001</v>
      </c>
      <c r="C723">
        <v>113.949</v>
      </c>
      <c r="D723" s="15">
        <f t="shared" si="35"/>
        <v>1.7500000000012506E-4</v>
      </c>
      <c r="E723" s="14">
        <f t="shared" si="33"/>
        <v>1.0067438607447001E-4</v>
      </c>
      <c r="F723">
        <v>103.739</v>
      </c>
      <c r="G723" s="1">
        <f t="shared" si="34"/>
        <v>105.71103100000001</v>
      </c>
    </row>
    <row r="724" spans="1:7" x14ac:dyDescent="0.3">
      <c r="A724">
        <v>7220</v>
      </c>
      <c r="B724">
        <v>1265</v>
      </c>
      <c r="C724">
        <v>113.947</v>
      </c>
      <c r="D724" s="15">
        <f t="shared" si="35"/>
        <v>1.7500000000012506E-4</v>
      </c>
      <c r="E724" s="14">
        <f t="shared" si="33"/>
        <v>1.0063494310428E-4</v>
      </c>
      <c r="F724">
        <v>103.711</v>
      </c>
      <c r="G724" s="1">
        <f t="shared" si="34"/>
        <v>105.709901</v>
      </c>
    </row>
    <row r="725" spans="1:7" x14ac:dyDescent="0.3">
      <c r="A725">
        <v>7230</v>
      </c>
      <c r="B725">
        <v>1277.9000000000001</v>
      </c>
      <c r="C725">
        <v>113.94499999999999</v>
      </c>
      <c r="D725" s="15">
        <f t="shared" si="35"/>
        <v>1.9999999999988915E-4</v>
      </c>
      <c r="E725" s="14">
        <f t="shared" si="33"/>
        <v>1.0059551281742999E-4</v>
      </c>
      <c r="F725">
        <v>103.681</v>
      </c>
      <c r="G725" s="1">
        <f t="shared" si="34"/>
        <v>105.708771</v>
      </c>
    </row>
    <row r="726" spans="1:7" x14ac:dyDescent="0.3">
      <c r="A726">
        <v>7240</v>
      </c>
      <c r="B726">
        <v>1296.7</v>
      </c>
      <c r="C726">
        <v>113.943</v>
      </c>
      <c r="D726" s="15">
        <f t="shared" si="35"/>
        <v>2.0000000000024442E-4</v>
      </c>
      <c r="E726" s="14">
        <f t="shared" si="33"/>
        <v>1.0055609521391999E-4</v>
      </c>
      <c r="F726">
        <v>103.65300000000001</v>
      </c>
      <c r="G726" s="1">
        <f t="shared" si="34"/>
        <v>105.70764100000001</v>
      </c>
    </row>
    <row r="727" spans="1:7" x14ac:dyDescent="0.3">
      <c r="A727">
        <v>7250</v>
      </c>
      <c r="B727">
        <v>1305.5999999999999</v>
      </c>
      <c r="C727">
        <v>113.941</v>
      </c>
      <c r="D727" s="15">
        <f t="shared" si="35"/>
        <v>1.9999999999988915E-4</v>
      </c>
      <c r="E727" s="14">
        <f t="shared" si="33"/>
        <v>1.0051669029375E-4</v>
      </c>
      <c r="F727">
        <v>103.623</v>
      </c>
      <c r="G727" s="1">
        <f t="shared" si="34"/>
        <v>105.70651100000001</v>
      </c>
    </row>
    <row r="728" spans="1:7" x14ac:dyDescent="0.3">
      <c r="A728">
        <v>7260</v>
      </c>
      <c r="B728">
        <v>1306.8</v>
      </c>
      <c r="C728">
        <v>113.93899999999999</v>
      </c>
      <c r="D728" s="15">
        <f t="shared" si="35"/>
        <v>1.9999999999988915E-4</v>
      </c>
      <c r="E728" s="14">
        <f t="shared" si="33"/>
        <v>1.0047729805692E-4</v>
      </c>
      <c r="F728">
        <v>103.593</v>
      </c>
      <c r="G728" s="1">
        <f t="shared" si="34"/>
        <v>105.705381</v>
      </c>
    </row>
    <row r="729" spans="1:7" x14ac:dyDescent="0.3">
      <c r="A729">
        <v>7270</v>
      </c>
      <c r="B729">
        <v>1308.2</v>
      </c>
      <c r="C729">
        <v>113.937</v>
      </c>
      <c r="D729" s="15">
        <f t="shared" si="35"/>
        <v>1.9999999999988915E-4</v>
      </c>
      <c r="E729" s="14">
        <f t="shared" si="33"/>
        <v>1.0043791850342999E-4</v>
      </c>
      <c r="F729">
        <v>103.565</v>
      </c>
      <c r="G729" s="1">
        <f t="shared" si="34"/>
        <v>105.704251</v>
      </c>
    </row>
    <row r="730" spans="1:7" x14ac:dyDescent="0.3">
      <c r="A730">
        <v>7280</v>
      </c>
      <c r="B730">
        <v>1308.9000000000001</v>
      </c>
      <c r="C730">
        <v>113.935</v>
      </c>
      <c r="D730" s="15">
        <f t="shared" si="35"/>
        <v>1.9999999999988915E-4</v>
      </c>
      <c r="E730" s="14">
        <f t="shared" si="33"/>
        <v>1.0039855163327999E-4</v>
      </c>
      <c r="F730">
        <v>103.535</v>
      </c>
      <c r="G730" s="1">
        <f t="shared" si="34"/>
        <v>105.703121</v>
      </c>
    </row>
    <row r="731" spans="1:7" x14ac:dyDescent="0.3">
      <c r="A731">
        <v>7290</v>
      </c>
      <c r="B731">
        <v>1309.9000000000001</v>
      </c>
      <c r="C731">
        <v>113.93300000000001</v>
      </c>
      <c r="D731" s="15">
        <f t="shared" si="35"/>
        <v>1.9999999999988915E-4</v>
      </c>
      <c r="E731" s="14">
        <f t="shared" si="33"/>
        <v>1.0035919744647E-4</v>
      </c>
      <c r="F731">
        <v>103.506</v>
      </c>
      <c r="G731" s="1">
        <f t="shared" si="34"/>
        <v>105.70199100000001</v>
      </c>
    </row>
    <row r="732" spans="1:7" x14ac:dyDescent="0.3">
      <c r="A732">
        <v>7300</v>
      </c>
      <c r="B732">
        <v>1311.8</v>
      </c>
      <c r="C732">
        <v>113.931</v>
      </c>
      <c r="D732" s="15">
        <f t="shared" si="35"/>
        <v>1.7500000000012506E-4</v>
      </c>
      <c r="E732" s="14">
        <f t="shared" si="33"/>
        <v>1.0031985594299999E-4</v>
      </c>
      <c r="F732">
        <v>103.477</v>
      </c>
      <c r="G732" s="1">
        <f t="shared" si="34"/>
        <v>105.700861</v>
      </c>
    </row>
    <row r="733" spans="1:7" x14ac:dyDescent="0.3">
      <c r="A733">
        <v>7310</v>
      </c>
      <c r="B733">
        <v>1313.8</v>
      </c>
      <c r="C733">
        <v>113.929</v>
      </c>
      <c r="D733" s="15">
        <f t="shared" si="35"/>
        <v>1.7500000000012506E-4</v>
      </c>
      <c r="E733" s="14">
        <f t="shared" si="33"/>
        <v>1.0028052712286999E-4</v>
      </c>
      <c r="F733">
        <v>103.44799999999999</v>
      </c>
      <c r="G733" s="1">
        <f t="shared" si="34"/>
        <v>105.699731</v>
      </c>
    </row>
    <row r="734" spans="1:7" x14ac:dyDescent="0.3">
      <c r="A734">
        <v>7320</v>
      </c>
      <c r="B734">
        <v>1312.2</v>
      </c>
      <c r="C734">
        <v>113.928</v>
      </c>
      <c r="D734" s="15">
        <f t="shared" si="35"/>
        <v>1.7499999999976979E-4</v>
      </c>
      <c r="E734" s="14">
        <f t="shared" si="33"/>
        <v>1.0024121098608E-4</v>
      </c>
      <c r="F734">
        <v>103.419</v>
      </c>
      <c r="G734" s="1">
        <f t="shared" si="34"/>
        <v>105.698601</v>
      </c>
    </row>
    <row r="735" spans="1:7" x14ac:dyDescent="0.3">
      <c r="A735">
        <v>7330</v>
      </c>
      <c r="B735">
        <v>1307.5</v>
      </c>
      <c r="C735">
        <v>113.926</v>
      </c>
      <c r="D735" s="15">
        <f t="shared" si="35"/>
        <v>1.7500000000012506E-4</v>
      </c>
      <c r="E735" s="14">
        <f t="shared" si="33"/>
        <v>1.0020190753263E-4</v>
      </c>
      <c r="F735">
        <v>103.39</v>
      </c>
      <c r="G735" s="1">
        <f t="shared" si="34"/>
        <v>105.69747100000001</v>
      </c>
    </row>
    <row r="736" spans="1:7" x14ac:dyDescent="0.3">
      <c r="A736">
        <v>7340</v>
      </c>
      <c r="B736">
        <v>1302.9000000000001</v>
      </c>
      <c r="C736">
        <v>113.92400000000001</v>
      </c>
      <c r="D736" s="15">
        <f t="shared" si="35"/>
        <v>1.9999999999988915E-4</v>
      </c>
      <c r="E736" s="14">
        <f t="shared" si="33"/>
        <v>1.0016261676252E-4</v>
      </c>
      <c r="F736">
        <v>103.36</v>
      </c>
      <c r="G736" s="1">
        <f t="shared" si="34"/>
        <v>105.696341</v>
      </c>
    </row>
    <row r="737" spans="1:7" x14ac:dyDescent="0.3">
      <c r="A737">
        <v>7350</v>
      </c>
      <c r="B737">
        <v>1298.2</v>
      </c>
      <c r="C737">
        <v>113.922</v>
      </c>
      <c r="D737" s="15">
        <f t="shared" si="35"/>
        <v>1.7500000000012506E-4</v>
      </c>
      <c r="E737" s="14">
        <f t="shared" si="33"/>
        <v>1.0012333867574999E-4</v>
      </c>
      <c r="F737">
        <v>103.331</v>
      </c>
      <c r="G737" s="1">
        <f t="shared" si="34"/>
        <v>105.695211</v>
      </c>
    </row>
    <row r="738" spans="1:7" x14ac:dyDescent="0.3">
      <c r="A738">
        <v>7360</v>
      </c>
      <c r="B738">
        <v>1293.5999999999999</v>
      </c>
      <c r="C738">
        <v>113.92</v>
      </c>
      <c r="D738" s="15">
        <f t="shared" si="35"/>
        <v>1.7500000000012506E-4</v>
      </c>
      <c r="E738" s="14">
        <f t="shared" si="33"/>
        <v>1.0008407327232E-4</v>
      </c>
      <c r="F738">
        <v>103.30200000000001</v>
      </c>
      <c r="G738" s="1">
        <f t="shared" si="34"/>
        <v>105.694081</v>
      </c>
    </row>
    <row r="739" spans="1:7" x14ac:dyDescent="0.3">
      <c r="A739">
        <v>7370</v>
      </c>
      <c r="B739">
        <v>1288.9000000000001</v>
      </c>
      <c r="C739">
        <v>113.919</v>
      </c>
      <c r="D739" s="15">
        <f t="shared" si="35"/>
        <v>1.7499999999976979E-4</v>
      </c>
      <c r="E739" s="14">
        <f t="shared" si="33"/>
        <v>1.0004482055223E-4</v>
      </c>
      <c r="F739">
        <v>103.273</v>
      </c>
      <c r="G739" s="1">
        <f t="shared" si="34"/>
        <v>105.69295100000001</v>
      </c>
    </row>
    <row r="740" spans="1:7" x14ac:dyDescent="0.3">
      <c r="A740">
        <v>7380</v>
      </c>
      <c r="B740">
        <v>1284.3</v>
      </c>
      <c r="C740">
        <v>113.917</v>
      </c>
      <c r="D740" s="15">
        <f t="shared" si="35"/>
        <v>1.5000000000000568E-4</v>
      </c>
      <c r="E740" s="14">
        <f t="shared" si="33"/>
        <v>1.0000558051547999E-4</v>
      </c>
      <c r="F740">
        <v>103.24299999999999</v>
      </c>
      <c r="G740" s="1">
        <f t="shared" si="34"/>
        <v>105.691821</v>
      </c>
    </row>
    <row r="741" spans="1:7" x14ac:dyDescent="0.3">
      <c r="A741">
        <v>7390</v>
      </c>
      <c r="B741">
        <v>1279.8</v>
      </c>
      <c r="C741">
        <v>113.91500000000001</v>
      </c>
      <c r="D741" s="15">
        <f t="shared" si="35"/>
        <v>1.7499999999976979E-4</v>
      </c>
      <c r="E741" s="14">
        <f t="shared" si="33"/>
        <v>9.9966353162069994E-5</v>
      </c>
      <c r="F741">
        <v>103.214</v>
      </c>
      <c r="G741" s="1">
        <f t="shared" si="34"/>
        <v>105.690691</v>
      </c>
    </row>
    <row r="742" spans="1:7" x14ac:dyDescent="0.3">
      <c r="A742">
        <v>7400</v>
      </c>
      <c r="B742">
        <v>1275.0999999999999</v>
      </c>
      <c r="C742">
        <v>113.914</v>
      </c>
      <c r="D742" s="15">
        <f t="shared" si="35"/>
        <v>1.7500000000012506E-4</v>
      </c>
      <c r="E742" s="14">
        <f t="shared" si="33"/>
        <v>9.9927138491999993E-5</v>
      </c>
      <c r="F742">
        <v>103.18600000000001</v>
      </c>
      <c r="G742" s="1">
        <f t="shared" si="34"/>
        <v>105.689561</v>
      </c>
    </row>
    <row r="743" spans="1:7" x14ac:dyDescent="0.3">
      <c r="A743">
        <v>7410</v>
      </c>
      <c r="B743">
        <v>1270.5</v>
      </c>
      <c r="C743">
        <v>113.91200000000001</v>
      </c>
      <c r="D743" s="15">
        <f t="shared" si="35"/>
        <v>1.5000000000000568E-4</v>
      </c>
      <c r="E743" s="14">
        <f t="shared" si="33"/>
        <v>9.9887936505269994E-5</v>
      </c>
      <c r="F743">
        <v>103.15600000000001</v>
      </c>
      <c r="G743" s="1">
        <f t="shared" si="34"/>
        <v>105.68843100000001</v>
      </c>
    </row>
    <row r="744" spans="1:7" x14ac:dyDescent="0.3">
      <c r="A744">
        <v>7420</v>
      </c>
      <c r="B744">
        <v>1265.8</v>
      </c>
      <c r="C744">
        <v>113.91</v>
      </c>
      <c r="D744" s="15">
        <f t="shared" si="35"/>
        <v>1.7500000000012506E-4</v>
      </c>
      <c r="E744" s="14">
        <f t="shared" si="33"/>
        <v>9.9848747201879997E-5</v>
      </c>
      <c r="F744">
        <v>103.127</v>
      </c>
      <c r="G744" s="1">
        <f t="shared" si="34"/>
        <v>105.68730100000001</v>
      </c>
    </row>
    <row r="745" spans="1:7" x14ac:dyDescent="0.3">
      <c r="A745">
        <v>7430</v>
      </c>
      <c r="B745">
        <v>1261.2</v>
      </c>
      <c r="C745">
        <v>113.90900000000001</v>
      </c>
      <c r="D745" s="15">
        <f t="shared" si="35"/>
        <v>1.7500000000012506E-4</v>
      </c>
      <c r="E745" s="14">
        <f t="shared" si="33"/>
        <v>9.9809570581829986E-5</v>
      </c>
      <c r="F745">
        <v>103.098</v>
      </c>
      <c r="G745" s="1">
        <f t="shared" si="34"/>
        <v>105.686171</v>
      </c>
    </row>
    <row r="746" spans="1:7" x14ac:dyDescent="0.3">
      <c r="A746">
        <v>7440</v>
      </c>
      <c r="B746">
        <v>1256.5</v>
      </c>
      <c r="C746">
        <v>113.907</v>
      </c>
      <c r="D746" s="15">
        <f t="shared" si="35"/>
        <v>1.5000000000000568E-4</v>
      </c>
      <c r="E746" s="14">
        <f t="shared" si="33"/>
        <v>9.9770406645120004E-5</v>
      </c>
      <c r="F746">
        <v>103.068</v>
      </c>
      <c r="G746" s="1">
        <f t="shared" si="34"/>
        <v>105.685041</v>
      </c>
    </row>
    <row r="747" spans="1:7" x14ac:dyDescent="0.3">
      <c r="A747">
        <v>7450</v>
      </c>
      <c r="B747">
        <v>1252</v>
      </c>
      <c r="C747">
        <v>113.905</v>
      </c>
      <c r="D747" s="15">
        <f t="shared" si="35"/>
        <v>1.7500000000012506E-4</v>
      </c>
      <c r="E747" s="14">
        <f t="shared" si="33"/>
        <v>9.9731255391749996E-5</v>
      </c>
      <c r="F747">
        <v>103.039</v>
      </c>
      <c r="G747" s="1">
        <f t="shared" si="34"/>
        <v>105.68391100000001</v>
      </c>
    </row>
    <row r="748" spans="1:7" x14ac:dyDescent="0.3">
      <c r="A748">
        <v>7460</v>
      </c>
      <c r="B748">
        <v>1247.2</v>
      </c>
      <c r="C748">
        <v>113.904</v>
      </c>
      <c r="D748" s="15">
        <f t="shared" si="35"/>
        <v>1.5000000000000568E-4</v>
      </c>
      <c r="E748" s="14">
        <f t="shared" si="33"/>
        <v>9.9692116821719989E-5</v>
      </c>
      <c r="F748">
        <v>103.01</v>
      </c>
      <c r="G748" s="1">
        <f t="shared" si="34"/>
        <v>105.68278100000001</v>
      </c>
    </row>
    <row r="749" spans="1:7" x14ac:dyDescent="0.3">
      <c r="A749">
        <v>7470</v>
      </c>
      <c r="B749">
        <v>1242.5999999999999</v>
      </c>
      <c r="C749">
        <v>113.902</v>
      </c>
      <c r="D749" s="15">
        <f t="shared" si="35"/>
        <v>1.5000000000000568E-4</v>
      </c>
      <c r="E749" s="14">
        <f t="shared" si="33"/>
        <v>9.9652990935029996E-5</v>
      </c>
      <c r="F749">
        <v>102.98099999999999</v>
      </c>
      <c r="G749" s="1">
        <f t="shared" si="34"/>
        <v>105.681651</v>
      </c>
    </row>
    <row r="750" spans="1:7" x14ac:dyDescent="0.3">
      <c r="A750">
        <v>7480</v>
      </c>
      <c r="B750">
        <v>1237.9000000000001</v>
      </c>
      <c r="C750">
        <v>113.901</v>
      </c>
      <c r="D750" s="15">
        <f t="shared" si="35"/>
        <v>1.5000000000000568E-4</v>
      </c>
      <c r="E750" s="14">
        <f t="shared" si="33"/>
        <v>9.9613877731680005E-5</v>
      </c>
      <c r="F750">
        <v>102.95099999999999</v>
      </c>
      <c r="G750" s="1">
        <f t="shared" si="34"/>
        <v>105.680521</v>
      </c>
    </row>
    <row r="751" spans="1:7" x14ac:dyDescent="0.3">
      <c r="A751">
        <v>7490</v>
      </c>
      <c r="B751">
        <v>1233.0999999999999</v>
      </c>
      <c r="C751">
        <v>113.899</v>
      </c>
      <c r="D751" s="15">
        <f t="shared" si="35"/>
        <v>1.5000000000000568E-4</v>
      </c>
      <c r="E751" s="14">
        <f t="shared" si="33"/>
        <v>9.9574777211670001E-5</v>
      </c>
      <c r="F751">
        <v>102.922</v>
      </c>
      <c r="G751" s="1">
        <f t="shared" si="34"/>
        <v>105.67939100000001</v>
      </c>
    </row>
    <row r="752" spans="1:7" x14ac:dyDescent="0.3">
      <c r="A752">
        <v>7500</v>
      </c>
      <c r="B752">
        <v>1228.2</v>
      </c>
      <c r="C752">
        <v>113.898</v>
      </c>
      <c r="D752" s="15">
        <f t="shared" si="35"/>
        <v>1.5000000000000568E-4</v>
      </c>
      <c r="E752" s="14">
        <f t="shared" si="33"/>
        <v>9.9535689374999998E-5</v>
      </c>
      <c r="F752">
        <v>102.893</v>
      </c>
      <c r="G752" s="1">
        <f t="shared" si="34"/>
        <v>105.67826100000001</v>
      </c>
    </row>
    <row r="753" spans="1:7" x14ac:dyDescent="0.3">
      <c r="A753">
        <v>7510</v>
      </c>
      <c r="B753">
        <v>1223.3</v>
      </c>
      <c r="C753">
        <v>113.896</v>
      </c>
      <c r="D753" s="15">
        <f t="shared" si="35"/>
        <v>1.2499999999988632E-4</v>
      </c>
      <c r="E753" s="14">
        <f t="shared" si="33"/>
        <v>9.9496614221669997E-5</v>
      </c>
      <c r="F753">
        <v>102.864</v>
      </c>
      <c r="G753" s="1">
        <f t="shared" si="34"/>
        <v>105.677131</v>
      </c>
    </row>
    <row r="754" spans="1:7" x14ac:dyDescent="0.3">
      <c r="A754">
        <v>7520</v>
      </c>
      <c r="B754">
        <v>1218.5999999999999</v>
      </c>
      <c r="C754">
        <v>113.895</v>
      </c>
      <c r="D754" s="15">
        <f t="shared" si="35"/>
        <v>1.5000000000000568E-4</v>
      </c>
      <c r="E754" s="14">
        <f t="shared" si="33"/>
        <v>9.9457551751679996E-5</v>
      </c>
      <c r="F754">
        <v>102.83499999999999</v>
      </c>
      <c r="G754" s="1">
        <f t="shared" si="34"/>
        <v>105.676001</v>
      </c>
    </row>
    <row r="755" spans="1:7" x14ac:dyDescent="0.3">
      <c r="A755">
        <v>7530</v>
      </c>
      <c r="B755">
        <v>1213.7</v>
      </c>
      <c r="C755">
        <v>113.89400000000001</v>
      </c>
      <c r="D755" s="15">
        <f t="shared" si="35"/>
        <v>1.2499999999988632E-4</v>
      </c>
      <c r="E755" s="14">
        <f t="shared" si="33"/>
        <v>9.9418501965029997E-5</v>
      </c>
      <c r="F755">
        <v>102.806</v>
      </c>
      <c r="G755" s="1">
        <f t="shared" si="34"/>
        <v>105.674871</v>
      </c>
    </row>
    <row r="756" spans="1:7" x14ac:dyDescent="0.3">
      <c r="A756">
        <v>7540</v>
      </c>
      <c r="B756">
        <v>1208.9000000000001</v>
      </c>
      <c r="C756">
        <v>113.892</v>
      </c>
      <c r="D756" s="15">
        <f t="shared" si="35"/>
        <v>1.5000000000000568E-4</v>
      </c>
      <c r="E756" s="14">
        <f t="shared" si="33"/>
        <v>9.9379464861719998E-5</v>
      </c>
      <c r="F756">
        <v>102.776</v>
      </c>
      <c r="G756" s="1">
        <f t="shared" si="34"/>
        <v>105.67374100000001</v>
      </c>
    </row>
    <row r="757" spans="1:7" x14ac:dyDescent="0.3">
      <c r="A757">
        <v>7550</v>
      </c>
      <c r="B757">
        <v>1204.0999999999999</v>
      </c>
      <c r="C757">
        <v>113.89100000000001</v>
      </c>
      <c r="D757" s="15">
        <f t="shared" si="35"/>
        <v>1.5000000000000568E-4</v>
      </c>
      <c r="E757" s="14">
        <f t="shared" si="33"/>
        <v>9.9340440441750001E-5</v>
      </c>
      <c r="F757">
        <v>102.747</v>
      </c>
      <c r="G757" s="1">
        <f t="shared" si="34"/>
        <v>105.672611</v>
      </c>
    </row>
    <row r="758" spans="1:7" x14ac:dyDescent="0.3">
      <c r="A758">
        <v>7560</v>
      </c>
      <c r="B758">
        <v>1199.2</v>
      </c>
      <c r="C758">
        <v>113.889</v>
      </c>
      <c r="D758" s="15">
        <f t="shared" si="35"/>
        <v>1.2499999999988632E-4</v>
      </c>
      <c r="E758" s="14">
        <f t="shared" si="33"/>
        <v>9.9301428705120005E-5</v>
      </c>
      <c r="F758">
        <v>102.718</v>
      </c>
      <c r="G758" s="1">
        <f t="shared" si="34"/>
        <v>105.671481</v>
      </c>
    </row>
    <row r="759" spans="1:7" x14ac:dyDescent="0.3">
      <c r="A759">
        <v>7570</v>
      </c>
      <c r="B759">
        <v>1194.4000000000001</v>
      </c>
      <c r="C759">
        <v>113.88800000000001</v>
      </c>
      <c r="D759" s="15">
        <f t="shared" si="35"/>
        <v>1.5000000000000568E-4</v>
      </c>
      <c r="E759" s="14">
        <f t="shared" si="33"/>
        <v>9.9262429651829996E-5</v>
      </c>
      <c r="F759">
        <v>102.68899999999999</v>
      </c>
      <c r="G759" s="1">
        <f t="shared" si="34"/>
        <v>105.670351</v>
      </c>
    </row>
    <row r="760" spans="1:7" x14ac:dyDescent="0.3">
      <c r="A760">
        <v>7580</v>
      </c>
      <c r="B760">
        <v>1189.5999999999999</v>
      </c>
      <c r="C760">
        <v>113.887</v>
      </c>
      <c r="D760" s="15">
        <f t="shared" si="35"/>
        <v>1.2499999999988632E-4</v>
      </c>
      <c r="E760" s="14">
        <f t="shared" si="33"/>
        <v>9.9223443281879988E-5</v>
      </c>
      <c r="F760">
        <v>102.66</v>
      </c>
      <c r="G760" s="1">
        <f t="shared" si="34"/>
        <v>105.66922100000001</v>
      </c>
    </row>
    <row r="761" spans="1:7" x14ac:dyDescent="0.3">
      <c r="A761">
        <v>7590</v>
      </c>
      <c r="B761">
        <v>1184.8</v>
      </c>
      <c r="C761">
        <v>113.88500000000001</v>
      </c>
      <c r="D761" s="15">
        <f t="shared" si="35"/>
        <v>1.2500000000024159E-4</v>
      </c>
      <c r="E761" s="14">
        <f t="shared" si="33"/>
        <v>9.9184469595269996E-5</v>
      </c>
      <c r="F761">
        <v>102.631</v>
      </c>
      <c r="G761" s="1">
        <f t="shared" si="34"/>
        <v>105.668091</v>
      </c>
    </row>
    <row r="762" spans="1:7" x14ac:dyDescent="0.3">
      <c r="A762">
        <v>7600</v>
      </c>
      <c r="B762">
        <v>1180</v>
      </c>
      <c r="C762">
        <v>113.884</v>
      </c>
      <c r="D762" s="15">
        <f t="shared" si="35"/>
        <v>1.2499999999988632E-4</v>
      </c>
      <c r="E762" s="14">
        <f t="shared" si="33"/>
        <v>9.9145508592000004E-5</v>
      </c>
      <c r="F762">
        <v>102.602</v>
      </c>
      <c r="G762" s="1">
        <f t="shared" si="34"/>
        <v>105.666961</v>
      </c>
    </row>
    <row r="763" spans="1:7" x14ac:dyDescent="0.3">
      <c r="A763">
        <v>7610</v>
      </c>
      <c r="B763">
        <v>1175.3</v>
      </c>
      <c r="C763">
        <v>113.883</v>
      </c>
      <c r="D763" s="15">
        <f t="shared" si="35"/>
        <v>1.2500000000024159E-4</v>
      </c>
      <c r="E763" s="14">
        <f t="shared" si="33"/>
        <v>9.9106560272069986E-5</v>
      </c>
      <c r="F763">
        <v>102.572</v>
      </c>
      <c r="G763" s="1">
        <f t="shared" si="34"/>
        <v>105.665831</v>
      </c>
    </row>
    <row r="764" spans="1:7" x14ac:dyDescent="0.3">
      <c r="A764">
        <v>7620</v>
      </c>
      <c r="B764">
        <v>1170.5</v>
      </c>
      <c r="C764">
        <v>113.88200000000001</v>
      </c>
      <c r="D764" s="15">
        <f t="shared" si="35"/>
        <v>1.2499999999988632E-4</v>
      </c>
      <c r="E764" s="14">
        <f t="shared" si="33"/>
        <v>9.9067624635479996E-5</v>
      </c>
      <c r="F764">
        <v>102.54300000000001</v>
      </c>
      <c r="G764" s="1">
        <f t="shared" si="34"/>
        <v>105.66470100000001</v>
      </c>
    </row>
    <row r="765" spans="1:7" x14ac:dyDescent="0.3">
      <c r="A765">
        <v>7630</v>
      </c>
      <c r="B765">
        <v>1165.7</v>
      </c>
      <c r="C765">
        <v>113.88</v>
      </c>
      <c r="D765" s="15">
        <f t="shared" si="35"/>
        <v>1.2499999999988632E-4</v>
      </c>
      <c r="E765" s="14">
        <f t="shared" si="33"/>
        <v>9.9028701682229994E-5</v>
      </c>
      <c r="F765">
        <v>102.514</v>
      </c>
      <c r="G765" s="1">
        <f t="shared" si="34"/>
        <v>105.663571</v>
      </c>
    </row>
    <row r="766" spans="1:7" x14ac:dyDescent="0.3">
      <c r="A766">
        <v>7640</v>
      </c>
      <c r="B766">
        <v>1160.9000000000001</v>
      </c>
      <c r="C766">
        <v>113.879</v>
      </c>
      <c r="D766" s="15">
        <f t="shared" si="35"/>
        <v>1.2500000000024159E-4</v>
      </c>
      <c r="E766" s="14">
        <f t="shared" si="33"/>
        <v>9.8989791412319993E-5</v>
      </c>
      <c r="F766">
        <v>102.485</v>
      </c>
      <c r="G766" s="1">
        <f t="shared" si="34"/>
        <v>105.662441</v>
      </c>
    </row>
    <row r="767" spans="1:7" x14ac:dyDescent="0.3">
      <c r="A767">
        <v>7650</v>
      </c>
      <c r="B767">
        <v>1156.0999999999999</v>
      </c>
      <c r="C767">
        <v>113.878</v>
      </c>
      <c r="D767" s="15">
        <f t="shared" si="35"/>
        <v>1.2499999999988632E-4</v>
      </c>
      <c r="E767" s="14">
        <f t="shared" si="33"/>
        <v>9.8950893825749993E-5</v>
      </c>
      <c r="F767">
        <v>102.456</v>
      </c>
      <c r="G767" s="1">
        <f t="shared" si="34"/>
        <v>105.661311</v>
      </c>
    </row>
    <row r="768" spans="1:7" x14ac:dyDescent="0.3">
      <c r="A768">
        <v>7660</v>
      </c>
      <c r="B768">
        <v>1151.3</v>
      </c>
      <c r="C768">
        <v>113.877</v>
      </c>
      <c r="D768" s="15">
        <f t="shared" si="35"/>
        <v>1.2500000000024159E-4</v>
      </c>
      <c r="E768" s="14">
        <f t="shared" si="33"/>
        <v>9.8912008922519994E-5</v>
      </c>
      <c r="F768">
        <v>102.426</v>
      </c>
      <c r="G768" s="1">
        <f t="shared" si="34"/>
        <v>105.66018100000001</v>
      </c>
    </row>
    <row r="769" spans="1:7" x14ac:dyDescent="0.3">
      <c r="A769">
        <v>7670</v>
      </c>
      <c r="B769">
        <v>1146.4000000000001</v>
      </c>
      <c r="C769">
        <v>113.875</v>
      </c>
      <c r="D769" s="15">
        <f t="shared" si="35"/>
        <v>1.2499999999988632E-4</v>
      </c>
      <c r="E769" s="14">
        <f t="shared" si="33"/>
        <v>9.8873136702629997E-5</v>
      </c>
      <c r="F769">
        <v>102.39700000000001</v>
      </c>
      <c r="G769" s="1">
        <f t="shared" si="34"/>
        <v>105.65905100000001</v>
      </c>
    </row>
    <row r="770" spans="1:7" x14ac:dyDescent="0.3">
      <c r="A770">
        <v>7680</v>
      </c>
      <c r="B770">
        <v>1141.5</v>
      </c>
      <c r="C770">
        <v>113.874</v>
      </c>
      <c r="D770" s="15">
        <f t="shared" si="35"/>
        <v>1.2499999999988632E-4</v>
      </c>
      <c r="E770" s="14">
        <f t="shared" ref="E770:E833" si="36">0.0000000000000634167*A770*A770 - 0.0000000048594*A770 + 0.000132414</f>
        <v>9.883427716608E-5</v>
      </c>
      <c r="F770">
        <v>102.36799999999999</v>
      </c>
      <c r="G770" s="1">
        <f t="shared" si="34"/>
        <v>105.657921</v>
      </c>
    </row>
    <row r="771" spans="1:7" x14ac:dyDescent="0.3">
      <c r="A771">
        <v>7690</v>
      </c>
      <c r="B771">
        <v>1136.5999999999999</v>
      </c>
      <c r="C771">
        <v>113.873</v>
      </c>
      <c r="D771" s="15">
        <f t="shared" si="35"/>
        <v>1.0000000000012221E-4</v>
      </c>
      <c r="E771" s="14">
        <f t="shared" si="36"/>
        <v>9.8795430312869991E-5</v>
      </c>
      <c r="F771">
        <v>102.339</v>
      </c>
      <c r="G771" s="1">
        <f t="shared" ref="G771:G834" si="37">-0.000113*A771 + 106.525761</f>
        <v>105.656791</v>
      </c>
    </row>
    <row r="772" spans="1:7" x14ac:dyDescent="0.3">
      <c r="A772">
        <v>7700</v>
      </c>
      <c r="B772">
        <v>1131.8</v>
      </c>
      <c r="C772">
        <v>113.872</v>
      </c>
      <c r="D772" s="15">
        <f t="shared" si="35"/>
        <v>9.9999999999766942E-5</v>
      </c>
      <c r="E772" s="14">
        <f t="shared" si="36"/>
        <v>9.8756596142999997E-5</v>
      </c>
      <c r="F772">
        <v>102.309</v>
      </c>
      <c r="G772" s="1">
        <f t="shared" si="37"/>
        <v>105.65566100000001</v>
      </c>
    </row>
    <row r="773" spans="1:7" x14ac:dyDescent="0.3">
      <c r="A773">
        <v>7710</v>
      </c>
      <c r="B773">
        <v>1127.2</v>
      </c>
      <c r="C773">
        <v>113.871</v>
      </c>
      <c r="D773" s="15">
        <f t="shared" ref="D773:D836" si="38">(C771-C775)/(A775-A771)</f>
        <v>1.0000000000012221E-4</v>
      </c>
      <c r="E773" s="14">
        <f t="shared" si="36"/>
        <v>9.8717774656470003E-5</v>
      </c>
      <c r="F773">
        <v>102.28</v>
      </c>
      <c r="G773" s="1">
        <f t="shared" si="37"/>
        <v>105.65453100000001</v>
      </c>
    </row>
    <row r="774" spans="1:7" x14ac:dyDescent="0.3">
      <c r="A774">
        <v>7720</v>
      </c>
      <c r="B774">
        <v>1121.2</v>
      </c>
      <c r="C774">
        <v>113.87</v>
      </c>
      <c r="D774" s="15">
        <f t="shared" si="38"/>
        <v>1.2499999999988632E-4</v>
      </c>
      <c r="E774" s="14">
        <f t="shared" si="36"/>
        <v>9.8678965853279997E-5</v>
      </c>
      <c r="F774">
        <v>102.251</v>
      </c>
      <c r="G774" s="1">
        <f t="shared" si="37"/>
        <v>105.653401</v>
      </c>
    </row>
    <row r="775" spans="1:7" x14ac:dyDescent="0.3">
      <c r="A775">
        <v>7730</v>
      </c>
      <c r="B775">
        <v>1115.2</v>
      </c>
      <c r="C775">
        <v>113.869</v>
      </c>
      <c r="D775" s="15">
        <f t="shared" si="38"/>
        <v>1.2499999999988632E-4</v>
      </c>
      <c r="E775" s="14">
        <f t="shared" si="36"/>
        <v>9.8640169733429993E-5</v>
      </c>
      <c r="F775">
        <v>102.22199999999999</v>
      </c>
      <c r="G775" s="1">
        <f t="shared" si="37"/>
        <v>105.652271</v>
      </c>
    </row>
    <row r="776" spans="1:7" x14ac:dyDescent="0.3">
      <c r="A776">
        <v>7740</v>
      </c>
      <c r="B776">
        <v>1109.3</v>
      </c>
      <c r="C776">
        <v>113.867</v>
      </c>
      <c r="D776" s="15">
        <f t="shared" si="38"/>
        <v>1.2500000000024159E-4</v>
      </c>
      <c r="E776" s="14">
        <f t="shared" si="36"/>
        <v>9.8601386296919989E-5</v>
      </c>
      <c r="F776">
        <v>102.193</v>
      </c>
      <c r="G776" s="1">
        <f t="shared" si="37"/>
        <v>105.65114100000001</v>
      </c>
    </row>
    <row r="777" spans="1:7" x14ac:dyDescent="0.3">
      <c r="A777">
        <v>7750</v>
      </c>
      <c r="B777">
        <v>1103.3</v>
      </c>
      <c r="C777">
        <v>113.866</v>
      </c>
      <c r="D777" s="15">
        <f t="shared" si="38"/>
        <v>1.2499999999988632E-4</v>
      </c>
      <c r="E777" s="14">
        <f t="shared" si="36"/>
        <v>9.856261554375E-5</v>
      </c>
      <c r="F777">
        <v>102.164</v>
      </c>
      <c r="G777" s="1">
        <f t="shared" si="37"/>
        <v>105.65001100000001</v>
      </c>
    </row>
    <row r="778" spans="1:7" x14ac:dyDescent="0.3">
      <c r="A778">
        <v>7760</v>
      </c>
      <c r="B778">
        <v>1097.5</v>
      </c>
      <c r="C778">
        <v>113.86499999999999</v>
      </c>
      <c r="D778" s="15">
        <f t="shared" si="38"/>
        <v>1.0000000000012221E-4</v>
      </c>
      <c r="E778" s="14">
        <f t="shared" si="36"/>
        <v>9.8523857473919999E-5</v>
      </c>
      <c r="F778">
        <v>102.13500000000001</v>
      </c>
      <c r="G778" s="1">
        <f t="shared" si="37"/>
        <v>105.648881</v>
      </c>
    </row>
    <row r="779" spans="1:7" x14ac:dyDescent="0.3">
      <c r="A779">
        <v>7770</v>
      </c>
      <c r="B779">
        <v>1091.5</v>
      </c>
      <c r="C779">
        <v>113.864</v>
      </c>
      <c r="D779" s="15">
        <f t="shared" si="38"/>
        <v>1.0000000000012221E-4</v>
      </c>
      <c r="E779" s="14">
        <f t="shared" si="36"/>
        <v>9.8485112087429985E-5</v>
      </c>
      <c r="F779">
        <v>102.105</v>
      </c>
      <c r="G779" s="1">
        <f t="shared" si="37"/>
        <v>105.647751</v>
      </c>
    </row>
    <row r="780" spans="1:7" x14ac:dyDescent="0.3">
      <c r="A780">
        <v>7780</v>
      </c>
      <c r="B780">
        <v>1085.9000000000001</v>
      </c>
      <c r="C780">
        <v>113.863</v>
      </c>
      <c r="D780" s="15">
        <f t="shared" si="38"/>
        <v>9.9999999999766942E-5</v>
      </c>
      <c r="E780" s="14">
        <f t="shared" si="36"/>
        <v>9.8446379384279999E-5</v>
      </c>
      <c r="F780">
        <v>102.07599999999999</v>
      </c>
      <c r="G780" s="1">
        <f t="shared" si="37"/>
        <v>105.646621</v>
      </c>
    </row>
    <row r="781" spans="1:7" x14ac:dyDescent="0.3">
      <c r="A781">
        <v>7790</v>
      </c>
      <c r="B781">
        <v>1080</v>
      </c>
      <c r="C781">
        <v>113.86199999999999</v>
      </c>
      <c r="D781" s="15">
        <f t="shared" si="38"/>
        <v>1.0000000000012221E-4</v>
      </c>
      <c r="E781" s="14">
        <f t="shared" si="36"/>
        <v>9.8407659364469987E-5</v>
      </c>
      <c r="F781">
        <v>102.047</v>
      </c>
      <c r="G781" s="1">
        <f t="shared" si="37"/>
        <v>105.64549100000001</v>
      </c>
    </row>
    <row r="782" spans="1:7" x14ac:dyDescent="0.3">
      <c r="A782">
        <v>7800</v>
      </c>
      <c r="B782">
        <v>1074</v>
      </c>
      <c r="C782">
        <v>113.861</v>
      </c>
      <c r="D782" s="15">
        <f t="shared" si="38"/>
        <v>1.0000000000012221E-4</v>
      </c>
      <c r="E782" s="14">
        <f t="shared" si="36"/>
        <v>9.836895202799999E-5</v>
      </c>
      <c r="F782">
        <v>102.018</v>
      </c>
      <c r="G782" s="1">
        <f t="shared" si="37"/>
        <v>105.644361</v>
      </c>
    </row>
    <row r="783" spans="1:7" x14ac:dyDescent="0.3">
      <c r="A783">
        <v>7810</v>
      </c>
      <c r="B783">
        <v>1068</v>
      </c>
      <c r="C783">
        <v>113.86</v>
      </c>
      <c r="D783" s="15">
        <f t="shared" si="38"/>
        <v>9.9999999999766942E-5</v>
      </c>
      <c r="E783" s="14">
        <f t="shared" si="36"/>
        <v>9.8330257374869994E-5</v>
      </c>
      <c r="F783">
        <v>101.989</v>
      </c>
      <c r="G783" s="1">
        <f t="shared" si="37"/>
        <v>105.643231</v>
      </c>
    </row>
    <row r="784" spans="1:7" x14ac:dyDescent="0.3">
      <c r="A784">
        <v>7820</v>
      </c>
      <c r="B784">
        <v>1062.3</v>
      </c>
      <c r="C784">
        <v>113.85899999999999</v>
      </c>
      <c r="D784" s="15">
        <f t="shared" si="38"/>
        <v>1.0000000000012221E-4</v>
      </c>
      <c r="E784" s="14">
        <f t="shared" si="36"/>
        <v>9.8291575405079999E-5</v>
      </c>
      <c r="F784">
        <v>101.959</v>
      </c>
      <c r="G784" s="1">
        <f t="shared" si="37"/>
        <v>105.642101</v>
      </c>
    </row>
    <row r="785" spans="1:7" x14ac:dyDescent="0.3">
      <c r="A785">
        <v>7830</v>
      </c>
      <c r="B785">
        <v>1056.3</v>
      </c>
      <c r="C785">
        <v>113.858</v>
      </c>
      <c r="D785" s="15">
        <f t="shared" si="38"/>
        <v>1.0000000000012221E-4</v>
      </c>
      <c r="E785" s="14">
        <f t="shared" si="36"/>
        <v>9.8252906118629992E-5</v>
      </c>
      <c r="F785">
        <v>101.93</v>
      </c>
      <c r="G785" s="1">
        <f t="shared" si="37"/>
        <v>105.64097100000001</v>
      </c>
    </row>
    <row r="786" spans="1:7" x14ac:dyDescent="0.3">
      <c r="A786">
        <v>7840</v>
      </c>
      <c r="B786">
        <v>1050.4000000000001</v>
      </c>
      <c r="C786">
        <v>113.857</v>
      </c>
      <c r="D786" s="15">
        <f t="shared" si="38"/>
        <v>9.9999999999766942E-5</v>
      </c>
      <c r="E786" s="14">
        <f t="shared" si="36"/>
        <v>9.8214249515519986E-5</v>
      </c>
      <c r="F786">
        <v>101.901</v>
      </c>
      <c r="G786" s="1">
        <f t="shared" si="37"/>
        <v>105.639841</v>
      </c>
    </row>
    <row r="787" spans="1:7" x14ac:dyDescent="0.3">
      <c r="A787">
        <v>7850</v>
      </c>
      <c r="B787">
        <v>1044.5999999999999</v>
      </c>
      <c r="C787">
        <v>113.85599999999999</v>
      </c>
      <c r="D787" s="15">
        <f t="shared" si="38"/>
        <v>1.0000000000012221E-4</v>
      </c>
      <c r="E787" s="14">
        <f t="shared" si="36"/>
        <v>9.8175605595749994E-5</v>
      </c>
      <c r="F787">
        <v>101.872</v>
      </c>
      <c r="G787" s="1">
        <f t="shared" si="37"/>
        <v>105.638711</v>
      </c>
    </row>
    <row r="788" spans="1:7" x14ac:dyDescent="0.3">
      <c r="A788">
        <v>7860</v>
      </c>
      <c r="B788">
        <v>1038.5</v>
      </c>
      <c r="C788">
        <v>113.855</v>
      </c>
      <c r="D788" s="15">
        <f t="shared" si="38"/>
        <v>1.0000000000012221E-4</v>
      </c>
      <c r="E788" s="14">
        <f t="shared" si="36"/>
        <v>9.8136974359320004E-5</v>
      </c>
      <c r="F788">
        <v>101.842</v>
      </c>
      <c r="G788" s="1">
        <f t="shared" si="37"/>
        <v>105.637581</v>
      </c>
    </row>
    <row r="789" spans="1:7" x14ac:dyDescent="0.3">
      <c r="A789">
        <v>7870</v>
      </c>
      <c r="B789">
        <v>1032.5</v>
      </c>
      <c r="C789">
        <v>113.854</v>
      </c>
      <c r="D789" s="15">
        <f t="shared" si="38"/>
        <v>7.5000000000002839E-5</v>
      </c>
      <c r="E789" s="14">
        <f t="shared" si="36"/>
        <v>9.8098355806229987E-5</v>
      </c>
      <c r="F789">
        <v>101.81399999999999</v>
      </c>
      <c r="G789" s="1">
        <f t="shared" si="37"/>
        <v>105.63645100000001</v>
      </c>
    </row>
    <row r="790" spans="1:7" x14ac:dyDescent="0.3">
      <c r="A790">
        <v>7880</v>
      </c>
      <c r="B790">
        <v>1026.5999999999999</v>
      </c>
      <c r="C790">
        <v>113.85299999999999</v>
      </c>
      <c r="D790" s="15">
        <f t="shared" si="38"/>
        <v>7.5000000000002839E-5</v>
      </c>
      <c r="E790" s="14">
        <f t="shared" si="36"/>
        <v>9.8059749936479999E-5</v>
      </c>
      <c r="F790">
        <v>101.78400000000001</v>
      </c>
      <c r="G790" s="1">
        <f t="shared" si="37"/>
        <v>105.635321</v>
      </c>
    </row>
    <row r="791" spans="1:7" x14ac:dyDescent="0.3">
      <c r="A791">
        <v>7890</v>
      </c>
      <c r="B791">
        <v>1020.4</v>
      </c>
      <c r="C791">
        <v>113.85299999999999</v>
      </c>
      <c r="D791" s="15">
        <f t="shared" si="38"/>
        <v>7.5000000000002839E-5</v>
      </c>
      <c r="E791" s="14">
        <f t="shared" si="36"/>
        <v>9.8021156750069998E-5</v>
      </c>
      <c r="F791">
        <v>101.755</v>
      </c>
      <c r="G791" s="1">
        <f t="shared" si="37"/>
        <v>105.634191</v>
      </c>
    </row>
    <row r="792" spans="1:7" x14ac:dyDescent="0.3">
      <c r="A792">
        <v>7900</v>
      </c>
      <c r="B792">
        <v>1014.1</v>
      </c>
      <c r="C792">
        <v>113.852</v>
      </c>
      <c r="D792" s="15">
        <f t="shared" si="38"/>
        <v>7.5000000000002839E-5</v>
      </c>
      <c r="E792" s="14">
        <f t="shared" si="36"/>
        <v>9.7982576246999998E-5</v>
      </c>
      <c r="F792">
        <v>101.72499999999999</v>
      </c>
      <c r="G792" s="1">
        <f t="shared" si="37"/>
        <v>105.633061</v>
      </c>
    </row>
    <row r="793" spans="1:7" x14ac:dyDescent="0.3">
      <c r="A793">
        <v>7910</v>
      </c>
      <c r="B793">
        <v>1008</v>
      </c>
      <c r="C793">
        <v>113.851</v>
      </c>
      <c r="D793" s="15">
        <f t="shared" si="38"/>
        <v>9.9999999999766942E-5</v>
      </c>
      <c r="E793" s="14">
        <f t="shared" si="36"/>
        <v>9.7944008427269986E-5</v>
      </c>
      <c r="F793">
        <v>101.697</v>
      </c>
      <c r="G793" s="1">
        <f t="shared" si="37"/>
        <v>105.63193100000001</v>
      </c>
    </row>
    <row r="794" spans="1:7" x14ac:dyDescent="0.3">
      <c r="A794">
        <v>7920</v>
      </c>
      <c r="B794">
        <v>1001.6</v>
      </c>
      <c r="C794">
        <v>113.85</v>
      </c>
      <c r="D794" s="15">
        <f t="shared" si="38"/>
        <v>1.0000000000012221E-4</v>
      </c>
      <c r="E794" s="14">
        <f t="shared" si="36"/>
        <v>9.7905453290880002E-5</v>
      </c>
      <c r="F794">
        <v>101.667</v>
      </c>
      <c r="G794" s="1">
        <f t="shared" si="37"/>
        <v>105.63080100000001</v>
      </c>
    </row>
    <row r="795" spans="1:7" x14ac:dyDescent="0.3">
      <c r="A795">
        <v>7930</v>
      </c>
      <c r="B795">
        <v>995.3</v>
      </c>
      <c r="C795">
        <v>113.849</v>
      </c>
      <c r="D795" s="15">
        <f t="shared" si="38"/>
        <v>1.0000000000012221E-4</v>
      </c>
      <c r="E795" s="14">
        <f t="shared" si="36"/>
        <v>9.7866910837829992E-5</v>
      </c>
      <c r="F795">
        <v>101.63800000000001</v>
      </c>
      <c r="G795" s="1">
        <f t="shared" si="37"/>
        <v>105.629671</v>
      </c>
    </row>
    <row r="796" spans="1:7" x14ac:dyDescent="0.3">
      <c r="A796">
        <v>7940</v>
      </c>
      <c r="B796">
        <v>989.3</v>
      </c>
      <c r="C796">
        <v>113.848</v>
      </c>
      <c r="D796" s="15">
        <f t="shared" si="38"/>
        <v>7.5000000000002839E-5</v>
      </c>
      <c r="E796" s="14">
        <f t="shared" si="36"/>
        <v>9.7828381068119997E-5</v>
      </c>
      <c r="F796">
        <v>101.60899999999999</v>
      </c>
      <c r="G796" s="1">
        <f t="shared" si="37"/>
        <v>105.628541</v>
      </c>
    </row>
    <row r="797" spans="1:7" x14ac:dyDescent="0.3">
      <c r="A797">
        <v>7950</v>
      </c>
      <c r="B797">
        <v>982.8</v>
      </c>
      <c r="C797">
        <v>113.84699999999999</v>
      </c>
      <c r="D797" s="15">
        <f t="shared" si="38"/>
        <v>7.5000000000002839E-5</v>
      </c>
      <c r="E797" s="14">
        <f t="shared" si="36"/>
        <v>9.7789863981750003E-5</v>
      </c>
      <c r="F797">
        <v>101.58</v>
      </c>
      <c r="G797" s="1">
        <f t="shared" si="37"/>
        <v>105.62741100000001</v>
      </c>
    </row>
    <row r="798" spans="1:7" x14ac:dyDescent="0.3">
      <c r="A798">
        <v>7960</v>
      </c>
      <c r="B798">
        <v>976.3</v>
      </c>
      <c r="C798">
        <v>113.84699999999999</v>
      </c>
      <c r="D798" s="15">
        <f t="shared" si="38"/>
        <v>7.5000000000002839E-5</v>
      </c>
      <c r="E798" s="14">
        <f t="shared" si="36"/>
        <v>9.7751359578719996E-5</v>
      </c>
      <c r="F798">
        <v>101.551</v>
      </c>
      <c r="G798" s="1">
        <f t="shared" si="37"/>
        <v>105.62628100000001</v>
      </c>
    </row>
    <row r="799" spans="1:7" x14ac:dyDescent="0.3">
      <c r="A799">
        <v>7970</v>
      </c>
      <c r="B799">
        <v>969.8</v>
      </c>
      <c r="C799">
        <v>113.846</v>
      </c>
      <c r="D799" s="15">
        <f t="shared" si="38"/>
        <v>7.5000000000002839E-5</v>
      </c>
      <c r="E799" s="14">
        <f t="shared" si="36"/>
        <v>9.771286785902999E-5</v>
      </c>
      <c r="F799">
        <v>101.52200000000001</v>
      </c>
      <c r="G799" s="1">
        <f t="shared" si="37"/>
        <v>105.625151</v>
      </c>
    </row>
    <row r="800" spans="1:7" x14ac:dyDescent="0.3">
      <c r="A800">
        <v>7980</v>
      </c>
      <c r="B800">
        <v>963.3</v>
      </c>
      <c r="C800">
        <v>113.845</v>
      </c>
      <c r="D800" s="15">
        <f t="shared" si="38"/>
        <v>7.5000000000002839E-5</v>
      </c>
      <c r="E800" s="14">
        <f t="shared" si="36"/>
        <v>9.767438882268E-5</v>
      </c>
      <c r="F800">
        <v>101.492</v>
      </c>
      <c r="G800" s="1">
        <f t="shared" si="37"/>
        <v>105.624021</v>
      </c>
    </row>
    <row r="801" spans="1:7" x14ac:dyDescent="0.3">
      <c r="A801">
        <v>7990</v>
      </c>
      <c r="B801">
        <v>957.3</v>
      </c>
      <c r="C801">
        <v>113.84399999999999</v>
      </c>
      <c r="D801" s="15">
        <f t="shared" si="38"/>
        <v>7.5000000000002839E-5</v>
      </c>
      <c r="E801" s="14">
        <f t="shared" si="36"/>
        <v>9.7635922469669996E-5</v>
      </c>
      <c r="F801">
        <v>101.46299999999999</v>
      </c>
      <c r="G801" s="1">
        <f t="shared" si="37"/>
        <v>105.62289100000001</v>
      </c>
    </row>
    <row r="802" spans="1:7" x14ac:dyDescent="0.3">
      <c r="A802">
        <v>8000</v>
      </c>
      <c r="B802">
        <v>952.8</v>
      </c>
      <c r="C802">
        <v>113.84399999999999</v>
      </c>
      <c r="D802" s="15">
        <f t="shared" si="38"/>
        <v>7.5000000000002839E-5</v>
      </c>
      <c r="E802" s="14">
        <f t="shared" si="36"/>
        <v>9.7597468800000007E-5</v>
      </c>
      <c r="F802">
        <v>101.434</v>
      </c>
      <c r="G802" s="1">
        <f t="shared" si="37"/>
        <v>105.62176100000001</v>
      </c>
    </row>
    <row r="803" spans="1:7" x14ac:dyDescent="0.3">
      <c r="A803">
        <v>8010</v>
      </c>
      <c r="B803">
        <v>948.1</v>
      </c>
      <c r="C803">
        <v>113.843</v>
      </c>
      <c r="D803" s="15">
        <f t="shared" si="38"/>
        <v>7.5000000000002839E-5</v>
      </c>
      <c r="E803" s="14">
        <f t="shared" si="36"/>
        <v>9.7559027813670006E-5</v>
      </c>
      <c r="F803">
        <v>101.405</v>
      </c>
      <c r="G803" s="1">
        <f t="shared" si="37"/>
        <v>105.620631</v>
      </c>
    </row>
    <row r="804" spans="1:7" x14ac:dyDescent="0.3">
      <c r="A804">
        <v>8020</v>
      </c>
      <c r="B804">
        <v>943.4</v>
      </c>
      <c r="C804">
        <v>113.842</v>
      </c>
      <c r="D804" s="15">
        <f t="shared" si="38"/>
        <v>7.5000000000002839E-5</v>
      </c>
      <c r="E804" s="14">
        <f t="shared" si="36"/>
        <v>9.7520599510679992E-5</v>
      </c>
      <c r="F804">
        <v>101.376</v>
      </c>
      <c r="G804" s="1">
        <f t="shared" si="37"/>
        <v>105.619501</v>
      </c>
    </row>
    <row r="805" spans="1:7" x14ac:dyDescent="0.3">
      <c r="A805">
        <v>8030</v>
      </c>
      <c r="B805">
        <v>938.7</v>
      </c>
      <c r="C805">
        <v>113.84099999999999</v>
      </c>
      <c r="D805" s="15">
        <f t="shared" si="38"/>
        <v>7.5000000000002839E-5</v>
      </c>
      <c r="E805" s="14">
        <f t="shared" si="36"/>
        <v>9.7482183891029993E-5</v>
      </c>
      <c r="F805">
        <v>101.346</v>
      </c>
      <c r="G805" s="1">
        <f t="shared" si="37"/>
        <v>105.618371</v>
      </c>
    </row>
    <row r="806" spans="1:7" x14ac:dyDescent="0.3">
      <c r="A806">
        <v>8040</v>
      </c>
      <c r="B806">
        <v>937.4</v>
      </c>
      <c r="C806">
        <v>113.84099999999999</v>
      </c>
      <c r="D806" s="15">
        <f t="shared" si="38"/>
        <v>7.5000000000002839E-5</v>
      </c>
      <c r="E806" s="14">
        <f t="shared" si="36"/>
        <v>9.7443780954719995E-5</v>
      </c>
      <c r="F806">
        <v>101.334</v>
      </c>
      <c r="G806" s="1">
        <f t="shared" si="37"/>
        <v>105.61724100000001</v>
      </c>
    </row>
    <row r="807" spans="1:7" x14ac:dyDescent="0.3">
      <c r="A807">
        <v>8050</v>
      </c>
      <c r="B807">
        <v>944.3</v>
      </c>
      <c r="C807">
        <v>113.84</v>
      </c>
      <c r="D807" s="15">
        <f t="shared" si="38"/>
        <v>7.5000000000002839E-5</v>
      </c>
      <c r="E807" s="14">
        <f t="shared" si="36"/>
        <v>9.7405390701749999E-5</v>
      </c>
      <c r="F807">
        <v>101.35899999999999</v>
      </c>
      <c r="G807" s="1">
        <f t="shared" si="37"/>
        <v>105.616111</v>
      </c>
    </row>
    <row r="808" spans="1:7" x14ac:dyDescent="0.3">
      <c r="A808">
        <v>8060</v>
      </c>
      <c r="B808">
        <v>950.9</v>
      </c>
      <c r="C808">
        <v>113.839</v>
      </c>
      <c r="D808" s="15">
        <f t="shared" si="38"/>
        <v>7.5000000000002839E-5</v>
      </c>
      <c r="E808" s="14">
        <f t="shared" si="36"/>
        <v>9.7367013132119989E-5</v>
      </c>
      <c r="F808">
        <v>101.386</v>
      </c>
      <c r="G808" s="1">
        <f t="shared" si="37"/>
        <v>105.614981</v>
      </c>
    </row>
    <row r="809" spans="1:7" x14ac:dyDescent="0.3">
      <c r="A809">
        <v>8070</v>
      </c>
      <c r="B809">
        <v>957.6</v>
      </c>
      <c r="C809">
        <v>113.83799999999999</v>
      </c>
      <c r="D809" s="15">
        <f t="shared" si="38"/>
        <v>7.5000000000002839E-5</v>
      </c>
      <c r="E809" s="14">
        <f t="shared" si="36"/>
        <v>9.7328648245829995E-5</v>
      </c>
      <c r="F809">
        <v>101.41200000000001</v>
      </c>
      <c r="G809" s="1">
        <f t="shared" si="37"/>
        <v>105.613851</v>
      </c>
    </row>
    <row r="810" spans="1:7" x14ac:dyDescent="0.3">
      <c r="A810">
        <v>8080</v>
      </c>
      <c r="B810">
        <v>964.3</v>
      </c>
      <c r="C810">
        <v>113.83799999999999</v>
      </c>
      <c r="D810" s="15">
        <f t="shared" si="38"/>
        <v>7.5000000000002839E-5</v>
      </c>
      <c r="E810" s="14">
        <f t="shared" si="36"/>
        <v>9.7290296042880001E-5</v>
      </c>
      <c r="F810">
        <v>101.438</v>
      </c>
      <c r="G810" s="1">
        <f t="shared" si="37"/>
        <v>105.61272100000001</v>
      </c>
    </row>
    <row r="811" spans="1:7" x14ac:dyDescent="0.3">
      <c r="A811">
        <v>8090</v>
      </c>
      <c r="B811">
        <v>970.9</v>
      </c>
      <c r="C811">
        <v>113.837</v>
      </c>
      <c r="D811" s="15">
        <f t="shared" si="38"/>
        <v>4.9999999999883471E-5</v>
      </c>
      <c r="E811" s="14">
        <f t="shared" si="36"/>
        <v>9.7251956523269995E-5</v>
      </c>
      <c r="F811">
        <v>101.464</v>
      </c>
      <c r="G811" s="1">
        <f t="shared" si="37"/>
        <v>105.611591</v>
      </c>
    </row>
    <row r="812" spans="1:7" x14ac:dyDescent="0.3">
      <c r="A812">
        <v>8100</v>
      </c>
      <c r="B812">
        <v>977.5</v>
      </c>
      <c r="C812">
        <v>113.836</v>
      </c>
      <c r="D812" s="15">
        <f t="shared" si="38"/>
        <v>7.5000000000002839E-5</v>
      </c>
      <c r="E812" s="14">
        <f t="shared" si="36"/>
        <v>9.721362968699999E-5</v>
      </c>
      <c r="F812">
        <v>101.49</v>
      </c>
      <c r="G812" s="1">
        <f t="shared" si="37"/>
        <v>105.610461</v>
      </c>
    </row>
    <row r="813" spans="1:7" x14ac:dyDescent="0.3">
      <c r="A813">
        <v>8110</v>
      </c>
      <c r="B813">
        <v>984.2</v>
      </c>
      <c r="C813">
        <v>113.836</v>
      </c>
      <c r="D813" s="15">
        <f t="shared" si="38"/>
        <v>7.5000000000002839E-5</v>
      </c>
      <c r="E813" s="14">
        <f t="shared" si="36"/>
        <v>9.717531553407E-5</v>
      </c>
      <c r="F813">
        <v>101.51600000000001</v>
      </c>
      <c r="G813" s="1">
        <f t="shared" si="37"/>
        <v>105.609331</v>
      </c>
    </row>
    <row r="814" spans="1:7" x14ac:dyDescent="0.3">
      <c r="A814">
        <v>8120</v>
      </c>
      <c r="B814">
        <v>990.9</v>
      </c>
      <c r="C814">
        <v>113.83499999999999</v>
      </c>
      <c r="D814" s="15">
        <f t="shared" si="38"/>
        <v>4.9999999999883471E-5</v>
      </c>
      <c r="E814" s="14">
        <f t="shared" si="36"/>
        <v>9.7137014064479997E-5</v>
      </c>
      <c r="F814">
        <v>101.542</v>
      </c>
      <c r="G814" s="1">
        <f t="shared" si="37"/>
        <v>105.60820100000001</v>
      </c>
    </row>
    <row r="815" spans="1:7" x14ac:dyDescent="0.3">
      <c r="A815">
        <v>8130</v>
      </c>
      <c r="B815">
        <v>997.2</v>
      </c>
      <c r="C815">
        <v>113.834</v>
      </c>
      <c r="D815" s="15">
        <f t="shared" si="38"/>
        <v>7.5000000000002839E-5</v>
      </c>
      <c r="E815" s="14">
        <f t="shared" si="36"/>
        <v>9.7098725278229995E-5</v>
      </c>
      <c r="F815">
        <v>101.568</v>
      </c>
      <c r="G815" s="1">
        <f t="shared" si="37"/>
        <v>105.607071</v>
      </c>
    </row>
    <row r="816" spans="1:7" x14ac:dyDescent="0.3">
      <c r="A816">
        <v>8140</v>
      </c>
      <c r="B816">
        <v>1003.7</v>
      </c>
      <c r="C816">
        <v>113.834</v>
      </c>
      <c r="D816" s="15">
        <f t="shared" si="38"/>
        <v>7.5000000000002839E-5</v>
      </c>
      <c r="E816" s="14">
        <f t="shared" si="36"/>
        <v>9.7060449175319995E-5</v>
      </c>
      <c r="F816">
        <v>101.59399999999999</v>
      </c>
      <c r="G816" s="1">
        <f t="shared" si="37"/>
        <v>105.605941</v>
      </c>
    </row>
    <row r="817" spans="1:7" x14ac:dyDescent="0.3">
      <c r="A817">
        <v>8150</v>
      </c>
      <c r="B817">
        <v>1009.9</v>
      </c>
      <c r="C817">
        <v>113.833</v>
      </c>
      <c r="D817" s="15">
        <f t="shared" si="38"/>
        <v>5.0000000000238744E-5</v>
      </c>
      <c r="E817" s="14">
        <f t="shared" si="36"/>
        <v>9.7022185755749995E-5</v>
      </c>
      <c r="F817">
        <v>101.62</v>
      </c>
      <c r="G817" s="1">
        <f t="shared" si="37"/>
        <v>105.604811</v>
      </c>
    </row>
    <row r="818" spans="1:7" x14ac:dyDescent="0.3">
      <c r="A818">
        <v>8160</v>
      </c>
      <c r="B818">
        <v>1014.9</v>
      </c>
      <c r="C818">
        <v>113.83199999999999</v>
      </c>
      <c r="D818" s="15">
        <f t="shared" si="38"/>
        <v>7.5000000000002839E-5</v>
      </c>
      <c r="E818" s="14">
        <f t="shared" si="36"/>
        <v>9.6983935019519997E-5</v>
      </c>
      <c r="F818">
        <v>101.646</v>
      </c>
      <c r="G818" s="1">
        <f t="shared" si="37"/>
        <v>105.60368100000001</v>
      </c>
    </row>
    <row r="819" spans="1:7" x14ac:dyDescent="0.3">
      <c r="A819">
        <v>8170</v>
      </c>
      <c r="B819">
        <v>1019.1</v>
      </c>
      <c r="C819">
        <v>113.83199999999999</v>
      </c>
      <c r="D819" s="15">
        <f t="shared" si="38"/>
        <v>4.9999999999883471E-5</v>
      </c>
      <c r="E819" s="14">
        <f t="shared" si="36"/>
        <v>9.694569696663E-5</v>
      </c>
      <c r="F819">
        <v>101.672</v>
      </c>
      <c r="G819" s="1">
        <f t="shared" si="37"/>
        <v>105.60255100000001</v>
      </c>
    </row>
    <row r="820" spans="1:7" x14ac:dyDescent="0.3">
      <c r="A820">
        <v>8180</v>
      </c>
      <c r="B820">
        <v>1022.9</v>
      </c>
      <c r="C820">
        <v>113.831</v>
      </c>
      <c r="D820" s="15">
        <f t="shared" si="38"/>
        <v>4.9999999999883471E-5</v>
      </c>
      <c r="E820" s="14">
        <f t="shared" si="36"/>
        <v>9.690747159707999E-5</v>
      </c>
      <c r="F820">
        <v>101.69799999999999</v>
      </c>
      <c r="G820" s="1">
        <f t="shared" si="37"/>
        <v>105.601421</v>
      </c>
    </row>
    <row r="821" spans="1:7" x14ac:dyDescent="0.3">
      <c r="A821">
        <v>8190</v>
      </c>
      <c r="B821">
        <v>1028.3</v>
      </c>
      <c r="C821">
        <v>113.831</v>
      </c>
      <c r="D821" s="15">
        <f t="shared" si="38"/>
        <v>7.5000000000002839E-5</v>
      </c>
      <c r="E821" s="14">
        <f t="shared" si="36"/>
        <v>9.6869258910870008E-5</v>
      </c>
      <c r="F821">
        <v>101.724</v>
      </c>
      <c r="G821" s="1">
        <f t="shared" si="37"/>
        <v>105.600291</v>
      </c>
    </row>
    <row r="822" spans="1:7" x14ac:dyDescent="0.3">
      <c r="A822">
        <v>8200</v>
      </c>
      <c r="B822">
        <v>1033.8</v>
      </c>
      <c r="C822">
        <v>113.83</v>
      </c>
      <c r="D822" s="15">
        <f t="shared" si="38"/>
        <v>5.0000000000238744E-5</v>
      </c>
      <c r="E822" s="14">
        <f t="shared" si="36"/>
        <v>9.6831058908000001E-5</v>
      </c>
      <c r="F822">
        <v>101.75</v>
      </c>
      <c r="G822" s="1">
        <f t="shared" si="37"/>
        <v>105.59916100000001</v>
      </c>
    </row>
    <row r="823" spans="1:7" x14ac:dyDescent="0.3">
      <c r="A823">
        <v>8210</v>
      </c>
      <c r="B823">
        <v>1039.0999999999999</v>
      </c>
      <c r="C823">
        <v>113.82899999999999</v>
      </c>
      <c r="D823" s="15">
        <f t="shared" si="38"/>
        <v>7.5000000000002839E-5</v>
      </c>
      <c r="E823" s="14">
        <f t="shared" si="36"/>
        <v>9.6792871588469994E-5</v>
      </c>
      <c r="F823">
        <v>101.776</v>
      </c>
      <c r="G823" s="1">
        <f t="shared" si="37"/>
        <v>105.59803100000001</v>
      </c>
    </row>
    <row r="824" spans="1:7" x14ac:dyDescent="0.3">
      <c r="A824">
        <v>8220</v>
      </c>
      <c r="B824">
        <v>1044.5999999999999</v>
      </c>
      <c r="C824">
        <v>113.82899999999999</v>
      </c>
      <c r="D824" s="15">
        <f t="shared" si="38"/>
        <v>4.9999999999883471E-5</v>
      </c>
      <c r="E824" s="14">
        <f t="shared" si="36"/>
        <v>9.6754696952279989E-5</v>
      </c>
      <c r="F824">
        <v>101.80200000000001</v>
      </c>
      <c r="G824" s="1">
        <f t="shared" si="37"/>
        <v>105.596901</v>
      </c>
    </row>
    <row r="825" spans="1:7" x14ac:dyDescent="0.3">
      <c r="A825">
        <v>8230</v>
      </c>
      <c r="B825">
        <v>1049.9000000000001</v>
      </c>
      <c r="C825">
        <v>113.828</v>
      </c>
      <c r="D825" s="15">
        <f t="shared" si="38"/>
        <v>4.9999999999883471E-5</v>
      </c>
      <c r="E825" s="14">
        <f t="shared" si="36"/>
        <v>9.6716534999429998E-5</v>
      </c>
      <c r="F825">
        <v>101.82899999999999</v>
      </c>
      <c r="G825" s="1">
        <f t="shared" si="37"/>
        <v>105.595771</v>
      </c>
    </row>
    <row r="826" spans="1:7" x14ac:dyDescent="0.3">
      <c r="A826">
        <v>8240</v>
      </c>
      <c r="B826">
        <v>1055.2</v>
      </c>
      <c r="C826">
        <v>113.828</v>
      </c>
      <c r="D826" s="15">
        <f t="shared" si="38"/>
        <v>7.5000000000002839E-5</v>
      </c>
      <c r="E826" s="14">
        <f t="shared" si="36"/>
        <v>9.6678385729919995E-5</v>
      </c>
      <c r="F826">
        <v>101.854</v>
      </c>
      <c r="G826" s="1">
        <f t="shared" si="37"/>
        <v>105.594641</v>
      </c>
    </row>
    <row r="827" spans="1:7" x14ac:dyDescent="0.3">
      <c r="A827">
        <v>8250</v>
      </c>
      <c r="B827">
        <v>1060.5</v>
      </c>
      <c r="C827">
        <v>113.827</v>
      </c>
      <c r="D827" s="15">
        <f t="shared" si="38"/>
        <v>5.0000000000238744E-5</v>
      </c>
      <c r="E827" s="14">
        <f t="shared" si="36"/>
        <v>9.6640249143749993E-5</v>
      </c>
      <c r="F827">
        <v>101.88</v>
      </c>
      <c r="G827" s="1">
        <f t="shared" si="37"/>
        <v>105.59351100000001</v>
      </c>
    </row>
    <row r="828" spans="1:7" x14ac:dyDescent="0.3">
      <c r="A828">
        <v>8260</v>
      </c>
      <c r="B828">
        <v>1065.8</v>
      </c>
      <c r="C828">
        <v>113.82599999999999</v>
      </c>
      <c r="D828" s="15">
        <f t="shared" si="38"/>
        <v>7.5000000000002839E-5</v>
      </c>
      <c r="E828" s="14">
        <f t="shared" si="36"/>
        <v>9.6602125240919992E-5</v>
      </c>
      <c r="F828">
        <v>101.90600000000001</v>
      </c>
      <c r="G828" s="1">
        <f t="shared" si="37"/>
        <v>105.592381</v>
      </c>
    </row>
    <row r="829" spans="1:7" x14ac:dyDescent="0.3">
      <c r="A829">
        <v>8270</v>
      </c>
      <c r="B829">
        <v>1070.5999999999999</v>
      </c>
      <c r="C829">
        <v>113.82599999999999</v>
      </c>
      <c r="D829" s="15">
        <f t="shared" si="38"/>
        <v>4.9999999999883471E-5</v>
      </c>
      <c r="E829" s="14">
        <f t="shared" si="36"/>
        <v>9.6564014021430005E-5</v>
      </c>
      <c r="F829">
        <v>101.932</v>
      </c>
      <c r="G829" s="1">
        <f t="shared" si="37"/>
        <v>105.591251</v>
      </c>
    </row>
    <row r="830" spans="1:7" x14ac:dyDescent="0.3">
      <c r="A830">
        <v>8280</v>
      </c>
      <c r="B830">
        <v>1075.9000000000001</v>
      </c>
      <c r="C830">
        <v>113.825</v>
      </c>
      <c r="D830" s="15">
        <f t="shared" si="38"/>
        <v>4.9999999999883471E-5</v>
      </c>
      <c r="E830" s="14">
        <f t="shared" si="36"/>
        <v>9.6525915485280007E-5</v>
      </c>
      <c r="F830">
        <v>101.958</v>
      </c>
      <c r="G830" s="1">
        <f t="shared" si="37"/>
        <v>105.590121</v>
      </c>
    </row>
    <row r="831" spans="1:7" x14ac:dyDescent="0.3">
      <c r="A831">
        <v>8290</v>
      </c>
      <c r="B831">
        <v>1081.0999999999999</v>
      </c>
      <c r="C831">
        <v>113.825</v>
      </c>
      <c r="D831" s="15">
        <f t="shared" si="38"/>
        <v>4.9999999999883471E-5</v>
      </c>
      <c r="E831" s="14">
        <f t="shared" si="36"/>
        <v>9.6487829632469995E-5</v>
      </c>
      <c r="F831">
        <v>101.98399999999999</v>
      </c>
      <c r="G831" s="1">
        <f t="shared" si="37"/>
        <v>105.58899100000001</v>
      </c>
    </row>
    <row r="832" spans="1:7" x14ac:dyDescent="0.3">
      <c r="A832">
        <v>8300</v>
      </c>
      <c r="B832">
        <v>1086.0999999999999</v>
      </c>
      <c r="C832">
        <v>113.824</v>
      </c>
      <c r="D832" s="15">
        <f t="shared" si="38"/>
        <v>5.0000000000238744E-5</v>
      </c>
      <c r="E832" s="14">
        <f t="shared" si="36"/>
        <v>9.6449756462999985E-5</v>
      </c>
      <c r="F832">
        <v>102.01</v>
      </c>
      <c r="G832" s="1">
        <f t="shared" si="37"/>
        <v>105.587861</v>
      </c>
    </row>
    <row r="833" spans="1:7" x14ac:dyDescent="0.3">
      <c r="A833">
        <v>8310</v>
      </c>
      <c r="B833">
        <v>1090.3</v>
      </c>
      <c r="C833">
        <v>113.824</v>
      </c>
      <c r="D833" s="15">
        <f t="shared" si="38"/>
        <v>7.5000000000002839E-5</v>
      </c>
      <c r="E833" s="14">
        <f t="shared" si="36"/>
        <v>9.641169597686999E-5</v>
      </c>
      <c r="F833">
        <v>102.036</v>
      </c>
      <c r="G833" s="1">
        <f t="shared" si="37"/>
        <v>105.586731</v>
      </c>
    </row>
    <row r="834" spans="1:7" x14ac:dyDescent="0.3">
      <c r="A834">
        <v>8320</v>
      </c>
      <c r="B834">
        <v>1093.9000000000001</v>
      </c>
      <c r="C834">
        <v>113.82299999999999</v>
      </c>
      <c r="D834" s="15">
        <f t="shared" si="38"/>
        <v>4.9999999999883471E-5</v>
      </c>
      <c r="E834" s="14">
        <f t="shared" ref="E834:E897" si="39">0.0000000000000634167*A834*A834 - 0.0000000048594*A834 + 0.000132414</f>
        <v>9.6373648174079995E-5</v>
      </c>
      <c r="F834">
        <v>102.063</v>
      </c>
      <c r="G834" s="1">
        <f t="shared" si="37"/>
        <v>105.585601</v>
      </c>
    </row>
    <row r="835" spans="1:7" x14ac:dyDescent="0.3">
      <c r="A835">
        <v>8330</v>
      </c>
      <c r="B835">
        <v>1098.2</v>
      </c>
      <c r="C835">
        <v>113.822</v>
      </c>
      <c r="D835" s="15">
        <f t="shared" si="38"/>
        <v>7.5000000000002839E-5</v>
      </c>
      <c r="E835" s="14">
        <f t="shared" si="39"/>
        <v>9.6335613054630002E-5</v>
      </c>
      <c r="F835">
        <v>102.08799999999999</v>
      </c>
      <c r="G835" s="1">
        <f t="shared" ref="G835:G898" si="40">-0.000113*A835 + 106.525761</f>
        <v>105.58447100000001</v>
      </c>
    </row>
    <row r="836" spans="1:7" x14ac:dyDescent="0.3">
      <c r="A836">
        <v>8340</v>
      </c>
      <c r="B836">
        <v>1103</v>
      </c>
      <c r="C836">
        <v>113.822</v>
      </c>
      <c r="D836" s="15">
        <f t="shared" si="38"/>
        <v>4.9999999999883471E-5</v>
      </c>
      <c r="E836" s="14">
        <f t="shared" si="39"/>
        <v>9.6297590618519996E-5</v>
      </c>
      <c r="F836">
        <v>102.11499999999999</v>
      </c>
      <c r="G836" s="1">
        <f t="shared" si="40"/>
        <v>105.583341</v>
      </c>
    </row>
    <row r="837" spans="1:7" x14ac:dyDescent="0.3">
      <c r="A837">
        <v>8350</v>
      </c>
      <c r="B837">
        <v>1107.5999999999999</v>
      </c>
      <c r="C837">
        <v>113.821</v>
      </c>
      <c r="D837" s="15">
        <f t="shared" ref="D837:D900" si="41">(C835-C839)/(A839-A835)</f>
        <v>5.0000000000238744E-5</v>
      </c>
      <c r="E837" s="14">
        <f t="shared" si="39"/>
        <v>9.6259580865749991E-5</v>
      </c>
      <c r="F837">
        <v>102.14</v>
      </c>
      <c r="G837" s="1">
        <f t="shared" si="40"/>
        <v>105.582211</v>
      </c>
    </row>
    <row r="838" spans="1:7" x14ac:dyDescent="0.3">
      <c r="A838">
        <v>8360</v>
      </c>
      <c r="B838">
        <v>1112.3</v>
      </c>
      <c r="C838">
        <v>113.821</v>
      </c>
      <c r="D838" s="15">
        <f t="shared" si="41"/>
        <v>5.0000000000238744E-5</v>
      </c>
      <c r="E838" s="14">
        <f t="shared" si="39"/>
        <v>9.6221583796320001E-5</v>
      </c>
      <c r="F838">
        <v>102.166</v>
      </c>
      <c r="G838" s="1">
        <f t="shared" si="40"/>
        <v>105.581081</v>
      </c>
    </row>
    <row r="839" spans="1:7" x14ac:dyDescent="0.3">
      <c r="A839">
        <v>8370</v>
      </c>
      <c r="B839">
        <v>1116.9000000000001</v>
      </c>
      <c r="C839">
        <v>113.82</v>
      </c>
      <c r="D839" s="15">
        <f t="shared" si="41"/>
        <v>4.9999999999883471E-5</v>
      </c>
      <c r="E839" s="14">
        <f t="shared" si="39"/>
        <v>9.6183599410229985E-5</v>
      </c>
      <c r="F839">
        <v>102.19199999999999</v>
      </c>
      <c r="G839" s="1">
        <f t="shared" si="40"/>
        <v>105.57995100000001</v>
      </c>
    </row>
    <row r="840" spans="1:7" x14ac:dyDescent="0.3">
      <c r="A840">
        <v>8380</v>
      </c>
      <c r="B840">
        <v>1121.4000000000001</v>
      </c>
      <c r="C840">
        <v>113.82</v>
      </c>
      <c r="D840" s="15">
        <f t="shared" si="41"/>
        <v>4.9999999999883471E-5</v>
      </c>
      <c r="E840" s="14">
        <f t="shared" si="39"/>
        <v>9.6145627707479997E-5</v>
      </c>
      <c r="F840">
        <v>102.218</v>
      </c>
      <c r="G840" s="1">
        <f t="shared" si="40"/>
        <v>105.578821</v>
      </c>
    </row>
    <row r="841" spans="1:7" x14ac:dyDescent="0.3">
      <c r="A841">
        <v>8390</v>
      </c>
      <c r="B841">
        <v>1125.3</v>
      </c>
      <c r="C841">
        <v>113.819</v>
      </c>
      <c r="D841" s="15">
        <f t="shared" si="41"/>
        <v>4.9999999999883471E-5</v>
      </c>
      <c r="E841" s="14">
        <f t="shared" si="39"/>
        <v>9.6107668688069997E-5</v>
      </c>
      <c r="F841">
        <v>102.245</v>
      </c>
      <c r="G841" s="1">
        <f t="shared" si="40"/>
        <v>105.577691</v>
      </c>
    </row>
    <row r="842" spans="1:7" x14ac:dyDescent="0.3">
      <c r="A842">
        <v>8400</v>
      </c>
      <c r="B842">
        <v>1127.7</v>
      </c>
      <c r="C842">
        <v>113.819</v>
      </c>
      <c r="D842" s="15">
        <f t="shared" si="41"/>
        <v>4.9999999999883471E-5</v>
      </c>
      <c r="E842" s="14">
        <f t="shared" si="39"/>
        <v>9.6069722351999997E-5</v>
      </c>
      <c r="F842">
        <v>102.27</v>
      </c>
      <c r="G842" s="1">
        <f t="shared" si="40"/>
        <v>105.576561</v>
      </c>
    </row>
    <row r="843" spans="1:7" x14ac:dyDescent="0.3">
      <c r="A843">
        <v>8410</v>
      </c>
      <c r="B843">
        <v>1130.4000000000001</v>
      </c>
      <c r="C843">
        <v>113.818</v>
      </c>
      <c r="D843" s="15">
        <f t="shared" si="41"/>
        <v>5.0000000000238744E-5</v>
      </c>
      <c r="E843" s="14">
        <f t="shared" si="39"/>
        <v>9.6031788699269986E-5</v>
      </c>
      <c r="F843">
        <v>102.29600000000001</v>
      </c>
      <c r="G843" s="1">
        <f t="shared" si="40"/>
        <v>105.57543100000001</v>
      </c>
    </row>
    <row r="844" spans="1:7" x14ac:dyDescent="0.3">
      <c r="A844">
        <v>8420</v>
      </c>
      <c r="B844">
        <v>1133.5</v>
      </c>
      <c r="C844">
        <v>113.818</v>
      </c>
      <c r="D844" s="15">
        <f t="shared" si="41"/>
        <v>5.0000000000238744E-5</v>
      </c>
      <c r="E844" s="14">
        <f t="shared" si="39"/>
        <v>9.5993867729880002E-5</v>
      </c>
      <c r="F844">
        <v>102.322</v>
      </c>
      <c r="G844" s="1">
        <f t="shared" si="40"/>
        <v>105.57430100000001</v>
      </c>
    </row>
    <row r="845" spans="1:7" x14ac:dyDescent="0.3">
      <c r="A845">
        <v>8430</v>
      </c>
      <c r="B845">
        <v>1135.8</v>
      </c>
      <c r="C845">
        <v>113.81699999999999</v>
      </c>
      <c r="D845" s="15">
        <f t="shared" si="41"/>
        <v>4.9999999999883471E-5</v>
      </c>
      <c r="E845" s="14">
        <f t="shared" si="39"/>
        <v>9.5955959443829993E-5</v>
      </c>
      <c r="F845">
        <v>102.348</v>
      </c>
      <c r="G845" s="1">
        <f t="shared" si="40"/>
        <v>105.573171</v>
      </c>
    </row>
    <row r="846" spans="1:7" x14ac:dyDescent="0.3">
      <c r="A846">
        <v>8440</v>
      </c>
      <c r="B846">
        <v>1138.2</v>
      </c>
      <c r="C846">
        <v>113.81699999999999</v>
      </c>
      <c r="D846" s="15">
        <f t="shared" si="41"/>
        <v>7.5000000000002839E-5</v>
      </c>
      <c r="E846" s="14">
        <f t="shared" si="39"/>
        <v>9.5918063841119998E-5</v>
      </c>
      <c r="F846">
        <v>102.375</v>
      </c>
      <c r="G846" s="1">
        <f t="shared" si="40"/>
        <v>105.572041</v>
      </c>
    </row>
    <row r="847" spans="1:7" x14ac:dyDescent="0.3">
      <c r="A847">
        <v>8450</v>
      </c>
      <c r="B847">
        <v>1135.7</v>
      </c>
      <c r="C847">
        <v>113.816</v>
      </c>
      <c r="D847" s="15">
        <f t="shared" si="41"/>
        <v>4.9999999999883471E-5</v>
      </c>
      <c r="E847" s="14">
        <f t="shared" si="39"/>
        <v>9.588018092174999E-5</v>
      </c>
      <c r="F847">
        <v>102.4</v>
      </c>
      <c r="G847" s="1">
        <f t="shared" si="40"/>
        <v>105.57091100000001</v>
      </c>
    </row>
    <row r="848" spans="1:7" x14ac:dyDescent="0.3">
      <c r="A848">
        <v>8460</v>
      </c>
      <c r="B848">
        <v>1132</v>
      </c>
      <c r="C848">
        <v>113.815</v>
      </c>
      <c r="D848" s="15">
        <f t="shared" si="41"/>
        <v>7.5000000000002839E-5</v>
      </c>
      <c r="E848" s="14">
        <f t="shared" si="39"/>
        <v>9.5842310685719998E-5</v>
      </c>
      <c r="F848">
        <v>102.42700000000001</v>
      </c>
      <c r="G848" s="1">
        <f t="shared" si="40"/>
        <v>105.56978100000001</v>
      </c>
    </row>
    <row r="849" spans="1:7" x14ac:dyDescent="0.3">
      <c r="A849">
        <v>8470</v>
      </c>
      <c r="B849">
        <v>1134.5999999999999</v>
      </c>
      <c r="C849">
        <v>113.815</v>
      </c>
      <c r="D849" s="15">
        <f t="shared" si="41"/>
        <v>5.0000000000238744E-5</v>
      </c>
      <c r="E849" s="14">
        <f t="shared" si="39"/>
        <v>9.5804453133029993E-5</v>
      </c>
      <c r="F849">
        <v>102.452</v>
      </c>
      <c r="G849" s="1">
        <f t="shared" si="40"/>
        <v>105.568651</v>
      </c>
    </row>
    <row r="850" spans="1:7" x14ac:dyDescent="0.3">
      <c r="A850">
        <v>8480</v>
      </c>
      <c r="B850">
        <v>1137.5999999999999</v>
      </c>
      <c r="C850">
        <v>113.81399999999999</v>
      </c>
      <c r="D850" s="15">
        <f t="shared" si="41"/>
        <v>4.9999999999883471E-5</v>
      </c>
      <c r="E850" s="14">
        <f t="shared" si="39"/>
        <v>9.5766608263679988E-5</v>
      </c>
      <c r="F850">
        <v>102.47799999999999</v>
      </c>
      <c r="G850" s="1">
        <f t="shared" si="40"/>
        <v>105.567521</v>
      </c>
    </row>
    <row r="851" spans="1:7" x14ac:dyDescent="0.3">
      <c r="A851">
        <v>8490</v>
      </c>
      <c r="B851">
        <v>1140</v>
      </c>
      <c r="C851">
        <v>113.81399999999999</v>
      </c>
      <c r="D851" s="15">
        <f t="shared" si="41"/>
        <v>4.9999999999883471E-5</v>
      </c>
      <c r="E851" s="14">
        <f t="shared" si="39"/>
        <v>9.5728776077669985E-5</v>
      </c>
      <c r="F851">
        <v>102.505</v>
      </c>
      <c r="G851" s="1">
        <f t="shared" si="40"/>
        <v>105.566391</v>
      </c>
    </row>
    <row r="852" spans="1:7" x14ac:dyDescent="0.3">
      <c r="A852">
        <v>8500</v>
      </c>
      <c r="B852">
        <v>1142.7</v>
      </c>
      <c r="C852">
        <v>113.813</v>
      </c>
      <c r="D852" s="15">
        <f t="shared" si="41"/>
        <v>2.4999999999764099E-5</v>
      </c>
      <c r="E852" s="14">
        <f t="shared" si="39"/>
        <v>9.5690956574999997E-5</v>
      </c>
      <c r="F852">
        <v>102.53</v>
      </c>
      <c r="G852" s="1">
        <f t="shared" si="40"/>
        <v>105.56526100000001</v>
      </c>
    </row>
    <row r="853" spans="1:7" x14ac:dyDescent="0.3">
      <c r="A853">
        <v>8510</v>
      </c>
      <c r="B853">
        <v>1144.5</v>
      </c>
      <c r="C853">
        <v>113.813</v>
      </c>
      <c r="D853" s="15">
        <f t="shared" si="41"/>
        <v>4.9999999999883471E-5</v>
      </c>
      <c r="E853" s="14">
        <f t="shared" si="39"/>
        <v>9.5653149755669996E-5</v>
      </c>
      <c r="F853">
        <v>102.557</v>
      </c>
      <c r="G853" s="1">
        <f t="shared" si="40"/>
        <v>105.564131</v>
      </c>
    </row>
    <row r="854" spans="1:7" x14ac:dyDescent="0.3">
      <c r="A854">
        <v>8520</v>
      </c>
      <c r="B854">
        <v>1146.5999999999999</v>
      </c>
      <c r="C854">
        <v>113.813</v>
      </c>
      <c r="D854" s="15">
        <f t="shared" si="41"/>
        <v>2.5000000000119372E-5</v>
      </c>
      <c r="E854" s="14">
        <f t="shared" si="39"/>
        <v>9.5615355619679997E-5</v>
      </c>
      <c r="F854">
        <v>102.583</v>
      </c>
      <c r="G854" s="1">
        <f t="shared" si="40"/>
        <v>105.563001</v>
      </c>
    </row>
    <row r="855" spans="1:7" x14ac:dyDescent="0.3">
      <c r="A855">
        <v>8530</v>
      </c>
      <c r="B855">
        <v>1149.8</v>
      </c>
      <c r="C855">
        <v>113.812</v>
      </c>
      <c r="D855" s="15">
        <f t="shared" si="41"/>
        <v>4.9999999999883471E-5</v>
      </c>
      <c r="E855" s="14">
        <f t="shared" si="39"/>
        <v>9.5577574167029998E-5</v>
      </c>
      <c r="F855">
        <v>102.608</v>
      </c>
      <c r="G855" s="1">
        <f t="shared" si="40"/>
        <v>105.561871</v>
      </c>
    </row>
    <row r="856" spans="1:7" x14ac:dyDescent="0.3">
      <c r="A856">
        <v>8540</v>
      </c>
      <c r="B856">
        <v>1152.5</v>
      </c>
      <c r="C856">
        <v>113.812</v>
      </c>
      <c r="D856" s="15">
        <f t="shared" si="41"/>
        <v>4.9999999999883471E-5</v>
      </c>
      <c r="E856" s="14">
        <f t="shared" si="39"/>
        <v>9.553980539772E-5</v>
      </c>
      <c r="F856">
        <v>102.63500000000001</v>
      </c>
      <c r="G856" s="1">
        <f t="shared" si="40"/>
        <v>105.56074100000001</v>
      </c>
    </row>
    <row r="857" spans="1:7" x14ac:dyDescent="0.3">
      <c r="A857">
        <v>8550</v>
      </c>
      <c r="B857">
        <v>1155.0999999999999</v>
      </c>
      <c r="C857">
        <v>113.81100000000001</v>
      </c>
      <c r="D857" s="15">
        <f t="shared" si="41"/>
        <v>4.9999999999883471E-5</v>
      </c>
      <c r="E857" s="14">
        <f t="shared" si="39"/>
        <v>9.5502049311749991E-5</v>
      </c>
      <c r="F857">
        <v>102.66</v>
      </c>
      <c r="G857" s="1">
        <f t="shared" si="40"/>
        <v>105.559611</v>
      </c>
    </row>
    <row r="858" spans="1:7" x14ac:dyDescent="0.3">
      <c r="A858">
        <v>8560</v>
      </c>
      <c r="B858">
        <v>1157.0999999999999</v>
      </c>
      <c r="C858">
        <v>113.81100000000001</v>
      </c>
      <c r="D858" s="15">
        <f t="shared" si="41"/>
        <v>4.9999999999883471E-5</v>
      </c>
      <c r="E858" s="14">
        <f t="shared" si="39"/>
        <v>9.5464305909119995E-5</v>
      </c>
      <c r="F858">
        <v>102.68600000000001</v>
      </c>
      <c r="G858" s="1">
        <f t="shared" si="40"/>
        <v>105.558481</v>
      </c>
    </row>
    <row r="859" spans="1:7" x14ac:dyDescent="0.3">
      <c r="A859">
        <v>8570</v>
      </c>
      <c r="B859">
        <v>1155.2</v>
      </c>
      <c r="C859">
        <v>113.81</v>
      </c>
      <c r="D859" s="15">
        <f t="shared" si="41"/>
        <v>5.0000000000238744E-5</v>
      </c>
      <c r="E859" s="14">
        <f t="shared" si="39"/>
        <v>9.5426575189830001E-5</v>
      </c>
      <c r="F859">
        <v>102.71299999999999</v>
      </c>
      <c r="G859" s="1">
        <f t="shared" si="40"/>
        <v>105.557351</v>
      </c>
    </row>
    <row r="860" spans="1:7" x14ac:dyDescent="0.3">
      <c r="A860">
        <v>8580</v>
      </c>
      <c r="B860">
        <v>1156.5</v>
      </c>
      <c r="C860">
        <v>113.81</v>
      </c>
      <c r="D860" s="15">
        <f t="shared" si="41"/>
        <v>5.0000000000238744E-5</v>
      </c>
      <c r="E860" s="14">
        <f t="shared" si="39"/>
        <v>9.5388857153879994E-5</v>
      </c>
      <c r="F860">
        <v>102.738</v>
      </c>
      <c r="G860" s="1">
        <f t="shared" si="40"/>
        <v>105.55622100000001</v>
      </c>
    </row>
    <row r="861" spans="1:7" x14ac:dyDescent="0.3">
      <c r="A861">
        <v>8590</v>
      </c>
      <c r="B861">
        <v>1159.4000000000001</v>
      </c>
      <c r="C861">
        <v>113.809</v>
      </c>
      <c r="D861" s="15">
        <f t="shared" si="41"/>
        <v>4.9999999999883471E-5</v>
      </c>
      <c r="E861" s="14">
        <f t="shared" si="39"/>
        <v>9.5351151801269989E-5</v>
      </c>
      <c r="F861">
        <v>102.765</v>
      </c>
      <c r="G861" s="1">
        <f t="shared" si="40"/>
        <v>105.555091</v>
      </c>
    </row>
    <row r="862" spans="1:7" x14ac:dyDescent="0.3">
      <c r="A862">
        <v>8600</v>
      </c>
      <c r="B862">
        <v>1162.2</v>
      </c>
      <c r="C862">
        <v>113.809</v>
      </c>
      <c r="D862" s="15">
        <f t="shared" si="41"/>
        <v>4.9999999999883471E-5</v>
      </c>
      <c r="E862" s="14">
        <f t="shared" si="39"/>
        <v>9.5313459131999998E-5</v>
      </c>
      <c r="F862">
        <v>102.791</v>
      </c>
      <c r="G862" s="1">
        <f t="shared" si="40"/>
        <v>105.553961</v>
      </c>
    </row>
    <row r="863" spans="1:7" x14ac:dyDescent="0.3">
      <c r="A863">
        <v>8610</v>
      </c>
      <c r="B863">
        <v>1166</v>
      </c>
      <c r="C863">
        <v>113.80800000000001</v>
      </c>
      <c r="D863" s="15">
        <f t="shared" si="41"/>
        <v>4.9999999999883471E-5</v>
      </c>
      <c r="E863" s="14">
        <f t="shared" si="39"/>
        <v>9.5275779146070008E-5</v>
      </c>
      <c r="F863">
        <v>102.816</v>
      </c>
      <c r="G863" s="1">
        <f t="shared" si="40"/>
        <v>105.552831</v>
      </c>
    </row>
    <row r="864" spans="1:7" x14ac:dyDescent="0.3">
      <c r="A864">
        <v>8620</v>
      </c>
      <c r="B864">
        <v>1169.7</v>
      </c>
      <c r="C864">
        <v>113.80800000000001</v>
      </c>
      <c r="D864" s="15">
        <f t="shared" si="41"/>
        <v>4.9999999999883471E-5</v>
      </c>
      <c r="E864" s="14">
        <f t="shared" si="39"/>
        <v>9.5238111843479992E-5</v>
      </c>
      <c r="F864">
        <v>102.843</v>
      </c>
      <c r="G864" s="1">
        <f t="shared" si="40"/>
        <v>105.55170100000001</v>
      </c>
    </row>
    <row r="865" spans="1:7" x14ac:dyDescent="0.3">
      <c r="A865">
        <v>8630</v>
      </c>
      <c r="B865">
        <v>1173.5999999999999</v>
      </c>
      <c r="C865">
        <v>113.807</v>
      </c>
      <c r="D865" s="15">
        <f t="shared" si="41"/>
        <v>5.0000000000238744E-5</v>
      </c>
      <c r="E865" s="14">
        <f t="shared" si="39"/>
        <v>9.5200457224230004E-5</v>
      </c>
      <c r="F865">
        <v>102.869</v>
      </c>
      <c r="G865" s="1">
        <f t="shared" si="40"/>
        <v>105.55057100000001</v>
      </c>
    </row>
    <row r="866" spans="1:7" x14ac:dyDescent="0.3">
      <c r="A866">
        <v>8640</v>
      </c>
      <c r="B866">
        <v>1177.3</v>
      </c>
      <c r="C866">
        <v>113.807</v>
      </c>
      <c r="D866" s="15">
        <f t="shared" si="41"/>
        <v>5.0000000000238744E-5</v>
      </c>
      <c r="E866" s="14">
        <f t="shared" si="39"/>
        <v>9.516281528831999E-5</v>
      </c>
      <c r="F866">
        <v>102.89400000000001</v>
      </c>
      <c r="G866" s="1">
        <f t="shared" si="40"/>
        <v>105.549441</v>
      </c>
    </row>
    <row r="867" spans="1:7" x14ac:dyDescent="0.3">
      <c r="A867">
        <v>8650</v>
      </c>
      <c r="B867">
        <v>1181</v>
      </c>
      <c r="C867">
        <v>113.806</v>
      </c>
      <c r="D867" s="15">
        <f t="shared" si="41"/>
        <v>4.9999999999883471E-5</v>
      </c>
      <c r="E867" s="14">
        <f t="shared" si="39"/>
        <v>9.5125186035750005E-5</v>
      </c>
      <c r="F867">
        <v>102.92100000000001</v>
      </c>
      <c r="G867" s="1">
        <f t="shared" si="40"/>
        <v>105.548311</v>
      </c>
    </row>
    <row r="868" spans="1:7" x14ac:dyDescent="0.3">
      <c r="A868">
        <v>8660</v>
      </c>
      <c r="B868">
        <v>1184.7</v>
      </c>
      <c r="C868">
        <v>113.806</v>
      </c>
      <c r="D868" s="15">
        <f t="shared" si="41"/>
        <v>4.9999999999883471E-5</v>
      </c>
      <c r="E868" s="14">
        <f t="shared" si="39"/>
        <v>9.5087569466519993E-5</v>
      </c>
      <c r="F868">
        <v>102.946</v>
      </c>
      <c r="G868" s="1">
        <f t="shared" si="40"/>
        <v>105.54718100000001</v>
      </c>
    </row>
    <row r="869" spans="1:7" x14ac:dyDescent="0.3">
      <c r="A869">
        <v>8670</v>
      </c>
      <c r="B869">
        <v>1188.5</v>
      </c>
      <c r="C869">
        <v>113.80500000000001</v>
      </c>
      <c r="D869" s="15">
        <f t="shared" si="41"/>
        <v>2.4999999999764099E-5</v>
      </c>
      <c r="E869" s="14">
        <f t="shared" si="39"/>
        <v>9.5049965580629997E-5</v>
      </c>
      <c r="F869">
        <v>102.973</v>
      </c>
      <c r="G869" s="1">
        <f t="shared" si="40"/>
        <v>105.54605100000001</v>
      </c>
    </row>
    <row r="870" spans="1:7" x14ac:dyDescent="0.3">
      <c r="A870">
        <v>8680</v>
      </c>
      <c r="B870">
        <v>1192.3</v>
      </c>
      <c r="C870">
        <v>113.80500000000001</v>
      </c>
      <c r="D870" s="15">
        <f t="shared" si="41"/>
        <v>4.9999999999883471E-5</v>
      </c>
      <c r="E870" s="14">
        <f t="shared" si="39"/>
        <v>9.5012374378080001E-5</v>
      </c>
      <c r="F870">
        <v>102.999</v>
      </c>
      <c r="G870" s="1">
        <f t="shared" si="40"/>
        <v>105.544921</v>
      </c>
    </row>
    <row r="871" spans="1:7" x14ac:dyDescent="0.3">
      <c r="A871">
        <v>8690</v>
      </c>
      <c r="B871">
        <v>1196.0999999999999</v>
      </c>
      <c r="C871">
        <v>113.80500000000001</v>
      </c>
      <c r="D871" s="15">
        <f t="shared" si="41"/>
        <v>2.5000000000119372E-5</v>
      </c>
      <c r="E871" s="14">
        <f t="shared" si="39"/>
        <v>9.4974795858869993E-5</v>
      </c>
      <c r="F871">
        <v>103.024</v>
      </c>
      <c r="G871" s="1">
        <f t="shared" si="40"/>
        <v>105.543791</v>
      </c>
    </row>
    <row r="872" spans="1:7" x14ac:dyDescent="0.3">
      <c r="A872">
        <v>8700</v>
      </c>
      <c r="B872">
        <v>1199.9000000000001</v>
      </c>
      <c r="C872">
        <v>113.804</v>
      </c>
      <c r="D872" s="15">
        <f t="shared" si="41"/>
        <v>5.0000000000238744E-5</v>
      </c>
      <c r="E872" s="14">
        <f t="shared" si="39"/>
        <v>9.4937230022999999E-5</v>
      </c>
      <c r="F872">
        <v>103.051</v>
      </c>
      <c r="G872" s="1">
        <f t="shared" si="40"/>
        <v>105.54266100000001</v>
      </c>
    </row>
    <row r="873" spans="1:7" x14ac:dyDescent="0.3">
      <c r="A873">
        <v>8710</v>
      </c>
      <c r="B873">
        <v>1203.0999999999999</v>
      </c>
      <c r="C873">
        <v>113.804</v>
      </c>
      <c r="D873" s="15">
        <f t="shared" si="41"/>
        <v>5.0000000000238744E-5</v>
      </c>
      <c r="E873" s="14">
        <f t="shared" si="39"/>
        <v>9.4899676870469993E-5</v>
      </c>
      <c r="F873">
        <v>103.077</v>
      </c>
      <c r="G873" s="1">
        <f t="shared" si="40"/>
        <v>105.54153100000001</v>
      </c>
    </row>
    <row r="874" spans="1:7" x14ac:dyDescent="0.3">
      <c r="A874">
        <v>8720</v>
      </c>
      <c r="B874">
        <v>1206.8</v>
      </c>
      <c r="C874">
        <v>113.803</v>
      </c>
      <c r="D874" s="15">
        <f t="shared" si="41"/>
        <v>4.9999999999883471E-5</v>
      </c>
      <c r="E874" s="14">
        <f t="shared" si="39"/>
        <v>9.4862136401280002E-5</v>
      </c>
      <c r="F874">
        <v>103.102</v>
      </c>
      <c r="G874" s="1">
        <f t="shared" si="40"/>
        <v>105.540401</v>
      </c>
    </row>
    <row r="875" spans="1:7" x14ac:dyDescent="0.3">
      <c r="A875">
        <v>8730</v>
      </c>
      <c r="B875">
        <v>1210.8</v>
      </c>
      <c r="C875">
        <v>113.803</v>
      </c>
      <c r="D875" s="15">
        <f t="shared" si="41"/>
        <v>4.9999999999883471E-5</v>
      </c>
      <c r="E875" s="14">
        <f t="shared" si="39"/>
        <v>9.4824608615429998E-5</v>
      </c>
      <c r="F875">
        <v>103.129</v>
      </c>
      <c r="G875" s="1">
        <f t="shared" si="40"/>
        <v>105.539271</v>
      </c>
    </row>
    <row r="876" spans="1:7" x14ac:dyDescent="0.3">
      <c r="A876">
        <v>8740</v>
      </c>
      <c r="B876">
        <v>1214.7</v>
      </c>
      <c r="C876">
        <v>113.80200000000001</v>
      </c>
      <c r="D876" s="15">
        <f t="shared" si="41"/>
        <v>4.9999999999883471E-5</v>
      </c>
      <c r="E876" s="14">
        <f t="shared" si="39"/>
        <v>9.4787093512919995E-5</v>
      </c>
      <c r="F876">
        <v>103.155</v>
      </c>
      <c r="G876" s="1">
        <f t="shared" si="40"/>
        <v>105.538141</v>
      </c>
    </row>
    <row r="877" spans="1:7" x14ac:dyDescent="0.3">
      <c r="A877">
        <v>8750</v>
      </c>
      <c r="B877">
        <v>1218.5999999999999</v>
      </c>
      <c r="C877">
        <v>113.80200000000001</v>
      </c>
      <c r="D877" s="15">
        <f t="shared" si="41"/>
        <v>4.9999999999883471E-5</v>
      </c>
      <c r="E877" s="14">
        <f t="shared" si="39"/>
        <v>9.4749591093749993E-5</v>
      </c>
      <c r="F877">
        <v>103.18</v>
      </c>
      <c r="G877" s="1">
        <f t="shared" si="40"/>
        <v>105.53701100000001</v>
      </c>
    </row>
    <row r="878" spans="1:7" x14ac:dyDescent="0.3">
      <c r="A878">
        <v>8760</v>
      </c>
      <c r="B878">
        <v>1222.5999999999999</v>
      </c>
      <c r="C878">
        <v>113.801</v>
      </c>
      <c r="D878" s="15">
        <f t="shared" si="41"/>
        <v>5.0000000000238744E-5</v>
      </c>
      <c r="E878" s="14">
        <f t="shared" si="39"/>
        <v>9.4712101357919993E-5</v>
      </c>
      <c r="F878">
        <v>103.20699999999999</v>
      </c>
      <c r="G878" s="1">
        <f t="shared" si="40"/>
        <v>105.535881</v>
      </c>
    </row>
    <row r="879" spans="1:7" x14ac:dyDescent="0.3">
      <c r="A879">
        <v>8770</v>
      </c>
      <c r="B879">
        <v>1226.5999999999999</v>
      </c>
      <c r="C879">
        <v>113.801</v>
      </c>
      <c r="D879" s="15">
        <f t="shared" si="41"/>
        <v>5.0000000000238744E-5</v>
      </c>
      <c r="E879" s="14">
        <f t="shared" si="39"/>
        <v>9.4674624305429993E-5</v>
      </c>
      <c r="F879">
        <v>103.233</v>
      </c>
      <c r="G879" s="1">
        <f t="shared" si="40"/>
        <v>105.534751</v>
      </c>
    </row>
    <row r="880" spans="1:7" x14ac:dyDescent="0.3">
      <c r="A880">
        <v>8780</v>
      </c>
      <c r="B880">
        <v>1230.5</v>
      </c>
      <c r="C880">
        <v>113.8</v>
      </c>
      <c r="D880" s="15">
        <f t="shared" si="41"/>
        <v>4.9999999999883471E-5</v>
      </c>
      <c r="E880" s="14">
        <f t="shared" si="39"/>
        <v>9.4637159936279995E-5</v>
      </c>
      <c r="F880">
        <v>103.259</v>
      </c>
      <c r="G880" s="1">
        <f t="shared" si="40"/>
        <v>105.533621</v>
      </c>
    </row>
    <row r="881" spans="1:7" x14ac:dyDescent="0.3">
      <c r="A881">
        <v>8790</v>
      </c>
      <c r="B881">
        <v>1234.4000000000001</v>
      </c>
      <c r="C881">
        <v>113.8</v>
      </c>
      <c r="D881" s="15">
        <f t="shared" si="41"/>
        <v>4.9999999999883471E-5</v>
      </c>
      <c r="E881" s="14">
        <f t="shared" si="39"/>
        <v>9.4599708250469997E-5</v>
      </c>
      <c r="F881">
        <v>103.285</v>
      </c>
      <c r="G881" s="1">
        <f t="shared" si="40"/>
        <v>105.53249100000001</v>
      </c>
    </row>
    <row r="882" spans="1:7" x14ac:dyDescent="0.3">
      <c r="A882">
        <v>8800</v>
      </c>
      <c r="B882">
        <v>1238.5</v>
      </c>
      <c r="C882">
        <v>113.79900000000001</v>
      </c>
      <c r="D882" s="15">
        <f t="shared" si="41"/>
        <v>2.4999999999764099E-5</v>
      </c>
      <c r="E882" s="14">
        <f t="shared" si="39"/>
        <v>9.4562269248000001E-5</v>
      </c>
      <c r="F882">
        <v>103.31100000000001</v>
      </c>
      <c r="G882" s="1">
        <f t="shared" si="40"/>
        <v>105.531361</v>
      </c>
    </row>
    <row r="883" spans="1:7" x14ac:dyDescent="0.3">
      <c r="A883">
        <v>8810</v>
      </c>
      <c r="B883">
        <v>1242.5</v>
      </c>
      <c r="C883">
        <v>113.79900000000001</v>
      </c>
      <c r="D883" s="15">
        <f t="shared" si="41"/>
        <v>4.9999999999883471E-5</v>
      </c>
      <c r="E883" s="14">
        <f t="shared" si="39"/>
        <v>9.4524842928870006E-5</v>
      </c>
      <c r="F883">
        <v>103.337</v>
      </c>
      <c r="G883" s="1">
        <f t="shared" si="40"/>
        <v>105.530231</v>
      </c>
    </row>
    <row r="884" spans="1:7" x14ac:dyDescent="0.3">
      <c r="A884">
        <v>8820</v>
      </c>
      <c r="B884">
        <v>1246.5999999999999</v>
      </c>
      <c r="C884">
        <v>113.79900000000001</v>
      </c>
      <c r="D884" s="15">
        <f t="shared" si="41"/>
        <v>2.5000000000119372E-5</v>
      </c>
      <c r="E884" s="14">
        <f t="shared" si="39"/>
        <v>9.4487429293079985E-5</v>
      </c>
      <c r="F884">
        <v>103.363</v>
      </c>
      <c r="G884" s="1">
        <f t="shared" si="40"/>
        <v>105.529101</v>
      </c>
    </row>
    <row r="885" spans="1:7" x14ac:dyDescent="0.3">
      <c r="A885">
        <v>8830</v>
      </c>
      <c r="B885">
        <v>1250.7</v>
      </c>
      <c r="C885">
        <v>113.798</v>
      </c>
      <c r="D885" s="15">
        <f t="shared" si="41"/>
        <v>5.0000000000238744E-5</v>
      </c>
      <c r="E885" s="14">
        <f t="shared" si="39"/>
        <v>9.4450028340629992E-5</v>
      </c>
      <c r="F885">
        <v>103.389</v>
      </c>
      <c r="G885" s="1">
        <f t="shared" si="40"/>
        <v>105.52797100000001</v>
      </c>
    </row>
    <row r="886" spans="1:7" x14ac:dyDescent="0.3">
      <c r="A886">
        <v>8840</v>
      </c>
      <c r="B886">
        <v>1254.7</v>
      </c>
      <c r="C886">
        <v>113.798</v>
      </c>
      <c r="D886" s="15">
        <f t="shared" si="41"/>
        <v>5.0000000000238744E-5</v>
      </c>
      <c r="E886" s="14">
        <f t="shared" si="39"/>
        <v>9.441264007152E-5</v>
      </c>
      <c r="F886">
        <v>103.41500000000001</v>
      </c>
      <c r="G886" s="1">
        <f t="shared" si="40"/>
        <v>105.526841</v>
      </c>
    </row>
    <row r="887" spans="1:7" x14ac:dyDescent="0.3">
      <c r="A887">
        <v>8850</v>
      </c>
      <c r="B887">
        <v>1258.5999999999999</v>
      </c>
      <c r="C887">
        <v>113.797</v>
      </c>
      <c r="D887" s="15">
        <f t="shared" si="41"/>
        <v>4.9999999999883471E-5</v>
      </c>
      <c r="E887" s="14">
        <f t="shared" si="39"/>
        <v>9.4375264485749996E-5</v>
      </c>
      <c r="F887">
        <v>103.441</v>
      </c>
      <c r="G887" s="1">
        <f t="shared" si="40"/>
        <v>105.525711</v>
      </c>
    </row>
    <row r="888" spans="1:7" x14ac:dyDescent="0.3">
      <c r="A888">
        <v>8860</v>
      </c>
      <c r="B888">
        <v>1262.8</v>
      </c>
      <c r="C888">
        <v>113.797</v>
      </c>
      <c r="D888" s="15">
        <f t="shared" si="41"/>
        <v>4.9999999999883471E-5</v>
      </c>
      <c r="E888" s="14">
        <f t="shared" si="39"/>
        <v>9.4337901583319993E-5</v>
      </c>
      <c r="F888">
        <v>103.467</v>
      </c>
      <c r="G888" s="1">
        <f t="shared" si="40"/>
        <v>105.524581</v>
      </c>
    </row>
    <row r="889" spans="1:7" x14ac:dyDescent="0.3">
      <c r="A889">
        <v>8870</v>
      </c>
      <c r="B889">
        <v>1266.7</v>
      </c>
      <c r="C889">
        <v>113.79600000000001</v>
      </c>
      <c r="D889" s="15">
        <f t="shared" si="41"/>
        <v>4.9999999999883471E-5</v>
      </c>
      <c r="E889" s="14">
        <f t="shared" si="39"/>
        <v>9.4300551364230004E-5</v>
      </c>
      <c r="F889">
        <v>103.49299999999999</v>
      </c>
      <c r="G889" s="1">
        <f t="shared" si="40"/>
        <v>105.52345100000001</v>
      </c>
    </row>
    <row r="890" spans="1:7" x14ac:dyDescent="0.3">
      <c r="A890">
        <v>8880</v>
      </c>
      <c r="B890">
        <v>1270.5999999999999</v>
      </c>
      <c r="C890">
        <v>113.79600000000001</v>
      </c>
      <c r="D890" s="15">
        <f t="shared" si="41"/>
        <v>4.9999999999883471E-5</v>
      </c>
      <c r="E890" s="14">
        <f t="shared" si="39"/>
        <v>9.4263213828479989E-5</v>
      </c>
      <c r="F890">
        <v>103.51900000000001</v>
      </c>
      <c r="G890" s="1">
        <f t="shared" si="40"/>
        <v>105.52232100000001</v>
      </c>
    </row>
    <row r="891" spans="1:7" x14ac:dyDescent="0.3">
      <c r="A891">
        <v>8890</v>
      </c>
      <c r="B891">
        <v>1274.5999999999999</v>
      </c>
      <c r="C891">
        <v>113.795</v>
      </c>
      <c r="D891" s="15">
        <f t="shared" si="41"/>
        <v>5.0000000000238744E-5</v>
      </c>
      <c r="E891" s="14">
        <f t="shared" si="39"/>
        <v>9.4225888976070003E-5</v>
      </c>
      <c r="F891">
        <v>103.545</v>
      </c>
      <c r="G891" s="1">
        <f t="shared" si="40"/>
        <v>105.521191</v>
      </c>
    </row>
    <row r="892" spans="1:7" x14ac:dyDescent="0.3">
      <c r="A892">
        <v>8900</v>
      </c>
      <c r="B892">
        <v>1278.5999999999999</v>
      </c>
      <c r="C892">
        <v>113.795</v>
      </c>
      <c r="D892" s="15">
        <f t="shared" si="41"/>
        <v>5.0000000000238744E-5</v>
      </c>
      <c r="E892" s="14">
        <f t="shared" si="39"/>
        <v>9.4188576806999991E-5</v>
      </c>
      <c r="F892">
        <v>103.571</v>
      </c>
      <c r="G892" s="1">
        <f t="shared" si="40"/>
        <v>105.520061</v>
      </c>
    </row>
    <row r="893" spans="1:7" x14ac:dyDescent="0.3">
      <c r="A893">
        <v>8910</v>
      </c>
      <c r="B893">
        <v>1283</v>
      </c>
      <c r="C893">
        <v>113.794</v>
      </c>
      <c r="D893" s="15">
        <f t="shared" si="41"/>
        <v>4.9999999999883471E-5</v>
      </c>
      <c r="E893" s="14">
        <f t="shared" si="39"/>
        <v>9.4151277321270006E-5</v>
      </c>
      <c r="F893">
        <v>103.59699999999999</v>
      </c>
      <c r="G893" s="1">
        <f t="shared" si="40"/>
        <v>105.51893100000001</v>
      </c>
    </row>
    <row r="894" spans="1:7" x14ac:dyDescent="0.3">
      <c r="A894">
        <v>8920</v>
      </c>
      <c r="B894">
        <v>1287.3</v>
      </c>
      <c r="C894">
        <v>113.794</v>
      </c>
      <c r="D894" s="15">
        <f t="shared" si="41"/>
        <v>4.9999999999883471E-5</v>
      </c>
      <c r="E894" s="14">
        <f t="shared" si="39"/>
        <v>9.4113990518879996E-5</v>
      </c>
      <c r="F894">
        <v>103.623</v>
      </c>
      <c r="G894" s="1">
        <f t="shared" si="40"/>
        <v>105.51780100000001</v>
      </c>
    </row>
    <row r="895" spans="1:7" x14ac:dyDescent="0.3">
      <c r="A895">
        <v>8930</v>
      </c>
      <c r="B895">
        <v>1291.8</v>
      </c>
      <c r="C895">
        <v>113.79300000000001</v>
      </c>
      <c r="D895" s="15">
        <f t="shared" si="41"/>
        <v>4.9999999999883471E-5</v>
      </c>
      <c r="E895" s="14">
        <f t="shared" si="39"/>
        <v>9.4076716399829987E-5</v>
      </c>
      <c r="F895">
        <v>103.649</v>
      </c>
      <c r="G895" s="1">
        <f t="shared" si="40"/>
        <v>105.516671</v>
      </c>
    </row>
    <row r="896" spans="1:7" x14ac:dyDescent="0.3">
      <c r="A896">
        <v>8940</v>
      </c>
      <c r="B896">
        <v>1296.5</v>
      </c>
      <c r="C896">
        <v>113.79300000000001</v>
      </c>
      <c r="D896" s="15">
        <f t="shared" si="41"/>
        <v>4.9999999999883471E-5</v>
      </c>
      <c r="E896" s="14">
        <f t="shared" si="39"/>
        <v>9.4039454964119993E-5</v>
      </c>
      <c r="F896">
        <v>103.676</v>
      </c>
      <c r="G896" s="1">
        <f t="shared" si="40"/>
        <v>105.515541</v>
      </c>
    </row>
    <row r="897" spans="1:7" x14ac:dyDescent="0.3">
      <c r="A897">
        <v>8950</v>
      </c>
      <c r="B897">
        <v>1301.4000000000001</v>
      </c>
      <c r="C897">
        <v>113.792</v>
      </c>
      <c r="D897" s="15">
        <f t="shared" si="41"/>
        <v>5.0000000000238744E-5</v>
      </c>
      <c r="E897" s="14">
        <f t="shared" si="39"/>
        <v>9.4002206211749999E-5</v>
      </c>
      <c r="F897">
        <v>103.70099999999999</v>
      </c>
      <c r="G897" s="1">
        <f t="shared" si="40"/>
        <v>105.51441100000001</v>
      </c>
    </row>
    <row r="898" spans="1:7" x14ac:dyDescent="0.3">
      <c r="A898">
        <v>8960</v>
      </c>
      <c r="B898">
        <v>1306.0999999999999</v>
      </c>
      <c r="C898">
        <v>113.792</v>
      </c>
      <c r="D898" s="15">
        <f t="shared" si="41"/>
        <v>5.0000000000238744E-5</v>
      </c>
      <c r="E898" s="14">
        <f t="shared" ref="E898:E961" si="42">0.0000000000000634167*A898*A898 - 0.0000000048594*A898 + 0.000132414</f>
        <v>9.3964970142719993E-5</v>
      </c>
      <c r="F898">
        <v>103.727</v>
      </c>
      <c r="G898" s="1">
        <f t="shared" si="40"/>
        <v>105.51328100000001</v>
      </c>
    </row>
    <row r="899" spans="1:7" x14ac:dyDescent="0.3">
      <c r="A899">
        <v>8970</v>
      </c>
      <c r="B899">
        <v>1310.5999999999999</v>
      </c>
      <c r="C899">
        <v>113.791</v>
      </c>
      <c r="D899" s="15">
        <f t="shared" si="41"/>
        <v>2.5000000000119372E-5</v>
      </c>
      <c r="E899" s="14">
        <f t="shared" si="42"/>
        <v>9.3927746757029989E-5</v>
      </c>
      <c r="F899">
        <v>103.753</v>
      </c>
      <c r="G899" s="1">
        <f t="shared" ref="G899:G962" si="43">-0.000113*A899 + 106.525761</f>
        <v>105.512151</v>
      </c>
    </row>
    <row r="900" spans="1:7" x14ac:dyDescent="0.3">
      <c r="A900">
        <v>8980</v>
      </c>
      <c r="B900">
        <v>1315</v>
      </c>
      <c r="C900">
        <v>113.791</v>
      </c>
      <c r="D900" s="15">
        <f t="shared" si="41"/>
        <v>4.9999999999883471E-5</v>
      </c>
      <c r="E900" s="14">
        <f t="shared" si="42"/>
        <v>9.3890536054679985E-5</v>
      </c>
      <c r="F900">
        <v>103.779</v>
      </c>
      <c r="G900" s="1">
        <f t="shared" si="43"/>
        <v>105.511021</v>
      </c>
    </row>
    <row r="901" spans="1:7" x14ac:dyDescent="0.3">
      <c r="A901">
        <v>8990</v>
      </c>
      <c r="B901">
        <v>1319.5</v>
      </c>
      <c r="C901">
        <v>113.791</v>
      </c>
      <c r="D901" s="15">
        <f t="shared" ref="D901:D964" si="44">(C899-C903)/(A903-A899)</f>
        <v>2.4999999999764099E-5</v>
      </c>
      <c r="E901" s="14">
        <f t="shared" si="42"/>
        <v>9.3853338035669996E-5</v>
      </c>
      <c r="F901">
        <v>103.80500000000001</v>
      </c>
      <c r="G901" s="1">
        <f t="shared" si="43"/>
        <v>105.509891</v>
      </c>
    </row>
    <row r="902" spans="1:7" x14ac:dyDescent="0.3">
      <c r="A902">
        <v>9000</v>
      </c>
      <c r="B902">
        <v>1323.6</v>
      </c>
      <c r="C902">
        <v>113.79</v>
      </c>
      <c r="D902" s="15">
        <f t="shared" si="44"/>
        <v>4.9999999999883471E-5</v>
      </c>
      <c r="E902" s="14">
        <f t="shared" si="42"/>
        <v>9.3816152699999995E-5</v>
      </c>
      <c r="F902">
        <v>103.831</v>
      </c>
      <c r="G902" s="1">
        <f t="shared" si="43"/>
        <v>105.50876100000001</v>
      </c>
    </row>
    <row r="903" spans="1:7" x14ac:dyDescent="0.3">
      <c r="A903">
        <v>9010</v>
      </c>
      <c r="B903">
        <v>1327.8</v>
      </c>
      <c r="C903">
        <v>113.79</v>
      </c>
      <c r="D903" s="15">
        <f t="shared" si="44"/>
        <v>4.9999999999883471E-5</v>
      </c>
      <c r="E903" s="14">
        <f t="shared" si="42"/>
        <v>9.3778980047669994E-5</v>
      </c>
      <c r="F903">
        <v>103.857</v>
      </c>
      <c r="G903" s="1">
        <f t="shared" si="43"/>
        <v>105.507631</v>
      </c>
    </row>
    <row r="904" spans="1:7" x14ac:dyDescent="0.3">
      <c r="A904">
        <v>9020</v>
      </c>
      <c r="B904">
        <v>1332.1</v>
      </c>
      <c r="C904">
        <v>113.789</v>
      </c>
      <c r="D904" s="15">
        <f t="shared" si="44"/>
        <v>5.0000000000238744E-5</v>
      </c>
      <c r="E904" s="14">
        <f t="shared" si="42"/>
        <v>9.3741820078679995E-5</v>
      </c>
      <c r="F904">
        <v>103.884</v>
      </c>
      <c r="G904" s="1">
        <f t="shared" si="43"/>
        <v>105.506501</v>
      </c>
    </row>
    <row r="905" spans="1:7" x14ac:dyDescent="0.3">
      <c r="A905">
        <v>9030</v>
      </c>
      <c r="B905">
        <v>1336.2</v>
      </c>
      <c r="C905">
        <v>113.789</v>
      </c>
      <c r="D905" s="15">
        <f t="shared" si="44"/>
        <v>5.0000000000238744E-5</v>
      </c>
      <c r="E905" s="14">
        <f t="shared" si="42"/>
        <v>9.3704672793029997E-5</v>
      </c>
      <c r="F905">
        <v>103.90900000000001</v>
      </c>
      <c r="G905" s="1">
        <f t="shared" si="43"/>
        <v>105.505371</v>
      </c>
    </row>
    <row r="906" spans="1:7" x14ac:dyDescent="0.3">
      <c r="A906">
        <v>9040</v>
      </c>
      <c r="B906">
        <v>1340.3</v>
      </c>
      <c r="C906">
        <v>113.788</v>
      </c>
      <c r="D906" s="15">
        <f t="shared" si="44"/>
        <v>4.9999999999883471E-5</v>
      </c>
      <c r="E906" s="14">
        <f t="shared" si="42"/>
        <v>9.3667538190719986E-5</v>
      </c>
      <c r="F906">
        <v>103.935</v>
      </c>
      <c r="G906" s="1">
        <f t="shared" si="43"/>
        <v>105.50424100000001</v>
      </c>
    </row>
    <row r="907" spans="1:7" x14ac:dyDescent="0.3">
      <c r="A907">
        <v>9050</v>
      </c>
      <c r="B907">
        <v>1344.7</v>
      </c>
      <c r="C907">
        <v>113.788</v>
      </c>
      <c r="D907" s="15">
        <f t="shared" si="44"/>
        <v>4.9999999999883471E-5</v>
      </c>
      <c r="E907" s="14">
        <f t="shared" si="42"/>
        <v>9.363041627174999E-5</v>
      </c>
      <c r="F907">
        <v>103.961</v>
      </c>
      <c r="G907" s="1">
        <f t="shared" si="43"/>
        <v>105.503111</v>
      </c>
    </row>
    <row r="908" spans="1:7" x14ac:dyDescent="0.3">
      <c r="A908">
        <v>9060</v>
      </c>
      <c r="B908">
        <v>1348.8</v>
      </c>
      <c r="C908">
        <v>113.78700000000001</v>
      </c>
      <c r="D908" s="15">
        <f t="shared" si="44"/>
        <v>4.9999999999883471E-5</v>
      </c>
      <c r="E908" s="14">
        <f t="shared" si="42"/>
        <v>9.3593307036119995E-5</v>
      </c>
      <c r="F908">
        <v>103.98699999999999</v>
      </c>
      <c r="G908" s="1">
        <f t="shared" si="43"/>
        <v>105.501981</v>
      </c>
    </row>
    <row r="909" spans="1:7" x14ac:dyDescent="0.3">
      <c r="A909">
        <v>9070</v>
      </c>
      <c r="B909">
        <v>1353.1</v>
      </c>
      <c r="C909">
        <v>113.78700000000001</v>
      </c>
      <c r="D909" s="15">
        <f t="shared" si="44"/>
        <v>4.9999999999883471E-5</v>
      </c>
      <c r="E909" s="14">
        <f t="shared" si="42"/>
        <v>9.3556210483830001E-5</v>
      </c>
      <c r="F909">
        <v>104.014</v>
      </c>
      <c r="G909" s="1">
        <f t="shared" si="43"/>
        <v>105.500851</v>
      </c>
    </row>
    <row r="910" spans="1:7" x14ac:dyDescent="0.3">
      <c r="A910">
        <v>9080</v>
      </c>
      <c r="B910">
        <v>1357.3</v>
      </c>
      <c r="C910">
        <v>113.786</v>
      </c>
      <c r="D910" s="15">
        <f t="shared" si="44"/>
        <v>5.0000000000238744E-5</v>
      </c>
      <c r="E910" s="14">
        <f t="shared" si="42"/>
        <v>9.3519126614879995E-5</v>
      </c>
      <c r="F910">
        <v>104.039</v>
      </c>
      <c r="G910" s="1">
        <f t="shared" si="43"/>
        <v>105.49972100000001</v>
      </c>
    </row>
    <row r="911" spans="1:7" x14ac:dyDescent="0.3">
      <c r="A911">
        <v>9090</v>
      </c>
      <c r="B911">
        <v>1361.5</v>
      </c>
      <c r="C911">
        <v>113.786</v>
      </c>
      <c r="D911" s="15">
        <f t="shared" si="44"/>
        <v>5.0000000000238744E-5</v>
      </c>
      <c r="E911" s="14">
        <f t="shared" si="42"/>
        <v>9.348205542926999E-5</v>
      </c>
      <c r="F911">
        <v>104.065</v>
      </c>
      <c r="G911" s="1">
        <f t="shared" si="43"/>
        <v>105.498591</v>
      </c>
    </row>
    <row r="912" spans="1:7" x14ac:dyDescent="0.3">
      <c r="A912">
        <v>9100</v>
      </c>
      <c r="B912">
        <v>1365.8</v>
      </c>
      <c r="C912">
        <v>113.785</v>
      </c>
      <c r="D912" s="15">
        <f t="shared" si="44"/>
        <v>4.9999999999883471E-5</v>
      </c>
      <c r="E912" s="14">
        <f t="shared" si="42"/>
        <v>9.3444996926999999E-5</v>
      </c>
      <c r="F912">
        <v>104.09099999999999</v>
      </c>
      <c r="G912" s="1">
        <f t="shared" si="43"/>
        <v>105.497461</v>
      </c>
    </row>
    <row r="913" spans="1:7" x14ac:dyDescent="0.3">
      <c r="A913">
        <v>9110</v>
      </c>
      <c r="B913">
        <v>1370.1</v>
      </c>
      <c r="C913">
        <v>113.785</v>
      </c>
      <c r="D913" s="15">
        <f t="shared" si="44"/>
        <v>4.9999999999883471E-5</v>
      </c>
      <c r="E913" s="14">
        <f t="shared" si="42"/>
        <v>9.3407951108069996E-5</v>
      </c>
      <c r="F913">
        <v>104.117</v>
      </c>
      <c r="G913" s="1">
        <f t="shared" si="43"/>
        <v>105.496331</v>
      </c>
    </row>
    <row r="914" spans="1:7" x14ac:dyDescent="0.3">
      <c r="A914">
        <v>9120</v>
      </c>
      <c r="B914">
        <v>1374.4</v>
      </c>
      <c r="C914">
        <v>113.78400000000001</v>
      </c>
      <c r="D914" s="15">
        <f t="shared" si="44"/>
        <v>4.9999999999883471E-5</v>
      </c>
      <c r="E914" s="14">
        <f t="shared" si="42"/>
        <v>9.3370917972479994E-5</v>
      </c>
      <c r="F914">
        <v>104.14400000000001</v>
      </c>
      <c r="G914" s="1">
        <f t="shared" si="43"/>
        <v>105.49520100000001</v>
      </c>
    </row>
    <row r="915" spans="1:7" x14ac:dyDescent="0.3">
      <c r="A915">
        <v>9130</v>
      </c>
      <c r="B915">
        <v>1378.6</v>
      </c>
      <c r="C915">
        <v>113.78400000000001</v>
      </c>
      <c r="D915" s="15">
        <f t="shared" si="44"/>
        <v>7.5000000000002839E-5</v>
      </c>
      <c r="E915" s="14">
        <f t="shared" si="42"/>
        <v>9.3333897520229994E-5</v>
      </c>
      <c r="F915">
        <v>104.169</v>
      </c>
      <c r="G915" s="1">
        <f t="shared" si="43"/>
        <v>105.49407100000001</v>
      </c>
    </row>
    <row r="916" spans="1:7" x14ac:dyDescent="0.3">
      <c r="A916">
        <v>9140</v>
      </c>
      <c r="B916">
        <v>1382.9</v>
      </c>
      <c r="C916">
        <v>113.783</v>
      </c>
      <c r="D916" s="15">
        <f t="shared" si="44"/>
        <v>5.0000000000238744E-5</v>
      </c>
      <c r="E916" s="14">
        <f t="shared" si="42"/>
        <v>9.3296889751319994E-5</v>
      </c>
      <c r="F916">
        <v>104.19499999999999</v>
      </c>
      <c r="G916" s="1">
        <f t="shared" si="43"/>
        <v>105.492941</v>
      </c>
    </row>
    <row r="917" spans="1:7" x14ac:dyDescent="0.3">
      <c r="A917">
        <v>9150</v>
      </c>
      <c r="B917">
        <v>1387.3</v>
      </c>
      <c r="C917">
        <v>113.782</v>
      </c>
      <c r="D917" s="15">
        <f t="shared" si="44"/>
        <v>7.5000000000002839E-5</v>
      </c>
      <c r="E917" s="14">
        <f t="shared" si="42"/>
        <v>9.3259894665749995E-5</v>
      </c>
      <c r="F917">
        <v>104.22199999999999</v>
      </c>
      <c r="G917" s="1">
        <f t="shared" si="43"/>
        <v>105.491811</v>
      </c>
    </row>
    <row r="918" spans="1:7" x14ac:dyDescent="0.3">
      <c r="A918">
        <v>9160</v>
      </c>
      <c r="B918">
        <v>1391.7</v>
      </c>
      <c r="C918">
        <v>113.782</v>
      </c>
      <c r="D918" s="15">
        <f t="shared" si="44"/>
        <v>4.9999999999883471E-5</v>
      </c>
      <c r="E918" s="14">
        <f t="shared" si="42"/>
        <v>9.3222912263519998E-5</v>
      </c>
      <c r="F918">
        <v>104.247</v>
      </c>
      <c r="G918" s="1">
        <f t="shared" si="43"/>
        <v>105.49068100000001</v>
      </c>
    </row>
    <row r="919" spans="1:7" x14ac:dyDescent="0.3">
      <c r="A919">
        <v>9170</v>
      </c>
      <c r="B919">
        <v>1395.9</v>
      </c>
      <c r="C919">
        <v>113.78100000000001</v>
      </c>
      <c r="D919" s="15">
        <f t="shared" si="44"/>
        <v>4.9999999999883471E-5</v>
      </c>
      <c r="E919" s="14">
        <f t="shared" si="42"/>
        <v>9.3185942544629988E-5</v>
      </c>
      <c r="F919">
        <v>104.274</v>
      </c>
      <c r="G919" s="1">
        <f t="shared" si="43"/>
        <v>105.48955100000001</v>
      </c>
    </row>
    <row r="920" spans="1:7" x14ac:dyDescent="0.3">
      <c r="A920">
        <v>9180</v>
      </c>
      <c r="B920">
        <v>1400.1</v>
      </c>
      <c r="C920">
        <v>113.78100000000001</v>
      </c>
      <c r="D920" s="15">
        <f t="shared" si="44"/>
        <v>4.9999999999883471E-5</v>
      </c>
      <c r="E920" s="14">
        <f t="shared" si="42"/>
        <v>9.3148985509080006E-5</v>
      </c>
      <c r="F920">
        <v>104.29900000000001</v>
      </c>
      <c r="G920" s="1">
        <f t="shared" si="43"/>
        <v>105.488421</v>
      </c>
    </row>
    <row r="921" spans="1:7" x14ac:dyDescent="0.3">
      <c r="A921">
        <v>9190</v>
      </c>
      <c r="B921">
        <v>1404.3</v>
      </c>
      <c r="C921">
        <v>113.78</v>
      </c>
      <c r="D921" s="15">
        <f t="shared" si="44"/>
        <v>5.0000000000238744E-5</v>
      </c>
      <c r="E921" s="14">
        <f t="shared" si="42"/>
        <v>9.3112041156869998E-5</v>
      </c>
      <c r="F921">
        <v>104.32599999999999</v>
      </c>
      <c r="G921" s="1">
        <f t="shared" si="43"/>
        <v>105.487291</v>
      </c>
    </row>
    <row r="922" spans="1:7" x14ac:dyDescent="0.3">
      <c r="A922">
        <v>9200</v>
      </c>
      <c r="B922">
        <v>1408.5</v>
      </c>
      <c r="C922">
        <v>113.78</v>
      </c>
      <c r="D922" s="15">
        <f t="shared" si="44"/>
        <v>5.0000000000238744E-5</v>
      </c>
      <c r="E922" s="14">
        <f t="shared" si="42"/>
        <v>9.3075109487999991E-5</v>
      </c>
      <c r="F922">
        <v>104.351</v>
      </c>
      <c r="G922" s="1">
        <f t="shared" si="43"/>
        <v>105.48616100000001</v>
      </c>
    </row>
    <row r="923" spans="1:7" x14ac:dyDescent="0.3">
      <c r="A923">
        <v>9210</v>
      </c>
      <c r="B923">
        <v>1414.1</v>
      </c>
      <c r="C923">
        <v>113.779</v>
      </c>
      <c r="D923" s="15">
        <f t="shared" si="44"/>
        <v>4.9999999999883471E-5</v>
      </c>
      <c r="E923" s="14">
        <f t="shared" si="42"/>
        <v>9.3038190502469999E-5</v>
      </c>
      <c r="F923">
        <v>104.377</v>
      </c>
      <c r="G923" s="1">
        <f t="shared" si="43"/>
        <v>105.48503100000001</v>
      </c>
    </row>
    <row r="924" spans="1:7" x14ac:dyDescent="0.3">
      <c r="A924">
        <v>9220</v>
      </c>
      <c r="B924">
        <v>1419.7</v>
      </c>
      <c r="C924">
        <v>113.779</v>
      </c>
      <c r="D924" s="15">
        <f t="shared" si="44"/>
        <v>4.9999999999883471E-5</v>
      </c>
      <c r="E924" s="14">
        <f t="shared" si="42"/>
        <v>9.3001284200279995E-5</v>
      </c>
      <c r="F924">
        <v>104.404</v>
      </c>
      <c r="G924" s="1">
        <f t="shared" si="43"/>
        <v>105.483901</v>
      </c>
    </row>
    <row r="925" spans="1:7" x14ac:dyDescent="0.3">
      <c r="A925">
        <v>9230</v>
      </c>
      <c r="B925">
        <v>1426.7</v>
      </c>
      <c r="C925">
        <v>113.77800000000001</v>
      </c>
      <c r="D925" s="15">
        <f t="shared" si="44"/>
        <v>4.9999999999883471E-5</v>
      </c>
      <c r="E925" s="14">
        <f t="shared" si="42"/>
        <v>9.2964390581430005E-5</v>
      </c>
      <c r="F925">
        <v>104.429</v>
      </c>
      <c r="G925" s="1">
        <f t="shared" si="43"/>
        <v>105.482771</v>
      </c>
    </row>
    <row r="926" spans="1:7" x14ac:dyDescent="0.3">
      <c r="A926">
        <v>9240</v>
      </c>
      <c r="B926">
        <v>1432.4</v>
      </c>
      <c r="C926">
        <v>113.77800000000001</v>
      </c>
      <c r="D926" s="15">
        <f t="shared" si="44"/>
        <v>7.5000000000002839E-5</v>
      </c>
      <c r="E926" s="14">
        <f t="shared" si="42"/>
        <v>9.2927509645920003E-5</v>
      </c>
      <c r="F926">
        <v>104.456</v>
      </c>
      <c r="G926" s="1">
        <f t="shared" si="43"/>
        <v>105.481641</v>
      </c>
    </row>
    <row r="927" spans="1:7" x14ac:dyDescent="0.3">
      <c r="A927">
        <v>9250</v>
      </c>
      <c r="B927">
        <v>1439.5</v>
      </c>
      <c r="C927">
        <v>113.777</v>
      </c>
      <c r="D927" s="15">
        <f t="shared" si="44"/>
        <v>5.0000000000238744E-5</v>
      </c>
      <c r="E927" s="14">
        <f t="shared" si="42"/>
        <v>9.2890641393750001E-5</v>
      </c>
      <c r="F927">
        <v>104.48099999999999</v>
      </c>
      <c r="G927" s="1">
        <f t="shared" si="43"/>
        <v>105.48051100000001</v>
      </c>
    </row>
    <row r="928" spans="1:7" x14ac:dyDescent="0.3">
      <c r="A928">
        <v>9260</v>
      </c>
      <c r="B928">
        <v>1446.5</v>
      </c>
      <c r="C928">
        <v>113.776</v>
      </c>
      <c r="D928" s="15">
        <f t="shared" si="44"/>
        <v>7.5000000000002839E-5</v>
      </c>
      <c r="E928" s="14">
        <f t="shared" si="42"/>
        <v>9.2853785824920001E-5</v>
      </c>
      <c r="F928">
        <v>104.508</v>
      </c>
      <c r="G928" s="1">
        <f t="shared" si="43"/>
        <v>105.479381</v>
      </c>
    </row>
    <row r="929" spans="1:7" x14ac:dyDescent="0.3">
      <c r="A929">
        <v>9270</v>
      </c>
      <c r="B929">
        <v>1452.4</v>
      </c>
      <c r="C929">
        <v>113.776</v>
      </c>
      <c r="D929" s="15">
        <f t="shared" si="44"/>
        <v>4.9999999999883471E-5</v>
      </c>
      <c r="E929" s="14">
        <f t="shared" si="42"/>
        <v>9.2816942939430002E-5</v>
      </c>
      <c r="F929">
        <v>104.533</v>
      </c>
      <c r="G929" s="1">
        <f t="shared" si="43"/>
        <v>105.478251</v>
      </c>
    </row>
    <row r="930" spans="1:7" x14ac:dyDescent="0.3">
      <c r="A930">
        <v>9280</v>
      </c>
      <c r="B930">
        <v>1459.5</v>
      </c>
      <c r="C930">
        <v>113.77500000000001</v>
      </c>
      <c r="D930" s="15">
        <f t="shared" si="44"/>
        <v>4.9999999999883471E-5</v>
      </c>
      <c r="E930" s="14">
        <f t="shared" si="42"/>
        <v>9.2780112737279991E-5</v>
      </c>
      <c r="F930">
        <v>104.56</v>
      </c>
      <c r="G930" s="1">
        <f t="shared" si="43"/>
        <v>105.477121</v>
      </c>
    </row>
    <row r="931" spans="1:7" x14ac:dyDescent="0.3">
      <c r="A931">
        <v>9290</v>
      </c>
      <c r="B931">
        <v>1466.4</v>
      </c>
      <c r="C931">
        <v>113.77500000000001</v>
      </c>
      <c r="D931" s="15">
        <f t="shared" si="44"/>
        <v>4.9999999999883471E-5</v>
      </c>
      <c r="E931" s="14">
        <f t="shared" si="42"/>
        <v>9.2743295218470007E-5</v>
      </c>
      <c r="F931">
        <v>104.586</v>
      </c>
      <c r="G931" s="1">
        <f t="shared" si="43"/>
        <v>105.47599100000001</v>
      </c>
    </row>
    <row r="932" spans="1:7" x14ac:dyDescent="0.3">
      <c r="A932">
        <v>9300</v>
      </c>
      <c r="B932">
        <v>1472.7</v>
      </c>
      <c r="C932">
        <v>113.774</v>
      </c>
      <c r="D932" s="15">
        <f t="shared" si="44"/>
        <v>5.0000000000238744E-5</v>
      </c>
      <c r="E932" s="14">
        <f t="shared" si="42"/>
        <v>9.2706490382999998E-5</v>
      </c>
      <c r="F932">
        <v>104.61199999999999</v>
      </c>
      <c r="G932" s="1">
        <f t="shared" si="43"/>
        <v>105.474861</v>
      </c>
    </row>
    <row r="933" spans="1:7" x14ac:dyDescent="0.3">
      <c r="A933">
        <v>9310</v>
      </c>
      <c r="B933">
        <v>1479.8</v>
      </c>
      <c r="C933">
        <v>113.774</v>
      </c>
      <c r="D933" s="15">
        <f t="shared" si="44"/>
        <v>7.5000000000002839E-5</v>
      </c>
      <c r="E933" s="14">
        <f t="shared" si="42"/>
        <v>9.266969823086999E-5</v>
      </c>
      <c r="F933">
        <v>104.63800000000001</v>
      </c>
      <c r="G933" s="1">
        <f t="shared" si="43"/>
        <v>105.473731</v>
      </c>
    </row>
    <row r="934" spans="1:7" x14ac:dyDescent="0.3">
      <c r="A934">
        <v>9320</v>
      </c>
      <c r="B934">
        <v>1485.6</v>
      </c>
      <c r="C934">
        <v>113.773</v>
      </c>
      <c r="D934" s="15">
        <f t="shared" si="44"/>
        <v>4.9999999999883471E-5</v>
      </c>
      <c r="E934" s="14">
        <f t="shared" si="42"/>
        <v>9.2632918762079996E-5</v>
      </c>
      <c r="F934">
        <v>104.663</v>
      </c>
      <c r="G934" s="1">
        <f t="shared" si="43"/>
        <v>105.472601</v>
      </c>
    </row>
    <row r="935" spans="1:7" x14ac:dyDescent="0.3">
      <c r="A935">
        <v>9330</v>
      </c>
      <c r="B935">
        <v>1493.4</v>
      </c>
      <c r="C935">
        <v>113.77200000000001</v>
      </c>
      <c r="D935" s="15">
        <f t="shared" si="44"/>
        <v>7.5000000000002839E-5</v>
      </c>
      <c r="E935" s="14">
        <f t="shared" si="42"/>
        <v>9.2596151976630003E-5</v>
      </c>
      <c r="F935">
        <v>104.69</v>
      </c>
      <c r="G935" s="1">
        <f t="shared" si="43"/>
        <v>105.47147100000001</v>
      </c>
    </row>
    <row r="936" spans="1:7" x14ac:dyDescent="0.3">
      <c r="A936">
        <v>9340</v>
      </c>
      <c r="B936">
        <v>1502</v>
      </c>
      <c r="C936">
        <v>113.77200000000001</v>
      </c>
      <c r="D936" s="15">
        <f t="shared" si="44"/>
        <v>7.5000000000002839E-5</v>
      </c>
      <c r="E936" s="14">
        <f t="shared" si="42"/>
        <v>9.2559397874519998E-5</v>
      </c>
      <c r="F936">
        <v>104.715</v>
      </c>
      <c r="G936" s="1">
        <f t="shared" si="43"/>
        <v>105.470341</v>
      </c>
    </row>
    <row r="937" spans="1:7" x14ac:dyDescent="0.3">
      <c r="A937">
        <v>9350</v>
      </c>
      <c r="B937">
        <v>1507.6</v>
      </c>
      <c r="C937">
        <v>113.771</v>
      </c>
      <c r="D937" s="15">
        <f t="shared" si="44"/>
        <v>5.0000000000238744E-5</v>
      </c>
      <c r="E937" s="14">
        <f t="shared" si="42"/>
        <v>9.2522656455749995E-5</v>
      </c>
      <c r="F937">
        <v>104.742</v>
      </c>
      <c r="G937" s="1">
        <f t="shared" si="43"/>
        <v>105.469211</v>
      </c>
    </row>
    <row r="938" spans="1:7" x14ac:dyDescent="0.3">
      <c r="A938">
        <v>9360</v>
      </c>
      <c r="B938">
        <v>1514.7</v>
      </c>
      <c r="C938">
        <v>113.77</v>
      </c>
      <c r="D938" s="15">
        <f t="shared" si="44"/>
        <v>7.5000000000002839E-5</v>
      </c>
      <c r="E938" s="14">
        <f t="shared" si="42"/>
        <v>9.2485927720319992E-5</v>
      </c>
      <c r="F938">
        <v>104.767</v>
      </c>
      <c r="G938" s="1">
        <f t="shared" si="43"/>
        <v>105.468081</v>
      </c>
    </row>
    <row r="939" spans="1:7" x14ac:dyDescent="0.3">
      <c r="A939">
        <v>9370</v>
      </c>
      <c r="B939">
        <v>1520.6</v>
      </c>
      <c r="C939">
        <v>113.77</v>
      </c>
      <c r="D939" s="15">
        <f t="shared" si="44"/>
        <v>4.9999999999883471E-5</v>
      </c>
      <c r="E939" s="14">
        <f t="shared" si="42"/>
        <v>9.244921166822999E-5</v>
      </c>
      <c r="F939">
        <v>104.794</v>
      </c>
      <c r="G939" s="1">
        <f t="shared" si="43"/>
        <v>105.46695100000001</v>
      </c>
    </row>
    <row r="940" spans="1:7" x14ac:dyDescent="0.3">
      <c r="A940">
        <v>9380</v>
      </c>
      <c r="B940">
        <v>1534.8</v>
      </c>
      <c r="C940">
        <v>113.76900000000001</v>
      </c>
      <c r="D940" s="15">
        <f t="shared" si="44"/>
        <v>4.9999999999883471E-5</v>
      </c>
      <c r="E940" s="14">
        <f t="shared" si="42"/>
        <v>9.2412508299480003E-5</v>
      </c>
      <c r="F940">
        <v>104.819</v>
      </c>
      <c r="G940" s="1">
        <f t="shared" si="43"/>
        <v>105.46582100000001</v>
      </c>
    </row>
    <row r="941" spans="1:7" x14ac:dyDescent="0.3">
      <c r="A941">
        <v>9390</v>
      </c>
      <c r="B941">
        <v>1555.7</v>
      </c>
      <c r="C941">
        <v>113.76900000000001</v>
      </c>
      <c r="D941" s="15">
        <f t="shared" si="44"/>
        <v>7.5000000000002839E-5</v>
      </c>
      <c r="E941" s="14">
        <f t="shared" si="42"/>
        <v>9.237581761406999E-5</v>
      </c>
      <c r="F941">
        <v>104.846</v>
      </c>
      <c r="G941" s="1">
        <f t="shared" si="43"/>
        <v>105.464691</v>
      </c>
    </row>
    <row r="942" spans="1:7" x14ac:dyDescent="0.3">
      <c r="A942">
        <v>9400</v>
      </c>
      <c r="B942">
        <v>1573.3</v>
      </c>
      <c r="C942">
        <v>113.768</v>
      </c>
      <c r="D942" s="15">
        <f t="shared" si="44"/>
        <v>7.5000000000002839E-5</v>
      </c>
      <c r="E942" s="14">
        <f t="shared" si="42"/>
        <v>9.2339139612000005E-5</v>
      </c>
      <c r="F942">
        <v>104.872</v>
      </c>
      <c r="G942" s="1">
        <f t="shared" si="43"/>
        <v>105.463561</v>
      </c>
    </row>
    <row r="943" spans="1:7" x14ac:dyDescent="0.3">
      <c r="A943">
        <v>9410</v>
      </c>
      <c r="B943">
        <v>1589.6</v>
      </c>
      <c r="C943">
        <v>113.767</v>
      </c>
      <c r="D943" s="15">
        <f t="shared" si="44"/>
        <v>7.5000000000002839E-5</v>
      </c>
      <c r="E943" s="14">
        <f t="shared" si="42"/>
        <v>9.2302474293269994E-5</v>
      </c>
      <c r="F943">
        <v>104.898</v>
      </c>
      <c r="G943" s="1">
        <f t="shared" si="43"/>
        <v>105.46243100000001</v>
      </c>
    </row>
    <row r="944" spans="1:7" x14ac:dyDescent="0.3">
      <c r="A944">
        <v>9420</v>
      </c>
      <c r="B944">
        <v>1597.7</v>
      </c>
      <c r="C944">
        <v>113.76600000000001</v>
      </c>
      <c r="D944" s="15">
        <f t="shared" si="44"/>
        <v>7.5000000000002839E-5</v>
      </c>
      <c r="E944" s="14">
        <f t="shared" si="42"/>
        <v>9.2265821657879998E-5</v>
      </c>
      <c r="F944">
        <v>104.92400000000001</v>
      </c>
      <c r="G944" s="1">
        <f t="shared" si="43"/>
        <v>105.46130100000001</v>
      </c>
    </row>
    <row r="945" spans="1:7" x14ac:dyDescent="0.3">
      <c r="A945">
        <v>9430</v>
      </c>
      <c r="B945">
        <v>1605.7</v>
      </c>
      <c r="C945">
        <v>113.76600000000001</v>
      </c>
      <c r="D945" s="15">
        <f t="shared" si="44"/>
        <v>7.5000000000002839E-5</v>
      </c>
      <c r="E945" s="14">
        <f t="shared" si="42"/>
        <v>9.2229181705830003E-5</v>
      </c>
      <c r="F945">
        <v>104.95</v>
      </c>
      <c r="G945" s="1">
        <f t="shared" si="43"/>
        <v>105.460171</v>
      </c>
    </row>
    <row r="946" spans="1:7" x14ac:dyDescent="0.3">
      <c r="A946">
        <v>9440</v>
      </c>
      <c r="B946">
        <v>1613.3</v>
      </c>
      <c r="C946">
        <v>113.765</v>
      </c>
      <c r="D946" s="15">
        <f t="shared" si="44"/>
        <v>5.0000000000238744E-5</v>
      </c>
      <c r="E946" s="14">
        <f t="shared" si="42"/>
        <v>9.2192554437119995E-5</v>
      </c>
      <c r="F946">
        <v>104.976</v>
      </c>
      <c r="G946" s="1">
        <f t="shared" si="43"/>
        <v>105.459041</v>
      </c>
    </row>
    <row r="947" spans="1:7" x14ac:dyDescent="0.3">
      <c r="A947">
        <v>9450</v>
      </c>
      <c r="B947">
        <v>1622.4</v>
      </c>
      <c r="C947">
        <v>113.764</v>
      </c>
      <c r="D947" s="15">
        <f t="shared" si="44"/>
        <v>7.5000000000002839E-5</v>
      </c>
      <c r="E947" s="14">
        <f t="shared" si="42"/>
        <v>9.2155939851749989E-5</v>
      </c>
      <c r="F947">
        <v>105.002</v>
      </c>
      <c r="G947" s="1">
        <f t="shared" si="43"/>
        <v>105.457911</v>
      </c>
    </row>
    <row r="948" spans="1:7" x14ac:dyDescent="0.3">
      <c r="A948">
        <v>9460</v>
      </c>
      <c r="B948">
        <v>1630.8</v>
      </c>
      <c r="C948">
        <v>113.764</v>
      </c>
      <c r="D948" s="15">
        <f t="shared" si="44"/>
        <v>7.5000000000002839E-5</v>
      </c>
      <c r="E948" s="14">
        <f t="shared" si="42"/>
        <v>9.2119337949719997E-5</v>
      </c>
      <c r="F948">
        <v>105.02800000000001</v>
      </c>
      <c r="G948" s="1">
        <f t="shared" si="43"/>
        <v>105.45678100000001</v>
      </c>
    </row>
    <row r="949" spans="1:7" x14ac:dyDescent="0.3">
      <c r="A949">
        <v>9470</v>
      </c>
      <c r="B949">
        <v>1638.9</v>
      </c>
      <c r="C949">
        <v>113.76300000000001</v>
      </c>
      <c r="D949" s="15">
        <f t="shared" si="44"/>
        <v>7.5000000000002839E-5</v>
      </c>
      <c r="E949" s="14">
        <f t="shared" si="42"/>
        <v>9.2082748731029993E-5</v>
      </c>
      <c r="F949">
        <v>105.054</v>
      </c>
      <c r="G949" s="1">
        <f t="shared" si="43"/>
        <v>105.455651</v>
      </c>
    </row>
    <row r="950" spans="1:7" x14ac:dyDescent="0.3">
      <c r="A950">
        <v>9480</v>
      </c>
      <c r="B950">
        <v>1648.1</v>
      </c>
      <c r="C950">
        <v>113.762</v>
      </c>
      <c r="D950" s="15">
        <f t="shared" si="44"/>
        <v>9.9999999999766942E-5</v>
      </c>
      <c r="E950" s="14">
        <f t="shared" si="42"/>
        <v>9.2046172195680003E-5</v>
      </c>
      <c r="F950">
        <v>105.08</v>
      </c>
      <c r="G950" s="1">
        <f t="shared" si="43"/>
        <v>105.454521</v>
      </c>
    </row>
    <row r="951" spans="1:7" x14ac:dyDescent="0.3">
      <c r="A951">
        <v>9490</v>
      </c>
      <c r="B951">
        <v>1658.1</v>
      </c>
      <c r="C951">
        <v>113.761</v>
      </c>
      <c r="D951" s="15">
        <f t="shared" si="44"/>
        <v>7.5000000000002839E-5</v>
      </c>
      <c r="E951" s="14">
        <f t="shared" si="42"/>
        <v>9.2009608343670001E-5</v>
      </c>
      <c r="F951">
        <v>105.10599999999999</v>
      </c>
      <c r="G951" s="1">
        <f t="shared" si="43"/>
        <v>105.453391</v>
      </c>
    </row>
    <row r="952" spans="1:7" x14ac:dyDescent="0.3">
      <c r="A952">
        <v>9500</v>
      </c>
      <c r="B952">
        <v>1674.4</v>
      </c>
      <c r="C952">
        <v>113.76</v>
      </c>
      <c r="D952" s="15">
        <f t="shared" si="44"/>
        <v>7.5000000000002839E-5</v>
      </c>
      <c r="E952" s="14">
        <f t="shared" si="42"/>
        <v>9.1973057175E-5</v>
      </c>
      <c r="F952">
        <v>105.13200000000001</v>
      </c>
      <c r="G952" s="1">
        <f t="shared" si="43"/>
        <v>105.45226100000001</v>
      </c>
    </row>
    <row r="953" spans="1:7" x14ac:dyDescent="0.3">
      <c r="A953">
        <v>9510</v>
      </c>
      <c r="B953">
        <v>1693.6</v>
      </c>
      <c r="C953">
        <v>113.76</v>
      </c>
      <c r="D953" s="15">
        <f t="shared" si="44"/>
        <v>7.5000000000002839E-5</v>
      </c>
      <c r="E953" s="14">
        <f t="shared" si="42"/>
        <v>9.193651868967E-5</v>
      </c>
      <c r="F953">
        <v>105.158</v>
      </c>
      <c r="G953" s="1">
        <f t="shared" si="43"/>
        <v>105.451131</v>
      </c>
    </row>
    <row r="954" spans="1:7" x14ac:dyDescent="0.3">
      <c r="A954">
        <v>9520</v>
      </c>
      <c r="B954">
        <v>1712.5</v>
      </c>
      <c r="C954">
        <v>113.759</v>
      </c>
      <c r="D954" s="15">
        <f t="shared" si="44"/>
        <v>7.5000000000002839E-5</v>
      </c>
      <c r="E954" s="14">
        <f t="shared" si="42"/>
        <v>9.1899992887680001E-5</v>
      </c>
      <c r="F954">
        <v>105.184</v>
      </c>
      <c r="G954" s="1">
        <f t="shared" si="43"/>
        <v>105.450001</v>
      </c>
    </row>
    <row r="955" spans="1:7" x14ac:dyDescent="0.3">
      <c r="A955">
        <v>9530</v>
      </c>
      <c r="B955">
        <v>1728.7</v>
      </c>
      <c r="C955">
        <v>113.758</v>
      </c>
      <c r="D955" s="15">
        <f t="shared" si="44"/>
        <v>1.0000000000012221E-4</v>
      </c>
      <c r="E955" s="14">
        <f t="shared" si="42"/>
        <v>9.1863479769030003E-5</v>
      </c>
      <c r="F955">
        <v>105.21</v>
      </c>
      <c r="G955" s="1">
        <f t="shared" si="43"/>
        <v>105.448871</v>
      </c>
    </row>
    <row r="956" spans="1:7" x14ac:dyDescent="0.3">
      <c r="A956">
        <v>9540</v>
      </c>
      <c r="B956">
        <v>1738.2</v>
      </c>
      <c r="C956">
        <v>113.75700000000001</v>
      </c>
      <c r="D956" s="15">
        <f t="shared" si="44"/>
        <v>1.0000000000012221E-4</v>
      </c>
      <c r="E956" s="14">
        <f t="shared" si="42"/>
        <v>9.1826979333719993E-5</v>
      </c>
      <c r="F956">
        <v>105.236</v>
      </c>
      <c r="G956" s="1">
        <f t="shared" si="43"/>
        <v>105.44774100000001</v>
      </c>
    </row>
    <row r="957" spans="1:7" x14ac:dyDescent="0.3">
      <c r="A957">
        <v>9550</v>
      </c>
      <c r="B957">
        <v>1743.9</v>
      </c>
      <c r="C957">
        <v>113.756</v>
      </c>
      <c r="D957" s="15">
        <f t="shared" si="44"/>
        <v>7.5000000000002839E-5</v>
      </c>
      <c r="E957" s="14">
        <f t="shared" si="42"/>
        <v>9.1790491581749997E-5</v>
      </c>
      <c r="F957">
        <v>105.262</v>
      </c>
      <c r="G957" s="1">
        <f t="shared" si="43"/>
        <v>105.446611</v>
      </c>
    </row>
    <row r="958" spans="1:7" x14ac:dyDescent="0.3">
      <c r="A958">
        <v>9560</v>
      </c>
      <c r="B958">
        <v>1750.5</v>
      </c>
      <c r="C958">
        <v>113.755</v>
      </c>
      <c r="D958" s="15">
        <f t="shared" si="44"/>
        <v>7.5000000000002839E-5</v>
      </c>
      <c r="E958" s="14">
        <f t="shared" si="42"/>
        <v>9.1754016513119989E-5</v>
      </c>
      <c r="F958">
        <v>105.288</v>
      </c>
      <c r="G958" s="1">
        <f t="shared" si="43"/>
        <v>105.445481</v>
      </c>
    </row>
    <row r="959" spans="1:7" x14ac:dyDescent="0.3">
      <c r="A959">
        <v>9570</v>
      </c>
      <c r="B959">
        <v>1757</v>
      </c>
      <c r="C959">
        <v>113.755</v>
      </c>
      <c r="D959" s="15">
        <f t="shared" si="44"/>
        <v>7.5000000000002839E-5</v>
      </c>
      <c r="E959" s="14">
        <f t="shared" si="42"/>
        <v>9.1717554127829996E-5</v>
      </c>
      <c r="F959">
        <v>105.31399999999999</v>
      </c>
      <c r="G959" s="1">
        <f t="shared" si="43"/>
        <v>105.444351</v>
      </c>
    </row>
    <row r="960" spans="1:7" x14ac:dyDescent="0.3">
      <c r="A960">
        <v>9580</v>
      </c>
      <c r="B960">
        <v>1763.6</v>
      </c>
      <c r="C960">
        <v>113.754</v>
      </c>
      <c r="D960" s="15">
        <f t="shared" si="44"/>
        <v>7.5000000000002839E-5</v>
      </c>
      <c r="E960" s="14">
        <f t="shared" si="42"/>
        <v>9.1681104425880004E-5</v>
      </c>
      <c r="F960">
        <v>105.34</v>
      </c>
      <c r="G960" s="1">
        <f t="shared" si="43"/>
        <v>105.44322100000001</v>
      </c>
    </row>
    <row r="961" spans="1:7" x14ac:dyDescent="0.3">
      <c r="A961">
        <v>9590</v>
      </c>
      <c r="B961">
        <v>1770.3</v>
      </c>
      <c r="C961">
        <v>113.753</v>
      </c>
      <c r="D961" s="15">
        <f t="shared" si="44"/>
        <v>9.9999999999766942E-5</v>
      </c>
      <c r="E961" s="14">
        <f t="shared" si="42"/>
        <v>9.1644667407269999E-5</v>
      </c>
      <c r="F961">
        <v>105.367</v>
      </c>
      <c r="G961" s="1">
        <f t="shared" si="43"/>
        <v>105.442091</v>
      </c>
    </row>
    <row r="962" spans="1:7" x14ac:dyDescent="0.3">
      <c r="A962">
        <v>9600</v>
      </c>
      <c r="B962">
        <v>1776.9</v>
      </c>
      <c r="C962">
        <v>113.752</v>
      </c>
      <c r="D962" s="15">
        <f t="shared" si="44"/>
        <v>1.0000000000012221E-4</v>
      </c>
      <c r="E962" s="14">
        <f t="shared" ref="E962:E1025" si="45">0.0000000000000634167*A962*A962 - 0.0000000048594*A962 + 0.000132414</f>
        <v>9.1608243071999995E-5</v>
      </c>
      <c r="F962">
        <v>105.392</v>
      </c>
      <c r="G962" s="1">
        <f t="shared" si="43"/>
        <v>105.440961</v>
      </c>
    </row>
    <row r="963" spans="1:7" x14ac:dyDescent="0.3">
      <c r="A963">
        <v>9610</v>
      </c>
      <c r="B963">
        <v>1783.5</v>
      </c>
      <c r="C963">
        <v>113.751</v>
      </c>
      <c r="D963" s="15">
        <f t="shared" si="44"/>
        <v>1.0000000000012221E-4</v>
      </c>
      <c r="E963" s="14">
        <f t="shared" si="45"/>
        <v>9.1571831420069993E-5</v>
      </c>
      <c r="F963">
        <v>105.41800000000001</v>
      </c>
      <c r="G963" s="1">
        <f t="shared" ref="G963:G1026" si="46">-0.000113*A963 + 106.525761</f>
        <v>105.439831</v>
      </c>
    </row>
    <row r="964" spans="1:7" x14ac:dyDescent="0.3">
      <c r="A964">
        <v>9620</v>
      </c>
      <c r="B964">
        <v>1790.3</v>
      </c>
      <c r="C964">
        <v>113.75</v>
      </c>
      <c r="D964" s="15">
        <f t="shared" si="44"/>
        <v>9.9999999999766942E-5</v>
      </c>
      <c r="E964" s="14">
        <f t="shared" si="45"/>
        <v>9.1535432451479991E-5</v>
      </c>
      <c r="F964">
        <v>105.444</v>
      </c>
      <c r="G964" s="1">
        <f t="shared" si="46"/>
        <v>105.43870100000001</v>
      </c>
    </row>
    <row r="965" spans="1:7" x14ac:dyDescent="0.3">
      <c r="A965">
        <v>9630</v>
      </c>
      <c r="B965">
        <v>1796.7</v>
      </c>
      <c r="C965">
        <v>113.749</v>
      </c>
      <c r="D965" s="15">
        <f t="shared" ref="D965:D1028" si="47">(C963-C967)/(A967-A963)</f>
        <v>1.0000000000012221E-4</v>
      </c>
      <c r="E965" s="14">
        <f t="shared" si="45"/>
        <v>9.1499046166230004E-5</v>
      </c>
      <c r="F965">
        <v>105.47</v>
      </c>
      <c r="G965" s="1">
        <f t="shared" si="46"/>
        <v>105.43757100000001</v>
      </c>
    </row>
    <row r="966" spans="1:7" x14ac:dyDescent="0.3">
      <c r="A966">
        <v>9640</v>
      </c>
      <c r="B966">
        <v>1803.2</v>
      </c>
      <c r="C966">
        <v>113.748</v>
      </c>
      <c r="D966" s="15">
        <f t="shared" si="47"/>
        <v>1.0000000000012221E-4</v>
      </c>
      <c r="E966" s="14">
        <f t="shared" si="45"/>
        <v>9.1462672564319991E-5</v>
      </c>
      <c r="F966">
        <v>105.496</v>
      </c>
      <c r="G966" s="1">
        <f t="shared" si="46"/>
        <v>105.436441</v>
      </c>
    </row>
    <row r="967" spans="1:7" x14ac:dyDescent="0.3">
      <c r="A967">
        <v>9650</v>
      </c>
      <c r="B967">
        <v>1810</v>
      </c>
      <c r="C967">
        <v>113.747</v>
      </c>
      <c r="D967" s="15">
        <f t="shared" si="47"/>
        <v>9.9999999999766942E-5</v>
      </c>
      <c r="E967" s="14">
        <f t="shared" si="45"/>
        <v>9.1426311645749993E-5</v>
      </c>
      <c r="F967">
        <v>105.52200000000001</v>
      </c>
      <c r="G967" s="1">
        <f t="shared" si="46"/>
        <v>105.435311</v>
      </c>
    </row>
    <row r="968" spans="1:7" x14ac:dyDescent="0.3">
      <c r="A968">
        <v>9660</v>
      </c>
      <c r="B968">
        <v>1815.7</v>
      </c>
      <c r="C968">
        <v>113.746</v>
      </c>
      <c r="D968" s="15">
        <f t="shared" si="47"/>
        <v>1.0000000000012221E-4</v>
      </c>
      <c r="E968" s="14">
        <f t="shared" si="45"/>
        <v>9.1389963410519996E-5</v>
      </c>
      <c r="F968">
        <v>105.548</v>
      </c>
      <c r="G968" s="1">
        <f t="shared" si="46"/>
        <v>105.43418100000001</v>
      </c>
    </row>
    <row r="969" spans="1:7" x14ac:dyDescent="0.3">
      <c r="A969">
        <v>9670</v>
      </c>
      <c r="B969">
        <v>1822.5</v>
      </c>
      <c r="C969">
        <v>113.745</v>
      </c>
      <c r="D969" s="15">
        <f t="shared" si="47"/>
        <v>1.0000000000012221E-4</v>
      </c>
      <c r="E969" s="14">
        <f t="shared" si="45"/>
        <v>9.135362785863E-5</v>
      </c>
      <c r="F969">
        <v>105.575</v>
      </c>
      <c r="G969" s="1">
        <f t="shared" si="46"/>
        <v>105.43305100000001</v>
      </c>
    </row>
    <row r="970" spans="1:7" x14ac:dyDescent="0.3">
      <c r="A970">
        <v>9680</v>
      </c>
      <c r="B970">
        <v>1829</v>
      </c>
      <c r="C970">
        <v>113.744</v>
      </c>
      <c r="D970" s="15">
        <f t="shared" si="47"/>
        <v>9.9999999999766942E-5</v>
      </c>
      <c r="E970" s="14">
        <f t="shared" si="45"/>
        <v>9.1317304990080005E-5</v>
      </c>
      <c r="F970">
        <v>105.6</v>
      </c>
      <c r="G970" s="1">
        <f t="shared" si="46"/>
        <v>105.431921</v>
      </c>
    </row>
    <row r="971" spans="1:7" x14ac:dyDescent="0.3">
      <c r="A971">
        <v>9690</v>
      </c>
      <c r="B971">
        <v>1835.4</v>
      </c>
      <c r="C971">
        <v>113.74299999999999</v>
      </c>
      <c r="D971" s="15">
        <f t="shared" si="47"/>
        <v>1.0000000000012221E-4</v>
      </c>
      <c r="E971" s="14">
        <f t="shared" si="45"/>
        <v>9.1280994804869998E-5</v>
      </c>
      <c r="F971">
        <v>105.626</v>
      </c>
      <c r="G971" s="1">
        <f t="shared" si="46"/>
        <v>105.430791</v>
      </c>
    </row>
    <row r="972" spans="1:7" x14ac:dyDescent="0.3">
      <c r="A972">
        <v>9700</v>
      </c>
      <c r="B972">
        <v>1842.2</v>
      </c>
      <c r="C972">
        <v>113.742</v>
      </c>
      <c r="D972" s="15">
        <f t="shared" si="47"/>
        <v>1.0000000000012221E-4</v>
      </c>
      <c r="E972" s="14">
        <f t="shared" si="45"/>
        <v>9.1244697302999991E-5</v>
      </c>
      <c r="F972">
        <v>105.652</v>
      </c>
      <c r="G972" s="1">
        <f t="shared" si="46"/>
        <v>105.42966100000001</v>
      </c>
    </row>
    <row r="973" spans="1:7" x14ac:dyDescent="0.3">
      <c r="A973">
        <v>9710</v>
      </c>
      <c r="B973">
        <v>1848.8</v>
      </c>
      <c r="C973">
        <v>113.741</v>
      </c>
      <c r="D973" s="15">
        <f t="shared" si="47"/>
        <v>9.9999999999766942E-5</v>
      </c>
      <c r="E973" s="14">
        <f t="shared" si="45"/>
        <v>9.120841248447E-5</v>
      </c>
      <c r="F973">
        <v>105.678</v>
      </c>
      <c r="G973" s="1">
        <f t="shared" si="46"/>
        <v>105.42853100000001</v>
      </c>
    </row>
    <row r="974" spans="1:7" x14ac:dyDescent="0.3">
      <c r="A974">
        <v>9720</v>
      </c>
      <c r="B974">
        <v>1855.9</v>
      </c>
      <c r="C974">
        <v>113.74</v>
      </c>
      <c r="D974" s="15">
        <f t="shared" si="47"/>
        <v>1.0000000000012221E-4</v>
      </c>
      <c r="E974" s="14">
        <f t="shared" si="45"/>
        <v>9.1172140349279996E-5</v>
      </c>
      <c r="F974">
        <v>105.70399999999999</v>
      </c>
      <c r="G974" s="1">
        <f t="shared" si="46"/>
        <v>105.427401</v>
      </c>
    </row>
    <row r="975" spans="1:7" x14ac:dyDescent="0.3">
      <c r="A975">
        <v>9730</v>
      </c>
      <c r="B975">
        <v>1862.8</v>
      </c>
      <c r="C975">
        <v>113.739</v>
      </c>
      <c r="D975" s="15">
        <f t="shared" si="47"/>
        <v>1.2499999999988632E-4</v>
      </c>
      <c r="E975" s="14">
        <f t="shared" si="45"/>
        <v>9.1135880897429993E-5</v>
      </c>
      <c r="F975">
        <v>105.73099999999999</v>
      </c>
      <c r="G975" s="1">
        <f t="shared" si="46"/>
        <v>105.426271</v>
      </c>
    </row>
    <row r="976" spans="1:7" x14ac:dyDescent="0.3">
      <c r="A976">
        <v>9740</v>
      </c>
      <c r="B976">
        <v>1870</v>
      </c>
      <c r="C976">
        <v>113.738</v>
      </c>
      <c r="D976" s="15">
        <f t="shared" si="47"/>
        <v>1.2499999999988632E-4</v>
      </c>
      <c r="E976" s="14">
        <f t="shared" si="45"/>
        <v>9.1099634128920004E-5</v>
      </c>
      <c r="F976">
        <v>105.75700000000001</v>
      </c>
      <c r="G976" s="1">
        <f t="shared" si="46"/>
        <v>105.425141</v>
      </c>
    </row>
    <row r="977" spans="1:7" x14ac:dyDescent="0.3">
      <c r="A977">
        <v>9750</v>
      </c>
      <c r="B977">
        <v>1877</v>
      </c>
      <c r="C977">
        <v>113.736</v>
      </c>
      <c r="D977" s="15">
        <f t="shared" si="47"/>
        <v>1.2500000000024159E-4</v>
      </c>
      <c r="E977" s="14">
        <f t="shared" si="45"/>
        <v>9.1063400043750003E-5</v>
      </c>
      <c r="F977">
        <v>105.782</v>
      </c>
      <c r="G977" s="1">
        <f t="shared" si="46"/>
        <v>105.42401100000001</v>
      </c>
    </row>
    <row r="978" spans="1:7" x14ac:dyDescent="0.3">
      <c r="A978">
        <v>9760</v>
      </c>
      <c r="B978">
        <v>1883.7</v>
      </c>
      <c r="C978">
        <v>113.735</v>
      </c>
      <c r="D978" s="15">
        <f t="shared" si="47"/>
        <v>1.2499999999988632E-4</v>
      </c>
      <c r="E978" s="14">
        <f t="shared" si="45"/>
        <v>9.1027178641920004E-5</v>
      </c>
      <c r="F978">
        <v>105.80800000000001</v>
      </c>
      <c r="G978" s="1">
        <f t="shared" si="46"/>
        <v>105.422881</v>
      </c>
    </row>
    <row r="979" spans="1:7" x14ac:dyDescent="0.3">
      <c r="A979">
        <v>9770</v>
      </c>
      <c r="B979">
        <v>1890.5</v>
      </c>
      <c r="C979">
        <v>113.73399999999999</v>
      </c>
      <c r="D979" s="15">
        <f t="shared" si="47"/>
        <v>1.0000000000012221E-4</v>
      </c>
      <c r="E979" s="14">
        <f t="shared" si="45"/>
        <v>9.0990969923429992E-5</v>
      </c>
      <c r="F979">
        <v>105.834</v>
      </c>
      <c r="G979" s="1">
        <f t="shared" si="46"/>
        <v>105.421751</v>
      </c>
    </row>
    <row r="980" spans="1:7" x14ac:dyDescent="0.3">
      <c r="A980">
        <v>9780</v>
      </c>
      <c r="B980">
        <v>1897.1</v>
      </c>
      <c r="C980">
        <v>113.733</v>
      </c>
      <c r="D980" s="15">
        <f t="shared" si="47"/>
        <v>1.0000000000012221E-4</v>
      </c>
      <c r="E980" s="14">
        <f t="shared" si="45"/>
        <v>9.0954773888280008E-5</v>
      </c>
      <c r="F980">
        <v>105.86</v>
      </c>
      <c r="G980" s="1">
        <f t="shared" si="46"/>
        <v>105.420621</v>
      </c>
    </row>
    <row r="981" spans="1:7" x14ac:dyDescent="0.3">
      <c r="A981">
        <v>9790</v>
      </c>
      <c r="B981">
        <v>1904.1</v>
      </c>
      <c r="C981">
        <v>113.732</v>
      </c>
      <c r="D981" s="15">
        <f t="shared" si="47"/>
        <v>1.2499999999988632E-4</v>
      </c>
      <c r="E981" s="14">
        <f t="shared" si="45"/>
        <v>9.0918590536469998E-5</v>
      </c>
      <c r="F981">
        <v>105.886</v>
      </c>
      <c r="G981" s="1">
        <f t="shared" si="46"/>
        <v>105.41949100000001</v>
      </c>
    </row>
    <row r="982" spans="1:7" x14ac:dyDescent="0.3">
      <c r="A982">
        <v>9800</v>
      </c>
      <c r="B982">
        <v>1910.7</v>
      </c>
      <c r="C982">
        <v>113.73099999999999</v>
      </c>
      <c r="D982" s="15">
        <f t="shared" si="47"/>
        <v>1.2500000000024159E-4</v>
      </c>
      <c r="E982" s="14">
        <f t="shared" si="45"/>
        <v>9.0882419867999989E-5</v>
      </c>
      <c r="F982">
        <v>105.91200000000001</v>
      </c>
      <c r="G982" s="1">
        <f t="shared" si="46"/>
        <v>105.418361</v>
      </c>
    </row>
    <row r="983" spans="1:7" x14ac:dyDescent="0.3">
      <c r="A983">
        <v>9810</v>
      </c>
      <c r="B983">
        <v>1917.8</v>
      </c>
      <c r="C983">
        <v>113.729</v>
      </c>
      <c r="D983" s="15">
        <f t="shared" si="47"/>
        <v>1.2499999999988632E-4</v>
      </c>
      <c r="E983" s="14">
        <f t="shared" si="45"/>
        <v>9.0846261882869994E-5</v>
      </c>
      <c r="F983">
        <v>105.938</v>
      </c>
      <c r="G983" s="1">
        <f t="shared" si="46"/>
        <v>105.417231</v>
      </c>
    </row>
    <row r="984" spans="1:7" x14ac:dyDescent="0.3">
      <c r="A984">
        <v>9820</v>
      </c>
      <c r="B984">
        <v>1925</v>
      </c>
      <c r="C984">
        <v>113.72799999999999</v>
      </c>
      <c r="D984" s="15">
        <f t="shared" si="47"/>
        <v>1.2499999999988632E-4</v>
      </c>
      <c r="E984" s="14">
        <f t="shared" si="45"/>
        <v>9.0810116581080001E-5</v>
      </c>
      <c r="F984">
        <v>105.964</v>
      </c>
      <c r="G984" s="1">
        <f t="shared" si="46"/>
        <v>105.416101</v>
      </c>
    </row>
    <row r="985" spans="1:7" x14ac:dyDescent="0.3">
      <c r="A985">
        <v>9830</v>
      </c>
      <c r="B985">
        <v>1931.6</v>
      </c>
      <c r="C985">
        <v>113.727</v>
      </c>
      <c r="D985" s="15">
        <f t="shared" si="47"/>
        <v>1.2499999999988632E-4</v>
      </c>
      <c r="E985" s="14">
        <f t="shared" si="45"/>
        <v>9.0773983962629996E-5</v>
      </c>
      <c r="F985">
        <v>105.99</v>
      </c>
      <c r="G985" s="1">
        <f t="shared" si="46"/>
        <v>105.41497100000001</v>
      </c>
    </row>
    <row r="986" spans="1:7" x14ac:dyDescent="0.3">
      <c r="A986">
        <v>9840</v>
      </c>
      <c r="B986">
        <v>1938.8</v>
      </c>
      <c r="C986">
        <v>113.726</v>
      </c>
      <c r="D986" s="15">
        <f t="shared" si="47"/>
        <v>1.2499999999988632E-4</v>
      </c>
      <c r="E986" s="14">
        <f t="shared" si="45"/>
        <v>9.0737864027519991E-5</v>
      </c>
      <c r="F986">
        <v>106.01600000000001</v>
      </c>
      <c r="G986" s="1">
        <f t="shared" si="46"/>
        <v>105.41384100000001</v>
      </c>
    </row>
    <row r="987" spans="1:7" x14ac:dyDescent="0.3">
      <c r="A987">
        <v>9850</v>
      </c>
      <c r="B987">
        <v>1926</v>
      </c>
      <c r="C987">
        <v>113.724</v>
      </c>
      <c r="D987" s="15">
        <f t="shared" si="47"/>
        <v>1.2500000000024159E-4</v>
      </c>
      <c r="E987" s="14">
        <f t="shared" si="45"/>
        <v>9.0701756775750001E-5</v>
      </c>
      <c r="F987">
        <v>106.03400000000001</v>
      </c>
      <c r="G987" s="1">
        <f t="shared" si="46"/>
        <v>105.412711</v>
      </c>
    </row>
    <row r="988" spans="1:7" x14ac:dyDescent="0.3">
      <c r="A988">
        <v>9860</v>
      </c>
      <c r="B988">
        <v>1918</v>
      </c>
      <c r="C988">
        <v>113.723</v>
      </c>
      <c r="D988" s="15">
        <f t="shared" si="47"/>
        <v>1.5000000000000568E-4</v>
      </c>
      <c r="E988" s="14">
        <f t="shared" si="45"/>
        <v>9.0665662207319999E-5</v>
      </c>
      <c r="F988">
        <v>106.05</v>
      </c>
      <c r="G988" s="1">
        <f t="shared" si="46"/>
        <v>105.411581</v>
      </c>
    </row>
    <row r="989" spans="1:7" x14ac:dyDescent="0.3">
      <c r="A989">
        <v>9870</v>
      </c>
      <c r="B989">
        <v>1909.3</v>
      </c>
      <c r="C989">
        <v>113.72199999999999</v>
      </c>
      <c r="D989" s="15">
        <f t="shared" si="47"/>
        <v>1.2500000000024159E-4</v>
      </c>
      <c r="E989" s="14">
        <f t="shared" si="45"/>
        <v>9.0629580322229997E-5</v>
      </c>
      <c r="F989">
        <v>106.06699999999999</v>
      </c>
      <c r="G989" s="1">
        <f t="shared" si="46"/>
        <v>105.41045100000001</v>
      </c>
    </row>
    <row r="990" spans="1:7" x14ac:dyDescent="0.3">
      <c r="A990">
        <v>9880</v>
      </c>
      <c r="B990">
        <v>1901.2</v>
      </c>
      <c r="C990">
        <v>113.72</v>
      </c>
      <c r="D990" s="15">
        <f t="shared" si="47"/>
        <v>1.5000000000000568E-4</v>
      </c>
      <c r="E990" s="14">
        <f t="shared" si="45"/>
        <v>9.0593511120479997E-5</v>
      </c>
      <c r="F990">
        <v>106.084</v>
      </c>
      <c r="G990" s="1">
        <f t="shared" si="46"/>
        <v>105.40932100000001</v>
      </c>
    </row>
    <row r="991" spans="1:7" x14ac:dyDescent="0.3">
      <c r="A991">
        <v>9890</v>
      </c>
      <c r="B991">
        <v>1892.7</v>
      </c>
      <c r="C991">
        <v>113.71899999999999</v>
      </c>
      <c r="D991" s="15">
        <f t="shared" si="47"/>
        <v>1.5000000000000568E-4</v>
      </c>
      <c r="E991" s="14">
        <f t="shared" si="45"/>
        <v>9.0557454602069998E-5</v>
      </c>
      <c r="F991">
        <v>106.101</v>
      </c>
      <c r="G991" s="1">
        <f t="shared" si="46"/>
        <v>105.408191</v>
      </c>
    </row>
    <row r="992" spans="1:7" x14ac:dyDescent="0.3">
      <c r="A992">
        <v>9900</v>
      </c>
      <c r="B992">
        <v>1884.3</v>
      </c>
      <c r="C992">
        <v>113.717</v>
      </c>
      <c r="D992" s="15">
        <f t="shared" si="47"/>
        <v>1.2499999999988632E-4</v>
      </c>
      <c r="E992" s="14">
        <f t="shared" si="45"/>
        <v>9.0521410767E-5</v>
      </c>
      <c r="F992">
        <v>106.117</v>
      </c>
      <c r="G992" s="1">
        <f t="shared" si="46"/>
        <v>105.407061</v>
      </c>
    </row>
    <row r="993" spans="1:7" x14ac:dyDescent="0.3">
      <c r="A993">
        <v>9910</v>
      </c>
      <c r="B993">
        <v>1876</v>
      </c>
      <c r="C993">
        <v>113.71599999999999</v>
      </c>
      <c r="D993" s="15">
        <f t="shared" si="47"/>
        <v>1.5000000000000568E-4</v>
      </c>
      <c r="E993" s="14">
        <f t="shared" si="45"/>
        <v>9.0485379615270003E-5</v>
      </c>
      <c r="F993">
        <v>106.134</v>
      </c>
      <c r="G993" s="1">
        <f t="shared" si="46"/>
        <v>105.40593100000001</v>
      </c>
    </row>
    <row r="994" spans="1:7" x14ac:dyDescent="0.3">
      <c r="A994">
        <v>9920</v>
      </c>
      <c r="B994">
        <v>1867.2</v>
      </c>
      <c r="C994">
        <v>113.715</v>
      </c>
      <c r="D994" s="15">
        <f t="shared" si="47"/>
        <v>1.2499999999988632E-4</v>
      </c>
      <c r="E994" s="14">
        <f t="shared" si="45"/>
        <v>9.0449361146879994E-5</v>
      </c>
      <c r="F994">
        <v>106.151</v>
      </c>
      <c r="G994" s="1">
        <f t="shared" si="46"/>
        <v>105.40480100000001</v>
      </c>
    </row>
    <row r="995" spans="1:7" x14ac:dyDescent="0.3">
      <c r="A995">
        <v>9930</v>
      </c>
      <c r="B995">
        <v>1858.6</v>
      </c>
      <c r="C995">
        <v>113.71299999999999</v>
      </c>
      <c r="D995" s="15">
        <f t="shared" si="47"/>
        <v>1.5000000000000568E-4</v>
      </c>
      <c r="E995" s="14">
        <f t="shared" si="45"/>
        <v>9.0413355361829999E-5</v>
      </c>
      <c r="F995">
        <v>106.16800000000001</v>
      </c>
      <c r="G995" s="1">
        <f t="shared" si="46"/>
        <v>105.403671</v>
      </c>
    </row>
    <row r="996" spans="1:7" x14ac:dyDescent="0.3">
      <c r="A996">
        <v>9940</v>
      </c>
      <c r="B996">
        <v>1850.9</v>
      </c>
      <c r="C996">
        <v>113.712</v>
      </c>
      <c r="D996" s="15">
        <f t="shared" si="47"/>
        <v>1.5000000000000568E-4</v>
      </c>
      <c r="E996" s="14">
        <f t="shared" si="45"/>
        <v>9.0377362260120006E-5</v>
      </c>
      <c r="F996">
        <v>106.184</v>
      </c>
      <c r="G996" s="1">
        <f t="shared" si="46"/>
        <v>105.402541</v>
      </c>
    </row>
    <row r="997" spans="1:7" x14ac:dyDescent="0.3">
      <c r="A997">
        <v>9950</v>
      </c>
      <c r="B997">
        <v>1842.5</v>
      </c>
      <c r="C997">
        <v>113.71</v>
      </c>
      <c r="D997" s="15">
        <f t="shared" si="47"/>
        <v>1.5000000000000568E-4</v>
      </c>
      <c r="E997" s="14">
        <f t="shared" si="45"/>
        <v>9.0341381841749999E-5</v>
      </c>
      <c r="F997">
        <v>106.2</v>
      </c>
      <c r="G997" s="1">
        <f t="shared" si="46"/>
        <v>105.401411</v>
      </c>
    </row>
    <row r="998" spans="1:7" x14ac:dyDescent="0.3">
      <c r="A998">
        <v>9960</v>
      </c>
      <c r="B998">
        <v>1834.4</v>
      </c>
      <c r="C998">
        <v>113.709</v>
      </c>
      <c r="D998" s="15">
        <f t="shared" si="47"/>
        <v>1.5000000000000568E-4</v>
      </c>
      <c r="E998" s="14">
        <f t="shared" si="45"/>
        <v>9.0305414106719994E-5</v>
      </c>
      <c r="F998">
        <v>106.217</v>
      </c>
      <c r="G998" s="1">
        <f t="shared" si="46"/>
        <v>105.40028100000001</v>
      </c>
    </row>
    <row r="999" spans="1:7" x14ac:dyDescent="0.3">
      <c r="A999">
        <v>9970</v>
      </c>
      <c r="B999">
        <v>1814.3</v>
      </c>
      <c r="C999">
        <v>113.70699999999999</v>
      </c>
      <c r="D999" s="15">
        <f t="shared" si="47"/>
        <v>1.2499999999988632E-4</v>
      </c>
      <c r="E999" s="14">
        <f t="shared" si="45"/>
        <v>9.0269459055029991E-5</v>
      </c>
      <c r="F999">
        <v>106.23399999999999</v>
      </c>
      <c r="G999" s="1">
        <f t="shared" si="46"/>
        <v>105.399151</v>
      </c>
    </row>
    <row r="1000" spans="1:7" x14ac:dyDescent="0.3">
      <c r="A1000">
        <v>9980</v>
      </c>
      <c r="B1000">
        <v>1796.1</v>
      </c>
      <c r="C1000">
        <v>113.706</v>
      </c>
      <c r="D1000" s="15">
        <f t="shared" si="47"/>
        <v>1.5000000000000568E-4</v>
      </c>
      <c r="E1000" s="14">
        <f t="shared" si="45"/>
        <v>9.0233516686679988E-5</v>
      </c>
      <c r="F1000">
        <v>106.251</v>
      </c>
      <c r="G1000" s="1">
        <f t="shared" si="46"/>
        <v>105.398021</v>
      </c>
    </row>
    <row r="1001" spans="1:7" x14ac:dyDescent="0.3">
      <c r="A1001">
        <v>9990</v>
      </c>
      <c r="B1001">
        <v>1756.6</v>
      </c>
      <c r="C1001">
        <v>113.705</v>
      </c>
      <c r="D1001" s="15">
        <f t="shared" si="47"/>
        <v>1.2499999999988632E-4</v>
      </c>
      <c r="E1001" s="14">
        <f t="shared" si="45"/>
        <v>9.0197587001669986E-5</v>
      </c>
      <c r="F1001">
        <v>106.267</v>
      </c>
      <c r="G1001" s="1">
        <f t="shared" si="46"/>
        <v>105.396891</v>
      </c>
    </row>
    <row r="1002" spans="1:7" x14ac:dyDescent="0.3">
      <c r="A1002">
        <v>10000</v>
      </c>
      <c r="B1002">
        <v>1720.6</v>
      </c>
      <c r="C1002">
        <v>113.703</v>
      </c>
      <c r="D1002" s="15">
        <f t="shared" si="47"/>
        <v>1.5000000000000568E-4</v>
      </c>
      <c r="E1002" s="14">
        <f t="shared" si="45"/>
        <v>9.0161669999999985E-5</v>
      </c>
      <c r="F1002">
        <v>106.28400000000001</v>
      </c>
      <c r="G1002" s="1">
        <f t="shared" si="46"/>
        <v>105.39576100000001</v>
      </c>
    </row>
    <row r="1003" spans="1:7" x14ac:dyDescent="0.3">
      <c r="A1003">
        <v>10010</v>
      </c>
      <c r="B1003">
        <v>1705.9</v>
      </c>
      <c r="C1003">
        <v>113.702</v>
      </c>
      <c r="D1003" s="15">
        <f t="shared" si="47"/>
        <v>1.5000000000000568E-4</v>
      </c>
      <c r="E1003" s="14">
        <f t="shared" si="45"/>
        <v>9.0125765681669999E-5</v>
      </c>
      <c r="F1003">
        <v>106.301</v>
      </c>
      <c r="G1003" s="1">
        <f t="shared" si="46"/>
        <v>105.394631</v>
      </c>
    </row>
    <row r="1004" spans="1:7" x14ac:dyDescent="0.3">
      <c r="A1004">
        <v>10020</v>
      </c>
      <c r="B1004">
        <v>1689.6</v>
      </c>
      <c r="C1004">
        <v>113.7</v>
      </c>
      <c r="D1004" s="15">
        <f t="shared" si="47"/>
        <v>1.2500000000024159E-4</v>
      </c>
      <c r="E1004" s="14">
        <f t="shared" si="45"/>
        <v>9.0089874046679987E-5</v>
      </c>
      <c r="F1004">
        <v>106.318</v>
      </c>
      <c r="G1004" s="1">
        <f t="shared" si="46"/>
        <v>105.393501</v>
      </c>
    </row>
    <row r="1005" spans="1:7" x14ac:dyDescent="0.3">
      <c r="A1005">
        <v>10030</v>
      </c>
      <c r="B1005">
        <v>1654.6</v>
      </c>
      <c r="C1005">
        <v>113.699</v>
      </c>
      <c r="D1005" s="15">
        <f t="shared" si="47"/>
        <v>1.5000000000000568E-4</v>
      </c>
      <c r="E1005" s="14">
        <f t="shared" si="45"/>
        <v>9.005399509502999E-5</v>
      </c>
      <c r="F1005">
        <v>106.334</v>
      </c>
      <c r="G1005" s="1">
        <f t="shared" si="46"/>
        <v>105.392371</v>
      </c>
    </row>
    <row r="1006" spans="1:7" x14ac:dyDescent="0.3">
      <c r="A1006">
        <v>10040</v>
      </c>
      <c r="B1006">
        <v>1645.1</v>
      </c>
      <c r="C1006">
        <v>113.69799999999999</v>
      </c>
      <c r="D1006" s="15">
        <f t="shared" si="47"/>
        <v>1.2500000000024159E-4</v>
      </c>
      <c r="E1006" s="14">
        <f t="shared" si="45"/>
        <v>9.0018128826719994E-5</v>
      </c>
      <c r="F1006">
        <v>106.351</v>
      </c>
      <c r="G1006" s="1">
        <f t="shared" si="46"/>
        <v>105.39124100000001</v>
      </c>
    </row>
    <row r="1007" spans="1:7" x14ac:dyDescent="0.3">
      <c r="A1007">
        <v>10050</v>
      </c>
      <c r="B1007">
        <v>1635.5</v>
      </c>
      <c r="C1007">
        <v>113.696</v>
      </c>
      <c r="D1007" s="15">
        <f t="shared" si="47"/>
        <v>1.2499999999988632E-4</v>
      </c>
      <c r="E1007" s="14">
        <f t="shared" si="45"/>
        <v>8.9982275241749999E-5</v>
      </c>
      <c r="F1007">
        <v>106.36799999999999</v>
      </c>
      <c r="G1007" s="1">
        <f t="shared" si="46"/>
        <v>105.390111</v>
      </c>
    </row>
    <row r="1008" spans="1:7" x14ac:dyDescent="0.3">
      <c r="A1008">
        <v>10060</v>
      </c>
      <c r="B1008">
        <v>1626.2</v>
      </c>
      <c r="C1008">
        <v>113.69499999999999</v>
      </c>
      <c r="D1008" s="15">
        <f t="shared" si="47"/>
        <v>1.5000000000000568E-4</v>
      </c>
      <c r="E1008" s="14">
        <f t="shared" si="45"/>
        <v>8.9946434340120005E-5</v>
      </c>
      <c r="F1008">
        <v>106.384</v>
      </c>
      <c r="G1008" s="1">
        <f t="shared" si="46"/>
        <v>105.388981</v>
      </c>
    </row>
    <row r="1009" spans="1:7" x14ac:dyDescent="0.3">
      <c r="A1009">
        <v>10070</v>
      </c>
      <c r="B1009">
        <v>1616.6</v>
      </c>
      <c r="C1009">
        <v>113.694</v>
      </c>
      <c r="D1009" s="15">
        <f t="shared" si="47"/>
        <v>1.2499999999988632E-4</v>
      </c>
      <c r="E1009" s="14">
        <f t="shared" si="45"/>
        <v>8.9910606121829998E-5</v>
      </c>
      <c r="F1009">
        <v>106.4</v>
      </c>
      <c r="G1009" s="1">
        <f t="shared" si="46"/>
        <v>105.387851</v>
      </c>
    </row>
    <row r="1010" spans="1:7" x14ac:dyDescent="0.3">
      <c r="A1010">
        <v>10080</v>
      </c>
      <c r="B1010">
        <v>1606.9</v>
      </c>
      <c r="C1010">
        <v>113.69199999999999</v>
      </c>
      <c r="D1010" s="15">
        <f t="shared" si="47"/>
        <v>1.2499999999988632E-4</v>
      </c>
      <c r="E1010" s="14">
        <f t="shared" si="45"/>
        <v>8.9874790586879993E-5</v>
      </c>
      <c r="F1010">
        <v>106.417</v>
      </c>
      <c r="G1010" s="1">
        <f t="shared" si="46"/>
        <v>105.38672100000001</v>
      </c>
    </row>
    <row r="1011" spans="1:7" x14ac:dyDescent="0.3">
      <c r="A1011">
        <v>10090</v>
      </c>
      <c r="B1011">
        <v>1602.4</v>
      </c>
      <c r="C1011">
        <v>113.691</v>
      </c>
      <c r="D1011" s="15">
        <f t="shared" si="47"/>
        <v>1.5000000000000568E-4</v>
      </c>
      <c r="E1011" s="14">
        <f t="shared" si="45"/>
        <v>8.9838987735270002E-5</v>
      </c>
      <c r="F1011">
        <v>106.434</v>
      </c>
      <c r="G1011" s="1">
        <f t="shared" si="46"/>
        <v>105.38559100000001</v>
      </c>
    </row>
    <row r="1012" spans="1:7" x14ac:dyDescent="0.3">
      <c r="A1012">
        <v>10100</v>
      </c>
      <c r="B1012">
        <v>1600.5</v>
      </c>
      <c r="C1012">
        <v>113.69</v>
      </c>
      <c r="D1012" s="15">
        <f t="shared" si="47"/>
        <v>1.2499999999988632E-4</v>
      </c>
      <c r="E1012" s="14">
        <f t="shared" si="45"/>
        <v>8.9803197566999999E-5</v>
      </c>
      <c r="F1012">
        <v>106.45</v>
      </c>
      <c r="G1012" s="1">
        <f t="shared" si="46"/>
        <v>105.384461</v>
      </c>
    </row>
    <row r="1013" spans="1:7" x14ac:dyDescent="0.3">
      <c r="A1013">
        <v>10110</v>
      </c>
      <c r="B1013">
        <v>1598.8</v>
      </c>
      <c r="C1013">
        <v>113.688</v>
      </c>
      <c r="D1013" s="15">
        <f t="shared" si="47"/>
        <v>1.5000000000000568E-4</v>
      </c>
      <c r="E1013" s="14">
        <f t="shared" si="45"/>
        <v>8.9767420082069997E-5</v>
      </c>
      <c r="F1013">
        <v>106.467</v>
      </c>
      <c r="G1013" s="1">
        <f t="shared" si="46"/>
        <v>105.383331</v>
      </c>
    </row>
    <row r="1014" spans="1:7" x14ac:dyDescent="0.3">
      <c r="A1014">
        <v>10120</v>
      </c>
      <c r="B1014">
        <v>1597.3</v>
      </c>
      <c r="C1014">
        <v>113.687</v>
      </c>
      <c r="D1014" s="15">
        <f t="shared" si="47"/>
        <v>1.5000000000000568E-4</v>
      </c>
      <c r="E1014" s="14">
        <f t="shared" si="45"/>
        <v>8.9731655280479995E-5</v>
      </c>
      <c r="F1014">
        <v>106.48399999999999</v>
      </c>
      <c r="G1014" s="1">
        <f t="shared" si="46"/>
        <v>105.38220100000001</v>
      </c>
    </row>
    <row r="1015" spans="1:7" x14ac:dyDescent="0.3">
      <c r="A1015">
        <v>10130</v>
      </c>
      <c r="B1015">
        <v>1595.6</v>
      </c>
      <c r="C1015">
        <v>113.685</v>
      </c>
      <c r="D1015" s="15">
        <f t="shared" si="47"/>
        <v>1.2499999999988632E-4</v>
      </c>
      <c r="E1015" s="14">
        <f t="shared" si="45"/>
        <v>8.9695903162229996E-5</v>
      </c>
      <c r="F1015">
        <v>106.501</v>
      </c>
      <c r="G1015" s="1">
        <f t="shared" si="46"/>
        <v>105.38107100000001</v>
      </c>
    </row>
    <row r="1016" spans="1:7" x14ac:dyDescent="0.3">
      <c r="A1016">
        <v>10140</v>
      </c>
      <c r="B1016">
        <v>1594.2</v>
      </c>
      <c r="C1016">
        <v>113.684</v>
      </c>
      <c r="D1016" s="15">
        <f t="shared" si="47"/>
        <v>1.5000000000000568E-4</v>
      </c>
      <c r="E1016" s="14">
        <f t="shared" si="45"/>
        <v>8.9660163727319997E-5</v>
      </c>
      <c r="F1016">
        <v>106.517</v>
      </c>
      <c r="G1016" s="1">
        <f t="shared" si="46"/>
        <v>105.379941</v>
      </c>
    </row>
    <row r="1017" spans="1:7" x14ac:dyDescent="0.3">
      <c r="A1017">
        <v>10150</v>
      </c>
      <c r="B1017">
        <v>1592.9</v>
      </c>
      <c r="C1017">
        <v>113.68300000000001</v>
      </c>
      <c r="D1017" s="15">
        <f t="shared" si="47"/>
        <v>1.2499999999988632E-4</v>
      </c>
      <c r="E1017" s="14">
        <f t="shared" si="45"/>
        <v>8.9624436975749999E-5</v>
      </c>
      <c r="F1017">
        <v>106.53400000000001</v>
      </c>
      <c r="G1017" s="1">
        <f t="shared" si="46"/>
        <v>105.378811</v>
      </c>
    </row>
    <row r="1018" spans="1:7" x14ac:dyDescent="0.3">
      <c r="A1018">
        <v>10160</v>
      </c>
      <c r="B1018">
        <v>1591.7</v>
      </c>
      <c r="C1018">
        <v>113.681</v>
      </c>
      <c r="D1018" s="15">
        <f t="shared" si="47"/>
        <v>1.5000000000000568E-4</v>
      </c>
      <c r="E1018" s="14">
        <f t="shared" si="45"/>
        <v>8.9588722907520002E-5</v>
      </c>
      <c r="F1018">
        <v>106.551</v>
      </c>
      <c r="G1018" s="1">
        <f t="shared" si="46"/>
        <v>105.37768100000001</v>
      </c>
    </row>
    <row r="1019" spans="1:7" x14ac:dyDescent="0.3">
      <c r="A1019">
        <v>10170</v>
      </c>
      <c r="B1019">
        <v>1590.7</v>
      </c>
      <c r="C1019">
        <v>113.68</v>
      </c>
      <c r="D1019" s="15">
        <f t="shared" si="47"/>
        <v>1.5000000000000568E-4</v>
      </c>
      <c r="E1019" s="14">
        <f t="shared" si="45"/>
        <v>8.9553021522630007E-5</v>
      </c>
      <c r="F1019">
        <v>106.568</v>
      </c>
      <c r="G1019" s="1">
        <f t="shared" si="46"/>
        <v>105.37655100000001</v>
      </c>
    </row>
    <row r="1020" spans="1:7" x14ac:dyDescent="0.3">
      <c r="A1020">
        <v>10180</v>
      </c>
      <c r="B1020">
        <v>1590.2</v>
      </c>
      <c r="C1020">
        <v>113.678</v>
      </c>
      <c r="D1020" s="15">
        <f t="shared" si="47"/>
        <v>1.2499999999988632E-4</v>
      </c>
      <c r="E1020" s="14">
        <f t="shared" si="45"/>
        <v>8.9517332821079999E-5</v>
      </c>
      <c r="F1020">
        <v>106.584</v>
      </c>
      <c r="G1020" s="1">
        <f t="shared" si="46"/>
        <v>105.375421</v>
      </c>
    </row>
    <row r="1021" spans="1:7" x14ac:dyDescent="0.3">
      <c r="A1021">
        <v>10190</v>
      </c>
      <c r="B1021">
        <v>1590.7</v>
      </c>
      <c r="C1021">
        <v>113.67700000000001</v>
      </c>
      <c r="D1021" s="15">
        <f t="shared" si="47"/>
        <v>1.5000000000000568E-4</v>
      </c>
      <c r="E1021" s="14">
        <f t="shared" si="45"/>
        <v>8.9481656802869992E-5</v>
      </c>
      <c r="F1021">
        <v>106.601</v>
      </c>
      <c r="G1021" s="1">
        <f t="shared" si="46"/>
        <v>105.374291</v>
      </c>
    </row>
    <row r="1022" spans="1:7" x14ac:dyDescent="0.3">
      <c r="A1022">
        <v>10200</v>
      </c>
      <c r="B1022">
        <v>1591.4</v>
      </c>
      <c r="C1022">
        <v>113.676</v>
      </c>
      <c r="D1022" s="15">
        <f t="shared" si="47"/>
        <v>1.2499999999988632E-4</v>
      </c>
      <c r="E1022" s="14">
        <f t="shared" si="45"/>
        <v>8.9445993467999999E-5</v>
      </c>
      <c r="F1022">
        <v>106.61799999999999</v>
      </c>
      <c r="G1022" s="1">
        <f t="shared" si="46"/>
        <v>105.373161</v>
      </c>
    </row>
    <row r="1023" spans="1:7" x14ac:dyDescent="0.3">
      <c r="A1023">
        <v>10210</v>
      </c>
      <c r="B1023">
        <v>1592.5</v>
      </c>
      <c r="C1023">
        <v>113.67400000000001</v>
      </c>
      <c r="D1023" s="15">
        <f t="shared" si="47"/>
        <v>1.5000000000000568E-4</v>
      </c>
      <c r="E1023" s="14">
        <f t="shared" si="45"/>
        <v>8.9410342816469994E-5</v>
      </c>
      <c r="F1023">
        <v>106.634</v>
      </c>
      <c r="G1023" s="1">
        <f t="shared" si="46"/>
        <v>105.37203100000001</v>
      </c>
    </row>
    <row r="1024" spans="1:7" x14ac:dyDescent="0.3">
      <c r="A1024">
        <v>10220</v>
      </c>
      <c r="B1024">
        <v>1593.6</v>
      </c>
      <c r="C1024">
        <v>113.673</v>
      </c>
      <c r="D1024" s="15">
        <f t="shared" si="47"/>
        <v>1.5000000000000568E-4</v>
      </c>
      <c r="E1024" s="14">
        <f t="shared" si="45"/>
        <v>8.9374704848280004E-5</v>
      </c>
      <c r="F1024">
        <v>106.651</v>
      </c>
      <c r="G1024" s="1">
        <f t="shared" si="46"/>
        <v>105.370901</v>
      </c>
    </row>
    <row r="1025" spans="1:7" x14ac:dyDescent="0.3">
      <c r="A1025">
        <v>10230</v>
      </c>
      <c r="B1025">
        <v>1595.3</v>
      </c>
      <c r="C1025">
        <v>113.67100000000001</v>
      </c>
      <c r="D1025" s="15">
        <f t="shared" si="47"/>
        <v>1.5000000000000568E-4</v>
      </c>
      <c r="E1025" s="14">
        <f t="shared" si="45"/>
        <v>8.9339079563430002E-5</v>
      </c>
      <c r="F1025">
        <v>106.667</v>
      </c>
      <c r="G1025" s="1">
        <f t="shared" si="46"/>
        <v>105.369771</v>
      </c>
    </row>
    <row r="1026" spans="1:7" x14ac:dyDescent="0.3">
      <c r="A1026">
        <v>10240</v>
      </c>
      <c r="B1026">
        <v>1632.5</v>
      </c>
      <c r="C1026">
        <v>113.67</v>
      </c>
      <c r="D1026" s="15">
        <f t="shared" si="47"/>
        <v>1.5000000000000568E-4</v>
      </c>
      <c r="E1026" s="14">
        <f t="shared" ref="E1026:E1089" si="48">0.0000000000000634167*A1026*A1026 - 0.0000000048594*A1026 + 0.000132414</f>
        <v>8.930346696192E-5</v>
      </c>
      <c r="F1026">
        <v>106.684</v>
      </c>
      <c r="G1026" s="1">
        <f t="shared" si="46"/>
        <v>105.368641</v>
      </c>
    </row>
    <row r="1027" spans="1:7" x14ac:dyDescent="0.3">
      <c r="A1027">
        <v>10250</v>
      </c>
      <c r="B1027">
        <v>1649</v>
      </c>
      <c r="C1027">
        <v>113.66800000000001</v>
      </c>
      <c r="D1027" s="15">
        <f t="shared" si="47"/>
        <v>1.5000000000000568E-4</v>
      </c>
      <c r="E1027" s="14">
        <f t="shared" si="48"/>
        <v>8.926786704375E-5</v>
      </c>
      <c r="F1027">
        <v>106.70099999999999</v>
      </c>
      <c r="G1027" s="1">
        <f t="shared" ref="G1027:G1090" si="49">-0.000113*A1027 + 106.525761</f>
        <v>105.36751100000001</v>
      </c>
    </row>
    <row r="1028" spans="1:7" x14ac:dyDescent="0.3">
      <c r="A1028">
        <v>10260</v>
      </c>
      <c r="B1028">
        <v>1651.4</v>
      </c>
      <c r="C1028">
        <v>113.667</v>
      </c>
      <c r="D1028" s="15">
        <f t="shared" si="47"/>
        <v>1.5000000000000568E-4</v>
      </c>
      <c r="E1028" s="14">
        <f t="shared" si="48"/>
        <v>8.923227980892E-5</v>
      </c>
      <c r="F1028">
        <v>106.718</v>
      </c>
      <c r="G1028" s="1">
        <f t="shared" si="49"/>
        <v>105.366381</v>
      </c>
    </row>
    <row r="1029" spans="1:7" x14ac:dyDescent="0.3">
      <c r="A1029">
        <v>10270</v>
      </c>
      <c r="B1029">
        <v>1653.6</v>
      </c>
      <c r="C1029">
        <v>113.66500000000001</v>
      </c>
      <c r="D1029" s="15">
        <f t="shared" ref="D1029:D1092" si="50">(C1027-C1031)/(A1031-A1027)</f>
        <v>1.5000000000000568E-4</v>
      </c>
      <c r="E1029" s="14">
        <f t="shared" si="48"/>
        <v>8.9196705257430002E-5</v>
      </c>
      <c r="F1029">
        <v>106.735</v>
      </c>
      <c r="G1029" s="1">
        <f t="shared" si="49"/>
        <v>105.365251</v>
      </c>
    </row>
    <row r="1030" spans="1:7" x14ac:dyDescent="0.3">
      <c r="A1030">
        <v>10280</v>
      </c>
      <c r="B1030">
        <v>1655.4</v>
      </c>
      <c r="C1030">
        <v>113.664</v>
      </c>
      <c r="D1030" s="15">
        <f t="shared" si="50"/>
        <v>1.5000000000000568E-4</v>
      </c>
      <c r="E1030" s="14">
        <f t="shared" si="48"/>
        <v>8.9161143389280005E-5</v>
      </c>
      <c r="F1030">
        <v>106.75</v>
      </c>
      <c r="G1030" s="1">
        <f t="shared" si="49"/>
        <v>105.364121</v>
      </c>
    </row>
    <row r="1031" spans="1:7" x14ac:dyDescent="0.3">
      <c r="A1031">
        <v>10290</v>
      </c>
      <c r="B1031">
        <v>1657.3</v>
      </c>
      <c r="C1031">
        <v>113.66200000000001</v>
      </c>
      <c r="D1031" s="15">
        <f t="shared" si="50"/>
        <v>1.5000000000000568E-4</v>
      </c>
      <c r="E1031" s="14">
        <f t="shared" si="48"/>
        <v>8.9125594204469996E-5</v>
      </c>
      <c r="F1031">
        <v>106.767</v>
      </c>
      <c r="G1031" s="1">
        <f t="shared" si="49"/>
        <v>105.36299100000001</v>
      </c>
    </row>
    <row r="1032" spans="1:7" x14ac:dyDescent="0.3">
      <c r="A1032">
        <v>10300</v>
      </c>
      <c r="B1032">
        <v>1659</v>
      </c>
      <c r="C1032">
        <v>113.661</v>
      </c>
      <c r="D1032" s="15">
        <f t="shared" si="50"/>
        <v>1.5000000000000568E-4</v>
      </c>
      <c r="E1032" s="14">
        <f t="shared" si="48"/>
        <v>8.9090057702999987E-5</v>
      </c>
      <c r="F1032">
        <v>106.78400000000001</v>
      </c>
      <c r="G1032" s="1">
        <f t="shared" si="49"/>
        <v>105.361861</v>
      </c>
    </row>
    <row r="1033" spans="1:7" x14ac:dyDescent="0.3">
      <c r="A1033">
        <v>10310</v>
      </c>
      <c r="B1033">
        <v>1659.7</v>
      </c>
      <c r="C1033">
        <v>113.65900000000001</v>
      </c>
      <c r="D1033" s="15">
        <f t="shared" si="50"/>
        <v>1.5000000000000568E-4</v>
      </c>
      <c r="E1033" s="14">
        <f t="shared" si="48"/>
        <v>8.9054533884869993E-5</v>
      </c>
      <c r="F1033">
        <v>106.801</v>
      </c>
      <c r="G1033" s="1">
        <f t="shared" si="49"/>
        <v>105.360731</v>
      </c>
    </row>
    <row r="1034" spans="1:7" x14ac:dyDescent="0.3">
      <c r="A1034">
        <v>10320</v>
      </c>
      <c r="B1034">
        <v>1660.2</v>
      </c>
      <c r="C1034">
        <v>113.658</v>
      </c>
      <c r="D1034" s="15">
        <f t="shared" si="50"/>
        <v>1.5000000000000568E-4</v>
      </c>
      <c r="E1034" s="14">
        <f t="shared" si="48"/>
        <v>8.901902275008E-5</v>
      </c>
      <c r="F1034">
        <v>106.818</v>
      </c>
      <c r="G1034" s="1">
        <f t="shared" si="49"/>
        <v>105.359601</v>
      </c>
    </row>
    <row r="1035" spans="1:7" x14ac:dyDescent="0.3">
      <c r="A1035">
        <v>10330</v>
      </c>
      <c r="B1035">
        <v>1660.3</v>
      </c>
      <c r="C1035">
        <v>113.65600000000001</v>
      </c>
      <c r="D1035" s="15">
        <f t="shared" si="50"/>
        <v>1.5000000000000568E-4</v>
      </c>
      <c r="E1035" s="14">
        <f t="shared" si="48"/>
        <v>8.8983524298629995E-5</v>
      </c>
      <c r="F1035">
        <v>106.83499999999999</v>
      </c>
      <c r="G1035" s="1">
        <f t="shared" si="49"/>
        <v>105.35847100000001</v>
      </c>
    </row>
    <row r="1036" spans="1:7" x14ac:dyDescent="0.3">
      <c r="A1036">
        <v>10340</v>
      </c>
      <c r="B1036">
        <v>1660.5</v>
      </c>
      <c r="C1036">
        <v>113.655</v>
      </c>
      <c r="D1036" s="15">
        <f t="shared" si="50"/>
        <v>1.5000000000000568E-4</v>
      </c>
      <c r="E1036" s="14">
        <f t="shared" si="48"/>
        <v>8.8948038530519991E-5</v>
      </c>
      <c r="F1036">
        <v>106.851</v>
      </c>
      <c r="G1036" s="1">
        <f t="shared" si="49"/>
        <v>105.35734100000001</v>
      </c>
    </row>
    <row r="1037" spans="1:7" x14ac:dyDescent="0.3">
      <c r="A1037">
        <v>10350</v>
      </c>
      <c r="B1037">
        <v>1661.1</v>
      </c>
      <c r="C1037">
        <v>113.65300000000001</v>
      </c>
      <c r="D1037" s="15">
        <f t="shared" si="50"/>
        <v>1.5000000000000568E-4</v>
      </c>
      <c r="E1037" s="14">
        <f t="shared" si="48"/>
        <v>8.8912565445750002E-5</v>
      </c>
      <c r="F1037">
        <v>106.867</v>
      </c>
      <c r="G1037" s="1">
        <f t="shared" si="49"/>
        <v>105.356211</v>
      </c>
    </row>
    <row r="1038" spans="1:7" x14ac:dyDescent="0.3">
      <c r="A1038">
        <v>10360</v>
      </c>
      <c r="B1038">
        <v>1692.2</v>
      </c>
      <c r="C1038">
        <v>113.652</v>
      </c>
      <c r="D1038" s="15">
        <f t="shared" si="50"/>
        <v>1.5000000000000568E-4</v>
      </c>
      <c r="E1038" s="14">
        <f t="shared" si="48"/>
        <v>8.887710504432E-5</v>
      </c>
      <c r="F1038">
        <v>106.884</v>
      </c>
      <c r="G1038" s="1">
        <f t="shared" si="49"/>
        <v>105.355081</v>
      </c>
    </row>
    <row r="1039" spans="1:7" x14ac:dyDescent="0.3">
      <c r="A1039">
        <v>10370</v>
      </c>
      <c r="B1039">
        <v>1712.8</v>
      </c>
      <c r="C1039">
        <v>113.65</v>
      </c>
      <c r="D1039" s="15">
        <f t="shared" si="50"/>
        <v>1.5000000000000568E-4</v>
      </c>
      <c r="E1039" s="14">
        <f t="shared" si="48"/>
        <v>8.8841657326229999E-5</v>
      </c>
      <c r="F1039">
        <v>106.901</v>
      </c>
      <c r="G1039" s="1">
        <f t="shared" si="49"/>
        <v>105.35395100000001</v>
      </c>
    </row>
    <row r="1040" spans="1:7" x14ac:dyDescent="0.3">
      <c r="A1040">
        <v>10380</v>
      </c>
      <c r="B1040">
        <v>1723.6</v>
      </c>
      <c r="C1040">
        <v>113.649</v>
      </c>
      <c r="D1040" s="15">
        <f t="shared" si="50"/>
        <v>1.5000000000000568E-4</v>
      </c>
      <c r="E1040" s="14">
        <f t="shared" si="48"/>
        <v>8.8806222291479986E-5</v>
      </c>
      <c r="F1040">
        <v>106.91800000000001</v>
      </c>
      <c r="G1040" s="1">
        <f t="shared" si="49"/>
        <v>105.35282100000001</v>
      </c>
    </row>
    <row r="1041" spans="1:7" x14ac:dyDescent="0.3">
      <c r="A1041">
        <v>10390</v>
      </c>
      <c r="B1041">
        <v>1726.3</v>
      </c>
      <c r="C1041">
        <v>113.64700000000001</v>
      </c>
      <c r="D1041" s="15">
        <f t="shared" si="50"/>
        <v>1.5000000000000568E-4</v>
      </c>
      <c r="E1041" s="14">
        <f t="shared" si="48"/>
        <v>8.877079994007E-5</v>
      </c>
      <c r="F1041">
        <v>106.934</v>
      </c>
      <c r="G1041" s="1">
        <f t="shared" si="49"/>
        <v>105.351691</v>
      </c>
    </row>
    <row r="1042" spans="1:7" x14ac:dyDescent="0.3">
      <c r="A1042">
        <v>10400</v>
      </c>
      <c r="B1042">
        <v>1728.6</v>
      </c>
      <c r="C1042">
        <v>113.646</v>
      </c>
      <c r="D1042" s="15">
        <f t="shared" si="50"/>
        <v>1.5000000000000568E-4</v>
      </c>
      <c r="E1042" s="14">
        <f t="shared" si="48"/>
        <v>8.8735390271999989E-5</v>
      </c>
      <c r="F1042">
        <v>106.95099999999999</v>
      </c>
      <c r="G1042" s="1">
        <f t="shared" si="49"/>
        <v>105.350561</v>
      </c>
    </row>
    <row r="1043" spans="1:7" x14ac:dyDescent="0.3">
      <c r="A1043">
        <v>10410</v>
      </c>
      <c r="B1043">
        <v>1750.5</v>
      </c>
      <c r="C1043">
        <v>113.64400000000001</v>
      </c>
      <c r="D1043" s="15">
        <f t="shared" si="50"/>
        <v>1.5000000000000568E-4</v>
      </c>
      <c r="E1043" s="14">
        <f t="shared" si="48"/>
        <v>8.8699993287269993E-5</v>
      </c>
      <c r="F1043">
        <v>106.967</v>
      </c>
      <c r="G1043" s="1">
        <f t="shared" si="49"/>
        <v>105.34943100000001</v>
      </c>
    </row>
    <row r="1044" spans="1:7" x14ac:dyDescent="0.3">
      <c r="A1044">
        <v>10420</v>
      </c>
      <c r="B1044">
        <v>1754.8</v>
      </c>
      <c r="C1044">
        <v>113.643</v>
      </c>
      <c r="D1044" s="15">
        <f t="shared" si="50"/>
        <v>1.5000000000000568E-4</v>
      </c>
      <c r="E1044" s="14">
        <f t="shared" si="48"/>
        <v>8.8664608985879997E-5</v>
      </c>
      <c r="F1044">
        <v>106.98399999999999</v>
      </c>
      <c r="G1044" s="1">
        <f t="shared" si="49"/>
        <v>105.34830100000001</v>
      </c>
    </row>
    <row r="1045" spans="1:7" x14ac:dyDescent="0.3">
      <c r="A1045">
        <v>10430</v>
      </c>
      <c r="B1045">
        <v>1757.1</v>
      </c>
      <c r="C1045">
        <v>113.64100000000001</v>
      </c>
      <c r="D1045" s="15">
        <f t="shared" si="50"/>
        <v>1.5000000000000568E-4</v>
      </c>
      <c r="E1045" s="14">
        <f t="shared" si="48"/>
        <v>8.862923736782999E-5</v>
      </c>
      <c r="F1045">
        <v>107.001</v>
      </c>
      <c r="G1045" s="1">
        <f t="shared" si="49"/>
        <v>105.347171</v>
      </c>
    </row>
    <row r="1046" spans="1:7" x14ac:dyDescent="0.3">
      <c r="A1046">
        <v>10440</v>
      </c>
      <c r="B1046">
        <v>1759.3</v>
      </c>
      <c r="C1046">
        <v>113.64</v>
      </c>
      <c r="D1046" s="15">
        <f t="shared" si="50"/>
        <v>1.5000000000000568E-4</v>
      </c>
      <c r="E1046" s="14">
        <f t="shared" si="48"/>
        <v>8.8593878433119996E-5</v>
      </c>
      <c r="F1046">
        <v>107.018</v>
      </c>
      <c r="G1046" s="1">
        <f t="shared" si="49"/>
        <v>105.346041</v>
      </c>
    </row>
    <row r="1047" spans="1:7" x14ac:dyDescent="0.3">
      <c r="A1047">
        <v>10450</v>
      </c>
      <c r="B1047">
        <v>1761.6</v>
      </c>
      <c r="C1047">
        <v>113.63800000000001</v>
      </c>
      <c r="D1047" s="15">
        <f t="shared" si="50"/>
        <v>1.5000000000000568E-4</v>
      </c>
      <c r="E1047" s="14">
        <f t="shared" si="48"/>
        <v>8.8558532181749991E-5</v>
      </c>
      <c r="F1047">
        <v>107.03400000000001</v>
      </c>
      <c r="G1047" s="1">
        <f t="shared" si="49"/>
        <v>105.344911</v>
      </c>
    </row>
    <row r="1048" spans="1:7" x14ac:dyDescent="0.3">
      <c r="A1048">
        <v>10460</v>
      </c>
      <c r="B1048">
        <v>1762.9</v>
      </c>
      <c r="C1048">
        <v>113.637</v>
      </c>
      <c r="D1048" s="15">
        <f t="shared" si="50"/>
        <v>1.5000000000000568E-4</v>
      </c>
      <c r="E1048" s="14">
        <f t="shared" si="48"/>
        <v>8.852319861372E-5</v>
      </c>
      <c r="F1048">
        <v>107.051</v>
      </c>
      <c r="G1048" s="1">
        <f t="shared" si="49"/>
        <v>105.34378100000001</v>
      </c>
    </row>
    <row r="1049" spans="1:7" x14ac:dyDescent="0.3">
      <c r="A1049">
        <v>10470</v>
      </c>
      <c r="B1049">
        <v>1762.8</v>
      </c>
      <c r="C1049">
        <v>113.63500000000001</v>
      </c>
      <c r="D1049" s="15">
        <f t="shared" si="50"/>
        <v>1.5000000000000568E-4</v>
      </c>
      <c r="E1049" s="14">
        <f t="shared" si="48"/>
        <v>8.8487877729029996E-5</v>
      </c>
      <c r="F1049">
        <v>107.06699999999999</v>
      </c>
      <c r="G1049" s="1">
        <f t="shared" si="49"/>
        <v>105.342651</v>
      </c>
    </row>
    <row r="1050" spans="1:7" x14ac:dyDescent="0.3">
      <c r="A1050">
        <v>10480</v>
      </c>
      <c r="B1050">
        <v>1762.5</v>
      </c>
      <c r="C1050">
        <v>113.634</v>
      </c>
      <c r="D1050" s="15">
        <f t="shared" si="50"/>
        <v>1.5000000000000568E-4</v>
      </c>
      <c r="E1050" s="14">
        <f t="shared" si="48"/>
        <v>8.8452569527679994E-5</v>
      </c>
      <c r="F1050">
        <v>107.084</v>
      </c>
      <c r="G1050" s="1">
        <f t="shared" si="49"/>
        <v>105.341521</v>
      </c>
    </row>
    <row r="1051" spans="1:7" x14ac:dyDescent="0.3">
      <c r="A1051">
        <v>10490</v>
      </c>
      <c r="B1051">
        <v>1762.1</v>
      </c>
      <c r="C1051">
        <v>113.63200000000001</v>
      </c>
      <c r="D1051" s="15">
        <f t="shared" si="50"/>
        <v>1.5000000000000568E-4</v>
      </c>
      <c r="E1051" s="14">
        <f t="shared" si="48"/>
        <v>8.8417274009669993E-5</v>
      </c>
      <c r="F1051">
        <v>107.101</v>
      </c>
      <c r="G1051" s="1">
        <f t="shared" si="49"/>
        <v>105.340391</v>
      </c>
    </row>
    <row r="1052" spans="1:7" x14ac:dyDescent="0.3">
      <c r="A1052">
        <v>10500</v>
      </c>
      <c r="B1052">
        <v>1761.5</v>
      </c>
      <c r="C1052">
        <v>113.631</v>
      </c>
      <c r="D1052" s="15">
        <f t="shared" si="50"/>
        <v>1.5000000000000568E-4</v>
      </c>
      <c r="E1052" s="14">
        <f t="shared" si="48"/>
        <v>8.8381991174999992E-5</v>
      </c>
      <c r="F1052">
        <v>107.11799999999999</v>
      </c>
      <c r="G1052" s="1">
        <f t="shared" si="49"/>
        <v>105.33926100000001</v>
      </c>
    </row>
    <row r="1053" spans="1:7" x14ac:dyDescent="0.3">
      <c r="A1053">
        <v>10510</v>
      </c>
      <c r="B1053">
        <v>1761.2</v>
      </c>
      <c r="C1053">
        <v>113.629</v>
      </c>
      <c r="D1053" s="15">
        <f t="shared" si="50"/>
        <v>1.2500000000024159E-4</v>
      </c>
      <c r="E1053" s="14">
        <f t="shared" si="48"/>
        <v>8.8346721023669993E-5</v>
      </c>
      <c r="F1053">
        <v>107.13500000000001</v>
      </c>
      <c r="G1053" s="1">
        <f t="shared" si="49"/>
        <v>105.338131</v>
      </c>
    </row>
    <row r="1054" spans="1:7" x14ac:dyDescent="0.3">
      <c r="A1054">
        <v>10520</v>
      </c>
      <c r="B1054">
        <v>1760.5</v>
      </c>
      <c r="C1054">
        <v>113.628</v>
      </c>
      <c r="D1054" s="15">
        <f t="shared" si="50"/>
        <v>1.5000000000000568E-4</v>
      </c>
      <c r="E1054" s="14">
        <f t="shared" si="48"/>
        <v>8.8311463555679995E-5</v>
      </c>
      <c r="F1054">
        <v>107.151</v>
      </c>
      <c r="G1054" s="1">
        <f t="shared" si="49"/>
        <v>105.337001</v>
      </c>
    </row>
    <row r="1055" spans="1:7" x14ac:dyDescent="0.3">
      <c r="A1055">
        <v>10530</v>
      </c>
      <c r="B1055">
        <v>1759.3</v>
      </c>
      <c r="C1055">
        <v>113.627</v>
      </c>
      <c r="D1055" s="15">
        <f t="shared" si="50"/>
        <v>1.2500000000024159E-4</v>
      </c>
      <c r="E1055" s="14">
        <f t="shared" si="48"/>
        <v>8.8276218771029998E-5</v>
      </c>
      <c r="F1055">
        <v>107.16800000000001</v>
      </c>
      <c r="G1055" s="1">
        <f t="shared" si="49"/>
        <v>105.335871</v>
      </c>
    </row>
    <row r="1056" spans="1:7" x14ac:dyDescent="0.3">
      <c r="A1056">
        <v>10540</v>
      </c>
      <c r="B1056">
        <v>1756.7</v>
      </c>
      <c r="C1056">
        <v>113.625</v>
      </c>
      <c r="D1056" s="15">
        <f t="shared" si="50"/>
        <v>1.2499999999988632E-4</v>
      </c>
      <c r="E1056" s="14">
        <f t="shared" si="48"/>
        <v>8.8240986669720003E-5</v>
      </c>
      <c r="F1056">
        <v>107.184</v>
      </c>
      <c r="G1056" s="1">
        <f t="shared" si="49"/>
        <v>105.33474100000001</v>
      </c>
    </row>
    <row r="1057" spans="1:7" x14ac:dyDescent="0.3">
      <c r="A1057">
        <v>10550</v>
      </c>
      <c r="B1057">
        <v>1754.1</v>
      </c>
      <c r="C1057">
        <v>113.624</v>
      </c>
      <c r="D1057" s="15">
        <f t="shared" si="50"/>
        <v>1.5000000000000568E-4</v>
      </c>
      <c r="E1057" s="14">
        <f t="shared" si="48"/>
        <v>8.8205767251749994E-5</v>
      </c>
      <c r="F1057">
        <v>107.20099999999999</v>
      </c>
      <c r="G1057" s="1">
        <f t="shared" si="49"/>
        <v>105.333611</v>
      </c>
    </row>
    <row r="1058" spans="1:7" x14ac:dyDescent="0.3">
      <c r="A1058">
        <v>10560</v>
      </c>
      <c r="B1058">
        <v>1751.4</v>
      </c>
      <c r="C1058">
        <v>113.623</v>
      </c>
      <c r="D1058" s="15">
        <f t="shared" si="50"/>
        <v>1.2499999999988632E-4</v>
      </c>
      <c r="E1058" s="14">
        <f t="shared" si="48"/>
        <v>8.8170560517119987E-5</v>
      </c>
      <c r="F1058">
        <v>107.217</v>
      </c>
      <c r="G1058" s="1">
        <f t="shared" si="49"/>
        <v>105.332481</v>
      </c>
    </row>
    <row r="1059" spans="1:7" x14ac:dyDescent="0.3">
      <c r="A1059">
        <v>10570</v>
      </c>
      <c r="B1059">
        <v>1748.7</v>
      </c>
      <c r="C1059">
        <v>113.621</v>
      </c>
      <c r="D1059" s="15">
        <f t="shared" si="50"/>
        <v>1.2499999999988632E-4</v>
      </c>
      <c r="E1059" s="14">
        <f t="shared" si="48"/>
        <v>8.8135366465829995E-5</v>
      </c>
      <c r="F1059">
        <v>107.23399999999999</v>
      </c>
      <c r="G1059" s="1">
        <f t="shared" si="49"/>
        <v>105.331351</v>
      </c>
    </row>
    <row r="1060" spans="1:7" x14ac:dyDescent="0.3">
      <c r="A1060">
        <v>10580</v>
      </c>
      <c r="B1060">
        <v>1746</v>
      </c>
      <c r="C1060">
        <v>113.62</v>
      </c>
      <c r="D1060" s="15">
        <f t="shared" si="50"/>
        <v>1.2500000000024159E-4</v>
      </c>
      <c r="E1060" s="14">
        <f t="shared" si="48"/>
        <v>8.8100185097880003E-5</v>
      </c>
      <c r="F1060">
        <v>107.251</v>
      </c>
      <c r="G1060" s="1">
        <f t="shared" si="49"/>
        <v>105.33022100000001</v>
      </c>
    </row>
    <row r="1061" spans="1:7" x14ac:dyDescent="0.3">
      <c r="A1061">
        <v>10590</v>
      </c>
      <c r="B1061">
        <v>1743.3</v>
      </c>
      <c r="C1061">
        <v>113.619</v>
      </c>
      <c r="D1061" s="15">
        <f t="shared" si="50"/>
        <v>1.2499999999988632E-4</v>
      </c>
      <c r="E1061" s="14">
        <f t="shared" si="48"/>
        <v>8.8065016413269999E-5</v>
      </c>
      <c r="F1061">
        <v>107.267</v>
      </c>
      <c r="G1061" s="1">
        <f t="shared" si="49"/>
        <v>105.32909100000001</v>
      </c>
    </row>
    <row r="1062" spans="1:7" x14ac:dyDescent="0.3">
      <c r="A1062">
        <v>10600</v>
      </c>
      <c r="B1062">
        <v>1740.5</v>
      </c>
      <c r="C1062">
        <v>113.61799999999999</v>
      </c>
      <c r="D1062" s="15">
        <f t="shared" si="50"/>
        <v>1.2500000000024159E-4</v>
      </c>
      <c r="E1062" s="14">
        <f t="shared" si="48"/>
        <v>8.8029860411999996E-5</v>
      </c>
      <c r="F1062">
        <v>107.28400000000001</v>
      </c>
      <c r="G1062" s="1">
        <f t="shared" si="49"/>
        <v>105.327961</v>
      </c>
    </row>
    <row r="1063" spans="1:7" x14ac:dyDescent="0.3">
      <c r="A1063">
        <v>10610</v>
      </c>
      <c r="B1063">
        <v>1737.7</v>
      </c>
      <c r="C1063">
        <v>113.616</v>
      </c>
      <c r="D1063" s="15">
        <f t="shared" si="50"/>
        <v>1.2499999999988632E-4</v>
      </c>
      <c r="E1063" s="14">
        <f t="shared" si="48"/>
        <v>8.7994717094070008E-5</v>
      </c>
      <c r="F1063">
        <v>107.3</v>
      </c>
      <c r="G1063" s="1">
        <f t="shared" si="49"/>
        <v>105.326831</v>
      </c>
    </row>
    <row r="1064" spans="1:7" x14ac:dyDescent="0.3">
      <c r="A1064">
        <v>10620</v>
      </c>
      <c r="B1064">
        <v>1734.9</v>
      </c>
      <c r="C1064">
        <v>113.61499999999999</v>
      </c>
      <c r="D1064" s="15">
        <f t="shared" si="50"/>
        <v>1.2499999999988632E-4</v>
      </c>
      <c r="E1064" s="14">
        <f t="shared" si="48"/>
        <v>8.7959586459479994E-5</v>
      </c>
      <c r="F1064">
        <v>107.318</v>
      </c>
      <c r="G1064" s="1">
        <f t="shared" si="49"/>
        <v>105.32570100000001</v>
      </c>
    </row>
    <row r="1065" spans="1:7" x14ac:dyDescent="0.3">
      <c r="A1065">
        <v>10630</v>
      </c>
      <c r="B1065">
        <v>1732</v>
      </c>
      <c r="C1065">
        <v>113.614</v>
      </c>
      <c r="D1065" s="15">
        <f t="shared" si="50"/>
        <v>1.2499999999988632E-4</v>
      </c>
      <c r="E1065" s="14">
        <f t="shared" si="48"/>
        <v>8.7924468508229994E-5</v>
      </c>
      <c r="F1065">
        <v>107.33499999999999</v>
      </c>
      <c r="G1065" s="1">
        <f t="shared" si="49"/>
        <v>105.32457100000001</v>
      </c>
    </row>
    <row r="1066" spans="1:7" x14ac:dyDescent="0.3">
      <c r="A1066">
        <v>10640</v>
      </c>
      <c r="B1066">
        <v>1729.2</v>
      </c>
      <c r="C1066">
        <v>113.613</v>
      </c>
      <c r="D1066" s="15">
        <f t="shared" si="50"/>
        <v>1.2499999999988632E-4</v>
      </c>
      <c r="E1066" s="14">
        <f t="shared" si="48"/>
        <v>8.7889363240319996E-5</v>
      </c>
      <c r="F1066">
        <v>107.351</v>
      </c>
      <c r="G1066" s="1">
        <f t="shared" si="49"/>
        <v>105.323441</v>
      </c>
    </row>
    <row r="1067" spans="1:7" x14ac:dyDescent="0.3">
      <c r="A1067">
        <v>10650</v>
      </c>
      <c r="B1067">
        <v>1726.3</v>
      </c>
      <c r="C1067">
        <v>113.611</v>
      </c>
      <c r="D1067" s="15">
        <f t="shared" si="50"/>
        <v>1.2500000000024159E-4</v>
      </c>
      <c r="E1067" s="14">
        <f t="shared" si="48"/>
        <v>8.7854270655749999E-5</v>
      </c>
      <c r="F1067">
        <v>107.36799999999999</v>
      </c>
      <c r="G1067" s="1">
        <f t="shared" si="49"/>
        <v>105.322311</v>
      </c>
    </row>
    <row r="1068" spans="1:7" x14ac:dyDescent="0.3">
      <c r="A1068">
        <v>10660</v>
      </c>
      <c r="B1068">
        <v>1723.4</v>
      </c>
      <c r="C1068">
        <v>113.61</v>
      </c>
      <c r="D1068" s="15">
        <f t="shared" si="50"/>
        <v>1.2499999999988632E-4</v>
      </c>
      <c r="E1068" s="14">
        <f t="shared" si="48"/>
        <v>8.7819190754520002E-5</v>
      </c>
      <c r="F1068">
        <v>107.384</v>
      </c>
      <c r="G1068" s="1">
        <f t="shared" si="49"/>
        <v>105.321181</v>
      </c>
    </row>
    <row r="1069" spans="1:7" x14ac:dyDescent="0.3">
      <c r="A1069">
        <v>10670</v>
      </c>
      <c r="B1069">
        <v>1720.5</v>
      </c>
      <c r="C1069">
        <v>113.60899999999999</v>
      </c>
      <c r="D1069" s="15">
        <f t="shared" si="50"/>
        <v>1.0000000000012221E-4</v>
      </c>
      <c r="E1069" s="14">
        <f t="shared" si="48"/>
        <v>8.7784123536629994E-5</v>
      </c>
      <c r="F1069">
        <v>107.401</v>
      </c>
      <c r="G1069" s="1">
        <f t="shared" si="49"/>
        <v>105.32005100000001</v>
      </c>
    </row>
    <row r="1070" spans="1:7" x14ac:dyDescent="0.3">
      <c r="A1070">
        <v>10680</v>
      </c>
      <c r="B1070">
        <v>1717.5</v>
      </c>
      <c r="C1070">
        <v>113.608</v>
      </c>
      <c r="D1070" s="15">
        <f t="shared" si="50"/>
        <v>1.0000000000012221E-4</v>
      </c>
      <c r="E1070" s="14">
        <f t="shared" si="48"/>
        <v>8.7749069002079986E-5</v>
      </c>
      <c r="F1070">
        <v>107.41800000000001</v>
      </c>
      <c r="G1070" s="1">
        <f t="shared" si="49"/>
        <v>105.318921</v>
      </c>
    </row>
    <row r="1071" spans="1:7" x14ac:dyDescent="0.3">
      <c r="A1071">
        <v>10690</v>
      </c>
      <c r="B1071">
        <v>1714.6</v>
      </c>
      <c r="C1071">
        <v>113.607</v>
      </c>
      <c r="D1071" s="15">
        <f t="shared" si="50"/>
        <v>9.9999999999766942E-5</v>
      </c>
      <c r="E1071" s="14">
        <f t="shared" si="48"/>
        <v>8.7714027150870007E-5</v>
      </c>
      <c r="F1071">
        <v>107.434</v>
      </c>
      <c r="G1071" s="1">
        <f t="shared" si="49"/>
        <v>105.317791</v>
      </c>
    </row>
    <row r="1072" spans="1:7" x14ac:dyDescent="0.3">
      <c r="A1072">
        <v>10700</v>
      </c>
      <c r="B1072">
        <v>1711.6</v>
      </c>
      <c r="C1072">
        <v>113.60599999999999</v>
      </c>
      <c r="D1072" s="15">
        <f t="shared" si="50"/>
        <v>1.0000000000012221E-4</v>
      </c>
      <c r="E1072" s="14">
        <f t="shared" si="48"/>
        <v>8.7678997983000001E-5</v>
      </c>
      <c r="F1072">
        <v>107.45099999999999</v>
      </c>
      <c r="G1072" s="1">
        <f t="shared" si="49"/>
        <v>105.316661</v>
      </c>
    </row>
    <row r="1073" spans="1:7" x14ac:dyDescent="0.3">
      <c r="A1073">
        <v>10710</v>
      </c>
      <c r="B1073">
        <v>1705.7</v>
      </c>
      <c r="C1073">
        <v>113.605</v>
      </c>
      <c r="D1073" s="15">
        <f t="shared" si="50"/>
        <v>1.2499999999988632E-4</v>
      </c>
      <c r="E1073" s="14">
        <f t="shared" si="48"/>
        <v>8.7643981498469997E-5</v>
      </c>
      <c r="F1073">
        <v>107.464</v>
      </c>
      <c r="G1073" s="1">
        <f t="shared" si="49"/>
        <v>105.31553100000001</v>
      </c>
    </row>
    <row r="1074" spans="1:7" x14ac:dyDescent="0.3">
      <c r="A1074">
        <v>10720</v>
      </c>
      <c r="B1074">
        <v>1700.5</v>
      </c>
      <c r="C1074">
        <v>113.604</v>
      </c>
      <c r="D1074" s="15">
        <f t="shared" si="50"/>
        <v>1.2499999999988632E-4</v>
      </c>
      <c r="E1074" s="14">
        <f t="shared" si="48"/>
        <v>8.7608977697279993E-5</v>
      </c>
      <c r="F1074">
        <v>107.449</v>
      </c>
      <c r="G1074" s="1">
        <f t="shared" si="49"/>
        <v>105.314401</v>
      </c>
    </row>
    <row r="1075" spans="1:7" x14ac:dyDescent="0.3">
      <c r="A1075">
        <v>10730</v>
      </c>
      <c r="B1075">
        <v>1695.2</v>
      </c>
      <c r="C1075">
        <v>113.602</v>
      </c>
      <c r="D1075" s="15">
        <f t="shared" si="50"/>
        <v>1.2500000000024159E-4</v>
      </c>
      <c r="E1075" s="14">
        <f t="shared" si="48"/>
        <v>8.7573986579429991E-5</v>
      </c>
      <c r="F1075">
        <v>107.43300000000001</v>
      </c>
      <c r="G1075" s="1">
        <f t="shared" si="49"/>
        <v>105.313271</v>
      </c>
    </row>
    <row r="1076" spans="1:7" x14ac:dyDescent="0.3">
      <c r="A1076">
        <v>10740</v>
      </c>
      <c r="B1076">
        <v>1690</v>
      </c>
      <c r="C1076">
        <v>113.601</v>
      </c>
      <c r="D1076" s="15">
        <f t="shared" si="50"/>
        <v>1.2499999999988632E-4</v>
      </c>
      <c r="E1076" s="14">
        <f t="shared" si="48"/>
        <v>8.753900814491999E-5</v>
      </c>
      <c r="F1076">
        <v>107.417</v>
      </c>
      <c r="G1076" s="1">
        <f t="shared" si="49"/>
        <v>105.312141</v>
      </c>
    </row>
    <row r="1077" spans="1:7" x14ac:dyDescent="0.3">
      <c r="A1077">
        <v>10750</v>
      </c>
      <c r="B1077">
        <v>1686.5</v>
      </c>
      <c r="C1077">
        <v>113.6</v>
      </c>
      <c r="D1077" s="15">
        <f t="shared" si="50"/>
        <v>1.0000000000012221E-4</v>
      </c>
      <c r="E1077" s="14">
        <f t="shared" si="48"/>
        <v>8.750404239374999E-5</v>
      </c>
      <c r="F1077">
        <v>107.402</v>
      </c>
      <c r="G1077" s="1">
        <f t="shared" si="49"/>
        <v>105.31101100000001</v>
      </c>
    </row>
    <row r="1078" spans="1:7" x14ac:dyDescent="0.3">
      <c r="A1078">
        <v>10760</v>
      </c>
      <c r="B1078">
        <v>1683.1</v>
      </c>
      <c r="C1078">
        <v>113.599</v>
      </c>
      <c r="D1078" s="15">
        <f t="shared" si="50"/>
        <v>1.0000000000012221E-4</v>
      </c>
      <c r="E1078" s="14">
        <f t="shared" si="48"/>
        <v>8.7469089325919991E-5</v>
      </c>
      <c r="F1078">
        <v>107.386</v>
      </c>
      <c r="G1078" s="1">
        <f t="shared" si="49"/>
        <v>105.309881</v>
      </c>
    </row>
    <row r="1079" spans="1:7" x14ac:dyDescent="0.3">
      <c r="A1079">
        <v>10770</v>
      </c>
      <c r="B1079">
        <v>1679.6</v>
      </c>
      <c r="C1079">
        <v>113.598</v>
      </c>
      <c r="D1079" s="15">
        <f t="shared" si="50"/>
        <v>9.9999999999766942E-5</v>
      </c>
      <c r="E1079" s="14">
        <f t="shared" si="48"/>
        <v>8.7434148941429994E-5</v>
      </c>
      <c r="F1079">
        <v>107.37</v>
      </c>
      <c r="G1079" s="1">
        <f t="shared" si="49"/>
        <v>105.308751</v>
      </c>
    </row>
    <row r="1080" spans="1:7" x14ac:dyDescent="0.3">
      <c r="A1080">
        <v>10780</v>
      </c>
      <c r="B1080">
        <v>1676.5</v>
      </c>
      <c r="C1080">
        <v>113.59699999999999</v>
      </c>
      <c r="D1080" s="15">
        <f t="shared" si="50"/>
        <v>1.2500000000024159E-4</v>
      </c>
      <c r="E1080" s="14">
        <f t="shared" si="48"/>
        <v>8.7399221240279997E-5</v>
      </c>
      <c r="F1080">
        <v>107.354</v>
      </c>
      <c r="G1080" s="1">
        <f t="shared" si="49"/>
        <v>105.307621</v>
      </c>
    </row>
    <row r="1081" spans="1:7" x14ac:dyDescent="0.3">
      <c r="A1081">
        <v>10790</v>
      </c>
      <c r="B1081">
        <v>1673.3</v>
      </c>
      <c r="C1081">
        <v>113.596</v>
      </c>
      <c r="D1081" s="15">
        <f t="shared" si="50"/>
        <v>1.2499999999988632E-4</v>
      </c>
      <c r="E1081" s="14">
        <f t="shared" si="48"/>
        <v>8.7364306222470001E-5</v>
      </c>
      <c r="F1081">
        <v>107.33799999999999</v>
      </c>
      <c r="G1081" s="1">
        <f t="shared" si="49"/>
        <v>105.30649100000001</v>
      </c>
    </row>
    <row r="1082" spans="1:7" x14ac:dyDescent="0.3">
      <c r="A1082">
        <v>10800</v>
      </c>
      <c r="B1082">
        <v>1670.1</v>
      </c>
      <c r="C1082">
        <v>113.59399999999999</v>
      </c>
      <c r="D1082" s="15">
        <f t="shared" si="50"/>
        <v>1.2499999999988632E-4</v>
      </c>
      <c r="E1082" s="14">
        <f t="shared" si="48"/>
        <v>8.7329403888000007E-5</v>
      </c>
      <c r="F1082">
        <v>107.322</v>
      </c>
      <c r="G1082" s="1">
        <f t="shared" si="49"/>
        <v>105.305361</v>
      </c>
    </row>
    <row r="1083" spans="1:7" x14ac:dyDescent="0.3">
      <c r="A1083">
        <v>10810</v>
      </c>
      <c r="B1083">
        <v>1667.1</v>
      </c>
      <c r="C1083">
        <v>113.593</v>
      </c>
      <c r="D1083" s="15">
        <f t="shared" si="50"/>
        <v>1.2500000000024159E-4</v>
      </c>
      <c r="E1083" s="14">
        <f t="shared" si="48"/>
        <v>8.729451423687E-5</v>
      </c>
      <c r="F1083">
        <v>107.307</v>
      </c>
      <c r="G1083" s="1">
        <f t="shared" si="49"/>
        <v>105.304231</v>
      </c>
    </row>
    <row r="1084" spans="1:7" x14ac:dyDescent="0.3">
      <c r="A1084">
        <v>10820</v>
      </c>
      <c r="B1084">
        <v>1664.2</v>
      </c>
      <c r="C1084">
        <v>113.592</v>
      </c>
      <c r="D1084" s="15">
        <f t="shared" si="50"/>
        <v>1.2499999999988632E-4</v>
      </c>
      <c r="E1084" s="14">
        <f t="shared" si="48"/>
        <v>8.7259637269079994E-5</v>
      </c>
      <c r="F1084">
        <v>107.292</v>
      </c>
      <c r="G1084" s="1">
        <f t="shared" si="49"/>
        <v>105.303101</v>
      </c>
    </row>
    <row r="1085" spans="1:7" x14ac:dyDescent="0.3">
      <c r="A1085">
        <v>10830</v>
      </c>
      <c r="B1085">
        <v>1661.3</v>
      </c>
      <c r="C1085">
        <v>113.59099999999999</v>
      </c>
      <c r="D1085" s="15">
        <f t="shared" si="50"/>
        <v>1.2500000000024159E-4</v>
      </c>
      <c r="E1085" s="14">
        <f t="shared" si="48"/>
        <v>8.7224772984630003E-5</v>
      </c>
      <c r="F1085">
        <v>107.276</v>
      </c>
      <c r="G1085" s="1">
        <f t="shared" si="49"/>
        <v>105.30197100000001</v>
      </c>
    </row>
    <row r="1086" spans="1:7" x14ac:dyDescent="0.3">
      <c r="A1086">
        <v>10840</v>
      </c>
      <c r="B1086">
        <v>1663</v>
      </c>
      <c r="C1086">
        <v>113.589</v>
      </c>
      <c r="D1086" s="15">
        <f t="shared" si="50"/>
        <v>1.2499999999988632E-4</v>
      </c>
      <c r="E1086" s="14">
        <f t="shared" si="48"/>
        <v>8.7189921383519999E-5</v>
      </c>
      <c r="F1086">
        <v>107.26</v>
      </c>
      <c r="G1086" s="1">
        <f t="shared" si="49"/>
        <v>105.30084100000001</v>
      </c>
    </row>
    <row r="1087" spans="1:7" x14ac:dyDescent="0.3">
      <c r="A1087">
        <v>10850</v>
      </c>
      <c r="B1087">
        <v>1665.5</v>
      </c>
      <c r="C1087">
        <v>113.58799999999999</v>
      </c>
      <c r="D1087" s="15">
        <f t="shared" si="50"/>
        <v>1.5000000000000568E-4</v>
      </c>
      <c r="E1087" s="14">
        <f t="shared" si="48"/>
        <v>8.7155082465749996E-5</v>
      </c>
      <c r="F1087">
        <v>107.245</v>
      </c>
      <c r="G1087" s="1">
        <f t="shared" si="49"/>
        <v>105.299711</v>
      </c>
    </row>
    <row r="1088" spans="1:7" x14ac:dyDescent="0.3">
      <c r="A1088">
        <v>10860</v>
      </c>
      <c r="B1088">
        <v>1667.9</v>
      </c>
      <c r="C1088">
        <v>113.587</v>
      </c>
      <c r="D1088" s="15">
        <f t="shared" si="50"/>
        <v>1.2499999999988632E-4</v>
      </c>
      <c r="E1088" s="14">
        <f t="shared" si="48"/>
        <v>8.7120256231319995E-5</v>
      </c>
      <c r="F1088">
        <v>107.229</v>
      </c>
      <c r="G1088" s="1">
        <f t="shared" si="49"/>
        <v>105.298581</v>
      </c>
    </row>
    <row r="1089" spans="1:7" x14ac:dyDescent="0.3">
      <c r="A1089">
        <v>10870</v>
      </c>
      <c r="B1089">
        <v>1670.1</v>
      </c>
      <c r="C1089">
        <v>113.58499999999999</v>
      </c>
      <c r="D1089" s="15">
        <f t="shared" si="50"/>
        <v>1.2499999999988632E-4</v>
      </c>
      <c r="E1089" s="14">
        <f t="shared" si="48"/>
        <v>8.7085442680229994E-5</v>
      </c>
      <c r="F1089">
        <v>107.21299999999999</v>
      </c>
      <c r="G1089" s="1">
        <f t="shared" si="49"/>
        <v>105.29745100000001</v>
      </c>
    </row>
    <row r="1090" spans="1:7" x14ac:dyDescent="0.3">
      <c r="A1090">
        <v>10880</v>
      </c>
      <c r="B1090">
        <v>1672.1</v>
      </c>
      <c r="C1090">
        <v>113.584</v>
      </c>
      <c r="D1090" s="15">
        <f t="shared" si="50"/>
        <v>1.5000000000000568E-4</v>
      </c>
      <c r="E1090" s="14">
        <f t="shared" ref="E1090:E1153" si="51">0.0000000000000634167*A1090*A1090 - 0.0000000048594*A1090 + 0.000132414</f>
        <v>8.7050641812479995E-5</v>
      </c>
      <c r="F1090">
        <v>107.197</v>
      </c>
      <c r="G1090" s="1">
        <f t="shared" si="49"/>
        <v>105.29632100000001</v>
      </c>
    </row>
    <row r="1091" spans="1:7" x14ac:dyDescent="0.3">
      <c r="A1091">
        <v>10890</v>
      </c>
      <c r="B1091">
        <v>1674</v>
      </c>
      <c r="C1091">
        <v>113.583</v>
      </c>
      <c r="D1091" s="15">
        <f t="shared" si="50"/>
        <v>1.2499999999988632E-4</v>
      </c>
      <c r="E1091" s="14">
        <f t="shared" si="51"/>
        <v>8.7015853628069997E-5</v>
      </c>
      <c r="F1091">
        <v>107.181</v>
      </c>
      <c r="G1091" s="1">
        <f t="shared" ref="G1091:G1154" si="52">-0.000113*A1091 + 106.525761</f>
        <v>105.295191</v>
      </c>
    </row>
    <row r="1092" spans="1:7" x14ac:dyDescent="0.3">
      <c r="A1092">
        <v>10900</v>
      </c>
      <c r="B1092">
        <v>1675.9</v>
      </c>
      <c r="C1092">
        <v>113.581</v>
      </c>
      <c r="D1092" s="15">
        <f t="shared" si="50"/>
        <v>1.2500000000024159E-4</v>
      </c>
      <c r="E1092" s="14">
        <f t="shared" si="51"/>
        <v>8.6981078126999986E-5</v>
      </c>
      <c r="F1092">
        <v>107.16500000000001</v>
      </c>
      <c r="G1092" s="1">
        <f t="shared" si="52"/>
        <v>105.294061</v>
      </c>
    </row>
    <row r="1093" spans="1:7" x14ac:dyDescent="0.3">
      <c r="A1093">
        <v>10910</v>
      </c>
      <c r="B1093">
        <v>1678.2</v>
      </c>
      <c r="C1093">
        <v>113.58</v>
      </c>
      <c r="D1093" s="15">
        <f t="shared" ref="D1093:D1156" si="53">(C1091-C1095)/(A1095-A1091)</f>
        <v>1.5000000000000568E-4</v>
      </c>
      <c r="E1093" s="14">
        <f t="shared" si="51"/>
        <v>8.694631530926999E-5</v>
      </c>
      <c r="F1093">
        <v>107.149</v>
      </c>
      <c r="G1093" s="1">
        <f t="shared" si="52"/>
        <v>105.29293100000001</v>
      </c>
    </row>
    <row r="1094" spans="1:7" x14ac:dyDescent="0.3">
      <c r="A1094">
        <v>10920</v>
      </c>
      <c r="B1094">
        <v>1679.7</v>
      </c>
      <c r="C1094">
        <v>113.57899999999999</v>
      </c>
      <c r="D1094" s="15">
        <f t="shared" si="53"/>
        <v>1.2500000000024159E-4</v>
      </c>
      <c r="E1094" s="14">
        <f t="shared" si="51"/>
        <v>8.6911565174879995E-5</v>
      </c>
      <c r="F1094">
        <v>107.134</v>
      </c>
      <c r="G1094" s="1">
        <f t="shared" si="52"/>
        <v>105.29180100000001</v>
      </c>
    </row>
    <row r="1095" spans="1:7" x14ac:dyDescent="0.3">
      <c r="A1095">
        <v>10930</v>
      </c>
      <c r="B1095">
        <v>1681.1</v>
      </c>
      <c r="C1095">
        <v>113.577</v>
      </c>
      <c r="D1095" s="15">
        <f t="shared" si="53"/>
        <v>1.5000000000000568E-4</v>
      </c>
      <c r="E1095" s="14">
        <f t="shared" si="51"/>
        <v>8.6876827723829988E-5</v>
      </c>
      <c r="F1095">
        <v>107.11799999999999</v>
      </c>
      <c r="G1095" s="1">
        <f t="shared" si="52"/>
        <v>105.290671</v>
      </c>
    </row>
    <row r="1096" spans="1:7" x14ac:dyDescent="0.3">
      <c r="A1096">
        <v>10940</v>
      </c>
      <c r="B1096">
        <v>1682.3</v>
      </c>
      <c r="C1096">
        <v>113.57599999999999</v>
      </c>
      <c r="D1096" s="15">
        <f t="shared" si="53"/>
        <v>1.5000000000000568E-4</v>
      </c>
      <c r="E1096" s="14">
        <f t="shared" si="51"/>
        <v>8.6842102956119995E-5</v>
      </c>
      <c r="F1096">
        <v>107.10299999999999</v>
      </c>
      <c r="G1096" s="1">
        <f t="shared" si="52"/>
        <v>105.289541</v>
      </c>
    </row>
    <row r="1097" spans="1:7" x14ac:dyDescent="0.3">
      <c r="A1097">
        <v>10950</v>
      </c>
      <c r="B1097">
        <v>1683.3</v>
      </c>
      <c r="C1097">
        <v>113.574</v>
      </c>
      <c r="D1097" s="15">
        <f t="shared" si="53"/>
        <v>1.5000000000000568E-4</v>
      </c>
      <c r="E1097" s="14">
        <f t="shared" si="51"/>
        <v>8.6807390871750003E-5</v>
      </c>
      <c r="F1097">
        <v>107.087</v>
      </c>
      <c r="G1097" s="1">
        <f t="shared" si="52"/>
        <v>105.288411</v>
      </c>
    </row>
    <row r="1098" spans="1:7" x14ac:dyDescent="0.3">
      <c r="A1098">
        <v>10960</v>
      </c>
      <c r="B1098">
        <v>1684.2</v>
      </c>
      <c r="C1098">
        <v>113.57299999999999</v>
      </c>
      <c r="D1098" s="15">
        <f t="shared" si="53"/>
        <v>1.5000000000000568E-4</v>
      </c>
      <c r="E1098" s="14">
        <f t="shared" si="51"/>
        <v>8.6772691470719999E-5</v>
      </c>
      <c r="F1098">
        <v>107.071</v>
      </c>
      <c r="G1098" s="1">
        <f t="shared" si="52"/>
        <v>105.28728100000001</v>
      </c>
    </row>
    <row r="1099" spans="1:7" x14ac:dyDescent="0.3">
      <c r="A1099">
        <v>10970</v>
      </c>
      <c r="B1099">
        <v>1685</v>
      </c>
      <c r="C1099">
        <v>113.571</v>
      </c>
      <c r="D1099" s="15">
        <f t="shared" si="53"/>
        <v>1.5000000000000568E-4</v>
      </c>
      <c r="E1099" s="14">
        <f t="shared" si="51"/>
        <v>8.6738004753029996E-5</v>
      </c>
      <c r="F1099">
        <v>107.056</v>
      </c>
      <c r="G1099" s="1">
        <f t="shared" si="52"/>
        <v>105.286151</v>
      </c>
    </row>
    <row r="1100" spans="1:7" x14ac:dyDescent="0.3">
      <c r="A1100">
        <v>10980</v>
      </c>
      <c r="B1100">
        <v>1685.7</v>
      </c>
      <c r="C1100">
        <v>113.57</v>
      </c>
      <c r="D1100" s="15">
        <f t="shared" si="53"/>
        <v>1.5000000000000568E-4</v>
      </c>
      <c r="E1100" s="14">
        <f t="shared" si="51"/>
        <v>8.6703330718679994E-5</v>
      </c>
      <c r="F1100">
        <v>107.04</v>
      </c>
      <c r="G1100" s="1">
        <f t="shared" si="52"/>
        <v>105.285021</v>
      </c>
    </row>
    <row r="1101" spans="1:7" x14ac:dyDescent="0.3">
      <c r="A1101">
        <v>10990</v>
      </c>
      <c r="B1101">
        <v>1686.6</v>
      </c>
      <c r="C1101">
        <v>113.568</v>
      </c>
      <c r="D1101" s="15">
        <f t="shared" si="53"/>
        <v>1.5000000000000568E-4</v>
      </c>
      <c r="E1101" s="14">
        <f t="shared" si="51"/>
        <v>8.6668669367669993E-5</v>
      </c>
      <c r="F1101">
        <v>107.024</v>
      </c>
      <c r="G1101" s="1">
        <f t="shared" si="52"/>
        <v>105.283891</v>
      </c>
    </row>
    <row r="1102" spans="1:7" x14ac:dyDescent="0.3">
      <c r="A1102">
        <v>11000</v>
      </c>
      <c r="B1102">
        <v>1687</v>
      </c>
      <c r="C1102">
        <v>113.56699999999999</v>
      </c>
      <c r="D1102" s="15">
        <f t="shared" si="53"/>
        <v>1.5000000000000568E-4</v>
      </c>
      <c r="E1102" s="14">
        <f t="shared" si="51"/>
        <v>8.6634020699999993E-5</v>
      </c>
      <c r="F1102">
        <v>107.008</v>
      </c>
      <c r="G1102" s="1">
        <f t="shared" si="52"/>
        <v>105.28276100000001</v>
      </c>
    </row>
    <row r="1103" spans="1:7" x14ac:dyDescent="0.3">
      <c r="A1103">
        <v>11010</v>
      </c>
      <c r="B1103">
        <v>1687.2</v>
      </c>
      <c r="C1103">
        <v>113.565</v>
      </c>
      <c r="D1103" s="15">
        <f t="shared" si="53"/>
        <v>1.5000000000000568E-4</v>
      </c>
      <c r="E1103" s="14">
        <f t="shared" si="51"/>
        <v>8.6599384715669995E-5</v>
      </c>
      <c r="F1103">
        <v>106.992</v>
      </c>
      <c r="G1103" s="1">
        <f t="shared" si="52"/>
        <v>105.281631</v>
      </c>
    </row>
    <row r="1104" spans="1:7" x14ac:dyDescent="0.3">
      <c r="A1104">
        <v>11020</v>
      </c>
      <c r="B1104">
        <v>1687.4</v>
      </c>
      <c r="C1104">
        <v>113.56399999999999</v>
      </c>
      <c r="D1104" s="15">
        <f t="shared" si="53"/>
        <v>1.4999999999965041E-4</v>
      </c>
      <c r="E1104" s="14">
        <f t="shared" si="51"/>
        <v>8.6564761414679997E-5</v>
      </c>
      <c r="F1104">
        <v>106.977</v>
      </c>
      <c r="G1104" s="1">
        <f t="shared" si="52"/>
        <v>105.280501</v>
      </c>
    </row>
    <row r="1105" spans="1:7" x14ac:dyDescent="0.3">
      <c r="A1105">
        <v>11030</v>
      </c>
      <c r="B1105">
        <v>1687.3</v>
      </c>
      <c r="C1105">
        <v>113.562</v>
      </c>
      <c r="D1105" s="15">
        <f t="shared" si="53"/>
        <v>1.5000000000000568E-4</v>
      </c>
      <c r="E1105" s="14">
        <f t="shared" si="51"/>
        <v>8.6530150797030001E-5</v>
      </c>
      <c r="F1105">
        <v>106.961</v>
      </c>
      <c r="G1105" s="1">
        <f t="shared" si="52"/>
        <v>105.279371</v>
      </c>
    </row>
    <row r="1106" spans="1:7" x14ac:dyDescent="0.3">
      <c r="A1106">
        <v>11040</v>
      </c>
      <c r="B1106">
        <v>1687.2</v>
      </c>
      <c r="C1106">
        <v>113.56100000000001</v>
      </c>
      <c r="D1106" s="15">
        <f t="shared" si="53"/>
        <v>1.4999999999965041E-4</v>
      </c>
      <c r="E1106" s="14">
        <f t="shared" si="51"/>
        <v>8.6495552862720005E-5</v>
      </c>
      <c r="F1106">
        <v>106.946</v>
      </c>
      <c r="G1106" s="1">
        <f t="shared" si="52"/>
        <v>105.27824100000001</v>
      </c>
    </row>
    <row r="1107" spans="1:7" x14ac:dyDescent="0.3">
      <c r="A1107">
        <v>11050</v>
      </c>
      <c r="B1107">
        <v>1686.9</v>
      </c>
      <c r="C1107">
        <v>113.559</v>
      </c>
      <c r="D1107" s="15">
        <f t="shared" si="53"/>
        <v>1.5000000000000568E-4</v>
      </c>
      <c r="E1107" s="14">
        <f t="shared" si="51"/>
        <v>8.6460967611749997E-5</v>
      </c>
      <c r="F1107">
        <v>106.929</v>
      </c>
      <c r="G1107" s="1">
        <f t="shared" si="52"/>
        <v>105.277111</v>
      </c>
    </row>
    <row r="1108" spans="1:7" x14ac:dyDescent="0.3">
      <c r="A1108">
        <v>11060</v>
      </c>
      <c r="B1108">
        <v>1686.8</v>
      </c>
      <c r="C1108">
        <v>113.55800000000001</v>
      </c>
      <c r="D1108" s="15">
        <f t="shared" si="53"/>
        <v>1.5000000000000568E-4</v>
      </c>
      <c r="E1108" s="14">
        <f t="shared" si="51"/>
        <v>8.6426395044119991E-5</v>
      </c>
      <c r="F1108">
        <v>106.914</v>
      </c>
      <c r="G1108" s="1">
        <f t="shared" si="52"/>
        <v>105.275981</v>
      </c>
    </row>
    <row r="1109" spans="1:7" x14ac:dyDescent="0.3">
      <c r="A1109">
        <v>11070</v>
      </c>
      <c r="B1109">
        <v>1686.3</v>
      </c>
      <c r="C1109">
        <v>113.556</v>
      </c>
      <c r="D1109" s="15">
        <f t="shared" si="53"/>
        <v>1.5000000000000568E-4</v>
      </c>
      <c r="E1109" s="14">
        <f t="shared" si="51"/>
        <v>8.6391835159829999E-5</v>
      </c>
      <c r="F1109">
        <v>106.898</v>
      </c>
      <c r="G1109" s="1">
        <f t="shared" si="52"/>
        <v>105.274851</v>
      </c>
    </row>
    <row r="1110" spans="1:7" x14ac:dyDescent="0.3">
      <c r="A1110">
        <v>11080</v>
      </c>
      <c r="B1110">
        <v>1685.7</v>
      </c>
      <c r="C1110">
        <v>113.55500000000001</v>
      </c>
      <c r="D1110" s="15">
        <f t="shared" si="53"/>
        <v>1.7500000000012506E-4</v>
      </c>
      <c r="E1110" s="14">
        <f t="shared" si="51"/>
        <v>8.6357287958879994E-5</v>
      </c>
      <c r="F1110">
        <v>106.883</v>
      </c>
      <c r="G1110" s="1">
        <f t="shared" si="52"/>
        <v>105.27372100000001</v>
      </c>
    </row>
    <row r="1111" spans="1:7" x14ac:dyDescent="0.3">
      <c r="A1111">
        <v>11090</v>
      </c>
      <c r="B1111">
        <v>1684.9</v>
      </c>
      <c r="C1111">
        <v>113.553</v>
      </c>
      <c r="D1111" s="15">
        <f t="shared" si="53"/>
        <v>1.5000000000000568E-4</v>
      </c>
      <c r="E1111" s="14">
        <f t="shared" si="51"/>
        <v>8.632275344126999E-5</v>
      </c>
      <c r="F1111">
        <v>106.867</v>
      </c>
      <c r="G1111" s="1">
        <f t="shared" si="52"/>
        <v>105.27259100000001</v>
      </c>
    </row>
    <row r="1112" spans="1:7" x14ac:dyDescent="0.3">
      <c r="A1112">
        <v>11100</v>
      </c>
      <c r="B1112">
        <v>1684.1</v>
      </c>
      <c r="C1112">
        <v>113.551</v>
      </c>
      <c r="D1112" s="15">
        <f t="shared" si="53"/>
        <v>1.7500000000012506E-4</v>
      </c>
      <c r="E1112" s="14">
        <f t="shared" si="51"/>
        <v>8.6288231606999988E-5</v>
      </c>
      <c r="F1112">
        <v>106.851</v>
      </c>
      <c r="G1112" s="1">
        <f t="shared" si="52"/>
        <v>105.271461</v>
      </c>
    </row>
    <row r="1113" spans="1:7" x14ac:dyDescent="0.3">
      <c r="A1113">
        <v>11110</v>
      </c>
      <c r="B1113">
        <v>1683</v>
      </c>
      <c r="C1113">
        <v>113.55</v>
      </c>
      <c r="D1113" s="15">
        <f t="shared" si="53"/>
        <v>1.5000000000000568E-4</v>
      </c>
      <c r="E1113" s="14">
        <f t="shared" si="51"/>
        <v>8.625372245607E-5</v>
      </c>
      <c r="F1113">
        <v>106.83499999999999</v>
      </c>
      <c r="G1113" s="1">
        <f t="shared" si="52"/>
        <v>105.270331</v>
      </c>
    </row>
    <row r="1114" spans="1:7" x14ac:dyDescent="0.3">
      <c r="A1114">
        <v>11120</v>
      </c>
      <c r="B1114">
        <v>1681.9</v>
      </c>
      <c r="C1114">
        <v>113.548</v>
      </c>
      <c r="D1114" s="15">
        <f t="shared" si="53"/>
        <v>1.5000000000000568E-4</v>
      </c>
      <c r="E1114" s="14">
        <f t="shared" si="51"/>
        <v>8.621922598848E-5</v>
      </c>
      <c r="F1114">
        <v>106.82</v>
      </c>
      <c r="G1114" s="1">
        <f t="shared" si="52"/>
        <v>105.26920100000001</v>
      </c>
    </row>
    <row r="1115" spans="1:7" x14ac:dyDescent="0.3">
      <c r="A1115">
        <v>11130</v>
      </c>
      <c r="B1115">
        <v>1680.6</v>
      </c>
      <c r="C1115">
        <v>113.547</v>
      </c>
      <c r="D1115" s="15">
        <f t="shared" si="53"/>
        <v>1.7499999999976979E-4</v>
      </c>
      <c r="E1115" s="14">
        <f t="shared" si="51"/>
        <v>8.6184742204229987E-5</v>
      </c>
      <c r="F1115">
        <v>106.804</v>
      </c>
      <c r="G1115" s="1">
        <f t="shared" si="52"/>
        <v>105.26807100000001</v>
      </c>
    </row>
    <row r="1116" spans="1:7" x14ac:dyDescent="0.3">
      <c r="A1116">
        <v>11140</v>
      </c>
      <c r="B1116">
        <v>1679.3</v>
      </c>
      <c r="C1116">
        <v>113.545</v>
      </c>
      <c r="D1116" s="15">
        <f t="shared" si="53"/>
        <v>1.5000000000000568E-4</v>
      </c>
      <c r="E1116" s="14">
        <f t="shared" si="51"/>
        <v>8.6150271103320003E-5</v>
      </c>
      <c r="F1116">
        <v>106.788</v>
      </c>
      <c r="G1116" s="1">
        <f t="shared" si="52"/>
        <v>105.266941</v>
      </c>
    </row>
    <row r="1117" spans="1:7" x14ac:dyDescent="0.3">
      <c r="A1117">
        <v>11150</v>
      </c>
      <c r="B1117">
        <v>1677.7</v>
      </c>
      <c r="C1117">
        <v>113.54300000000001</v>
      </c>
      <c r="D1117" s="15">
        <f t="shared" si="53"/>
        <v>1.7499999999976979E-4</v>
      </c>
      <c r="E1117" s="14">
        <f t="shared" si="51"/>
        <v>8.6115812685749993E-5</v>
      </c>
      <c r="F1117">
        <v>106.77200000000001</v>
      </c>
      <c r="G1117" s="1">
        <f t="shared" si="52"/>
        <v>105.265811</v>
      </c>
    </row>
    <row r="1118" spans="1:7" x14ac:dyDescent="0.3">
      <c r="A1118">
        <v>11160</v>
      </c>
      <c r="B1118">
        <v>1676.1</v>
      </c>
      <c r="C1118">
        <v>113.542</v>
      </c>
      <c r="D1118" s="15">
        <f t="shared" si="53"/>
        <v>1.5000000000000568E-4</v>
      </c>
      <c r="E1118" s="14">
        <f t="shared" si="51"/>
        <v>8.6081366951519997E-5</v>
      </c>
      <c r="F1118">
        <v>106.756</v>
      </c>
      <c r="G1118" s="1">
        <f t="shared" si="52"/>
        <v>105.264681</v>
      </c>
    </row>
    <row r="1119" spans="1:7" x14ac:dyDescent="0.3">
      <c r="A1119">
        <v>11170</v>
      </c>
      <c r="B1119">
        <v>1673.8</v>
      </c>
      <c r="C1119">
        <v>113.54</v>
      </c>
      <c r="D1119" s="15">
        <f t="shared" si="53"/>
        <v>1.5000000000000568E-4</v>
      </c>
      <c r="E1119" s="14">
        <f t="shared" si="51"/>
        <v>8.6046933900630002E-5</v>
      </c>
      <c r="F1119">
        <v>106.741</v>
      </c>
      <c r="G1119" s="1">
        <f t="shared" si="52"/>
        <v>105.26355100000001</v>
      </c>
    </row>
    <row r="1120" spans="1:7" x14ac:dyDescent="0.3">
      <c r="A1120">
        <v>11180</v>
      </c>
      <c r="B1120">
        <v>1669.7</v>
      </c>
      <c r="C1120">
        <v>113.539</v>
      </c>
      <c r="D1120" s="15">
        <f t="shared" si="53"/>
        <v>1.7500000000012506E-4</v>
      </c>
      <c r="E1120" s="14">
        <f t="shared" si="51"/>
        <v>8.6012513533079995E-5</v>
      </c>
      <c r="F1120">
        <v>106.72499999999999</v>
      </c>
      <c r="G1120" s="1">
        <f t="shared" si="52"/>
        <v>105.262421</v>
      </c>
    </row>
    <row r="1121" spans="1:7" x14ac:dyDescent="0.3">
      <c r="A1121">
        <v>11190</v>
      </c>
      <c r="B1121">
        <v>1665.3</v>
      </c>
      <c r="C1121">
        <v>113.53700000000001</v>
      </c>
      <c r="D1121" s="15">
        <f t="shared" si="53"/>
        <v>1.5000000000000568E-4</v>
      </c>
      <c r="E1121" s="14">
        <f t="shared" si="51"/>
        <v>8.5978105848869989E-5</v>
      </c>
      <c r="F1121">
        <v>106.709</v>
      </c>
      <c r="G1121" s="1">
        <f t="shared" si="52"/>
        <v>105.261291</v>
      </c>
    </row>
    <row r="1122" spans="1:7" x14ac:dyDescent="0.3">
      <c r="A1122">
        <v>11200</v>
      </c>
      <c r="B1122">
        <v>1660.7</v>
      </c>
      <c r="C1122">
        <v>113.535</v>
      </c>
      <c r="D1122" s="15">
        <f t="shared" si="53"/>
        <v>1.7500000000012506E-4</v>
      </c>
      <c r="E1122" s="14">
        <f t="shared" si="51"/>
        <v>8.5943710847999997E-5</v>
      </c>
      <c r="F1122">
        <v>106.693</v>
      </c>
      <c r="G1122" s="1">
        <f t="shared" si="52"/>
        <v>105.260161</v>
      </c>
    </row>
    <row r="1123" spans="1:7" x14ac:dyDescent="0.3">
      <c r="A1123">
        <v>11210</v>
      </c>
      <c r="B1123">
        <v>1655.9</v>
      </c>
      <c r="C1123">
        <v>113.53400000000001</v>
      </c>
      <c r="D1123" s="15">
        <f t="shared" si="53"/>
        <v>1.5000000000000568E-4</v>
      </c>
      <c r="E1123" s="14">
        <f t="shared" si="51"/>
        <v>8.5909328530469993E-5</v>
      </c>
      <c r="F1123">
        <v>106.678</v>
      </c>
      <c r="G1123" s="1">
        <f t="shared" si="52"/>
        <v>105.25903100000001</v>
      </c>
    </row>
    <row r="1124" spans="1:7" x14ac:dyDescent="0.3">
      <c r="A1124">
        <v>11220</v>
      </c>
      <c r="B1124">
        <v>1650.9</v>
      </c>
      <c r="C1124">
        <v>113.532</v>
      </c>
      <c r="D1124" s="15">
        <f t="shared" si="53"/>
        <v>1.5000000000000568E-4</v>
      </c>
      <c r="E1124" s="14">
        <f t="shared" si="51"/>
        <v>8.5874958896280004E-5</v>
      </c>
      <c r="F1124">
        <v>106.66200000000001</v>
      </c>
      <c r="G1124" s="1">
        <f t="shared" si="52"/>
        <v>105.257901</v>
      </c>
    </row>
    <row r="1125" spans="1:7" x14ac:dyDescent="0.3">
      <c r="A1125">
        <v>11230</v>
      </c>
      <c r="B1125">
        <v>1645.7</v>
      </c>
      <c r="C1125">
        <v>113.53100000000001</v>
      </c>
      <c r="D1125" s="15">
        <f t="shared" si="53"/>
        <v>1.5000000000000568E-4</v>
      </c>
      <c r="E1125" s="14">
        <f t="shared" si="51"/>
        <v>8.5840601945430002E-5</v>
      </c>
      <c r="F1125">
        <v>106.646</v>
      </c>
      <c r="G1125" s="1">
        <f t="shared" si="52"/>
        <v>105.256771</v>
      </c>
    </row>
    <row r="1126" spans="1:7" x14ac:dyDescent="0.3">
      <c r="A1126">
        <v>11240</v>
      </c>
      <c r="B1126">
        <v>1640.3</v>
      </c>
      <c r="C1126">
        <v>113.529</v>
      </c>
      <c r="D1126" s="15">
        <f t="shared" si="53"/>
        <v>1.5000000000000568E-4</v>
      </c>
      <c r="E1126" s="14">
        <f t="shared" si="51"/>
        <v>8.5806257677920002E-5</v>
      </c>
      <c r="F1126">
        <v>106.63</v>
      </c>
      <c r="G1126" s="1">
        <f t="shared" si="52"/>
        <v>105.255641</v>
      </c>
    </row>
    <row r="1127" spans="1:7" x14ac:dyDescent="0.3">
      <c r="A1127">
        <v>11250</v>
      </c>
      <c r="B1127">
        <v>1634.6</v>
      </c>
      <c r="C1127">
        <v>113.52800000000001</v>
      </c>
      <c r="D1127" s="15">
        <f t="shared" si="53"/>
        <v>1.7500000000012506E-4</v>
      </c>
      <c r="E1127" s="14">
        <f t="shared" si="51"/>
        <v>8.5771926093750002E-5</v>
      </c>
      <c r="F1127">
        <v>106.61499999999999</v>
      </c>
      <c r="G1127" s="1">
        <f t="shared" si="52"/>
        <v>105.25451100000001</v>
      </c>
    </row>
    <row r="1128" spans="1:7" x14ac:dyDescent="0.3">
      <c r="A1128">
        <v>11260</v>
      </c>
      <c r="B1128">
        <v>1629</v>
      </c>
      <c r="C1128">
        <v>113.526</v>
      </c>
      <c r="D1128" s="15">
        <f t="shared" si="53"/>
        <v>1.5000000000000568E-4</v>
      </c>
      <c r="E1128" s="14">
        <f t="shared" si="51"/>
        <v>8.5737607192920004E-5</v>
      </c>
      <c r="F1128">
        <v>106.599</v>
      </c>
      <c r="G1128" s="1">
        <f t="shared" si="52"/>
        <v>105.253381</v>
      </c>
    </row>
    <row r="1129" spans="1:7" x14ac:dyDescent="0.3">
      <c r="A1129">
        <v>11270</v>
      </c>
      <c r="B1129">
        <v>1623</v>
      </c>
      <c r="C1129">
        <v>113.524</v>
      </c>
      <c r="D1129" s="15">
        <f t="shared" si="53"/>
        <v>1.7500000000012506E-4</v>
      </c>
      <c r="E1129" s="14">
        <f t="shared" si="51"/>
        <v>8.5703300975429993E-5</v>
      </c>
      <c r="F1129">
        <v>106.584</v>
      </c>
      <c r="G1129" s="1">
        <f t="shared" si="52"/>
        <v>105.252251</v>
      </c>
    </row>
    <row r="1130" spans="1:7" x14ac:dyDescent="0.3">
      <c r="A1130">
        <v>11280</v>
      </c>
      <c r="B1130">
        <v>1617.2</v>
      </c>
      <c r="C1130">
        <v>113.523</v>
      </c>
      <c r="D1130" s="15">
        <f t="shared" si="53"/>
        <v>1.5000000000000568E-4</v>
      </c>
      <c r="E1130" s="14">
        <f t="shared" si="51"/>
        <v>8.5669007441279996E-5</v>
      </c>
      <c r="F1130">
        <v>106.56699999999999</v>
      </c>
      <c r="G1130" s="1">
        <f t="shared" si="52"/>
        <v>105.251121</v>
      </c>
    </row>
    <row r="1131" spans="1:7" x14ac:dyDescent="0.3">
      <c r="A1131">
        <v>11290</v>
      </c>
      <c r="B1131">
        <v>1611.1</v>
      </c>
      <c r="C1131">
        <v>113.521</v>
      </c>
      <c r="D1131" s="15">
        <f t="shared" si="53"/>
        <v>1.5000000000000568E-4</v>
      </c>
      <c r="E1131" s="14">
        <f t="shared" si="51"/>
        <v>8.5634726590470001E-5</v>
      </c>
      <c r="F1131">
        <v>106.55200000000001</v>
      </c>
      <c r="G1131" s="1">
        <f t="shared" si="52"/>
        <v>105.24999100000001</v>
      </c>
    </row>
    <row r="1132" spans="1:7" x14ac:dyDescent="0.3">
      <c r="A1132">
        <v>11300</v>
      </c>
      <c r="B1132">
        <v>1604.8</v>
      </c>
      <c r="C1132">
        <v>113.52</v>
      </c>
      <c r="D1132" s="15">
        <f t="shared" si="53"/>
        <v>1.5000000000000568E-4</v>
      </c>
      <c r="E1132" s="14">
        <f t="shared" si="51"/>
        <v>8.5600458422999993E-5</v>
      </c>
      <c r="F1132">
        <v>106.536</v>
      </c>
      <c r="G1132" s="1">
        <f t="shared" si="52"/>
        <v>105.24886100000001</v>
      </c>
    </row>
    <row r="1133" spans="1:7" x14ac:dyDescent="0.3">
      <c r="A1133">
        <v>11310</v>
      </c>
      <c r="B1133">
        <v>1598.7</v>
      </c>
      <c r="C1133">
        <v>113.518</v>
      </c>
      <c r="D1133" s="15">
        <f t="shared" si="53"/>
        <v>1.5000000000000568E-4</v>
      </c>
      <c r="E1133" s="14">
        <f t="shared" si="51"/>
        <v>8.556620293887E-5</v>
      </c>
      <c r="F1133">
        <v>106.521</v>
      </c>
      <c r="G1133" s="1">
        <f t="shared" si="52"/>
        <v>105.247731</v>
      </c>
    </row>
    <row r="1134" spans="1:7" x14ac:dyDescent="0.3">
      <c r="A1134">
        <v>11320</v>
      </c>
      <c r="B1134">
        <v>1592.4</v>
      </c>
      <c r="C1134">
        <v>113.517</v>
      </c>
      <c r="D1134" s="15">
        <f t="shared" si="53"/>
        <v>1.5000000000000568E-4</v>
      </c>
      <c r="E1134" s="14">
        <f t="shared" si="51"/>
        <v>8.5531960138079995E-5</v>
      </c>
      <c r="F1134">
        <v>106.505</v>
      </c>
      <c r="G1134" s="1">
        <f t="shared" si="52"/>
        <v>105.246601</v>
      </c>
    </row>
    <row r="1135" spans="1:7" x14ac:dyDescent="0.3">
      <c r="A1135">
        <v>11330</v>
      </c>
      <c r="B1135">
        <v>1586.1</v>
      </c>
      <c r="C1135">
        <v>113.515</v>
      </c>
      <c r="D1135" s="15">
        <f t="shared" si="53"/>
        <v>1.5000000000000568E-4</v>
      </c>
      <c r="E1135" s="14">
        <f t="shared" si="51"/>
        <v>8.5497730020629991E-5</v>
      </c>
      <c r="F1135">
        <v>106.489</v>
      </c>
      <c r="G1135" s="1">
        <f t="shared" si="52"/>
        <v>105.24547100000001</v>
      </c>
    </row>
    <row r="1136" spans="1:7" x14ac:dyDescent="0.3">
      <c r="A1136">
        <v>11340</v>
      </c>
      <c r="B1136">
        <v>1579.6</v>
      </c>
      <c r="C1136">
        <v>113.514</v>
      </c>
      <c r="D1136" s="15">
        <f t="shared" si="53"/>
        <v>1.7499999999976979E-4</v>
      </c>
      <c r="E1136" s="14">
        <f t="shared" si="51"/>
        <v>8.5463512586520001E-5</v>
      </c>
      <c r="F1136">
        <v>106.473</v>
      </c>
      <c r="G1136" s="1">
        <f t="shared" si="52"/>
        <v>105.24434100000001</v>
      </c>
    </row>
    <row r="1137" spans="1:7" x14ac:dyDescent="0.3">
      <c r="A1137">
        <v>11350</v>
      </c>
      <c r="B1137">
        <v>1572.9</v>
      </c>
      <c r="C1137">
        <v>113.512</v>
      </c>
      <c r="D1137" s="15">
        <f t="shared" si="53"/>
        <v>1.5000000000000568E-4</v>
      </c>
      <c r="E1137" s="14">
        <f t="shared" si="51"/>
        <v>8.5429307835749999E-5</v>
      </c>
      <c r="F1137">
        <v>106.45699999999999</v>
      </c>
      <c r="G1137" s="1">
        <f t="shared" si="52"/>
        <v>105.243211</v>
      </c>
    </row>
    <row r="1138" spans="1:7" x14ac:dyDescent="0.3">
      <c r="A1138">
        <v>11360</v>
      </c>
      <c r="B1138">
        <v>1566</v>
      </c>
      <c r="C1138">
        <v>113.51</v>
      </c>
      <c r="D1138" s="15">
        <f t="shared" si="53"/>
        <v>1.7499999999976979E-4</v>
      </c>
      <c r="E1138" s="14">
        <f t="shared" si="51"/>
        <v>8.5395115768319998E-5</v>
      </c>
      <c r="F1138">
        <v>106.44199999999999</v>
      </c>
      <c r="G1138" s="1">
        <f t="shared" si="52"/>
        <v>105.242081</v>
      </c>
    </row>
    <row r="1139" spans="1:7" x14ac:dyDescent="0.3">
      <c r="A1139">
        <v>11370</v>
      </c>
      <c r="B1139">
        <v>1558.9</v>
      </c>
      <c r="C1139">
        <v>113.509</v>
      </c>
      <c r="D1139" s="15">
        <f t="shared" si="53"/>
        <v>1.5000000000000568E-4</v>
      </c>
      <c r="E1139" s="14">
        <f t="shared" si="51"/>
        <v>8.5360936384229998E-5</v>
      </c>
      <c r="F1139">
        <v>106.426</v>
      </c>
      <c r="G1139" s="1">
        <f t="shared" si="52"/>
        <v>105.24095100000001</v>
      </c>
    </row>
    <row r="1140" spans="1:7" x14ac:dyDescent="0.3">
      <c r="A1140">
        <v>11380</v>
      </c>
      <c r="B1140">
        <v>1552</v>
      </c>
      <c r="C1140">
        <v>113.50700000000001</v>
      </c>
      <c r="D1140" s="15">
        <f t="shared" si="53"/>
        <v>1.5000000000000568E-4</v>
      </c>
      <c r="E1140" s="14">
        <f t="shared" si="51"/>
        <v>8.5326769683479999E-5</v>
      </c>
      <c r="F1140">
        <v>106.411</v>
      </c>
      <c r="G1140" s="1">
        <f t="shared" si="52"/>
        <v>105.23982100000001</v>
      </c>
    </row>
    <row r="1141" spans="1:7" x14ac:dyDescent="0.3">
      <c r="A1141">
        <v>11390</v>
      </c>
      <c r="B1141">
        <v>1544.9</v>
      </c>
      <c r="C1141">
        <v>113.506</v>
      </c>
      <c r="D1141" s="15">
        <f t="shared" si="53"/>
        <v>1.5000000000000568E-4</v>
      </c>
      <c r="E1141" s="14">
        <f t="shared" si="51"/>
        <v>8.5292615666069987E-5</v>
      </c>
      <c r="F1141">
        <v>106.39400000000001</v>
      </c>
      <c r="G1141" s="1">
        <f t="shared" si="52"/>
        <v>105.238691</v>
      </c>
    </row>
    <row r="1142" spans="1:7" x14ac:dyDescent="0.3">
      <c r="A1142">
        <v>11400</v>
      </c>
      <c r="B1142">
        <v>1537.9</v>
      </c>
      <c r="C1142">
        <v>113.504</v>
      </c>
      <c r="D1142" s="15">
        <f t="shared" si="53"/>
        <v>1.5000000000000568E-4</v>
      </c>
      <c r="E1142" s="14">
        <f t="shared" si="51"/>
        <v>8.5258474331999991E-5</v>
      </c>
      <c r="F1142">
        <v>106.379</v>
      </c>
      <c r="G1142" s="1">
        <f t="shared" si="52"/>
        <v>105.237561</v>
      </c>
    </row>
    <row r="1143" spans="1:7" x14ac:dyDescent="0.3">
      <c r="A1143">
        <v>11410</v>
      </c>
      <c r="B1143">
        <v>1530.7</v>
      </c>
      <c r="C1143">
        <v>113.503</v>
      </c>
      <c r="D1143" s="15">
        <f t="shared" si="53"/>
        <v>1.5000000000000568E-4</v>
      </c>
      <c r="E1143" s="14">
        <f t="shared" si="51"/>
        <v>8.5224345681269995E-5</v>
      </c>
      <c r="F1143">
        <v>106.363</v>
      </c>
      <c r="G1143" s="1">
        <f t="shared" si="52"/>
        <v>105.236431</v>
      </c>
    </row>
    <row r="1144" spans="1:7" x14ac:dyDescent="0.3">
      <c r="A1144">
        <v>11420</v>
      </c>
      <c r="B1144">
        <v>1523.4</v>
      </c>
      <c r="C1144">
        <v>113.501</v>
      </c>
      <c r="D1144" s="15">
        <f t="shared" si="53"/>
        <v>1.5000000000000568E-4</v>
      </c>
      <c r="E1144" s="14">
        <f t="shared" si="51"/>
        <v>8.5190229713879987E-5</v>
      </c>
      <c r="F1144">
        <v>106.34699999999999</v>
      </c>
      <c r="G1144" s="1">
        <f t="shared" si="52"/>
        <v>105.23530100000001</v>
      </c>
    </row>
    <row r="1145" spans="1:7" x14ac:dyDescent="0.3">
      <c r="A1145">
        <v>11430</v>
      </c>
      <c r="B1145">
        <v>1516.2</v>
      </c>
      <c r="C1145">
        <v>113.5</v>
      </c>
      <c r="D1145" s="15">
        <f t="shared" si="53"/>
        <v>1.5000000000000568E-4</v>
      </c>
      <c r="E1145" s="14">
        <f t="shared" si="51"/>
        <v>8.5156126429829993E-5</v>
      </c>
      <c r="F1145">
        <v>106.33199999999999</v>
      </c>
      <c r="G1145" s="1">
        <f t="shared" si="52"/>
        <v>105.234171</v>
      </c>
    </row>
    <row r="1146" spans="1:7" x14ac:dyDescent="0.3">
      <c r="A1146">
        <v>11440</v>
      </c>
      <c r="B1146">
        <v>1507.1</v>
      </c>
      <c r="C1146">
        <v>113.498</v>
      </c>
      <c r="D1146" s="15">
        <f t="shared" si="53"/>
        <v>1.5000000000000568E-4</v>
      </c>
      <c r="E1146" s="14">
        <f t="shared" si="51"/>
        <v>8.5122035829120001E-5</v>
      </c>
      <c r="F1146">
        <v>106.316</v>
      </c>
      <c r="G1146" s="1">
        <f t="shared" si="52"/>
        <v>105.233041</v>
      </c>
    </row>
    <row r="1147" spans="1:7" x14ac:dyDescent="0.3">
      <c r="A1147">
        <v>11450</v>
      </c>
      <c r="B1147">
        <v>1504.2</v>
      </c>
      <c r="C1147">
        <v>113.497</v>
      </c>
      <c r="D1147" s="15">
        <f t="shared" si="53"/>
        <v>1.5000000000000568E-4</v>
      </c>
      <c r="E1147" s="14">
        <f t="shared" si="51"/>
        <v>8.5087957911749996E-5</v>
      </c>
      <c r="F1147">
        <v>106.334</v>
      </c>
      <c r="G1147" s="1">
        <f t="shared" si="52"/>
        <v>105.231911</v>
      </c>
    </row>
    <row r="1148" spans="1:7" x14ac:dyDescent="0.3">
      <c r="A1148">
        <v>11460</v>
      </c>
      <c r="B1148">
        <v>1501.3</v>
      </c>
      <c r="C1148">
        <v>113.495</v>
      </c>
      <c r="D1148" s="15">
        <f t="shared" si="53"/>
        <v>1.5000000000000568E-4</v>
      </c>
      <c r="E1148" s="14">
        <f t="shared" si="51"/>
        <v>8.5053892677719993E-5</v>
      </c>
      <c r="F1148">
        <v>106.351</v>
      </c>
      <c r="G1148" s="1">
        <f t="shared" si="52"/>
        <v>105.23078100000001</v>
      </c>
    </row>
    <row r="1149" spans="1:7" x14ac:dyDescent="0.3">
      <c r="A1149">
        <v>11470</v>
      </c>
      <c r="B1149">
        <v>1498.4</v>
      </c>
      <c r="C1149">
        <v>113.494</v>
      </c>
      <c r="D1149" s="15">
        <f t="shared" si="53"/>
        <v>1.5000000000000568E-4</v>
      </c>
      <c r="E1149" s="14">
        <f t="shared" si="51"/>
        <v>8.501984012702999E-5</v>
      </c>
      <c r="F1149">
        <v>106.36799999999999</v>
      </c>
      <c r="G1149" s="1">
        <f t="shared" si="52"/>
        <v>105.229651</v>
      </c>
    </row>
    <row r="1150" spans="1:7" x14ac:dyDescent="0.3">
      <c r="A1150">
        <v>11480</v>
      </c>
      <c r="B1150">
        <v>1495.6</v>
      </c>
      <c r="C1150">
        <v>113.492</v>
      </c>
      <c r="D1150" s="15">
        <f t="shared" si="53"/>
        <v>1.5000000000000568E-4</v>
      </c>
      <c r="E1150" s="14">
        <f t="shared" si="51"/>
        <v>8.4985800259680002E-5</v>
      </c>
      <c r="F1150">
        <v>106.386</v>
      </c>
      <c r="G1150" s="1">
        <f t="shared" si="52"/>
        <v>105.228521</v>
      </c>
    </row>
    <row r="1151" spans="1:7" x14ac:dyDescent="0.3">
      <c r="A1151">
        <v>11490</v>
      </c>
      <c r="B1151">
        <v>1492.7</v>
      </c>
      <c r="C1151">
        <v>113.491</v>
      </c>
      <c r="D1151" s="15">
        <f t="shared" si="53"/>
        <v>1.5000000000000568E-4</v>
      </c>
      <c r="E1151" s="14">
        <f t="shared" si="51"/>
        <v>8.4951773075669988E-5</v>
      </c>
      <c r="F1151">
        <v>106.404</v>
      </c>
      <c r="G1151" s="1">
        <f t="shared" si="52"/>
        <v>105.227391</v>
      </c>
    </row>
    <row r="1152" spans="1:7" x14ac:dyDescent="0.3">
      <c r="A1152">
        <v>11500</v>
      </c>
      <c r="B1152">
        <v>1489.9</v>
      </c>
      <c r="C1152">
        <v>113.489</v>
      </c>
      <c r="D1152" s="15">
        <f t="shared" si="53"/>
        <v>1.2500000000024159E-4</v>
      </c>
      <c r="E1152" s="14">
        <f t="shared" si="51"/>
        <v>8.4917758574999989E-5</v>
      </c>
      <c r="F1152">
        <v>106.42100000000001</v>
      </c>
      <c r="G1152" s="1">
        <f t="shared" si="52"/>
        <v>105.22626100000001</v>
      </c>
    </row>
    <row r="1153" spans="1:7" x14ac:dyDescent="0.3">
      <c r="A1153">
        <v>11510</v>
      </c>
      <c r="B1153">
        <v>1487</v>
      </c>
      <c r="C1153">
        <v>113.488</v>
      </c>
      <c r="D1153" s="15">
        <f t="shared" si="53"/>
        <v>1.5000000000000568E-4</v>
      </c>
      <c r="E1153" s="14">
        <f t="shared" si="51"/>
        <v>8.488375675766999E-5</v>
      </c>
      <c r="F1153">
        <v>106.43899999999999</v>
      </c>
      <c r="G1153" s="1">
        <f t="shared" si="52"/>
        <v>105.225131</v>
      </c>
    </row>
    <row r="1154" spans="1:7" x14ac:dyDescent="0.3">
      <c r="A1154">
        <v>11520</v>
      </c>
      <c r="B1154">
        <v>1484.2</v>
      </c>
      <c r="C1154">
        <v>113.48699999999999</v>
      </c>
      <c r="D1154" s="15">
        <f t="shared" si="53"/>
        <v>1.2500000000024159E-4</v>
      </c>
      <c r="E1154" s="14">
        <f t="shared" ref="E1154:E1217" si="54">0.0000000000000634167*A1154*A1154 - 0.0000000048594*A1154 + 0.000132414</f>
        <v>8.4849767623679993E-5</v>
      </c>
      <c r="F1154">
        <v>106.45699999999999</v>
      </c>
      <c r="G1154" s="1">
        <f t="shared" si="52"/>
        <v>105.224001</v>
      </c>
    </row>
    <row r="1155" spans="1:7" x14ac:dyDescent="0.3">
      <c r="A1155">
        <v>11530</v>
      </c>
      <c r="B1155">
        <v>1481.4</v>
      </c>
      <c r="C1155">
        <v>113.485</v>
      </c>
      <c r="D1155" s="15">
        <f t="shared" si="53"/>
        <v>1.5000000000000568E-4</v>
      </c>
      <c r="E1155" s="14">
        <f t="shared" si="54"/>
        <v>8.4815791173029997E-5</v>
      </c>
      <c r="F1155">
        <v>106.474</v>
      </c>
      <c r="G1155" s="1">
        <f t="shared" ref="G1155:G1218" si="55">-0.000113*A1155 + 106.525761</f>
        <v>105.222871</v>
      </c>
    </row>
    <row r="1156" spans="1:7" x14ac:dyDescent="0.3">
      <c r="A1156">
        <v>11540</v>
      </c>
      <c r="B1156">
        <v>1479.1</v>
      </c>
      <c r="C1156">
        <v>113.48399999999999</v>
      </c>
      <c r="D1156" s="15">
        <f t="shared" si="53"/>
        <v>1.5000000000000568E-4</v>
      </c>
      <c r="E1156" s="14">
        <f t="shared" si="54"/>
        <v>8.4781827405720002E-5</v>
      </c>
      <c r="F1156">
        <v>106.492</v>
      </c>
      <c r="G1156" s="1">
        <f t="shared" si="55"/>
        <v>105.22174100000001</v>
      </c>
    </row>
    <row r="1157" spans="1:7" x14ac:dyDescent="0.3">
      <c r="A1157">
        <v>11550</v>
      </c>
      <c r="B1157">
        <v>1477</v>
      </c>
      <c r="C1157">
        <v>113.482</v>
      </c>
      <c r="D1157" s="15">
        <f t="shared" ref="D1157:D1220" si="56">(C1155-C1159)/(A1159-A1155)</f>
        <v>1.2499999999988632E-4</v>
      </c>
      <c r="E1157" s="14">
        <f t="shared" si="54"/>
        <v>8.4747876321749995E-5</v>
      </c>
      <c r="F1157">
        <v>106.509</v>
      </c>
      <c r="G1157" s="1">
        <f t="shared" si="55"/>
        <v>105.22061100000001</v>
      </c>
    </row>
    <row r="1158" spans="1:7" x14ac:dyDescent="0.3">
      <c r="A1158">
        <v>11560</v>
      </c>
      <c r="B1158">
        <v>1474.6</v>
      </c>
      <c r="C1158">
        <v>113.48099999999999</v>
      </c>
      <c r="D1158" s="15">
        <f t="shared" si="56"/>
        <v>1.5000000000000568E-4</v>
      </c>
      <c r="E1158" s="14">
        <f t="shared" si="54"/>
        <v>8.4713937921120002E-5</v>
      </c>
      <c r="F1158">
        <v>106.527</v>
      </c>
      <c r="G1158" s="1">
        <f t="shared" si="55"/>
        <v>105.219481</v>
      </c>
    </row>
    <row r="1159" spans="1:7" x14ac:dyDescent="0.3">
      <c r="A1159">
        <v>11570</v>
      </c>
      <c r="B1159">
        <v>1472.3</v>
      </c>
      <c r="C1159">
        <v>113.48</v>
      </c>
      <c r="D1159" s="15">
        <f t="shared" si="56"/>
        <v>1.2499999999988632E-4</v>
      </c>
      <c r="E1159" s="14">
        <f t="shared" si="54"/>
        <v>8.4680012203829997E-5</v>
      </c>
      <c r="F1159">
        <v>106.545</v>
      </c>
      <c r="G1159" s="1">
        <f t="shared" si="55"/>
        <v>105.218351</v>
      </c>
    </row>
    <row r="1160" spans="1:7" x14ac:dyDescent="0.3">
      <c r="A1160">
        <v>11580</v>
      </c>
      <c r="B1160">
        <v>1469.8</v>
      </c>
      <c r="C1160">
        <v>113.47799999999999</v>
      </c>
      <c r="D1160" s="15">
        <f t="shared" si="56"/>
        <v>1.2499999999988632E-4</v>
      </c>
      <c r="E1160" s="14">
        <f t="shared" si="54"/>
        <v>8.4646099169879993E-5</v>
      </c>
      <c r="F1160">
        <v>106.562</v>
      </c>
      <c r="G1160" s="1">
        <f t="shared" si="55"/>
        <v>105.21722100000001</v>
      </c>
    </row>
    <row r="1161" spans="1:7" x14ac:dyDescent="0.3">
      <c r="A1161">
        <v>11590</v>
      </c>
      <c r="B1161">
        <v>1467.5</v>
      </c>
      <c r="C1161">
        <v>113.477</v>
      </c>
      <c r="D1161" s="15">
        <f t="shared" si="56"/>
        <v>1.5000000000000568E-4</v>
      </c>
      <c r="E1161" s="14">
        <f t="shared" si="54"/>
        <v>8.461219881926999E-5</v>
      </c>
      <c r="F1161">
        <v>106.58</v>
      </c>
      <c r="G1161" s="1">
        <f t="shared" si="55"/>
        <v>105.21609100000001</v>
      </c>
    </row>
    <row r="1162" spans="1:7" x14ac:dyDescent="0.3">
      <c r="A1162">
        <v>11600</v>
      </c>
      <c r="B1162">
        <v>1465.1</v>
      </c>
      <c r="C1162">
        <v>113.476</v>
      </c>
      <c r="D1162" s="15">
        <f t="shared" si="56"/>
        <v>1.2499999999988632E-4</v>
      </c>
      <c r="E1162" s="14">
        <f t="shared" si="54"/>
        <v>8.4578311152000001E-5</v>
      </c>
      <c r="F1162">
        <v>106.59699999999999</v>
      </c>
      <c r="G1162" s="1">
        <f t="shared" si="55"/>
        <v>105.214961</v>
      </c>
    </row>
    <row r="1163" spans="1:7" x14ac:dyDescent="0.3">
      <c r="A1163">
        <v>11610</v>
      </c>
      <c r="B1163">
        <v>1462.5</v>
      </c>
      <c r="C1163">
        <v>113.474</v>
      </c>
      <c r="D1163" s="15">
        <f t="shared" si="56"/>
        <v>1.2500000000024159E-4</v>
      </c>
      <c r="E1163" s="14">
        <f t="shared" si="54"/>
        <v>8.454443616807E-5</v>
      </c>
      <c r="F1163">
        <v>106.61499999999999</v>
      </c>
      <c r="G1163" s="1">
        <f t="shared" si="55"/>
        <v>105.213831</v>
      </c>
    </row>
    <row r="1164" spans="1:7" x14ac:dyDescent="0.3">
      <c r="A1164">
        <v>11620</v>
      </c>
      <c r="B1164">
        <v>1460.1</v>
      </c>
      <c r="C1164">
        <v>113.473</v>
      </c>
      <c r="D1164" s="15">
        <f t="shared" si="56"/>
        <v>1.2499999999988632E-4</v>
      </c>
      <c r="E1164" s="14">
        <f t="shared" si="54"/>
        <v>8.451057386748E-5</v>
      </c>
      <c r="F1164">
        <v>106.63200000000001</v>
      </c>
      <c r="G1164" s="1">
        <f t="shared" si="55"/>
        <v>105.21270100000001</v>
      </c>
    </row>
    <row r="1165" spans="1:7" x14ac:dyDescent="0.3">
      <c r="A1165">
        <v>11630</v>
      </c>
      <c r="B1165">
        <v>1457.4</v>
      </c>
      <c r="C1165">
        <v>113.47199999999999</v>
      </c>
      <c r="D1165" s="15">
        <f t="shared" si="56"/>
        <v>1.2500000000024159E-4</v>
      </c>
      <c r="E1165" s="14">
        <f t="shared" si="54"/>
        <v>8.4476724250230002E-5</v>
      </c>
      <c r="F1165">
        <v>106.65</v>
      </c>
      <c r="G1165" s="1">
        <f t="shared" si="55"/>
        <v>105.21157100000001</v>
      </c>
    </row>
    <row r="1166" spans="1:7" x14ac:dyDescent="0.3">
      <c r="A1166">
        <v>11640</v>
      </c>
      <c r="B1166">
        <v>1454.9</v>
      </c>
      <c r="C1166">
        <v>113.471</v>
      </c>
      <c r="D1166" s="15">
        <f t="shared" si="56"/>
        <v>1.2499999999988632E-4</v>
      </c>
      <c r="E1166" s="14">
        <f t="shared" si="54"/>
        <v>8.4442887316320004E-5</v>
      </c>
      <c r="F1166">
        <v>106.667</v>
      </c>
      <c r="G1166" s="1">
        <f t="shared" si="55"/>
        <v>105.210441</v>
      </c>
    </row>
    <row r="1167" spans="1:7" x14ac:dyDescent="0.3">
      <c r="A1167">
        <v>11650</v>
      </c>
      <c r="B1167">
        <v>1452.5</v>
      </c>
      <c r="C1167">
        <v>113.46899999999999</v>
      </c>
      <c r="D1167" s="15">
        <f t="shared" si="56"/>
        <v>1.2499999999988632E-4</v>
      </c>
      <c r="E1167" s="14">
        <f t="shared" si="54"/>
        <v>8.4409063065749994E-5</v>
      </c>
      <c r="F1167">
        <v>106.685</v>
      </c>
      <c r="G1167" s="1">
        <f t="shared" si="55"/>
        <v>105.209311</v>
      </c>
    </row>
    <row r="1168" spans="1:7" x14ac:dyDescent="0.3">
      <c r="A1168">
        <v>11660</v>
      </c>
      <c r="B1168">
        <v>1449.8</v>
      </c>
      <c r="C1168">
        <v>113.468</v>
      </c>
      <c r="D1168" s="15">
        <f t="shared" si="56"/>
        <v>1.2500000000024159E-4</v>
      </c>
      <c r="E1168" s="14">
        <f t="shared" si="54"/>
        <v>8.4375251498519985E-5</v>
      </c>
      <c r="F1168">
        <v>106.702</v>
      </c>
      <c r="G1168" s="1">
        <f t="shared" si="55"/>
        <v>105.208181</v>
      </c>
    </row>
    <row r="1169" spans="1:7" x14ac:dyDescent="0.3">
      <c r="A1169">
        <v>11670</v>
      </c>
      <c r="B1169">
        <v>1447.2</v>
      </c>
      <c r="C1169">
        <v>113.467</v>
      </c>
      <c r="D1169" s="15">
        <f t="shared" si="56"/>
        <v>9.9999999999766942E-5</v>
      </c>
      <c r="E1169" s="14">
        <f t="shared" si="54"/>
        <v>8.4341452614630004E-5</v>
      </c>
      <c r="F1169">
        <v>106.72</v>
      </c>
      <c r="G1169" s="1">
        <f t="shared" si="55"/>
        <v>105.20705100000001</v>
      </c>
    </row>
    <row r="1170" spans="1:7" x14ac:dyDescent="0.3">
      <c r="A1170">
        <v>11680</v>
      </c>
      <c r="B1170">
        <v>1444.4</v>
      </c>
      <c r="C1170">
        <v>113.46599999999999</v>
      </c>
      <c r="D1170" s="15">
        <f t="shared" si="56"/>
        <v>1.2500000000024159E-4</v>
      </c>
      <c r="E1170" s="14">
        <f t="shared" si="54"/>
        <v>8.4307666414079998E-5</v>
      </c>
      <c r="F1170">
        <v>106.73699999999999</v>
      </c>
      <c r="G1170" s="1">
        <f t="shared" si="55"/>
        <v>105.205921</v>
      </c>
    </row>
    <row r="1171" spans="1:7" x14ac:dyDescent="0.3">
      <c r="A1171">
        <v>11690</v>
      </c>
      <c r="B1171">
        <v>1441.8</v>
      </c>
      <c r="C1171">
        <v>113.465</v>
      </c>
      <c r="D1171" s="15">
        <f t="shared" si="56"/>
        <v>1.2499999999988632E-4</v>
      </c>
      <c r="E1171" s="14">
        <f t="shared" si="54"/>
        <v>8.4273892896869992E-5</v>
      </c>
      <c r="F1171">
        <v>106.755</v>
      </c>
      <c r="G1171" s="1">
        <f t="shared" si="55"/>
        <v>105.204791</v>
      </c>
    </row>
    <row r="1172" spans="1:7" x14ac:dyDescent="0.3">
      <c r="A1172">
        <v>11700</v>
      </c>
      <c r="B1172">
        <v>1439</v>
      </c>
      <c r="C1172">
        <v>113.46299999999999</v>
      </c>
      <c r="D1172" s="15">
        <f t="shared" si="56"/>
        <v>1.2499999999988632E-4</v>
      </c>
      <c r="E1172" s="14">
        <f t="shared" si="54"/>
        <v>8.4240132062999987E-5</v>
      </c>
      <c r="F1172">
        <v>106.77200000000001</v>
      </c>
      <c r="G1172" s="1">
        <f t="shared" si="55"/>
        <v>105.203661</v>
      </c>
    </row>
    <row r="1173" spans="1:7" x14ac:dyDescent="0.3">
      <c r="A1173">
        <v>11710</v>
      </c>
      <c r="B1173">
        <v>1436.4</v>
      </c>
      <c r="C1173">
        <v>113.462</v>
      </c>
      <c r="D1173" s="15">
        <f t="shared" si="56"/>
        <v>1.2500000000024159E-4</v>
      </c>
      <c r="E1173" s="14">
        <f t="shared" si="54"/>
        <v>8.4206383912469997E-5</v>
      </c>
      <c r="F1173">
        <v>106.79</v>
      </c>
      <c r="G1173" s="1">
        <f t="shared" si="55"/>
        <v>105.20253100000001</v>
      </c>
    </row>
    <row r="1174" spans="1:7" x14ac:dyDescent="0.3">
      <c r="A1174">
        <v>11720</v>
      </c>
      <c r="B1174">
        <v>1433.7</v>
      </c>
      <c r="C1174">
        <v>113.461</v>
      </c>
      <c r="D1174" s="15">
        <f t="shared" si="56"/>
        <v>9.9999999999766942E-5</v>
      </c>
      <c r="E1174" s="14">
        <f t="shared" si="54"/>
        <v>8.4172648445279995E-5</v>
      </c>
      <c r="F1174">
        <v>106.80800000000001</v>
      </c>
      <c r="G1174" s="1">
        <f t="shared" si="55"/>
        <v>105.201401</v>
      </c>
    </row>
    <row r="1175" spans="1:7" x14ac:dyDescent="0.3">
      <c r="A1175">
        <v>11730</v>
      </c>
      <c r="B1175">
        <v>1430.8</v>
      </c>
      <c r="C1175">
        <v>113.46</v>
      </c>
      <c r="D1175" s="15">
        <f t="shared" si="56"/>
        <v>1.2500000000024159E-4</v>
      </c>
      <c r="E1175" s="14">
        <f t="shared" si="54"/>
        <v>8.4138925661429994E-5</v>
      </c>
      <c r="F1175">
        <v>106.825</v>
      </c>
      <c r="G1175" s="1">
        <f t="shared" si="55"/>
        <v>105.200271</v>
      </c>
    </row>
    <row r="1176" spans="1:7" x14ac:dyDescent="0.3">
      <c r="A1176">
        <v>11740</v>
      </c>
      <c r="B1176">
        <v>1428</v>
      </c>
      <c r="C1176">
        <v>113.459</v>
      </c>
      <c r="D1176" s="15">
        <f t="shared" si="56"/>
        <v>1.2499999999988632E-4</v>
      </c>
      <c r="E1176" s="14">
        <f t="shared" si="54"/>
        <v>8.4105215560919993E-5</v>
      </c>
      <c r="F1176">
        <v>106.843</v>
      </c>
      <c r="G1176" s="1">
        <f t="shared" si="55"/>
        <v>105.199141</v>
      </c>
    </row>
    <row r="1177" spans="1:7" x14ac:dyDescent="0.3">
      <c r="A1177">
        <v>11750</v>
      </c>
      <c r="B1177">
        <v>1425.2</v>
      </c>
      <c r="C1177">
        <v>113.45699999999999</v>
      </c>
      <c r="D1177" s="15">
        <f t="shared" si="56"/>
        <v>1.2499999999988632E-4</v>
      </c>
      <c r="E1177" s="14">
        <f t="shared" si="54"/>
        <v>8.4071518143750008E-5</v>
      </c>
      <c r="F1177">
        <v>106.86</v>
      </c>
      <c r="G1177" s="1">
        <f t="shared" si="55"/>
        <v>105.19801100000001</v>
      </c>
    </row>
    <row r="1178" spans="1:7" x14ac:dyDescent="0.3">
      <c r="A1178">
        <v>11760</v>
      </c>
      <c r="B1178">
        <v>1422.4</v>
      </c>
      <c r="C1178">
        <v>113.456</v>
      </c>
      <c r="D1178" s="15">
        <f t="shared" si="56"/>
        <v>1.2500000000024159E-4</v>
      </c>
      <c r="E1178" s="14">
        <f t="shared" si="54"/>
        <v>8.4037833409919996E-5</v>
      </c>
      <c r="F1178">
        <v>106.878</v>
      </c>
      <c r="G1178" s="1">
        <f t="shared" si="55"/>
        <v>105.196881</v>
      </c>
    </row>
    <row r="1179" spans="1:7" x14ac:dyDescent="0.3">
      <c r="A1179">
        <v>11770</v>
      </c>
      <c r="B1179">
        <v>1419.5</v>
      </c>
      <c r="C1179">
        <v>113.455</v>
      </c>
      <c r="D1179" s="15">
        <f t="shared" si="56"/>
        <v>9.9999999999766942E-5</v>
      </c>
      <c r="E1179" s="14">
        <f t="shared" si="54"/>
        <v>8.4004161359429999E-5</v>
      </c>
      <c r="F1179">
        <v>106.895</v>
      </c>
      <c r="G1179" s="1">
        <f t="shared" si="55"/>
        <v>105.195751</v>
      </c>
    </row>
    <row r="1180" spans="1:7" x14ac:dyDescent="0.3">
      <c r="A1180">
        <v>11780</v>
      </c>
      <c r="B1180">
        <v>1416.6</v>
      </c>
      <c r="C1180">
        <v>113.45399999999999</v>
      </c>
      <c r="D1180" s="15">
        <f t="shared" si="56"/>
        <v>1.0000000000012221E-4</v>
      </c>
      <c r="E1180" s="14">
        <f t="shared" si="54"/>
        <v>8.397050199227999E-5</v>
      </c>
      <c r="F1180">
        <v>106.91200000000001</v>
      </c>
      <c r="G1180" s="1">
        <f t="shared" si="55"/>
        <v>105.194621</v>
      </c>
    </row>
    <row r="1181" spans="1:7" x14ac:dyDescent="0.3">
      <c r="A1181">
        <v>11790</v>
      </c>
      <c r="B1181">
        <v>1413.8</v>
      </c>
      <c r="C1181">
        <v>113.453</v>
      </c>
      <c r="D1181" s="15">
        <f t="shared" si="56"/>
        <v>1.0000000000012221E-4</v>
      </c>
      <c r="E1181" s="14">
        <f t="shared" si="54"/>
        <v>8.3936855308469995E-5</v>
      </c>
      <c r="F1181">
        <v>106.931</v>
      </c>
      <c r="G1181" s="1">
        <f t="shared" si="55"/>
        <v>105.19349100000001</v>
      </c>
    </row>
    <row r="1182" spans="1:7" x14ac:dyDescent="0.3">
      <c r="A1182">
        <v>11800</v>
      </c>
      <c r="B1182">
        <v>1410.8</v>
      </c>
      <c r="C1182">
        <v>113.452</v>
      </c>
      <c r="D1182" s="15">
        <f t="shared" si="56"/>
        <v>9.9999999999766942E-5</v>
      </c>
      <c r="E1182" s="14">
        <f t="shared" si="54"/>
        <v>8.3903221308000001E-5</v>
      </c>
      <c r="F1182">
        <v>106.94799999999999</v>
      </c>
      <c r="G1182" s="1">
        <f t="shared" si="55"/>
        <v>105.19236100000001</v>
      </c>
    </row>
    <row r="1183" spans="1:7" x14ac:dyDescent="0.3">
      <c r="A1183">
        <v>11810</v>
      </c>
      <c r="B1183">
        <v>1408</v>
      </c>
      <c r="C1183">
        <v>113.45099999999999</v>
      </c>
      <c r="D1183" s="15">
        <f t="shared" si="56"/>
        <v>1.0000000000012221E-4</v>
      </c>
      <c r="E1183" s="14">
        <f t="shared" si="54"/>
        <v>8.3869599990869995E-5</v>
      </c>
      <c r="F1183">
        <v>106.96599999999999</v>
      </c>
      <c r="G1183" s="1">
        <f t="shared" si="55"/>
        <v>105.191231</v>
      </c>
    </row>
    <row r="1184" spans="1:7" x14ac:dyDescent="0.3">
      <c r="A1184">
        <v>11820</v>
      </c>
      <c r="B1184">
        <v>1405</v>
      </c>
      <c r="C1184">
        <v>113.45</v>
      </c>
      <c r="D1184" s="15">
        <f t="shared" si="56"/>
        <v>1.0000000000012221E-4</v>
      </c>
      <c r="E1184" s="14">
        <f t="shared" si="54"/>
        <v>8.3835991357080004E-5</v>
      </c>
      <c r="F1184">
        <v>106.983</v>
      </c>
      <c r="G1184" s="1">
        <f t="shared" si="55"/>
        <v>105.190101</v>
      </c>
    </row>
    <row r="1185" spans="1:7" x14ac:dyDescent="0.3">
      <c r="A1185">
        <v>11830</v>
      </c>
      <c r="B1185">
        <v>1402.1</v>
      </c>
      <c r="C1185">
        <v>113.449</v>
      </c>
      <c r="D1185" s="15">
        <f t="shared" si="56"/>
        <v>1.2499999999988632E-4</v>
      </c>
      <c r="E1185" s="14">
        <f t="shared" si="54"/>
        <v>8.380239540663E-5</v>
      </c>
      <c r="F1185">
        <v>107</v>
      </c>
      <c r="G1185" s="1">
        <f t="shared" si="55"/>
        <v>105.18897100000001</v>
      </c>
    </row>
    <row r="1186" spans="1:7" x14ac:dyDescent="0.3">
      <c r="A1186">
        <v>11840</v>
      </c>
      <c r="B1186">
        <v>1399.1</v>
      </c>
      <c r="C1186">
        <v>113.44799999999999</v>
      </c>
      <c r="D1186" s="15">
        <f t="shared" si="56"/>
        <v>1.2500000000024159E-4</v>
      </c>
      <c r="E1186" s="14">
        <f t="shared" si="54"/>
        <v>8.3768812139519997E-5</v>
      </c>
      <c r="F1186">
        <v>107.01900000000001</v>
      </c>
      <c r="G1186" s="1">
        <f t="shared" si="55"/>
        <v>105.18784100000001</v>
      </c>
    </row>
    <row r="1187" spans="1:7" x14ac:dyDescent="0.3">
      <c r="A1187">
        <v>11850</v>
      </c>
      <c r="B1187">
        <v>1396.1</v>
      </c>
      <c r="C1187">
        <v>113.446</v>
      </c>
      <c r="D1187" s="15">
        <f t="shared" si="56"/>
        <v>1.2499999999988632E-4</v>
      </c>
      <c r="E1187" s="14">
        <f t="shared" si="54"/>
        <v>8.3735241555749995E-5</v>
      </c>
      <c r="F1187">
        <v>107.036</v>
      </c>
      <c r="G1187" s="1">
        <f t="shared" si="55"/>
        <v>105.186711</v>
      </c>
    </row>
    <row r="1188" spans="1:7" x14ac:dyDescent="0.3">
      <c r="A1188">
        <v>11860</v>
      </c>
      <c r="B1188">
        <v>1393.2</v>
      </c>
      <c r="C1188">
        <v>113.44499999999999</v>
      </c>
      <c r="D1188" s="15">
        <f t="shared" si="56"/>
        <v>1.2499999999988632E-4</v>
      </c>
      <c r="E1188" s="14">
        <f t="shared" si="54"/>
        <v>8.3701683655319995E-5</v>
      </c>
      <c r="F1188">
        <v>107.053</v>
      </c>
      <c r="G1188" s="1">
        <f t="shared" si="55"/>
        <v>105.185581</v>
      </c>
    </row>
    <row r="1189" spans="1:7" x14ac:dyDescent="0.3">
      <c r="A1189">
        <v>11870</v>
      </c>
      <c r="B1189">
        <v>1390.1</v>
      </c>
      <c r="C1189">
        <v>113.444</v>
      </c>
      <c r="D1189" s="15">
        <f t="shared" si="56"/>
        <v>1.0000000000012221E-4</v>
      </c>
      <c r="E1189" s="14">
        <f t="shared" si="54"/>
        <v>8.3668138438229995E-5</v>
      </c>
      <c r="F1189">
        <v>107.071</v>
      </c>
      <c r="G1189" s="1">
        <f t="shared" si="55"/>
        <v>105.184451</v>
      </c>
    </row>
    <row r="1190" spans="1:7" x14ac:dyDescent="0.3">
      <c r="A1190">
        <v>11880</v>
      </c>
      <c r="B1190">
        <v>1387.2</v>
      </c>
      <c r="C1190">
        <v>113.443</v>
      </c>
      <c r="D1190" s="15">
        <f t="shared" si="56"/>
        <v>9.9999999999766942E-5</v>
      </c>
      <c r="E1190" s="14">
        <f t="shared" si="54"/>
        <v>8.3634605904479997E-5</v>
      </c>
      <c r="F1190">
        <v>107.08799999999999</v>
      </c>
      <c r="G1190" s="1">
        <f t="shared" si="55"/>
        <v>105.18332100000001</v>
      </c>
    </row>
    <row r="1191" spans="1:7" x14ac:dyDescent="0.3">
      <c r="A1191">
        <v>11890</v>
      </c>
      <c r="B1191">
        <v>1384.1</v>
      </c>
      <c r="C1191">
        <v>113.44199999999999</v>
      </c>
      <c r="D1191" s="15">
        <f t="shared" si="56"/>
        <v>1.0000000000012221E-4</v>
      </c>
      <c r="E1191" s="14">
        <f t="shared" si="54"/>
        <v>8.3601086054069999E-5</v>
      </c>
      <c r="F1191">
        <v>107.10599999999999</v>
      </c>
      <c r="G1191" s="1">
        <f t="shared" si="55"/>
        <v>105.182191</v>
      </c>
    </row>
    <row r="1192" spans="1:7" x14ac:dyDescent="0.3">
      <c r="A1192">
        <v>11900</v>
      </c>
      <c r="B1192">
        <v>1381.1</v>
      </c>
      <c r="C1192">
        <v>113.441</v>
      </c>
      <c r="D1192" s="15">
        <f t="shared" si="56"/>
        <v>1.0000000000012221E-4</v>
      </c>
      <c r="E1192" s="14">
        <f t="shared" si="54"/>
        <v>8.3567578887000003E-5</v>
      </c>
      <c r="F1192">
        <v>107.124</v>
      </c>
      <c r="G1192" s="1">
        <f t="shared" si="55"/>
        <v>105.181061</v>
      </c>
    </row>
    <row r="1193" spans="1:7" x14ac:dyDescent="0.3">
      <c r="A1193">
        <v>11910</v>
      </c>
      <c r="B1193">
        <v>1378.1</v>
      </c>
      <c r="C1193">
        <v>113.44</v>
      </c>
      <c r="D1193" s="15">
        <f t="shared" si="56"/>
        <v>9.9999999999766942E-5</v>
      </c>
      <c r="E1193" s="14">
        <f t="shared" si="54"/>
        <v>8.3534084403269994E-5</v>
      </c>
      <c r="F1193">
        <v>107.14100000000001</v>
      </c>
      <c r="G1193" s="1">
        <f t="shared" si="55"/>
        <v>105.179931</v>
      </c>
    </row>
    <row r="1194" spans="1:7" x14ac:dyDescent="0.3">
      <c r="A1194">
        <v>11920</v>
      </c>
      <c r="B1194">
        <v>1375</v>
      </c>
      <c r="C1194">
        <v>113.43899999999999</v>
      </c>
      <c r="D1194" s="15">
        <f t="shared" si="56"/>
        <v>1.0000000000012221E-4</v>
      </c>
      <c r="E1194" s="14">
        <f t="shared" si="54"/>
        <v>8.350060260288E-5</v>
      </c>
      <c r="F1194">
        <v>107.158</v>
      </c>
      <c r="G1194" s="1">
        <f t="shared" si="55"/>
        <v>105.17880100000001</v>
      </c>
    </row>
    <row r="1195" spans="1:7" x14ac:dyDescent="0.3">
      <c r="A1195">
        <v>11930</v>
      </c>
      <c r="B1195">
        <v>1371.9</v>
      </c>
      <c r="C1195">
        <v>113.438</v>
      </c>
      <c r="D1195" s="15">
        <f t="shared" si="56"/>
        <v>9.9999999999766942E-5</v>
      </c>
      <c r="E1195" s="14">
        <f t="shared" si="54"/>
        <v>8.3467133485829993E-5</v>
      </c>
      <c r="F1195">
        <v>107.176</v>
      </c>
      <c r="G1195" s="1">
        <f t="shared" si="55"/>
        <v>105.177671</v>
      </c>
    </row>
    <row r="1196" spans="1:7" x14ac:dyDescent="0.3">
      <c r="A1196">
        <v>11940</v>
      </c>
      <c r="B1196">
        <v>1368.9</v>
      </c>
      <c r="C1196">
        <v>113.437</v>
      </c>
      <c r="D1196" s="15">
        <f t="shared" si="56"/>
        <v>9.9999999999766942E-5</v>
      </c>
      <c r="E1196" s="14">
        <f t="shared" si="54"/>
        <v>8.3433677052120001E-5</v>
      </c>
      <c r="F1196">
        <v>107.194</v>
      </c>
      <c r="G1196" s="1">
        <f t="shared" si="55"/>
        <v>105.176541</v>
      </c>
    </row>
    <row r="1197" spans="1:7" x14ac:dyDescent="0.3">
      <c r="A1197">
        <v>11950</v>
      </c>
      <c r="B1197">
        <v>1365.8</v>
      </c>
      <c r="C1197">
        <v>113.43600000000001</v>
      </c>
      <c r="D1197" s="15">
        <f t="shared" si="56"/>
        <v>1.0000000000012221E-4</v>
      </c>
      <c r="E1197" s="14">
        <f t="shared" si="54"/>
        <v>8.3400233301749997E-5</v>
      </c>
      <c r="F1197">
        <v>107.211</v>
      </c>
      <c r="G1197" s="1">
        <f t="shared" si="55"/>
        <v>105.175411</v>
      </c>
    </row>
    <row r="1198" spans="1:7" x14ac:dyDescent="0.3">
      <c r="A1198">
        <v>11960</v>
      </c>
      <c r="B1198">
        <v>1362.7</v>
      </c>
      <c r="C1198">
        <v>113.435</v>
      </c>
      <c r="D1198" s="15">
        <f t="shared" si="56"/>
        <v>9.9999999999766942E-5</v>
      </c>
      <c r="E1198" s="14">
        <f t="shared" si="54"/>
        <v>8.3366802234719994E-5</v>
      </c>
      <c r="F1198">
        <v>107.229</v>
      </c>
      <c r="G1198" s="1">
        <f t="shared" si="55"/>
        <v>105.17428100000001</v>
      </c>
    </row>
    <row r="1199" spans="1:7" x14ac:dyDescent="0.3">
      <c r="A1199">
        <v>11970</v>
      </c>
      <c r="B1199">
        <v>1359.6</v>
      </c>
      <c r="C1199">
        <v>113.434</v>
      </c>
      <c r="D1199" s="15">
        <f t="shared" si="56"/>
        <v>1.0000000000012221E-4</v>
      </c>
      <c r="E1199" s="14">
        <f t="shared" si="54"/>
        <v>8.3333383851029992E-5</v>
      </c>
      <c r="F1199">
        <v>107.246</v>
      </c>
      <c r="G1199" s="1">
        <f t="shared" si="55"/>
        <v>105.173151</v>
      </c>
    </row>
    <row r="1200" spans="1:7" x14ac:dyDescent="0.3">
      <c r="A1200">
        <v>11980</v>
      </c>
      <c r="B1200">
        <v>1356.6</v>
      </c>
      <c r="C1200">
        <v>113.43300000000001</v>
      </c>
      <c r="D1200" s="15">
        <f t="shared" si="56"/>
        <v>1.0000000000012221E-4</v>
      </c>
      <c r="E1200" s="14">
        <f t="shared" si="54"/>
        <v>8.3299978150680004E-5</v>
      </c>
      <c r="F1200">
        <v>107.264</v>
      </c>
      <c r="G1200" s="1">
        <f t="shared" si="55"/>
        <v>105.172021</v>
      </c>
    </row>
    <row r="1201" spans="1:7" x14ac:dyDescent="0.3">
      <c r="A1201">
        <v>11990</v>
      </c>
      <c r="B1201">
        <v>1353.5</v>
      </c>
      <c r="C1201">
        <v>113.432</v>
      </c>
      <c r="D1201" s="15">
        <f t="shared" si="56"/>
        <v>9.9999999999766942E-5</v>
      </c>
      <c r="E1201" s="14">
        <f t="shared" si="54"/>
        <v>8.3266585133670004E-5</v>
      </c>
      <c r="F1201">
        <v>107.282</v>
      </c>
      <c r="G1201" s="1">
        <f t="shared" si="55"/>
        <v>105.170891</v>
      </c>
    </row>
    <row r="1202" spans="1:7" x14ac:dyDescent="0.3">
      <c r="A1202">
        <v>12000</v>
      </c>
      <c r="B1202">
        <v>1350.4</v>
      </c>
      <c r="C1202">
        <v>113.431</v>
      </c>
      <c r="D1202" s="15">
        <f t="shared" si="56"/>
        <v>1.0000000000012221E-4</v>
      </c>
      <c r="E1202" s="14">
        <f t="shared" si="54"/>
        <v>8.3233204799999992E-5</v>
      </c>
      <c r="F1202">
        <v>107.29900000000001</v>
      </c>
      <c r="G1202" s="1">
        <f t="shared" si="55"/>
        <v>105.16976100000001</v>
      </c>
    </row>
    <row r="1203" spans="1:7" x14ac:dyDescent="0.3">
      <c r="A1203">
        <v>12010</v>
      </c>
      <c r="B1203">
        <v>1347.3</v>
      </c>
      <c r="C1203">
        <v>113.43</v>
      </c>
      <c r="D1203" s="15">
        <f t="shared" si="56"/>
        <v>1.0000000000012221E-4</v>
      </c>
      <c r="E1203" s="14">
        <f t="shared" si="54"/>
        <v>8.3199837149670007E-5</v>
      </c>
      <c r="F1203">
        <v>107.316</v>
      </c>
      <c r="G1203" s="1">
        <f t="shared" si="55"/>
        <v>105.168631</v>
      </c>
    </row>
    <row r="1204" spans="1:7" x14ac:dyDescent="0.3">
      <c r="A1204">
        <v>12020</v>
      </c>
      <c r="B1204">
        <v>1344.1</v>
      </c>
      <c r="C1204">
        <v>113.429</v>
      </c>
      <c r="D1204" s="15">
        <f t="shared" si="56"/>
        <v>9.9999999999766942E-5</v>
      </c>
      <c r="E1204" s="14">
        <f t="shared" si="54"/>
        <v>8.3166482182679997E-5</v>
      </c>
      <c r="F1204">
        <v>107.33499999999999</v>
      </c>
      <c r="G1204" s="1">
        <f t="shared" si="55"/>
        <v>105.167501</v>
      </c>
    </row>
    <row r="1205" spans="1:7" x14ac:dyDescent="0.3">
      <c r="A1205">
        <v>12030</v>
      </c>
      <c r="B1205">
        <v>1341</v>
      </c>
      <c r="C1205">
        <v>113.428</v>
      </c>
      <c r="D1205" s="15">
        <f t="shared" si="56"/>
        <v>1.0000000000012221E-4</v>
      </c>
      <c r="E1205" s="14">
        <f t="shared" si="54"/>
        <v>8.3133139899029988E-5</v>
      </c>
      <c r="F1205">
        <v>107.352</v>
      </c>
      <c r="G1205" s="1">
        <f t="shared" si="55"/>
        <v>105.166371</v>
      </c>
    </row>
    <row r="1206" spans="1:7" x14ac:dyDescent="0.3">
      <c r="A1206">
        <v>12040</v>
      </c>
      <c r="B1206">
        <v>1337.9</v>
      </c>
      <c r="C1206">
        <v>113.42700000000001</v>
      </c>
      <c r="D1206" s="15">
        <f t="shared" si="56"/>
        <v>1.0000000000012221E-4</v>
      </c>
      <c r="E1206" s="14">
        <f t="shared" si="54"/>
        <v>8.3099810298719993E-5</v>
      </c>
      <c r="F1206">
        <v>107.369</v>
      </c>
      <c r="G1206" s="1">
        <f t="shared" si="55"/>
        <v>105.16524100000001</v>
      </c>
    </row>
    <row r="1207" spans="1:7" x14ac:dyDescent="0.3">
      <c r="A1207">
        <v>12050</v>
      </c>
      <c r="B1207">
        <v>1334.8</v>
      </c>
      <c r="C1207">
        <v>113.426</v>
      </c>
      <c r="D1207" s="15">
        <f t="shared" si="56"/>
        <v>9.9999999999766942E-5</v>
      </c>
      <c r="E1207" s="14">
        <f t="shared" si="54"/>
        <v>8.306649338175E-5</v>
      </c>
      <c r="F1207">
        <v>107.386</v>
      </c>
      <c r="G1207" s="1">
        <f t="shared" si="55"/>
        <v>105.16411100000001</v>
      </c>
    </row>
    <row r="1208" spans="1:7" x14ac:dyDescent="0.3">
      <c r="A1208">
        <v>12060</v>
      </c>
      <c r="B1208">
        <v>1331.7</v>
      </c>
      <c r="C1208">
        <v>113.425</v>
      </c>
      <c r="D1208" s="15">
        <f t="shared" si="56"/>
        <v>1.0000000000012221E-4</v>
      </c>
      <c r="E1208" s="14">
        <f t="shared" si="54"/>
        <v>8.3033189148119994E-5</v>
      </c>
      <c r="F1208">
        <v>107.405</v>
      </c>
      <c r="G1208" s="1">
        <f t="shared" si="55"/>
        <v>105.162981</v>
      </c>
    </row>
    <row r="1209" spans="1:7" x14ac:dyDescent="0.3">
      <c r="A1209">
        <v>12070</v>
      </c>
      <c r="B1209">
        <v>1328.5</v>
      </c>
      <c r="C1209">
        <v>113.42400000000001</v>
      </c>
      <c r="D1209" s="15">
        <f t="shared" si="56"/>
        <v>1.0000000000012221E-4</v>
      </c>
      <c r="E1209" s="14">
        <f t="shared" si="54"/>
        <v>8.2999897597829989E-5</v>
      </c>
      <c r="F1209">
        <v>107.422</v>
      </c>
      <c r="G1209" s="1">
        <f t="shared" si="55"/>
        <v>105.161851</v>
      </c>
    </row>
    <row r="1210" spans="1:7" x14ac:dyDescent="0.3">
      <c r="A1210">
        <v>12080</v>
      </c>
      <c r="B1210">
        <v>1325.3</v>
      </c>
      <c r="C1210">
        <v>113.423</v>
      </c>
      <c r="D1210" s="15">
        <f t="shared" si="56"/>
        <v>9.9999999999766942E-5</v>
      </c>
      <c r="E1210" s="14">
        <f t="shared" si="54"/>
        <v>8.2966618730879999E-5</v>
      </c>
      <c r="F1210">
        <v>107.43899999999999</v>
      </c>
      <c r="G1210" s="1">
        <f t="shared" si="55"/>
        <v>105.16072100000001</v>
      </c>
    </row>
    <row r="1211" spans="1:7" x14ac:dyDescent="0.3">
      <c r="A1211">
        <v>12090</v>
      </c>
      <c r="B1211">
        <v>1322.2</v>
      </c>
      <c r="C1211">
        <v>113.422</v>
      </c>
      <c r="D1211" s="15">
        <f t="shared" si="56"/>
        <v>1.0000000000012221E-4</v>
      </c>
      <c r="E1211" s="14">
        <f t="shared" si="54"/>
        <v>8.2933352547269996E-5</v>
      </c>
      <c r="F1211">
        <v>107.458</v>
      </c>
      <c r="G1211" s="1">
        <f t="shared" si="55"/>
        <v>105.15959100000001</v>
      </c>
    </row>
    <row r="1212" spans="1:7" x14ac:dyDescent="0.3">
      <c r="A1212">
        <v>12100</v>
      </c>
      <c r="B1212">
        <v>1319.1</v>
      </c>
      <c r="C1212">
        <v>113.42100000000001</v>
      </c>
      <c r="D1212" s="15">
        <f t="shared" si="56"/>
        <v>1.0000000000012221E-4</v>
      </c>
      <c r="E1212" s="14">
        <f t="shared" si="54"/>
        <v>8.2900099046999995E-5</v>
      </c>
      <c r="F1212">
        <v>107.47499999999999</v>
      </c>
      <c r="G1212" s="1">
        <f t="shared" si="55"/>
        <v>105.158461</v>
      </c>
    </row>
    <row r="1213" spans="1:7" x14ac:dyDescent="0.3">
      <c r="A1213">
        <v>12110</v>
      </c>
      <c r="B1213">
        <v>1315.7</v>
      </c>
      <c r="C1213">
        <v>113.42</v>
      </c>
      <c r="D1213" s="15">
        <f t="shared" si="56"/>
        <v>9.9999999999766942E-5</v>
      </c>
      <c r="E1213" s="14">
        <f t="shared" si="54"/>
        <v>8.2866858230069994E-5</v>
      </c>
      <c r="F1213">
        <v>107.492</v>
      </c>
      <c r="G1213" s="1">
        <f t="shared" si="55"/>
        <v>105.157331</v>
      </c>
    </row>
    <row r="1214" spans="1:7" x14ac:dyDescent="0.3">
      <c r="A1214">
        <v>12120</v>
      </c>
      <c r="B1214">
        <v>1312.4</v>
      </c>
      <c r="C1214">
        <v>113.419</v>
      </c>
      <c r="D1214" s="15">
        <f t="shared" si="56"/>
        <v>1.0000000000012221E-4</v>
      </c>
      <c r="E1214" s="14">
        <f t="shared" si="54"/>
        <v>8.2833630096479995E-5</v>
      </c>
      <c r="F1214">
        <v>107.509</v>
      </c>
      <c r="G1214" s="1">
        <f t="shared" si="55"/>
        <v>105.15620100000001</v>
      </c>
    </row>
    <row r="1215" spans="1:7" x14ac:dyDescent="0.3">
      <c r="A1215">
        <v>12130</v>
      </c>
      <c r="B1215">
        <v>1309.0999999999999</v>
      </c>
      <c r="C1215">
        <v>113.41800000000001</v>
      </c>
      <c r="D1215" s="15">
        <f t="shared" si="56"/>
        <v>1.0000000000012221E-4</v>
      </c>
      <c r="E1215" s="14">
        <f t="shared" si="54"/>
        <v>8.2800414646229997E-5</v>
      </c>
      <c r="F1215">
        <v>107.52800000000001</v>
      </c>
      <c r="G1215" s="1">
        <f t="shared" si="55"/>
        <v>105.15507100000001</v>
      </c>
    </row>
    <row r="1216" spans="1:7" x14ac:dyDescent="0.3">
      <c r="A1216">
        <v>12140</v>
      </c>
      <c r="B1216">
        <v>1305.8</v>
      </c>
      <c r="C1216">
        <v>113.417</v>
      </c>
      <c r="D1216" s="15">
        <f t="shared" si="56"/>
        <v>9.9999999999766942E-5</v>
      </c>
      <c r="E1216" s="14">
        <f t="shared" si="54"/>
        <v>8.2767211879319999E-5</v>
      </c>
      <c r="F1216">
        <v>107.545</v>
      </c>
      <c r="G1216" s="1">
        <f t="shared" si="55"/>
        <v>105.153941</v>
      </c>
    </row>
    <row r="1217" spans="1:7" x14ac:dyDescent="0.3">
      <c r="A1217">
        <v>12150</v>
      </c>
      <c r="B1217">
        <v>1302.4000000000001</v>
      </c>
      <c r="C1217">
        <v>113.416</v>
      </c>
      <c r="D1217" s="15">
        <f t="shared" si="56"/>
        <v>1.0000000000012221E-4</v>
      </c>
      <c r="E1217" s="14">
        <f t="shared" si="54"/>
        <v>8.273402179574999E-5</v>
      </c>
      <c r="F1217">
        <v>107.562</v>
      </c>
      <c r="G1217" s="1">
        <f t="shared" si="55"/>
        <v>105.152811</v>
      </c>
    </row>
    <row r="1218" spans="1:7" x14ac:dyDescent="0.3">
      <c r="A1218">
        <v>12160</v>
      </c>
      <c r="B1218">
        <v>1300.8</v>
      </c>
      <c r="C1218">
        <v>113.41500000000001</v>
      </c>
      <c r="D1218" s="15">
        <f t="shared" si="56"/>
        <v>1.0000000000012221E-4</v>
      </c>
      <c r="E1218" s="14">
        <f t="shared" ref="E1218:E1281" si="57">0.0000000000000634167*A1218*A1218 - 0.0000000048594*A1218 + 0.000132414</f>
        <v>8.2700844395519995E-5</v>
      </c>
      <c r="F1218">
        <v>107.56399999999999</v>
      </c>
      <c r="G1218" s="1">
        <f t="shared" si="55"/>
        <v>105.151681</v>
      </c>
    </row>
    <row r="1219" spans="1:7" x14ac:dyDescent="0.3">
      <c r="A1219">
        <v>12170</v>
      </c>
      <c r="B1219">
        <v>1298.3</v>
      </c>
      <c r="C1219">
        <v>113.414</v>
      </c>
      <c r="D1219" s="15">
        <f t="shared" si="56"/>
        <v>9.9999999999766942E-5</v>
      </c>
      <c r="E1219" s="14">
        <f t="shared" si="57"/>
        <v>8.2667679678630001E-5</v>
      </c>
      <c r="F1219">
        <v>107.56100000000001</v>
      </c>
      <c r="G1219" s="1">
        <f t="shared" ref="G1219:G1282" si="58">-0.000113*A1219 + 106.525761</f>
        <v>105.15055100000001</v>
      </c>
    </row>
    <row r="1220" spans="1:7" x14ac:dyDescent="0.3">
      <c r="A1220">
        <v>12180</v>
      </c>
      <c r="B1220">
        <v>1295.7</v>
      </c>
      <c r="C1220">
        <v>113.413</v>
      </c>
      <c r="D1220" s="15">
        <f t="shared" si="56"/>
        <v>1.0000000000012221E-4</v>
      </c>
      <c r="E1220" s="14">
        <f t="shared" si="57"/>
        <v>8.2634527645079995E-5</v>
      </c>
      <c r="F1220">
        <v>107.559</v>
      </c>
      <c r="G1220" s="1">
        <f t="shared" si="58"/>
        <v>105.149421</v>
      </c>
    </row>
    <row r="1221" spans="1:7" x14ac:dyDescent="0.3">
      <c r="A1221">
        <v>12190</v>
      </c>
      <c r="B1221">
        <v>1293.0999999999999</v>
      </c>
      <c r="C1221">
        <v>113.41200000000001</v>
      </c>
      <c r="D1221" s="15">
        <f t="shared" ref="D1221:D1284" si="59">(C1219-C1223)/(A1223-A1219)</f>
        <v>1.0000000000012221E-4</v>
      </c>
      <c r="E1221" s="14">
        <f t="shared" si="57"/>
        <v>8.2601388294869989E-5</v>
      </c>
      <c r="F1221">
        <v>107.556</v>
      </c>
      <c r="G1221" s="1">
        <f t="shared" si="58"/>
        <v>105.148291</v>
      </c>
    </row>
    <row r="1222" spans="1:7" x14ac:dyDescent="0.3">
      <c r="A1222">
        <v>12200</v>
      </c>
      <c r="B1222">
        <v>1290.5</v>
      </c>
      <c r="C1222">
        <v>113.411</v>
      </c>
      <c r="D1222" s="15">
        <f t="shared" si="59"/>
        <v>9.9999999999766942E-5</v>
      </c>
      <c r="E1222" s="14">
        <f t="shared" si="57"/>
        <v>8.2568261627999999E-5</v>
      </c>
      <c r="F1222">
        <v>107.554</v>
      </c>
      <c r="G1222" s="1">
        <f t="shared" si="58"/>
        <v>105.147161</v>
      </c>
    </row>
    <row r="1223" spans="1:7" x14ac:dyDescent="0.3">
      <c r="A1223">
        <v>12210</v>
      </c>
      <c r="B1223">
        <v>1287.7</v>
      </c>
      <c r="C1223">
        <v>113.41</v>
      </c>
      <c r="D1223" s="15">
        <f t="shared" si="59"/>
        <v>1.0000000000012221E-4</v>
      </c>
      <c r="E1223" s="14">
        <f t="shared" si="57"/>
        <v>8.2535147644469996E-5</v>
      </c>
      <c r="F1223">
        <v>107.551</v>
      </c>
      <c r="G1223" s="1">
        <f t="shared" si="58"/>
        <v>105.14603100000001</v>
      </c>
    </row>
    <row r="1224" spans="1:7" x14ac:dyDescent="0.3">
      <c r="A1224">
        <v>12220</v>
      </c>
      <c r="B1224">
        <v>1285</v>
      </c>
      <c r="C1224">
        <v>113.40900000000001</v>
      </c>
      <c r="D1224" s="15">
        <f t="shared" si="59"/>
        <v>1.0000000000012221E-4</v>
      </c>
      <c r="E1224" s="14">
        <f t="shared" si="57"/>
        <v>8.2502046344279994E-5</v>
      </c>
      <c r="F1224">
        <v>107.548</v>
      </c>
      <c r="G1224" s="1">
        <f t="shared" si="58"/>
        <v>105.144901</v>
      </c>
    </row>
    <row r="1225" spans="1:7" x14ac:dyDescent="0.3">
      <c r="A1225">
        <v>12230</v>
      </c>
      <c r="B1225">
        <v>1282.2</v>
      </c>
      <c r="C1225">
        <v>113.408</v>
      </c>
      <c r="D1225" s="15">
        <f t="shared" si="59"/>
        <v>9.9999999999766942E-5</v>
      </c>
      <c r="E1225" s="14">
        <f t="shared" si="57"/>
        <v>8.2468957727429993E-5</v>
      </c>
      <c r="F1225">
        <v>107.54600000000001</v>
      </c>
      <c r="G1225" s="1">
        <f t="shared" si="58"/>
        <v>105.143771</v>
      </c>
    </row>
    <row r="1226" spans="1:7" x14ac:dyDescent="0.3">
      <c r="A1226">
        <v>12240</v>
      </c>
      <c r="B1226">
        <v>1279.4000000000001</v>
      </c>
      <c r="C1226">
        <v>113.407</v>
      </c>
      <c r="D1226" s="15">
        <f t="shared" si="59"/>
        <v>1.0000000000012221E-4</v>
      </c>
      <c r="E1226" s="14">
        <f t="shared" si="57"/>
        <v>8.2435881793920006E-5</v>
      </c>
      <c r="F1226">
        <v>107.54300000000001</v>
      </c>
      <c r="G1226" s="1">
        <f t="shared" si="58"/>
        <v>105.142641</v>
      </c>
    </row>
    <row r="1227" spans="1:7" x14ac:dyDescent="0.3">
      <c r="A1227">
        <v>12250</v>
      </c>
      <c r="B1227">
        <v>1276.7</v>
      </c>
      <c r="C1227">
        <v>113.40600000000001</v>
      </c>
      <c r="D1227" s="15">
        <f t="shared" si="59"/>
        <v>1.0000000000012221E-4</v>
      </c>
      <c r="E1227" s="14">
        <f t="shared" si="57"/>
        <v>8.2402818543749994E-5</v>
      </c>
      <c r="F1227">
        <v>107.54</v>
      </c>
      <c r="G1227" s="1">
        <f t="shared" si="58"/>
        <v>105.14151100000001</v>
      </c>
    </row>
    <row r="1228" spans="1:7" x14ac:dyDescent="0.3">
      <c r="A1228">
        <v>12260</v>
      </c>
      <c r="B1228">
        <v>1274</v>
      </c>
      <c r="C1228">
        <v>113.405</v>
      </c>
      <c r="D1228" s="15">
        <f t="shared" si="59"/>
        <v>9.9999999999766942E-5</v>
      </c>
      <c r="E1228" s="14">
        <f t="shared" si="57"/>
        <v>8.2369767976919997E-5</v>
      </c>
      <c r="F1228">
        <v>107.53700000000001</v>
      </c>
      <c r="G1228" s="1">
        <f t="shared" si="58"/>
        <v>105.140381</v>
      </c>
    </row>
    <row r="1229" spans="1:7" x14ac:dyDescent="0.3">
      <c r="A1229">
        <v>12270</v>
      </c>
      <c r="B1229">
        <v>1271.3</v>
      </c>
      <c r="C1229">
        <v>113.404</v>
      </c>
      <c r="D1229" s="15">
        <f t="shared" si="59"/>
        <v>1.0000000000012221E-4</v>
      </c>
      <c r="E1229" s="14">
        <f t="shared" si="57"/>
        <v>8.2336730093429987E-5</v>
      </c>
      <c r="F1229">
        <v>107.535</v>
      </c>
      <c r="G1229" s="1">
        <f t="shared" si="58"/>
        <v>105.139251</v>
      </c>
    </row>
    <row r="1230" spans="1:7" x14ac:dyDescent="0.3">
      <c r="A1230">
        <v>12280</v>
      </c>
      <c r="B1230">
        <v>1268.5</v>
      </c>
      <c r="C1230">
        <v>113.40300000000001</v>
      </c>
      <c r="D1230" s="15">
        <f t="shared" si="59"/>
        <v>1.0000000000012221E-4</v>
      </c>
      <c r="E1230" s="14">
        <f t="shared" si="57"/>
        <v>8.2303704893279991E-5</v>
      </c>
      <c r="F1230">
        <v>107.532</v>
      </c>
      <c r="G1230" s="1">
        <f t="shared" si="58"/>
        <v>105.138121</v>
      </c>
    </row>
    <row r="1231" spans="1:7" x14ac:dyDescent="0.3">
      <c r="A1231">
        <v>12290</v>
      </c>
      <c r="B1231">
        <v>1265.7</v>
      </c>
      <c r="C1231">
        <v>113.402</v>
      </c>
      <c r="D1231" s="15">
        <f t="shared" si="59"/>
        <v>9.9999999999766942E-5</v>
      </c>
      <c r="E1231" s="14">
        <f t="shared" si="57"/>
        <v>8.2270692376469997E-5</v>
      </c>
      <c r="F1231">
        <v>107.529</v>
      </c>
      <c r="G1231" s="1">
        <f t="shared" si="58"/>
        <v>105.13699100000001</v>
      </c>
    </row>
    <row r="1232" spans="1:7" x14ac:dyDescent="0.3">
      <c r="A1232">
        <v>12300</v>
      </c>
      <c r="B1232">
        <v>1263.0999999999999</v>
      </c>
      <c r="C1232">
        <v>113.401</v>
      </c>
      <c r="D1232" s="15">
        <f t="shared" si="59"/>
        <v>1.0000000000012221E-4</v>
      </c>
      <c r="E1232" s="14">
        <f t="shared" si="57"/>
        <v>8.2237692543000004E-5</v>
      </c>
      <c r="F1232">
        <v>107.527</v>
      </c>
      <c r="G1232" s="1">
        <f t="shared" si="58"/>
        <v>105.13586100000001</v>
      </c>
    </row>
    <row r="1233" spans="1:7" x14ac:dyDescent="0.3">
      <c r="A1233">
        <v>12310</v>
      </c>
      <c r="B1233">
        <v>1260.3</v>
      </c>
      <c r="C1233">
        <v>113.4</v>
      </c>
      <c r="D1233" s="15">
        <f t="shared" si="59"/>
        <v>1.0000000000012221E-4</v>
      </c>
      <c r="E1233" s="14">
        <f t="shared" si="57"/>
        <v>8.2204705392869984E-5</v>
      </c>
      <c r="F1233">
        <v>107.524</v>
      </c>
      <c r="G1233" s="1">
        <f t="shared" si="58"/>
        <v>105.134731</v>
      </c>
    </row>
    <row r="1234" spans="1:7" x14ac:dyDescent="0.3">
      <c r="A1234">
        <v>12320</v>
      </c>
      <c r="B1234">
        <v>1257.5999999999999</v>
      </c>
      <c r="C1234">
        <v>113.399</v>
      </c>
      <c r="D1234" s="15">
        <f t="shared" si="59"/>
        <v>9.9999999999766942E-5</v>
      </c>
      <c r="E1234" s="14">
        <f t="shared" si="57"/>
        <v>8.2171730926079993E-5</v>
      </c>
      <c r="F1234">
        <v>107.521</v>
      </c>
      <c r="G1234" s="1">
        <f t="shared" si="58"/>
        <v>105.133601</v>
      </c>
    </row>
    <row r="1235" spans="1:7" x14ac:dyDescent="0.3">
      <c r="A1235">
        <v>12330</v>
      </c>
      <c r="B1235">
        <v>1254.9000000000001</v>
      </c>
      <c r="C1235">
        <v>113.398</v>
      </c>
      <c r="D1235" s="15">
        <f t="shared" si="59"/>
        <v>1.0000000000012221E-4</v>
      </c>
      <c r="E1235" s="14">
        <f t="shared" si="57"/>
        <v>8.2138769142630003E-5</v>
      </c>
      <c r="F1235">
        <v>107.51900000000001</v>
      </c>
      <c r="G1235" s="1">
        <f t="shared" si="58"/>
        <v>105.13247100000001</v>
      </c>
    </row>
    <row r="1236" spans="1:7" x14ac:dyDescent="0.3">
      <c r="A1236">
        <v>12340</v>
      </c>
      <c r="B1236">
        <v>1252.2</v>
      </c>
      <c r="C1236">
        <v>113.39700000000001</v>
      </c>
      <c r="D1236" s="15">
        <f t="shared" si="59"/>
        <v>7.5000000000002839E-5</v>
      </c>
      <c r="E1236" s="14">
        <f t="shared" si="57"/>
        <v>8.2105820042519987E-5</v>
      </c>
      <c r="F1236">
        <v>107.51600000000001</v>
      </c>
      <c r="G1236" s="1">
        <f t="shared" si="58"/>
        <v>105.13134100000001</v>
      </c>
    </row>
    <row r="1237" spans="1:7" x14ac:dyDescent="0.3">
      <c r="A1237">
        <v>12350</v>
      </c>
      <c r="B1237">
        <v>1249.5</v>
      </c>
      <c r="C1237">
        <v>113.396</v>
      </c>
      <c r="D1237" s="15">
        <f t="shared" si="59"/>
        <v>7.5000000000002839E-5</v>
      </c>
      <c r="E1237" s="14">
        <f t="shared" si="57"/>
        <v>8.2072883625749999E-5</v>
      </c>
      <c r="F1237">
        <v>107.51300000000001</v>
      </c>
      <c r="G1237" s="1">
        <f t="shared" si="58"/>
        <v>105.130211</v>
      </c>
    </row>
    <row r="1238" spans="1:7" x14ac:dyDescent="0.3">
      <c r="A1238">
        <v>12360</v>
      </c>
      <c r="B1238">
        <v>1246.8</v>
      </c>
      <c r="C1238">
        <v>113.396</v>
      </c>
      <c r="D1238" s="15">
        <f t="shared" si="59"/>
        <v>7.5000000000002839E-5</v>
      </c>
      <c r="E1238" s="14">
        <f t="shared" si="57"/>
        <v>8.2039959892319999E-5</v>
      </c>
      <c r="F1238">
        <v>107.511</v>
      </c>
      <c r="G1238" s="1">
        <f t="shared" si="58"/>
        <v>105.129081</v>
      </c>
    </row>
    <row r="1239" spans="1:7" x14ac:dyDescent="0.3">
      <c r="A1239">
        <v>12370</v>
      </c>
      <c r="B1239">
        <v>1244.0999999999999</v>
      </c>
      <c r="C1239">
        <v>113.395</v>
      </c>
      <c r="D1239" s="15">
        <f t="shared" si="59"/>
        <v>7.5000000000002839E-5</v>
      </c>
      <c r="E1239" s="14">
        <f t="shared" si="57"/>
        <v>8.200704884223E-5</v>
      </c>
      <c r="F1239">
        <v>107.508</v>
      </c>
      <c r="G1239" s="1">
        <f t="shared" si="58"/>
        <v>105.127951</v>
      </c>
    </row>
    <row r="1240" spans="1:7" x14ac:dyDescent="0.3">
      <c r="A1240">
        <v>12380</v>
      </c>
      <c r="B1240">
        <v>1241.5</v>
      </c>
      <c r="C1240">
        <v>113.39400000000001</v>
      </c>
      <c r="D1240" s="15">
        <f t="shared" si="59"/>
        <v>1.0000000000012221E-4</v>
      </c>
      <c r="E1240" s="14">
        <f t="shared" si="57"/>
        <v>8.1974150475479988E-5</v>
      </c>
      <c r="F1240">
        <v>107.505</v>
      </c>
      <c r="G1240" s="1">
        <f t="shared" si="58"/>
        <v>105.12682100000001</v>
      </c>
    </row>
    <row r="1241" spans="1:7" x14ac:dyDescent="0.3">
      <c r="A1241">
        <v>12390</v>
      </c>
      <c r="B1241">
        <v>1238.8</v>
      </c>
      <c r="C1241">
        <v>113.393</v>
      </c>
      <c r="D1241" s="15">
        <f t="shared" si="59"/>
        <v>9.9999999999766942E-5</v>
      </c>
      <c r="E1241" s="14">
        <f t="shared" si="57"/>
        <v>8.1941264792070005E-5</v>
      </c>
      <c r="F1241">
        <v>107.503</v>
      </c>
      <c r="G1241" s="1">
        <f t="shared" si="58"/>
        <v>105.125691</v>
      </c>
    </row>
    <row r="1242" spans="1:7" x14ac:dyDescent="0.3">
      <c r="A1242">
        <v>12400</v>
      </c>
      <c r="B1242">
        <v>1236.0999999999999</v>
      </c>
      <c r="C1242">
        <v>113.392</v>
      </c>
      <c r="D1242" s="15">
        <f t="shared" si="59"/>
        <v>1.0000000000012221E-4</v>
      </c>
      <c r="E1242" s="14">
        <f t="shared" si="57"/>
        <v>8.1908391791999996E-5</v>
      </c>
      <c r="F1242">
        <v>107.5</v>
      </c>
      <c r="G1242" s="1">
        <f t="shared" si="58"/>
        <v>105.124561</v>
      </c>
    </row>
    <row r="1243" spans="1:7" x14ac:dyDescent="0.3">
      <c r="A1243">
        <v>12410</v>
      </c>
      <c r="B1243">
        <v>1233.4000000000001</v>
      </c>
      <c r="C1243">
        <v>113.39100000000001</v>
      </c>
      <c r="D1243" s="15">
        <f t="shared" si="59"/>
        <v>1.0000000000012221E-4</v>
      </c>
      <c r="E1243" s="14">
        <f t="shared" si="57"/>
        <v>8.1875531475269987E-5</v>
      </c>
      <c r="F1243">
        <v>107.497</v>
      </c>
      <c r="G1243" s="1">
        <f t="shared" si="58"/>
        <v>105.123431</v>
      </c>
    </row>
    <row r="1244" spans="1:7" x14ac:dyDescent="0.3">
      <c r="A1244">
        <v>12420</v>
      </c>
      <c r="B1244">
        <v>1230.8</v>
      </c>
      <c r="C1244">
        <v>113.39</v>
      </c>
      <c r="D1244" s="15">
        <f t="shared" si="59"/>
        <v>9.9999999999766942E-5</v>
      </c>
      <c r="E1244" s="14">
        <f t="shared" si="57"/>
        <v>8.1842683841879994E-5</v>
      </c>
      <c r="F1244">
        <v>107.495</v>
      </c>
      <c r="G1244" s="1">
        <f t="shared" si="58"/>
        <v>105.12230100000001</v>
      </c>
    </row>
    <row r="1245" spans="1:7" x14ac:dyDescent="0.3">
      <c r="A1245">
        <v>12430</v>
      </c>
      <c r="B1245">
        <v>1228.0999999999999</v>
      </c>
      <c r="C1245">
        <v>113.389</v>
      </c>
      <c r="D1245" s="15">
        <f t="shared" si="59"/>
        <v>1.0000000000012221E-4</v>
      </c>
      <c r="E1245" s="14">
        <f t="shared" si="57"/>
        <v>8.1809848891830001E-5</v>
      </c>
      <c r="F1245">
        <v>107.492</v>
      </c>
      <c r="G1245" s="1">
        <f t="shared" si="58"/>
        <v>105.121171</v>
      </c>
    </row>
    <row r="1246" spans="1:7" x14ac:dyDescent="0.3">
      <c r="A1246">
        <v>12440</v>
      </c>
      <c r="B1246">
        <v>1225.5</v>
      </c>
      <c r="C1246">
        <v>113.38800000000001</v>
      </c>
      <c r="D1246" s="15">
        <f t="shared" si="59"/>
        <v>7.5000000000002839E-5</v>
      </c>
      <c r="E1246" s="14">
        <f t="shared" si="57"/>
        <v>8.1777026625119996E-5</v>
      </c>
      <c r="F1246">
        <v>107.489</v>
      </c>
      <c r="G1246" s="1">
        <f t="shared" si="58"/>
        <v>105.120041</v>
      </c>
    </row>
    <row r="1247" spans="1:7" x14ac:dyDescent="0.3">
      <c r="A1247">
        <v>12450</v>
      </c>
      <c r="B1247">
        <v>1222.8</v>
      </c>
      <c r="C1247">
        <v>113.387</v>
      </c>
      <c r="D1247" s="15">
        <f t="shared" si="59"/>
        <v>7.5000000000002839E-5</v>
      </c>
      <c r="E1247" s="14">
        <f t="shared" si="57"/>
        <v>8.1744217041749992E-5</v>
      </c>
      <c r="F1247">
        <v>107.48699999999999</v>
      </c>
      <c r="G1247" s="1">
        <f t="shared" si="58"/>
        <v>105.118911</v>
      </c>
    </row>
    <row r="1248" spans="1:7" x14ac:dyDescent="0.3">
      <c r="A1248">
        <v>12460</v>
      </c>
      <c r="B1248">
        <v>1220.2</v>
      </c>
      <c r="C1248">
        <v>113.387</v>
      </c>
      <c r="D1248" s="15">
        <f t="shared" si="59"/>
        <v>7.5000000000002839E-5</v>
      </c>
      <c r="E1248" s="14">
        <f t="shared" si="57"/>
        <v>8.1711420141719989E-5</v>
      </c>
      <c r="F1248">
        <v>107.48399999999999</v>
      </c>
      <c r="G1248" s="1">
        <f t="shared" si="58"/>
        <v>105.11778100000001</v>
      </c>
    </row>
    <row r="1249" spans="1:7" x14ac:dyDescent="0.3">
      <c r="A1249">
        <v>12470</v>
      </c>
      <c r="B1249">
        <v>1217.5999999999999</v>
      </c>
      <c r="C1249">
        <v>113.386</v>
      </c>
      <c r="D1249" s="15">
        <f t="shared" si="59"/>
        <v>7.5000000000002839E-5</v>
      </c>
      <c r="E1249" s="14">
        <f t="shared" si="57"/>
        <v>8.1678635925030001E-5</v>
      </c>
      <c r="F1249">
        <v>107.482</v>
      </c>
      <c r="G1249" s="1">
        <f t="shared" si="58"/>
        <v>105.116651</v>
      </c>
    </row>
    <row r="1250" spans="1:7" x14ac:dyDescent="0.3">
      <c r="A1250">
        <v>12480</v>
      </c>
      <c r="B1250">
        <v>1214.9000000000001</v>
      </c>
      <c r="C1250">
        <v>113.38500000000001</v>
      </c>
      <c r="D1250" s="15">
        <f t="shared" si="59"/>
        <v>1.0000000000012221E-4</v>
      </c>
      <c r="E1250" s="14">
        <f t="shared" si="57"/>
        <v>8.1645864391679987E-5</v>
      </c>
      <c r="F1250">
        <v>107.479</v>
      </c>
      <c r="G1250" s="1">
        <f t="shared" si="58"/>
        <v>105.115521</v>
      </c>
    </row>
    <row r="1251" spans="1:7" x14ac:dyDescent="0.3">
      <c r="A1251">
        <v>12490</v>
      </c>
      <c r="B1251">
        <v>1212.3</v>
      </c>
      <c r="C1251">
        <v>113.384</v>
      </c>
      <c r="D1251" s="15">
        <f t="shared" si="59"/>
        <v>9.9999999999766942E-5</v>
      </c>
      <c r="E1251" s="14">
        <f t="shared" si="57"/>
        <v>8.1613105541669987E-5</v>
      </c>
      <c r="F1251">
        <v>107.476</v>
      </c>
      <c r="G1251" s="1">
        <f t="shared" si="58"/>
        <v>105.114391</v>
      </c>
    </row>
    <row r="1252" spans="1:7" x14ac:dyDescent="0.3">
      <c r="A1252">
        <v>12500</v>
      </c>
      <c r="B1252">
        <v>1209.7</v>
      </c>
      <c r="C1252">
        <v>113.383</v>
      </c>
      <c r="D1252" s="15">
        <f t="shared" si="59"/>
        <v>1.0000000000012221E-4</v>
      </c>
      <c r="E1252" s="14">
        <f t="shared" si="57"/>
        <v>8.1580359375000002E-5</v>
      </c>
      <c r="F1252">
        <v>107.474</v>
      </c>
      <c r="G1252" s="1">
        <f t="shared" si="58"/>
        <v>105.11326100000001</v>
      </c>
    </row>
    <row r="1253" spans="1:7" x14ac:dyDescent="0.3">
      <c r="A1253">
        <v>12510</v>
      </c>
      <c r="B1253">
        <v>1207.0999999999999</v>
      </c>
      <c r="C1253">
        <v>113.38200000000001</v>
      </c>
      <c r="D1253" s="15">
        <f t="shared" si="59"/>
        <v>7.5000000000002839E-5</v>
      </c>
      <c r="E1253" s="14">
        <f t="shared" si="57"/>
        <v>8.1547625891669991E-5</v>
      </c>
      <c r="F1253">
        <v>107.471</v>
      </c>
      <c r="G1253" s="1">
        <f t="shared" si="58"/>
        <v>105.11213100000001</v>
      </c>
    </row>
    <row r="1254" spans="1:7" x14ac:dyDescent="0.3">
      <c r="A1254">
        <v>12520</v>
      </c>
      <c r="B1254">
        <v>1204.5</v>
      </c>
      <c r="C1254">
        <v>113.381</v>
      </c>
      <c r="D1254" s="15">
        <f t="shared" si="59"/>
        <v>7.5000000000002839E-5</v>
      </c>
      <c r="E1254" s="14">
        <f t="shared" si="57"/>
        <v>8.1514905091679995E-5</v>
      </c>
      <c r="F1254">
        <v>107.46899999999999</v>
      </c>
      <c r="G1254" s="1">
        <f t="shared" si="58"/>
        <v>105.111001</v>
      </c>
    </row>
    <row r="1255" spans="1:7" x14ac:dyDescent="0.3">
      <c r="A1255">
        <v>12530</v>
      </c>
      <c r="B1255">
        <v>1201.9000000000001</v>
      </c>
      <c r="C1255">
        <v>113.381</v>
      </c>
      <c r="D1255" s="15">
        <f t="shared" si="59"/>
        <v>7.5000000000002839E-5</v>
      </c>
      <c r="E1255" s="14">
        <f t="shared" si="57"/>
        <v>8.148219697503E-5</v>
      </c>
      <c r="F1255">
        <v>107.46599999999999</v>
      </c>
      <c r="G1255" s="1">
        <f t="shared" si="58"/>
        <v>105.109871</v>
      </c>
    </row>
    <row r="1256" spans="1:7" x14ac:dyDescent="0.3">
      <c r="A1256">
        <v>12540</v>
      </c>
      <c r="B1256">
        <v>1199.2</v>
      </c>
      <c r="C1256">
        <v>113.38</v>
      </c>
      <c r="D1256" s="15">
        <f t="shared" si="59"/>
        <v>7.5000000000002839E-5</v>
      </c>
      <c r="E1256" s="14">
        <f t="shared" si="57"/>
        <v>8.1449501541720006E-5</v>
      </c>
      <c r="F1256">
        <v>107.46299999999999</v>
      </c>
      <c r="G1256" s="1">
        <f t="shared" si="58"/>
        <v>105.10874100000001</v>
      </c>
    </row>
    <row r="1257" spans="1:7" x14ac:dyDescent="0.3">
      <c r="A1257">
        <v>12550</v>
      </c>
      <c r="B1257">
        <v>1196.5999999999999</v>
      </c>
      <c r="C1257">
        <v>113.379</v>
      </c>
      <c r="D1257" s="15">
        <f t="shared" si="59"/>
        <v>1.0000000000012221E-4</v>
      </c>
      <c r="E1257" s="14">
        <f t="shared" si="57"/>
        <v>8.1416818791749999E-5</v>
      </c>
      <c r="F1257">
        <v>107.461</v>
      </c>
      <c r="G1257" s="1">
        <f t="shared" si="58"/>
        <v>105.10761100000001</v>
      </c>
    </row>
    <row r="1258" spans="1:7" x14ac:dyDescent="0.3">
      <c r="A1258">
        <v>12560</v>
      </c>
      <c r="B1258">
        <v>1194.0999999999999</v>
      </c>
      <c r="C1258">
        <v>113.378</v>
      </c>
      <c r="D1258" s="15">
        <f t="shared" si="59"/>
        <v>7.5000000000002839E-5</v>
      </c>
      <c r="E1258" s="14">
        <f t="shared" si="57"/>
        <v>8.1384148725119993E-5</v>
      </c>
      <c r="F1258">
        <v>107.458</v>
      </c>
      <c r="G1258" s="1">
        <f t="shared" si="58"/>
        <v>105.106481</v>
      </c>
    </row>
    <row r="1259" spans="1:7" x14ac:dyDescent="0.3">
      <c r="A1259">
        <v>12570</v>
      </c>
      <c r="B1259">
        <v>1191.5</v>
      </c>
      <c r="C1259">
        <v>113.377</v>
      </c>
      <c r="D1259" s="15">
        <f t="shared" si="59"/>
        <v>7.5000000000002839E-5</v>
      </c>
      <c r="E1259" s="14">
        <f t="shared" si="57"/>
        <v>8.1351491341830003E-5</v>
      </c>
      <c r="F1259">
        <v>107.456</v>
      </c>
      <c r="G1259" s="1">
        <f t="shared" si="58"/>
        <v>105.105351</v>
      </c>
    </row>
    <row r="1260" spans="1:7" x14ac:dyDescent="0.3">
      <c r="A1260">
        <v>12580</v>
      </c>
      <c r="B1260">
        <v>1188.8</v>
      </c>
      <c r="C1260">
        <v>113.377</v>
      </c>
      <c r="D1260" s="15">
        <f t="shared" si="59"/>
        <v>7.5000000000002839E-5</v>
      </c>
      <c r="E1260" s="14">
        <f t="shared" si="57"/>
        <v>8.1318846641879986E-5</v>
      </c>
      <c r="F1260">
        <v>107.453</v>
      </c>
      <c r="G1260" s="1">
        <f t="shared" si="58"/>
        <v>105.10422100000001</v>
      </c>
    </row>
    <row r="1261" spans="1:7" x14ac:dyDescent="0.3">
      <c r="A1261">
        <v>12590</v>
      </c>
      <c r="B1261">
        <v>1186.3</v>
      </c>
      <c r="C1261">
        <v>113.376</v>
      </c>
      <c r="D1261" s="15">
        <f t="shared" si="59"/>
        <v>7.5000000000002839E-5</v>
      </c>
      <c r="E1261" s="14">
        <f t="shared" si="57"/>
        <v>8.1286214625269997E-5</v>
      </c>
      <c r="F1261">
        <v>107.45</v>
      </c>
      <c r="G1261" s="1">
        <f t="shared" si="58"/>
        <v>105.10309100000001</v>
      </c>
    </row>
    <row r="1262" spans="1:7" x14ac:dyDescent="0.3">
      <c r="A1262">
        <v>12600</v>
      </c>
      <c r="B1262">
        <v>1183.7</v>
      </c>
      <c r="C1262">
        <v>113.375</v>
      </c>
      <c r="D1262" s="15">
        <f t="shared" si="59"/>
        <v>9.9999999999766942E-5</v>
      </c>
      <c r="E1262" s="14">
        <f t="shared" si="57"/>
        <v>8.125359529200001E-5</v>
      </c>
      <c r="F1262">
        <v>107.44799999999999</v>
      </c>
      <c r="G1262" s="1">
        <f t="shared" si="58"/>
        <v>105.101961</v>
      </c>
    </row>
    <row r="1263" spans="1:7" x14ac:dyDescent="0.3">
      <c r="A1263">
        <v>12610</v>
      </c>
      <c r="B1263">
        <v>1181.0999999999999</v>
      </c>
      <c r="C1263">
        <v>113.374</v>
      </c>
      <c r="D1263" s="15">
        <f t="shared" si="59"/>
        <v>1.0000000000012221E-4</v>
      </c>
      <c r="E1263" s="14">
        <f t="shared" si="57"/>
        <v>8.1220988642069996E-5</v>
      </c>
      <c r="F1263">
        <v>107.44499999999999</v>
      </c>
      <c r="G1263" s="1">
        <f t="shared" si="58"/>
        <v>105.100831</v>
      </c>
    </row>
    <row r="1264" spans="1:7" x14ac:dyDescent="0.3">
      <c r="A1264">
        <v>12620</v>
      </c>
      <c r="B1264">
        <v>1178.5</v>
      </c>
      <c r="C1264">
        <v>113.373</v>
      </c>
      <c r="D1264" s="15">
        <f t="shared" si="59"/>
        <v>7.5000000000002839E-5</v>
      </c>
      <c r="E1264" s="14">
        <f t="shared" si="57"/>
        <v>8.1188394675479997E-5</v>
      </c>
      <c r="F1264">
        <v>107.443</v>
      </c>
      <c r="G1264" s="1">
        <f t="shared" si="58"/>
        <v>105.099701</v>
      </c>
    </row>
    <row r="1265" spans="1:7" x14ac:dyDescent="0.3">
      <c r="A1265">
        <v>12630</v>
      </c>
      <c r="B1265">
        <v>1175.9000000000001</v>
      </c>
      <c r="C1265">
        <v>113.372</v>
      </c>
      <c r="D1265" s="15">
        <f t="shared" si="59"/>
        <v>7.5000000000002839E-5</v>
      </c>
      <c r="E1265" s="14">
        <f t="shared" si="57"/>
        <v>8.1155813392229986E-5</v>
      </c>
      <c r="F1265">
        <v>107.44</v>
      </c>
      <c r="G1265" s="1">
        <f t="shared" si="58"/>
        <v>105.09857100000001</v>
      </c>
    </row>
    <row r="1266" spans="1:7" x14ac:dyDescent="0.3">
      <c r="A1266">
        <v>12640</v>
      </c>
      <c r="B1266">
        <v>1173.4000000000001</v>
      </c>
      <c r="C1266">
        <v>113.372</v>
      </c>
      <c r="D1266" s="15">
        <f t="shared" si="59"/>
        <v>7.5000000000002839E-5</v>
      </c>
      <c r="E1266" s="14">
        <f t="shared" si="57"/>
        <v>8.1123244792319989E-5</v>
      </c>
      <c r="F1266">
        <v>107.437</v>
      </c>
      <c r="G1266" s="1">
        <f t="shared" si="58"/>
        <v>105.097441</v>
      </c>
    </row>
    <row r="1267" spans="1:7" x14ac:dyDescent="0.3">
      <c r="A1267">
        <v>12650</v>
      </c>
      <c r="B1267">
        <v>1170.8</v>
      </c>
      <c r="C1267">
        <v>113.371</v>
      </c>
      <c r="D1267" s="15">
        <f t="shared" si="59"/>
        <v>7.5000000000002839E-5</v>
      </c>
      <c r="E1267" s="14">
        <f t="shared" si="57"/>
        <v>8.1090688875750007E-5</v>
      </c>
      <c r="F1267">
        <v>107.434</v>
      </c>
      <c r="G1267" s="1">
        <f t="shared" si="58"/>
        <v>105.096311</v>
      </c>
    </row>
    <row r="1268" spans="1:7" x14ac:dyDescent="0.3">
      <c r="A1268">
        <v>12660</v>
      </c>
      <c r="B1268">
        <v>1168.3</v>
      </c>
      <c r="C1268">
        <v>113.37</v>
      </c>
      <c r="D1268" s="15">
        <f t="shared" si="59"/>
        <v>7.5000000000002839E-5</v>
      </c>
      <c r="E1268" s="14">
        <f t="shared" si="57"/>
        <v>8.1058145642519999E-5</v>
      </c>
      <c r="F1268">
        <v>107.432</v>
      </c>
      <c r="G1268" s="1">
        <f t="shared" si="58"/>
        <v>105.095181</v>
      </c>
    </row>
    <row r="1269" spans="1:7" x14ac:dyDescent="0.3">
      <c r="A1269">
        <v>12670</v>
      </c>
      <c r="B1269">
        <v>1165.7</v>
      </c>
      <c r="C1269">
        <v>113.369</v>
      </c>
      <c r="D1269" s="15">
        <f t="shared" si="59"/>
        <v>7.5000000000002839E-5</v>
      </c>
      <c r="E1269" s="14">
        <f t="shared" si="57"/>
        <v>8.1025615092629992E-5</v>
      </c>
      <c r="F1269">
        <v>107.429</v>
      </c>
      <c r="G1269" s="1">
        <f t="shared" si="58"/>
        <v>105.09405100000001</v>
      </c>
    </row>
    <row r="1270" spans="1:7" x14ac:dyDescent="0.3">
      <c r="A1270">
        <v>12680</v>
      </c>
      <c r="B1270">
        <v>1163.0999999999999</v>
      </c>
      <c r="C1270">
        <v>113.369</v>
      </c>
      <c r="D1270" s="15">
        <f t="shared" si="59"/>
        <v>7.5000000000002839E-5</v>
      </c>
      <c r="E1270" s="14">
        <f t="shared" si="57"/>
        <v>8.0993097226079999E-5</v>
      </c>
      <c r="F1270">
        <v>107.426</v>
      </c>
      <c r="G1270" s="1">
        <f t="shared" si="58"/>
        <v>105.092921</v>
      </c>
    </row>
    <row r="1271" spans="1:7" x14ac:dyDescent="0.3">
      <c r="A1271">
        <v>12690</v>
      </c>
      <c r="B1271">
        <v>1160.5999999999999</v>
      </c>
      <c r="C1271">
        <v>113.36799999999999</v>
      </c>
      <c r="D1271" s="15">
        <f t="shared" si="59"/>
        <v>7.5000000000002839E-5</v>
      </c>
      <c r="E1271" s="14">
        <f t="shared" si="57"/>
        <v>8.0960592042869994E-5</v>
      </c>
      <c r="F1271">
        <v>107.42400000000001</v>
      </c>
      <c r="G1271" s="1">
        <f t="shared" si="58"/>
        <v>105.091791</v>
      </c>
    </row>
    <row r="1272" spans="1:7" x14ac:dyDescent="0.3">
      <c r="A1272">
        <v>12700</v>
      </c>
      <c r="B1272">
        <v>1158.0999999999999</v>
      </c>
      <c r="C1272">
        <v>113.367</v>
      </c>
      <c r="D1272" s="15">
        <f t="shared" si="59"/>
        <v>7.5000000000002839E-5</v>
      </c>
      <c r="E1272" s="14">
        <f t="shared" si="57"/>
        <v>8.0928099543000004E-5</v>
      </c>
      <c r="F1272">
        <v>107.42100000000001</v>
      </c>
      <c r="G1272" s="1">
        <f t="shared" si="58"/>
        <v>105.090661</v>
      </c>
    </row>
    <row r="1273" spans="1:7" x14ac:dyDescent="0.3">
      <c r="A1273">
        <v>12710</v>
      </c>
      <c r="B1273">
        <v>1155.5999999999999</v>
      </c>
      <c r="C1273">
        <v>113.366</v>
      </c>
      <c r="D1273" s="15">
        <f t="shared" si="59"/>
        <v>7.5000000000002839E-5</v>
      </c>
      <c r="E1273" s="14">
        <f t="shared" si="57"/>
        <v>8.0895619726470002E-5</v>
      </c>
      <c r="F1273">
        <v>107.419</v>
      </c>
      <c r="G1273" s="1">
        <f t="shared" si="58"/>
        <v>105.08953100000001</v>
      </c>
    </row>
    <row r="1274" spans="1:7" x14ac:dyDescent="0.3">
      <c r="A1274">
        <v>12720</v>
      </c>
      <c r="B1274">
        <v>1153.0999999999999</v>
      </c>
      <c r="C1274">
        <v>113.366</v>
      </c>
      <c r="D1274" s="15">
        <f t="shared" si="59"/>
        <v>7.5000000000002839E-5</v>
      </c>
      <c r="E1274" s="14">
        <f t="shared" si="57"/>
        <v>8.086315259328E-5</v>
      </c>
      <c r="F1274">
        <v>107.416</v>
      </c>
      <c r="G1274" s="1">
        <f t="shared" si="58"/>
        <v>105.088401</v>
      </c>
    </row>
    <row r="1275" spans="1:7" x14ac:dyDescent="0.3">
      <c r="A1275">
        <v>12730</v>
      </c>
      <c r="B1275">
        <v>1150.5</v>
      </c>
      <c r="C1275">
        <v>113.36499999999999</v>
      </c>
      <c r="D1275" s="15">
        <f t="shared" si="59"/>
        <v>4.9999999999883471E-5</v>
      </c>
      <c r="E1275" s="14">
        <f t="shared" si="57"/>
        <v>8.083069814343E-5</v>
      </c>
      <c r="F1275">
        <v>107.413</v>
      </c>
      <c r="G1275" s="1">
        <f t="shared" si="58"/>
        <v>105.087271</v>
      </c>
    </row>
    <row r="1276" spans="1:7" x14ac:dyDescent="0.3">
      <c r="A1276">
        <v>12740</v>
      </c>
      <c r="B1276">
        <v>1148</v>
      </c>
      <c r="C1276">
        <v>113.364</v>
      </c>
      <c r="D1276" s="15">
        <f t="shared" si="59"/>
        <v>7.5000000000002839E-5</v>
      </c>
      <c r="E1276" s="14">
        <f t="shared" si="57"/>
        <v>8.0798256376919987E-5</v>
      </c>
      <c r="F1276">
        <v>107.41</v>
      </c>
      <c r="G1276" s="1">
        <f t="shared" si="58"/>
        <v>105.086141</v>
      </c>
    </row>
    <row r="1277" spans="1:7" x14ac:dyDescent="0.3">
      <c r="A1277">
        <v>12750</v>
      </c>
      <c r="B1277">
        <v>1145.5</v>
      </c>
      <c r="C1277">
        <v>113.364</v>
      </c>
      <c r="D1277" s="15">
        <f t="shared" si="59"/>
        <v>7.5000000000002839E-5</v>
      </c>
      <c r="E1277" s="14">
        <f t="shared" si="57"/>
        <v>8.0765827293750002E-5</v>
      </c>
      <c r="F1277">
        <v>107.408</v>
      </c>
      <c r="G1277" s="1">
        <f t="shared" si="58"/>
        <v>105.08501100000001</v>
      </c>
    </row>
    <row r="1278" spans="1:7" x14ac:dyDescent="0.3">
      <c r="A1278">
        <v>12760</v>
      </c>
      <c r="B1278">
        <v>1143</v>
      </c>
      <c r="C1278">
        <v>113.363</v>
      </c>
      <c r="D1278" s="15">
        <f t="shared" si="59"/>
        <v>5.0000000000238744E-5</v>
      </c>
      <c r="E1278" s="14">
        <f t="shared" si="57"/>
        <v>8.0733410893920005E-5</v>
      </c>
      <c r="F1278">
        <v>107.405</v>
      </c>
      <c r="G1278" s="1">
        <f t="shared" si="58"/>
        <v>105.08388100000001</v>
      </c>
    </row>
    <row r="1279" spans="1:7" x14ac:dyDescent="0.3">
      <c r="A1279">
        <v>12770</v>
      </c>
      <c r="B1279">
        <v>1140.5</v>
      </c>
      <c r="C1279">
        <v>113.36199999999999</v>
      </c>
      <c r="D1279" s="15">
        <f t="shared" si="59"/>
        <v>7.5000000000002839E-5</v>
      </c>
      <c r="E1279" s="14">
        <f t="shared" si="57"/>
        <v>8.0701007177429995E-5</v>
      </c>
      <c r="F1279">
        <v>107.40300000000001</v>
      </c>
      <c r="G1279" s="1">
        <f t="shared" si="58"/>
        <v>105.082751</v>
      </c>
    </row>
    <row r="1280" spans="1:7" x14ac:dyDescent="0.3">
      <c r="A1280">
        <v>12780</v>
      </c>
      <c r="B1280">
        <v>1138</v>
      </c>
      <c r="C1280">
        <v>113.36199999999999</v>
      </c>
      <c r="D1280" s="15">
        <f t="shared" si="59"/>
        <v>7.5000000000002839E-5</v>
      </c>
      <c r="E1280" s="14">
        <f t="shared" si="57"/>
        <v>8.066861614428E-5</v>
      </c>
      <c r="F1280">
        <v>107.4</v>
      </c>
      <c r="G1280" s="1">
        <f t="shared" si="58"/>
        <v>105.081621</v>
      </c>
    </row>
    <row r="1281" spans="1:7" x14ac:dyDescent="0.3">
      <c r="A1281">
        <v>12790</v>
      </c>
      <c r="B1281">
        <v>1135.5</v>
      </c>
      <c r="C1281">
        <v>113.361</v>
      </c>
      <c r="D1281" s="15">
        <f t="shared" si="59"/>
        <v>4.9999999999883471E-5</v>
      </c>
      <c r="E1281" s="14">
        <f t="shared" si="57"/>
        <v>8.0636237794470006E-5</v>
      </c>
      <c r="F1281">
        <v>107.398</v>
      </c>
      <c r="G1281" s="1">
        <f t="shared" si="58"/>
        <v>105.08049100000001</v>
      </c>
    </row>
    <row r="1282" spans="1:7" x14ac:dyDescent="0.3">
      <c r="A1282">
        <v>12800</v>
      </c>
      <c r="B1282">
        <v>1133</v>
      </c>
      <c r="C1282">
        <v>113.36</v>
      </c>
      <c r="D1282" s="15">
        <f t="shared" si="59"/>
        <v>7.5000000000002839E-5</v>
      </c>
      <c r="E1282" s="14">
        <f t="shared" ref="E1282:E1345" si="60">0.0000000000000634167*A1282*A1282 - 0.0000000048594*A1282 + 0.000132414</f>
        <v>8.0603872128E-5</v>
      </c>
      <c r="F1282">
        <v>107.39400000000001</v>
      </c>
      <c r="G1282" s="1">
        <f t="shared" si="58"/>
        <v>105.07936100000001</v>
      </c>
    </row>
    <row r="1283" spans="1:7" x14ac:dyDescent="0.3">
      <c r="A1283">
        <v>12810</v>
      </c>
      <c r="B1283">
        <v>1131.7</v>
      </c>
      <c r="C1283">
        <v>113.36</v>
      </c>
      <c r="D1283" s="15">
        <f t="shared" si="59"/>
        <v>7.5000000000002839E-5</v>
      </c>
      <c r="E1283" s="14">
        <f t="shared" si="60"/>
        <v>8.0571519144869994E-5</v>
      </c>
      <c r="F1283">
        <v>107.389</v>
      </c>
      <c r="G1283" s="1">
        <f t="shared" ref="G1283:G1346" si="61">-0.000113*A1283 + 106.525761</f>
        <v>105.078231</v>
      </c>
    </row>
    <row r="1284" spans="1:7" x14ac:dyDescent="0.3">
      <c r="A1284">
        <v>12820</v>
      </c>
      <c r="B1284">
        <v>1132.3</v>
      </c>
      <c r="C1284">
        <v>113.35899999999999</v>
      </c>
      <c r="D1284" s="15">
        <f t="shared" si="59"/>
        <v>4.9999999999883471E-5</v>
      </c>
      <c r="E1284" s="14">
        <f t="shared" si="60"/>
        <v>8.053917884507999E-5</v>
      </c>
      <c r="F1284">
        <v>107.374</v>
      </c>
      <c r="G1284" s="1">
        <f t="shared" si="61"/>
        <v>105.077101</v>
      </c>
    </row>
    <row r="1285" spans="1:7" x14ac:dyDescent="0.3">
      <c r="A1285">
        <v>12830</v>
      </c>
      <c r="B1285">
        <v>1132.9000000000001</v>
      </c>
      <c r="C1285">
        <v>113.358</v>
      </c>
      <c r="D1285" s="15">
        <f t="shared" ref="D1285:D1348" si="62">(C1283-C1287)/(A1287-A1283)</f>
        <v>7.5000000000002839E-5</v>
      </c>
      <c r="E1285" s="14">
        <f t="shared" si="60"/>
        <v>8.0506851228630001E-5</v>
      </c>
      <c r="F1285">
        <v>107.35899999999999</v>
      </c>
      <c r="G1285" s="1">
        <f t="shared" si="61"/>
        <v>105.07597100000001</v>
      </c>
    </row>
    <row r="1286" spans="1:7" x14ac:dyDescent="0.3">
      <c r="A1286">
        <v>12840</v>
      </c>
      <c r="B1286">
        <v>1133.5</v>
      </c>
      <c r="C1286">
        <v>113.358</v>
      </c>
      <c r="D1286" s="15">
        <f t="shared" si="62"/>
        <v>7.5000000000002839E-5</v>
      </c>
      <c r="E1286" s="14">
        <f t="shared" si="60"/>
        <v>8.0474536295519999E-5</v>
      </c>
      <c r="F1286">
        <v>107.345</v>
      </c>
      <c r="G1286" s="1">
        <f t="shared" si="61"/>
        <v>105.07484100000001</v>
      </c>
    </row>
    <row r="1287" spans="1:7" x14ac:dyDescent="0.3">
      <c r="A1287">
        <v>12850</v>
      </c>
      <c r="B1287">
        <v>1134.0999999999999</v>
      </c>
      <c r="C1287">
        <v>113.357</v>
      </c>
      <c r="D1287" s="15">
        <f t="shared" si="62"/>
        <v>5.0000000000238744E-5</v>
      </c>
      <c r="E1287" s="14">
        <f t="shared" si="60"/>
        <v>8.0442234045749998E-5</v>
      </c>
      <c r="F1287">
        <v>107.32899999999999</v>
      </c>
      <c r="G1287" s="1">
        <f t="shared" si="61"/>
        <v>105.073711</v>
      </c>
    </row>
    <row r="1288" spans="1:7" x14ac:dyDescent="0.3">
      <c r="A1288">
        <v>12860</v>
      </c>
      <c r="B1288">
        <v>1134.7</v>
      </c>
      <c r="C1288">
        <v>113.35599999999999</v>
      </c>
      <c r="D1288" s="15">
        <f t="shared" si="62"/>
        <v>7.5000000000002839E-5</v>
      </c>
      <c r="E1288" s="14">
        <f t="shared" si="60"/>
        <v>8.0409944479319998E-5</v>
      </c>
      <c r="F1288">
        <v>107.315</v>
      </c>
      <c r="G1288" s="1">
        <f t="shared" si="61"/>
        <v>105.072581</v>
      </c>
    </row>
    <row r="1289" spans="1:7" x14ac:dyDescent="0.3">
      <c r="A1289">
        <v>12870</v>
      </c>
      <c r="B1289">
        <v>1135.3</v>
      </c>
      <c r="C1289">
        <v>113.35599999999999</v>
      </c>
      <c r="D1289" s="15">
        <f t="shared" si="62"/>
        <v>7.5000000000002839E-5</v>
      </c>
      <c r="E1289" s="14">
        <f t="shared" si="60"/>
        <v>8.0377667596229999E-5</v>
      </c>
      <c r="F1289">
        <v>107.3</v>
      </c>
      <c r="G1289" s="1">
        <f t="shared" si="61"/>
        <v>105.071451</v>
      </c>
    </row>
    <row r="1290" spans="1:7" x14ac:dyDescent="0.3">
      <c r="A1290">
        <v>12880</v>
      </c>
      <c r="B1290">
        <v>1136</v>
      </c>
      <c r="C1290">
        <v>113.355</v>
      </c>
      <c r="D1290" s="15">
        <f t="shared" si="62"/>
        <v>4.9999999999883471E-5</v>
      </c>
      <c r="E1290" s="14">
        <f t="shared" si="60"/>
        <v>8.0345403396479988E-5</v>
      </c>
      <c r="F1290">
        <v>107.285</v>
      </c>
      <c r="G1290" s="1">
        <f t="shared" si="61"/>
        <v>105.07032100000001</v>
      </c>
    </row>
    <row r="1291" spans="1:7" x14ac:dyDescent="0.3">
      <c r="A1291">
        <v>12890</v>
      </c>
      <c r="B1291">
        <v>1136.7</v>
      </c>
      <c r="C1291">
        <v>113.354</v>
      </c>
      <c r="D1291" s="15">
        <f t="shared" si="62"/>
        <v>7.5000000000002839E-5</v>
      </c>
      <c r="E1291" s="14">
        <f t="shared" si="60"/>
        <v>8.0313151880070005E-5</v>
      </c>
      <c r="F1291">
        <v>107.27</v>
      </c>
      <c r="G1291" s="1">
        <f t="shared" si="61"/>
        <v>105.069191</v>
      </c>
    </row>
    <row r="1292" spans="1:7" x14ac:dyDescent="0.3">
      <c r="A1292">
        <v>12900</v>
      </c>
      <c r="B1292">
        <v>1137.3</v>
      </c>
      <c r="C1292">
        <v>113.354</v>
      </c>
      <c r="D1292" s="15">
        <f t="shared" si="62"/>
        <v>7.5000000000002839E-5</v>
      </c>
      <c r="E1292" s="14">
        <f t="shared" si="60"/>
        <v>8.0280913046999996E-5</v>
      </c>
      <c r="F1292">
        <v>107.255</v>
      </c>
      <c r="G1292" s="1">
        <f t="shared" si="61"/>
        <v>105.068061</v>
      </c>
    </row>
    <row r="1293" spans="1:7" x14ac:dyDescent="0.3">
      <c r="A1293">
        <v>12910</v>
      </c>
      <c r="B1293">
        <v>1137.9000000000001</v>
      </c>
      <c r="C1293">
        <v>113.35299999999999</v>
      </c>
      <c r="D1293" s="15">
        <f t="shared" si="62"/>
        <v>4.9999999999883471E-5</v>
      </c>
      <c r="E1293" s="14">
        <f t="shared" si="60"/>
        <v>8.0248686897269988E-5</v>
      </c>
      <c r="F1293">
        <v>107.24</v>
      </c>
      <c r="G1293" s="1">
        <f t="shared" si="61"/>
        <v>105.066931</v>
      </c>
    </row>
    <row r="1294" spans="1:7" x14ac:dyDescent="0.3">
      <c r="A1294">
        <v>12920</v>
      </c>
      <c r="B1294">
        <v>1138.5999999999999</v>
      </c>
      <c r="C1294">
        <v>113.352</v>
      </c>
      <c r="D1294" s="15">
        <f t="shared" si="62"/>
        <v>7.5000000000002839E-5</v>
      </c>
      <c r="E1294" s="14">
        <f t="shared" si="60"/>
        <v>8.0216473430879995E-5</v>
      </c>
      <c r="F1294">
        <v>107.226</v>
      </c>
      <c r="G1294" s="1">
        <f t="shared" si="61"/>
        <v>105.06580100000001</v>
      </c>
    </row>
    <row r="1295" spans="1:7" x14ac:dyDescent="0.3">
      <c r="A1295">
        <v>12930</v>
      </c>
      <c r="B1295">
        <v>1139.3</v>
      </c>
      <c r="C1295">
        <v>113.352</v>
      </c>
      <c r="D1295" s="15">
        <f t="shared" si="62"/>
        <v>7.5000000000002839E-5</v>
      </c>
      <c r="E1295" s="14">
        <f t="shared" si="60"/>
        <v>8.0184272647829989E-5</v>
      </c>
      <c r="F1295">
        <v>107.21</v>
      </c>
      <c r="G1295" s="1">
        <f t="shared" si="61"/>
        <v>105.064671</v>
      </c>
    </row>
    <row r="1296" spans="1:7" x14ac:dyDescent="0.3">
      <c r="A1296">
        <v>12940</v>
      </c>
      <c r="B1296">
        <v>1140</v>
      </c>
      <c r="C1296">
        <v>113.351</v>
      </c>
      <c r="D1296" s="15">
        <f t="shared" si="62"/>
        <v>5.0000000000238744E-5</v>
      </c>
      <c r="E1296" s="14">
        <f t="shared" si="60"/>
        <v>8.0152084548119998E-5</v>
      </c>
      <c r="F1296">
        <v>107.196</v>
      </c>
      <c r="G1296" s="1">
        <f t="shared" si="61"/>
        <v>105.063541</v>
      </c>
    </row>
    <row r="1297" spans="1:7" x14ac:dyDescent="0.3">
      <c r="A1297">
        <v>12950</v>
      </c>
      <c r="B1297">
        <v>1140.5999999999999</v>
      </c>
      <c r="C1297">
        <v>113.35</v>
      </c>
      <c r="D1297" s="15">
        <f t="shared" si="62"/>
        <v>7.5000000000002839E-5</v>
      </c>
      <c r="E1297" s="14">
        <f t="shared" si="60"/>
        <v>8.0119909131749995E-5</v>
      </c>
      <c r="F1297">
        <v>107.181</v>
      </c>
      <c r="G1297" s="1">
        <f t="shared" si="61"/>
        <v>105.062411</v>
      </c>
    </row>
    <row r="1298" spans="1:7" x14ac:dyDescent="0.3">
      <c r="A1298">
        <v>12960</v>
      </c>
      <c r="B1298">
        <v>1141.3</v>
      </c>
      <c r="C1298">
        <v>113.35</v>
      </c>
      <c r="D1298" s="15">
        <f t="shared" si="62"/>
        <v>7.5000000000002839E-5</v>
      </c>
      <c r="E1298" s="14">
        <f t="shared" si="60"/>
        <v>8.0087746398719992E-5</v>
      </c>
      <c r="F1298">
        <v>107.166</v>
      </c>
      <c r="G1298" s="1">
        <f t="shared" si="61"/>
        <v>105.06128100000001</v>
      </c>
    </row>
    <row r="1299" spans="1:7" x14ac:dyDescent="0.3">
      <c r="A1299">
        <v>12970</v>
      </c>
      <c r="B1299">
        <v>1142</v>
      </c>
      <c r="C1299">
        <v>113.349</v>
      </c>
      <c r="D1299" s="15">
        <f t="shared" si="62"/>
        <v>4.9999999999883471E-5</v>
      </c>
      <c r="E1299" s="14">
        <f t="shared" si="60"/>
        <v>8.0055596349029991E-5</v>
      </c>
      <c r="F1299">
        <v>107.151</v>
      </c>
      <c r="G1299" s="1">
        <f t="shared" si="61"/>
        <v>105.060151</v>
      </c>
    </row>
    <row r="1300" spans="1:7" x14ac:dyDescent="0.3">
      <c r="A1300">
        <v>12980</v>
      </c>
      <c r="B1300">
        <v>1142.5999999999999</v>
      </c>
      <c r="C1300">
        <v>113.348</v>
      </c>
      <c r="D1300" s="15">
        <f t="shared" si="62"/>
        <v>7.5000000000002839E-5</v>
      </c>
      <c r="E1300" s="14">
        <f t="shared" si="60"/>
        <v>8.0023458982680004E-5</v>
      </c>
      <c r="F1300">
        <v>107.137</v>
      </c>
      <c r="G1300" s="1">
        <f t="shared" si="61"/>
        <v>105.059021</v>
      </c>
    </row>
    <row r="1301" spans="1:7" x14ac:dyDescent="0.3">
      <c r="A1301">
        <v>12990</v>
      </c>
      <c r="B1301">
        <v>1143.3</v>
      </c>
      <c r="C1301">
        <v>113.348</v>
      </c>
      <c r="D1301" s="15">
        <f t="shared" si="62"/>
        <v>7.5000000000002839E-5</v>
      </c>
      <c r="E1301" s="14">
        <f t="shared" si="60"/>
        <v>7.9991334299669991E-5</v>
      </c>
      <c r="F1301">
        <v>107.121</v>
      </c>
      <c r="G1301" s="1">
        <f t="shared" si="61"/>
        <v>105.057891</v>
      </c>
    </row>
    <row r="1302" spans="1:7" x14ac:dyDescent="0.3">
      <c r="A1302">
        <v>13000</v>
      </c>
      <c r="B1302">
        <v>1144</v>
      </c>
      <c r="C1302">
        <v>113.34699999999999</v>
      </c>
      <c r="D1302" s="15">
        <f t="shared" si="62"/>
        <v>4.9999999999883471E-5</v>
      </c>
      <c r="E1302" s="14">
        <f t="shared" si="60"/>
        <v>7.9959222299999993E-5</v>
      </c>
      <c r="F1302">
        <v>107.107</v>
      </c>
      <c r="G1302" s="1">
        <f t="shared" si="61"/>
        <v>105.05676100000001</v>
      </c>
    </row>
    <row r="1303" spans="1:7" x14ac:dyDescent="0.3">
      <c r="A1303">
        <v>13010</v>
      </c>
      <c r="B1303">
        <v>1144.8</v>
      </c>
      <c r="C1303">
        <v>113.346</v>
      </c>
      <c r="D1303" s="15">
        <f t="shared" si="62"/>
        <v>7.5000000000002839E-5</v>
      </c>
      <c r="E1303" s="14">
        <f t="shared" si="60"/>
        <v>7.9927122983669996E-5</v>
      </c>
      <c r="F1303">
        <v>107.092</v>
      </c>
      <c r="G1303" s="1">
        <f t="shared" si="61"/>
        <v>105.05563100000001</v>
      </c>
    </row>
    <row r="1304" spans="1:7" x14ac:dyDescent="0.3">
      <c r="A1304">
        <v>13020</v>
      </c>
      <c r="B1304">
        <v>1145.5999999999999</v>
      </c>
      <c r="C1304">
        <v>113.346</v>
      </c>
      <c r="D1304" s="15">
        <f t="shared" si="62"/>
        <v>7.5000000000002839E-5</v>
      </c>
      <c r="E1304" s="14">
        <f t="shared" si="60"/>
        <v>7.989503635068E-5</v>
      </c>
      <c r="F1304">
        <v>107.077</v>
      </c>
      <c r="G1304" s="1">
        <f t="shared" si="61"/>
        <v>105.054501</v>
      </c>
    </row>
    <row r="1305" spans="1:7" x14ac:dyDescent="0.3">
      <c r="A1305">
        <v>13030</v>
      </c>
      <c r="B1305">
        <v>1146.3</v>
      </c>
      <c r="C1305">
        <v>113.345</v>
      </c>
      <c r="D1305" s="15">
        <f t="shared" si="62"/>
        <v>5.0000000000238744E-5</v>
      </c>
      <c r="E1305" s="14">
        <f t="shared" si="60"/>
        <v>7.9862962401030006E-5</v>
      </c>
      <c r="F1305">
        <v>107.063</v>
      </c>
      <c r="G1305" s="1">
        <f t="shared" si="61"/>
        <v>105.053371</v>
      </c>
    </row>
    <row r="1306" spans="1:7" x14ac:dyDescent="0.3">
      <c r="A1306">
        <v>13040</v>
      </c>
      <c r="B1306">
        <v>1147.0999999999999</v>
      </c>
      <c r="C1306">
        <v>113.34399999999999</v>
      </c>
      <c r="D1306" s="15">
        <f t="shared" si="62"/>
        <v>7.5000000000002839E-5</v>
      </c>
      <c r="E1306" s="14">
        <f t="shared" si="60"/>
        <v>7.9830901134719985E-5</v>
      </c>
      <c r="F1306">
        <v>107.048</v>
      </c>
      <c r="G1306" s="1">
        <f t="shared" si="61"/>
        <v>105.05224100000001</v>
      </c>
    </row>
    <row r="1307" spans="1:7" x14ac:dyDescent="0.3">
      <c r="A1307">
        <v>13050</v>
      </c>
      <c r="B1307">
        <v>1147.9000000000001</v>
      </c>
      <c r="C1307">
        <v>113.34399999999999</v>
      </c>
      <c r="D1307" s="15">
        <f t="shared" si="62"/>
        <v>7.5000000000002839E-5</v>
      </c>
      <c r="E1307" s="14">
        <f t="shared" si="60"/>
        <v>7.9798852551749992E-5</v>
      </c>
      <c r="F1307">
        <v>107.033</v>
      </c>
      <c r="G1307" s="1">
        <f t="shared" si="61"/>
        <v>105.05111100000001</v>
      </c>
    </row>
    <row r="1308" spans="1:7" x14ac:dyDescent="0.3">
      <c r="A1308">
        <v>13060</v>
      </c>
      <c r="B1308">
        <v>1148.7</v>
      </c>
      <c r="C1308">
        <v>113.343</v>
      </c>
      <c r="D1308" s="15">
        <f t="shared" si="62"/>
        <v>4.9999999999883471E-5</v>
      </c>
      <c r="E1308" s="14">
        <f t="shared" si="60"/>
        <v>7.9766816652120001E-5</v>
      </c>
      <c r="F1308">
        <v>107.018</v>
      </c>
      <c r="G1308" s="1">
        <f t="shared" si="61"/>
        <v>105.049981</v>
      </c>
    </row>
    <row r="1309" spans="1:7" x14ac:dyDescent="0.3">
      <c r="A1309">
        <v>13070</v>
      </c>
      <c r="B1309">
        <v>1149.5999999999999</v>
      </c>
      <c r="C1309">
        <v>113.342</v>
      </c>
      <c r="D1309" s="15">
        <f t="shared" si="62"/>
        <v>7.5000000000002839E-5</v>
      </c>
      <c r="E1309" s="14">
        <f t="shared" si="60"/>
        <v>7.9734793435829983E-5</v>
      </c>
      <c r="F1309">
        <v>107.004</v>
      </c>
      <c r="G1309" s="1">
        <f t="shared" si="61"/>
        <v>105.048851</v>
      </c>
    </row>
    <row r="1310" spans="1:7" x14ac:dyDescent="0.3">
      <c r="A1310">
        <v>13080</v>
      </c>
      <c r="B1310">
        <v>1150.5</v>
      </c>
      <c r="C1310">
        <v>113.342</v>
      </c>
      <c r="D1310" s="15">
        <f t="shared" si="62"/>
        <v>7.5000000000002839E-5</v>
      </c>
      <c r="E1310" s="14">
        <f t="shared" si="60"/>
        <v>7.9702782902879994E-5</v>
      </c>
      <c r="F1310">
        <v>106.988</v>
      </c>
      <c r="G1310" s="1">
        <f t="shared" si="61"/>
        <v>105.047721</v>
      </c>
    </row>
    <row r="1311" spans="1:7" x14ac:dyDescent="0.3">
      <c r="A1311">
        <v>13090</v>
      </c>
      <c r="B1311">
        <v>1151.4000000000001</v>
      </c>
      <c r="C1311">
        <v>113.34099999999999</v>
      </c>
      <c r="D1311" s="15">
        <f t="shared" si="62"/>
        <v>4.9999999999883471E-5</v>
      </c>
      <c r="E1311" s="14">
        <f t="shared" si="60"/>
        <v>7.9670785053270006E-5</v>
      </c>
      <c r="F1311">
        <v>106.974</v>
      </c>
      <c r="G1311" s="1">
        <f t="shared" si="61"/>
        <v>105.04659100000001</v>
      </c>
    </row>
    <row r="1312" spans="1:7" x14ac:dyDescent="0.3">
      <c r="A1312">
        <v>13100</v>
      </c>
      <c r="B1312">
        <v>1152.2</v>
      </c>
      <c r="C1312">
        <v>113.34</v>
      </c>
      <c r="D1312" s="15">
        <f t="shared" si="62"/>
        <v>7.5000000000002839E-5</v>
      </c>
      <c r="E1312" s="14">
        <f t="shared" si="60"/>
        <v>7.9638799886999991E-5</v>
      </c>
      <c r="F1312">
        <v>106.958</v>
      </c>
      <c r="G1312" s="1">
        <f t="shared" si="61"/>
        <v>105.045461</v>
      </c>
    </row>
    <row r="1313" spans="1:7" x14ac:dyDescent="0.3">
      <c r="A1313">
        <v>13110</v>
      </c>
      <c r="B1313">
        <v>1153.2</v>
      </c>
      <c r="C1313">
        <v>113.34</v>
      </c>
      <c r="D1313" s="15">
        <f t="shared" si="62"/>
        <v>7.5000000000002839E-5</v>
      </c>
      <c r="E1313" s="14">
        <f t="shared" si="60"/>
        <v>7.9606827404070005E-5</v>
      </c>
      <c r="F1313">
        <v>106.944</v>
      </c>
      <c r="G1313" s="1">
        <f t="shared" si="61"/>
        <v>105.044331</v>
      </c>
    </row>
    <row r="1314" spans="1:7" x14ac:dyDescent="0.3">
      <c r="A1314">
        <v>13120</v>
      </c>
      <c r="B1314">
        <v>1154.2</v>
      </c>
      <c r="C1314">
        <v>113.339</v>
      </c>
      <c r="D1314" s="15">
        <f t="shared" si="62"/>
        <v>5.0000000000238744E-5</v>
      </c>
      <c r="E1314" s="14">
        <f t="shared" si="60"/>
        <v>7.9574867604479993E-5</v>
      </c>
      <c r="F1314">
        <v>106.929</v>
      </c>
      <c r="G1314" s="1">
        <f t="shared" si="61"/>
        <v>105.043201</v>
      </c>
    </row>
    <row r="1315" spans="1:7" x14ac:dyDescent="0.3">
      <c r="A1315">
        <v>13130</v>
      </c>
      <c r="B1315">
        <v>1155.3</v>
      </c>
      <c r="C1315">
        <v>113.33799999999999</v>
      </c>
      <c r="D1315" s="15">
        <f t="shared" si="62"/>
        <v>7.5000000000002839E-5</v>
      </c>
      <c r="E1315" s="14">
        <f t="shared" si="60"/>
        <v>7.9542920488229996E-5</v>
      </c>
      <c r="F1315">
        <v>106.914</v>
      </c>
      <c r="G1315" s="1">
        <f t="shared" si="61"/>
        <v>105.04207100000001</v>
      </c>
    </row>
    <row r="1316" spans="1:7" x14ac:dyDescent="0.3">
      <c r="A1316">
        <v>13140</v>
      </c>
      <c r="B1316">
        <v>1156.3</v>
      </c>
      <c r="C1316">
        <v>113.33799999999999</v>
      </c>
      <c r="D1316" s="15">
        <f t="shared" si="62"/>
        <v>7.5000000000002839E-5</v>
      </c>
      <c r="E1316" s="14">
        <f t="shared" si="60"/>
        <v>7.951098605532E-5</v>
      </c>
      <c r="F1316">
        <v>106.899</v>
      </c>
      <c r="G1316" s="1">
        <f t="shared" si="61"/>
        <v>105.040941</v>
      </c>
    </row>
    <row r="1317" spans="1:7" x14ac:dyDescent="0.3">
      <c r="A1317">
        <v>13150</v>
      </c>
      <c r="B1317">
        <v>1157.4000000000001</v>
      </c>
      <c r="C1317">
        <v>113.337</v>
      </c>
      <c r="D1317" s="15">
        <f t="shared" si="62"/>
        <v>4.9999999999883471E-5</v>
      </c>
      <c r="E1317" s="14">
        <f t="shared" si="60"/>
        <v>7.9479064305749991E-5</v>
      </c>
      <c r="F1317">
        <v>106.88500000000001</v>
      </c>
      <c r="G1317" s="1">
        <f t="shared" si="61"/>
        <v>105.039811</v>
      </c>
    </row>
    <row r="1318" spans="1:7" x14ac:dyDescent="0.3">
      <c r="A1318">
        <v>13160</v>
      </c>
      <c r="B1318">
        <v>1158.5999999999999</v>
      </c>
      <c r="C1318">
        <v>113.336</v>
      </c>
      <c r="D1318" s="15">
        <f t="shared" si="62"/>
        <v>7.5000000000002839E-5</v>
      </c>
      <c r="E1318" s="14">
        <f t="shared" si="60"/>
        <v>7.9447155239519997E-5</v>
      </c>
      <c r="F1318">
        <v>106.869</v>
      </c>
      <c r="G1318" s="1">
        <f t="shared" si="61"/>
        <v>105.038681</v>
      </c>
    </row>
    <row r="1319" spans="1:7" x14ac:dyDescent="0.3">
      <c r="A1319">
        <v>13170</v>
      </c>
      <c r="B1319">
        <v>1159.7</v>
      </c>
      <c r="C1319">
        <v>113.336</v>
      </c>
      <c r="D1319" s="15">
        <f t="shared" si="62"/>
        <v>7.5000000000002839E-5</v>
      </c>
      <c r="E1319" s="14">
        <f t="shared" si="60"/>
        <v>7.9415258856630004E-5</v>
      </c>
      <c r="F1319">
        <v>106.855</v>
      </c>
      <c r="G1319" s="1">
        <f t="shared" si="61"/>
        <v>105.03755100000001</v>
      </c>
    </row>
    <row r="1320" spans="1:7" x14ac:dyDescent="0.3">
      <c r="A1320">
        <v>13180</v>
      </c>
      <c r="B1320">
        <v>1161</v>
      </c>
      <c r="C1320">
        <v>113.33499999999999</v>
      </c>
      <c r="D1320" s="15">
        <f t="shared" si="62"/>
        <v>4.9999999999883471E-5</v>
      </c>
      <c r="E1320" s="14">
        <f t="shared" si="60"/>
        <v>7.9383375157079998E-5</v>
      </c>
      <c r="F1320">
        <v>106.84</v>
      </c>
      <c r="G1320" s="1">
        <f t="shared" si="61"/>
        <v>105.036421</v>
      </c>
    </row>
    <row r="1321" spans="1:7" x14ac:dyDescent="0.3">
      <c r="A1321">
        <v>13190</v>
      </c>
      <c r="B1321">
        <v>1162.3</v>
      </c>
      <c r="C1321">
        <v>113.334</v>
      </c>
      <c r="D1321" s="15">
        <f t="shared" si="62"/>
        <v>7.5000000000002839E-5</v>
      </c>
      <c r="E1321" s="14">
        <f t="shared" si="60"/>
        <v>7.9351504140869994E-5</v>
      </c>
      <c r="F1321">
        <v>106.825</v>
      </c>
      <c r="G1321" s="1">
        <f t="shared" si="61"/>
        <v>105.035291</v>
      </c>
    </row>
    <row r="1322" spans="1:7" x14ac:dyDescent="0.3">
      <c r="A1322">
        <v>13200</v>
      </c>
      <c r="B1322">
        <v>1163.4000000000001</v>
      </c>
      <c r="C1322">
        <v>113.334</v>
      </c>
      <c r="D1322" s="15">
        <f t="shared" si="62"/>
        <v>7.5000000000002839E-5</v>
      </c>
      <c r="E1322" s="14">
        <f t="shared" si="60"/>
        <v>7.9319645808000004E-5</v>
      </c>
      <c r="F1322">
        <v>106.81100000000001</v>
      </c>
      <c r="G1322" s="1">
        <f t="shared" si="61"/>
        <v>105.034161</v>
      </c>
    </row>
    <row r="1323" spans="1:7" x14ac:dyDescent="0.3">
      <c r="A1323">
        <v>13210</v>
      </c>
      <c r="B1323">
        <v>1164.4000000000001</v>
      </c>
      <c r="C1323">
        <v>113.333</v>
      </c>
      <c r="D1323" s="15">
        <f t="shared" si="62"/>
        <v>5.0000000000238744E-5</v>
      </c>
      <c r="E1323" s="14">
        <f t="shared" si="60"/>
        <v>7.9287800158469988E-5</v>
      </c>
      <c r="F1323">
        <v>106.79600000000001</v>
      </c>
      <c r="G1323" s="1">
        <f t="shared" si="61"/>
        <v>105.03303100000001</v>
      </c>
    </row>
    <row r="1324" spans="1:7" x14ac:dyDescent="0.3">
      <c r="A1324">
        <v>13220</v>
      </c>
      <c r="B1324">
        <v>1165.5</v>
      </c>
      <c r="C1324">
        <v>113.33199999999999</v>
      </c>
      <c r="D1324" s="15">
        <f t="shared" si="62"/>
        <v>7.5000000000002839E-5</v>
      </c>
      <c r="E1324" s="14">
        <f t="shared" si="60"/>
        <v>7.925596719228E-5</v>
      </c>
      <c r="F1324">
        <v>106.78100000000001</v>
      </c>
      <c r="G1324" s="1">
        <f t="shared" si="61"/>
        <v>105.031901</v>
      </c>
    </row>
    <row r="1325" spans="1:7" x14ac:dyDescent="0.3">
      <c r="A1325">
        <v>13230</v>
      </c>
      <c r="B1325">
        <v>1166.5</v>
      </c>
      <c r="C1325">
        <v>113.33199999999999</v>
      </c>
      <c r="D1325" s="15">
        <f t="shared" si="62"/>
        <v>7.5000000000002839E-5</v>
      </c>
      <c r="E1325" s="14">
        <f t="shared" si="60"/>
        <v>7.9224146909429987E-5</v>
      </c>
      <c r="F1325">
        <v>106.76600000000001</v>
      </c>
      <c r="G1325" s="1">
        <f t="shared" si="61"/>
        <v>105.030771</v>
      </c>
    </row>
    <row r="1326" spans="1:7" x14ac:dyDescent="0.3">
      <c r="A1326">
        <v>13240</v>
      </c>
      <c r="B1326">
        <v>1167.5999999999999</v>
      </c>
      <c r="C1326">
        <v>113.331</v>
      </c>
      <c r="D1326" s="15">
        <f t="shared" si="62"/>
        <v>4.9999999999883471E-5</v>
      </c>
      <c r="E1326" s="14">
        <f t="shared" si="60"/>
        <v>7.9192339309919988E-5</v>
      </c>
      <c r="F1326">
        <v>106.752</v>
      </c>
      <c r="G1326" s="1">
        <f t="shared" si="61"/>
        <v>105.029641</v>
      </c>
    </row>
    <row r="1327" spans="1:7" x14ac:dyDescent="0.3">
      <c r="A1327">
        <v>13250</v>
      </c>
      <c r="B1327">
        <v>1168.7</v>
      </c>
      <c r="C1327">
        <v>113.33</v>
      </c>
      <c r="D1327" s="15">
        <f t="shared" si="62"/>
        <v>7.5000000000002839E-5</v>
      </c>
      <c r="E1327" s="14">
        <f t="shared" si="60"/>
        <v>7.9160544393750004E-5</v>
      </c>
      <c r="F1327">
        <v>106.736</v>
      </c>
      <c r="G1327" s="1">
        <f t="shared" si="61"/>
        <v>105.02851100000001</v>
      </c>
    </row>
    <row r="1328" spans="1:7" x14ac:dyDescent="0.3">
      <c r="A1328">
        <v>13260</v>
      </c>
      <c r="B1328">
        <v>1169.8</v>
      </c>
      <c r="C1328">
        <v>113.33</v>
      </c>
      <c r="D1328" s="15">
        <f t="shared" si="62"/>
        <v>5.0000000000238744E-5</v>
      </c>
      <c r="E1328" s="14">
        <f t="shared" si="60"/>
        <v>7.9128762160919993E-5</v>
      </c>
      <c r="F1328">
        <v>106.72199999999999</v>
      </c>
      <c r="G1328" s="1">
        <f t="shared" si="61"/>
        <v>105.02738100000001</v>
      </c>
    </row>
    <row r="1329" spans="1:7" x14ac:dyDescent="0.3">
      <c r="A1329">
        <v>13270</v>
      </c>
      <c r="B1329">
        <v>1171</v>
      </c>
      <c r="C1329">
        <v>113.32899999999999</v>
      </c>
      <c r="D1329" s="15">
        <f t="shared" si="62"/>
        <v>4.9999999999883471E-5</v>
      </c>
      <c r="E1329" s="14">
        <f t="shared" si="60"/>
        <v>7.9096992611429998E-5</v>
      </c>
      <c r="F1329">
        <v>106.70699999999999</v>
      </c>
      <c r="G1329" s="1">
        <f t="shared" si="61"/>
        <v>105.026251</v>
      </c>
    </row>
    <row r="1330" spans="1:7" x14ac:dyDescent="0.3">
      <c r="A1330">
        <v>13280</v>
      </c>
      <c r="B1330">
        <v>1172</v>
      </c>
      <c r="C1330">
        <v>113.32899999999999</v>
      </c>
      <c r="D1330" s="15">
        <f t="shared" si="62"/>
        <v>7.5000000000002839E-5</v>
      </c>
      <c r="E1330" s="14">
        <f t="shared" si="60"/>
        <v>7.9065235745280003E-5</v>
      </c>
      <c r="F1330">
        <v>106.69199999999999</v>
      </c>
      <c r="G1330" s="1">
        <f t="shared" si="61"/>
        <v>105.025121</v>
      </c>
    </row>
    <row r="1331" spans="1:7" x14ac:dyDescent="0.3">
      <c r="A1331">
        <v>13290</v>
      </c>
      <c r="B1331">
        <v>1173.0999999999999</v>
      </c>
      <c r="C1331">
        <v>113.328</v>
      </c>
      <c r="D1331" s="15">
        <f t="shared" si="62"/>
        <v>7.5000000000002839E-5</v>
      </c>
      <c r="E1331" s="14">
        <f t="shared" si="60"/>
        <v>7.9033491562469996E-5</v>
      </c>
      <c r="F1331">
        <v>106.67700000000001</v>
      </c>
      <c r="G1331" s="1">
        <f t="shared" si="61"/>
        <v>105.02399100000001</v>
      </c>
    </row>
    <row r="1332" spans="1:7" x14ac:dyDescent="0.3">
      <c r="A1332">
        <v>13300</v>
      </c>
      <c r="B1332">
        <v>1174.2</v>
      </c>
      <c r="C1332">
        <v>113.327</v>
      </c>
      <c r="D1332" s="15">
        <f t="shared" si="62"/>
        <v>7.5000000000002839E-5</v>
      </c>
      <c r="E1332" s="14">
        <f t="shared" si="60"/>
        <v>7.900176006299999E-5</v>
      </c>
      <c r="F1332">
        <v>106.663</v>
      </c>
      <c r="G1332" s="1">
        <f t="shared" si="61"/>
        <v>105.02286100000001</v>
      </c>
    </row>
    <row r="1333" spans="1:7" x14ac:dyDescent="0.3">
      <c r="A1333">
        <v>13310</v>
      </c>
      <c r="B1333">
        <v>1175.3</v>
      </c>
      <c r="C1333">
        <v>113.32599999999999</v>
      </c>
      <c r="D1333" s="15">
        <f t="shared" si="62"/>
        <v>7.5000000000002839E-5</v>
      </c>
      <c r="E1333" s="14">
        <f t="shared" si="60"/>
        <v>7.8970041246869999E-5</v>
      </c>
      <c r="F1333">
        <v>106.64700000000001</v>
      </c>
      <c r="G1333" s="1">
        <f t="shared" si="61"/>
        <v>105.021731</v>
      </c>
    </row>
    <row r="1334" spans="1:7" x14ac:dyDescent="0.3">
      <c r="A1334">
        <v>13320</v>
      </c>
      <c r="B1334">
        <v>1176.5</v>
      </c>
      <c r="C1334">
        <v>113.32599999999999</v>
      </c>
      <c r="D1334" s="15">
        <f t="shared" si="62"/>
        <v>4.9999999999883471E-5</v>
      </c>
      <c r="E1334" s="14">
        <f t="shared" si="60"/>
        <v>7.8938335114079995E-5</v>
      </c>
      <c r="F1334">
        <v>106.633</v>
      </c>
      <c r="G1334" s="1">
        <f t="shared" si="61"/>
        <v>105.020601</v>
      </c>
    </row>
    <row r="1335" spans="1:7" x14ac:dyDescent="0.3">
      <c r="A1335">
        <v>13330</v>
      </c>
      <c r="B1335">
        <v>1177.5999999999999</v>
      </c>
      <c r="C1335">
        <v>113.325</v>
      </c>
      <c r="D1335" s="15">
        <f t="shared" si="62"/>
        <v>4.9999999999883471E-5</v>
      </c>
      <c r="E1335" s="14">
        <f t="shared" si="60"/>
        <v>7.8906641664629992E-5</v>
      </c>
      <c r="F1335">
        <v>106.61799999999999</v>
      </c>
      <c r="G1335" s="1">
        <f t="shared" si="61"/>
        <v>105.01947100000001</v>
      </c>
    </row>
    <row r="1336" spans="1:7" x14ac:dyDescent="0.3">
      <c r="A1336">
        <v>13340</v>
      </c>
      <c r="B1336">
        <v>1178.8</v>
      </c>
      <c r="C1336">
        <v>113.325</v>
      </c>
      <c r="D1336" s="15">
        <f t="shared" si="62"/>
        <v>7.5000000000002839E-5</v>
      </c>
      <c r="E1336" s="14">
        <f t="shared" si="60"/>
        <v>7.8874960898519991E-5</v>
      </c>
      <c r="F1336">
        <v>106.60299999999999</v>
      </c>
      <c r="G1336" s="1">
        <f t="shared" si="61"/>
        <v>105.01834100000001</v>
      </c>
    </row>
    <row r="1337" spans="1:7" x14ac:dyDescent="0.3">
      <c r="A1337">
        <v>13350</v>
      </c>
      <c r="B1337">
        <v>1179.9000000000001</v>
      </c>
      <c r="C1337">
        <v>113.324</v>
      </c>
      <c r="D1337" s="15">
        <f t="shared" si="62"/>
        <v>7.5000000000002839E-5</v>
      </c>
      <c r="E1337" s="14">
        <f t="shared" si="60"/>
        <v>7.884329281574999E-5</v>
      </c>
      <c r="F1337">
        <v>106.58799999999999</v>
      </c>
      <c r="G1337" s="1">
        <f t="shared" si="61"/>
        <v>105.017211</v>
      </c>
    </row>
    <row r="1338" spans="1:7" x14ac:dyDescent="0.3">
      <c r="A1338">
        <v>13360</v>
      </c>
      <c r="B1338">
        <v>1181.2</v>
      </c>
      <c r="C1338">
        <v>113.32299999999999</v>
      </c>
      <c r="D1338" s="15">
        <f t="shared" si="62"/>
        <v>7.5000000000002839E-5</v>
      </c>
      <c r="E1338" s="14">
        <f t="shared" si="60"/>
        <v>7.8811637416320004E-5</v>
      </c>
      <c r="F1338">
        <v>106.57299999999999</v>
      </c>
      <c r="G1338" s="1">
        <f t="shared" si="61"/>
        <v>105.016081</v>
      </c>
    </row>
    <row r="1339" spans="1:7" x14ac:dyDescent="0.3">
      <c r="A1339">
        <v>13370</v>
      </c>
      <c r="B1339">
        <v>1182.4000000000001</v>
      </c>
      <c r="C1339">
        <v>113.322</v>
      </c>
      <c r="D1339" s="15">
        <f t="shared" si="62"/>
        <v>7.5000000000002839E-5</v>
      </c>
      <c r="E1339" s="14">
        <f t="shared" si="60"/>
        <v>7.8779994700229993E-5</v>
      </c>
      <c r="F1339">
        <v>106.55800000000001</v>
      </c>
      <c r="G1339" s="1">
        <f t="shared" si="61"/>
        <v>105.014951</v>
      </c>
    </row>
    <row r="1340" spans="1:7" x14ac:dyDescent="0.3">
      <c r="A1340">
        <v>13380</v>
      </c>
      <c r="B1340">
        <v>1183.5999999999999</v>
      </c>
      <c r="C1340">
        <v>113.322</v>
      </c>
      <c r="D1340" s="15">
        <f t="shared" si="62"/>
        <v>4.9999999999883471E-5</v>
      </c>
      <c r="E1340" s="14">
        <f t="shared" si="60"/>
        <v>7.8748364667479995E-5</v>
      </c>
      <c r="F1340">
        <v>106.544</v>
      </c>
      <c r="G1340" s="1">
        <f t="shared" si="61"/>
        <v>105.01382100000001</v>
      </c>
    </row>
    <row r="1341" spans="1:7" x14ac:dyDescent="0.3">
      <c r="A1341">
        <v>13390</v>
      </c>
      <c r="B1341">
        <v>1184.9000000000001</v>
      </c>
      <c r="C1341">
        <v>113.321</v>
      </c>
      <c r="D1341" s="15">
        <f t="shared" si="62"/>
        <v>5.0000000000238744E-5</v>
      </c>
      <c r="E1341" s="14">
        <f t="shared" si="60"/>
        <v>7.8716747318069999E-5</v>
      </c>
      <c r="F1341">
        <v>106.529</v>
      </c>
      <c r="G1341" s="1">
        <f t="shared" si="61"/>
        <v>105.012691</v>
      </c>
    </row>
    <row r="1342" spans="1:7" x14ac:dyDescent="0.3">
      <c r="A1342">
        <v>13400</v>
      </c>
      <c r="B1342">
        <v>1186.2</v>
      </c>
      <c r="C1342">
        <v>113.321</v>
      </c>
      <c r="D1342" s="15">
        <f t="shared" si="62"/>
        <v>7.5000000000002839E-5</v>
      </c>
      <c r="E1342" s="14">
        <f t="shared" si="60"/>
        <v>7.8685142651999991E-5</v>
      </c>
      <c r="F1342">
        <v>106.514</v>
      </c>
      <c r="G1342" s="1">
        <f t="shared" si="61"/>
        <v>105.011561</v>
      </c>
    </row>
    <row r="1343" spans="1:7" x14ac:dyDescent="0.3">
      <c r="A1343">
        <v>13410</v>
      </c>
      <c r="B1343">
        <v>1187.4000000000001</v>
      </c>
      <c r="C1343">
        <v>113.32</v>
      </c>
      <c r="D1343" s="15">
        <f t="shared" si="62"/>
        <v>7.5000000000002839E-5</v>
      </c>
      <c r="E1343" s="14">
        <f t="shared" si="60"/>
        <v>7.8653550669269997E-5</v>
      </c>
      <c r="F1343">
        <v>106.5</v>
      </c>
      <c r="G1343" s="1">
        <f t="shared" si="61"/>
        <v>105.010431</v>
      </c>
    </row>
    <row r="1344" spans="1:7" x14ac:dyDescent="0.3">
      <c r="A1344">
        <v>13420</v>
      </c>
      <c r="B1344">
        <v>1188.5</v>
      </c>
      <c r="C1344">
        <v>113.319</v>
      </c>
      <c r="D1344" s="15">
        <f t="shared" si="62"/>
        <v>7.5000000000002839E-5</v>
      </c>
      <c r="E1344" s="14">
        <f t="shared" si="60"/>
        <v>7.862197136987999E-5</v>
      </c>
      <c r="F1344">
        <v>106.48399999999999</v>
      </c>
      <c r="G1344" s="1">
        <f t="shared" si="61"/>
        <v>105.00930100000001</v>
      </c>
    </row>
    <row r="1345" spans="1:7" x14ac:dyDescent="0.3">
      <c r="A1345">
        <v>13430</v>
      </c>
      <c r="B1345">
        <v>1189.5</v>
      </c>
      <c r="C1345">
        <v>113.318</v>
      </c>
      <c r="D1345" s="15">
        <f t="shared" si="62"/>
        <v>7.5000000000002839E-5</v>
      </c>
      <c r="E1345" s="14">
        <f t="shared" si="60"/>
        <v>7.8590404753829999E-5</v>
      </c>
      <c r="F1345">
        <v>106.47</v>
      </c>
      <c r="G1345" s="1">
        <f t="shared" si="61"/>
        <v>105.008171</v>
      </c>
    </row>
    <row r="1346" spans="1:7" x14ac:dyDescent="0.3">
      <c r="A1346">
        <v>13440</v>
      </c>
      <c r="B1346">
        <v>1190.5999999999999</v>
      </c>
      <c r="C1346">
        <v>113.318</v>
      </c>
      <c r="D1346" s="15">
        <f t="shared" si="62"/>
        <v>5.0000000000238744E-5</v>
      </c>
      <c r="E1346" s="14">
        <f t="shared" ref="E1346:E1409" si="63">0.0000000000000634167*A1346*A1346 - 0.0000000048594*A1346 + 0.000132414</f>
        <v>7.8558850821119994E-5</v>
      </c>
      <c r="F1346">
        <v>106.455</v>
      </c>
      <c r="G1346" s="1">
        <f t="shared" si="61"/>
        <v>105.007041</v>
      </c>
    </row>
    <row r="1347" spans="1:7" x14ac:dyDescent="0.3">
      <c r="A1347">
        <v>13450</v>
      </c>
      <c r="B1347">
        <v>1191.5999999999999</v>
      </c>
      <c r="C1347">
        <v>113.31699999999999</v>
      </c>
      <c r="D1347" s="15">
        <f t="shared" si="62"/>
        <v>4.9999999999883471E-5</v>
      </c>
      <c r="E1347" s="14">
        <f t="shared" si="63"/>
        <v>7.8527309571749991E-5</v>
      </c>
      <c r="F1347">
        <v>106.44</v>
      </c>
      <c r="G1347" s="1">
        <f t="shared" ref="G1347:G1410" si="64">-0.000113*A1347 + 106.525761</f>
        <v>105.005911</v>
      </c>
    </row>
    <row r="1348" spans="1:7" x14ac:dyDescent="0.3">
      <c r="A1348">
        <v>13460</v>
      </c>
      <c r="B1348">
        <v>1192.5999999999999</v>
      </c>
      <c r="C1348">
        <v>113.31699999999999</v>
      </c>
      <c r="D1348" s="15">
        <f t="shared" si="62"/>
        <v>7.5000000000002839E-5</v>
      </c>
      <c r="E1348" s="14">
        <f t="shared" si="63"/>
        <v>7.8495781005719989E-5</v>
      </c>
      <c r="F1348">
        <v>106.425</v>
      </c>
      <c r="G1348" s="1">
        <f t="shared" si="64"/>
        <v>105.00478100000001</v>
      </c>
    </row>
    <row r="1349" spans="1:7" x14ac:dyDescent="0.3">
      <c r="A1349">
        <v>13470</v>
      </c>
      <c r="B1349">
        <v>1193.5999999999999</v>
      </c>
      <c r="C1349">
        <v>113.316</v>
      </c>
      <c r="D1349" s="15">
        <f t="shared" ref="D1349:D1412" si="65">(C1347-C1351)/(A1351-A1347)</f>
        <v>7.5000000000002839E-5</v>
      </c>
      <c r="E1349" s="14">
        <f t="shared" si="63"/>
        <v>7.8464265123030002E-5</v>
      </c>
      <c r="F1349">
        <v>106.411</v>
      </c>
      <c r="G1349" s="1">
        <f t="shared" si="64"/>
        <v>105.003651</v>
      </c>
    </row>
    <row r="1350" spans="1:7" x14ac:dyDescent="0.3">
      <c r="A1350">
        <v>13480</v>
      </c>
      <c r="B1350">
        <v>1197.4000000000001</v>
      </c>
      <c r="C1350">
        <v>113.315</v>
      </c>
      <c r="D1350" s="15">
        <f t="shared" si="65"/>
        <v>7.5000000000002839E-5</v>
      </c>
      <c r="E1350" s="14">
        <f t="shared" si="63"/>
        <v>7.8432761923679989E-5</v>
      </c>
      <c r="F1350">
        <v>106.398</v>
      </c>
      <c r="G1350" s="1">
        <f t="shared" si="64"/>
        <v>105.002521</v>
      </c>
    </row>
    <row r="1351" spans="1:7" x14ac:dyDescent="0.3">
      <c r="A1351">
        <v>13490</v>
      </c>
      <c r="B1351">
        <v>1199.9000000000001</v>
      </c>
      <c r="C1351">
        <v>113.31399999999999</v>
      </c>
      <c r="D1351" s="15">
        <f t="shared" si="65"/>
        <v>7.5000000000002839E-5</v>
      </c>
      <c r="E1351" s="14">
        <f t="shared" si="63"/>
        <v>7.840127140766999E-5</v>
      </c>
      <c r="F1351">
        <v>106.38800000000001</v>
      </c>
      <c r="G1351" s="1">
        <f t="shared" si="64"/>
        <v>105.001391</v>
      </c>
    </row>
    <row r="1352" spans="1:7" x14ac:dyDescent="0.3">
      <c r="A1352">
        <v>13500</v>
      </c>
      <c r="B1352">
        <v>1202.5</v>
      </c>
      <c r="C1352">
        <v>113.31399999999999</v>
      </c>
      <c r="D1352" s="15">
        <f t="shared" si="65"/>
        <v>4.9999999999883471E-5</v>
      </c>
      <c r="E1352" s="14">
        <f t="shared" si="63"/>
        <v>7.8369793574999992E-5</v>
      </c>
      <c r="F1352">
        <v>106.377</v>
      </c>
      <c r="G1352" s="1">
        <f t="shared" si="64"/>
        <v>105.00026100000001</v>
      </c>
    </row>
    <row r="1353" spans="1:7" x14ac:dyDescent="0.3">
      <c r="A1353">
        <v>13510</v>
      </c>
      <c r="B1353">
        <v>1205</v>
      </c>
      <c r="C1353">
        <v>113.313</v>
      </c>
      <c r="D1353" s="15">
        <f t="shared" si="65"/>
        <v>4.9999999999883471E-5</v>
      </c>
      <c r="E1353" s="14">
        <f t="shared" si="63"/>
        <v>7.8338328425669996E-5</v>
      </c>
      <c r="F1353">
        <v>106.367</v>
      </c>
      <c r="G1353" s="1">
        <f t="shared" si="64"/>
        <v>104.99913100000001</v>
      </c>
    </row>
    <row r="1354" spans="1:7" x14ac:dyDescent="0.3">
      <c r="A1354">
        <v>13520</v>
      </c>
      <c r="B1354">
        <v>1207.5999999999999</v>
      </c>
      <c r="C1354">
        <v>113.313</v>
      </c>
      <c r="D1354" s="15">
        <f t="shared" si="65"/>
        <v>7.4999999999647574E-5</v>
      </c>
      <c r="E1354" s="14">
        <f t="shared" si="63"/>
        <v>7.830687595968E-5</v>
      </c>
      <c r="F1354">
        <v>106.357</v>
      </c>
      <c r="G1354" s="1">
        <f t="shared" si="64"/>
        <v>104.998001</v>
      </c>
    </row>
    <row r="1355" spans="1:7" x14ac:dyDescent="0.3">
      <c r="A1355">
        <v>13530</v>
      </c>
      <c r="B1355">
        <v>1210.0999999999999</v>
      </c>
      <c r="C1355">
        <v>113.312</v>
      </c>
      <c r="D1355" s="15">
        <f t="shared" si="65"/>
        <v>7.5000000000002839E-5</v>
      </c>
      <c r="E1355" s="14">
        <f t="shared" si="63"/>
        <v>7.8275436177029992E-5</v>
      </c>
      <c r="F1355">
        <v>106.34699999999999</v>
      </c>
      <c r="G1355" s="1">
        <f t="shared" si="64"/>
        <v>104.996871</v>
      </c>
    </row>
    <row r="1356" spans="1:7" x14ac:dyDescent="0.3">
      <c r="A1356">
        <v>13540</v>
      </c>
      <c r="B1356">
        <v>1212.7</v>
      </c>
      <c r="C1356">
        <v>113.31100000000001</v>
      </c>
      <c r="D1356" s="15">
        <f t="shared" si="65"/>
        <v>7.5000000000002839E-5</v>
      </c>
      <c r="E1356" s="14">
        <f t="shared" si="63"/>
        <v>7.8244009077719999E-5</v>
      </c>
      <c r="F1356">
        <v>106.336</v>
      </c>
      <c r="G1356" s="1">
        <f t="shared" si="64"/>
        <v>104.99574100000001</v>
      </c>
    </row>
    <row r="1357" spans="1:7" x14ac:dyDescent="0.3">
      <c r="A1357">
        <v>13550</v>
      </c>
      <c r="B1357">
        <v>1215.2</v>
      </c>
      <c r="C1357">
        <v>113.31</v>
      </c>
      <c r="D1357" s="15">
        <f t="shared" si="65"/>
        <v>7.5000000000002839E-5</v>
      </c>
      <c r="E1357" s="14">
        <f t="shared" si="63"/>
        <v>7.8212594661749993E-5</v>
      </c>
      <c r="F1357">
        <v>106.32599999999999</v>
      </c>
      <c r="G1357" s="1">
        <f t="shared" si="64"/>
        <v>104.99461100000001</v>
      </c>
    </row>
    <row r="1358" spans="1:7" x14ac:dyDescent="0.3">
      <c r="A1358">
        <v>13560</v>
      </c>
      <c r="B1358">
        <v>1217.8</v>
      </c>
      <c r="C1358">
        <v>113.31</v>
      </c>
      <c r="D1358" s="15">
        <f t="shared" si="65"/>
        <v>7.5000000000002839E-5</v>
      </c>
      <c r="E1358" s="14">
        <f t="shared" si="63"/>
        <v>7.8181192929119989E-5</v>
      </c>
      <c r="F1358">
        <v>106.315</v>
      </c>
      <c r="G1358" s="1">
        <f t="shared" si="64"/>
        <v>104.993481</v>
      </c>
    </row>
    <row r="1359" spans="1:7" x14ac:dyDescent="0.3">
      <c r="A1359">
        <v>13570</v>
      </c>
      <c r="B1359">
        <v>1220.3</v>
      </c>
      <c r="C1359">
        <v>113.309</v>
      </c>
      <c r="D1359" s="15">
        <f t="shared" si="65"/>
        <v>4.9999999999883471E-5</v>
      </c>
      <c r="E1359" s="14">
        <f t="shared" si="63"/>
        <v>7.8149803879829999E-5</v>
      </c>
      <c r="F1359">
        <v>106.306</v>
      </c>
      <c r="G1359" s="1">
        <f t="shared" si="64"/>
        <v>104.992351</v>
      </c>
    </row>
    <row r="1360" spans="1:7" x14ac:dyDescent="0.3">
      <c r="A1360">
        <v>13580</v>
      </c>
      <c r="B1360">
        <v>1222.8</v>
      </c>
      <c r="C1360">
        <v>113.30800000000001</v>
      </c>
      <c r="D1360" s="15">
        <f t="shared" si="65"/>
        <v>7.5000000000002839E-5</v>
      </c>
      <c r="E1360" s="14">
        <f t="shared" si="63"/>
        <v>7.8118427513879996E-5</v>
      </c>
      <c r="F1360">
        <v>106.295</v>
      </c>
      <c r="G1360" s="1">
        <f t="shared" si="64"/>
        <v>104.991221</v>
      </c>
    </row>
    <row r="1361" spans="1:7" x14ac:dyDescent="0.3">
      <c r="A1361">
        <v>13590</v>
      </c>
      <c r="B1361">
        <v>1225.4000000000001</v>
      </c>
      <c r="C1361">
        <v>113.30800000000001</v>
      </c>
      <c r="D1361" s="15">
        <f t="shared" si="65"/>
        <v>7.5000000000002839E-5</v>
      </c>
      <c r="E1361" s="14">
        <f t="shared" si="63"/>
        <v>7.8087063831269995E-5</v>
      </c>
      <c r="F1361">
        <v>106.285</v>
      </c>
      <c r="G1361" s="1">
        <f t="shared" si="64"/>
        <v>104.99009100000001</v>
      </c>
    </row>
    <row r="1362" spans="1:7" x14ac:dyDescent="0.3">
      <c r="A1362">
        <v>13600</v>
      </c>
      <c r="B1362">
        <v>1227.8</v>
      </c>
      <c r="C1362">
        <v>113.307</v>
      </c>
      <c r="D1362" s="15">
        <f t="shared" si="65"/>
        <v>5.0000000000238744E-5</v>
      </c>
      <c r="E1362" s="14">
        <f t="shared" si="63"/>
        <v>7.8055712831999994E-5</v>
      </c>
      <c r="F1362">
        <v>106.274</v>
      </c>
      <c r="G1362" s="1">
        <f t="shared" si="64"/>
        <v>104.988961</v>
      </c>
    </row>
    <row r="1363" spans="1:7" x14ac:dyDescent="0.3">
      <c r="A1363">
        <v>13610</v>
      </c>
      <c r="B1363">
        <v>1230.4000000000001</v>
      </c>
      <c r="C1363">
        <v>113.306</v>
      </c>
      <c r="D1363" s="15">
        <f t="shared" si="65"/>
        <v>7.5000000000002839E-5</v>
      </c>
      <c r="E1363" s="14">
        <f t="shared" si="63"/>
        <v>7.8024374516069982E-5</v>
      </c>
      <c r="F1363">
        <v>106.265</v>
      </c>
      <c r="G1363" s="1">
        <f t="shared" si="64"/>
        <v>104.987831</v>
      </c>
    </row>
    <row r="1364" spans="1:7" x14ac:dyDescent="0.3">
      <c r="A1364">
        <v>13620</v>
      </c>
      <c r="B1364">
        <v>1232.9000000000001</v>
      </c>
      <c r="C1364">
        <v>113.306</v>
      </c>
      <c r="D1364" s="15">
        <f t="shared" si="65"/>
        <v>7.5000000000002839E-5</v>
      </c>
      <c r="E1364" s="14">
        <f t="shared" si="63"/>
        <v>7.7993048883479997E-5</v>
      </c>
      <c r="F1364">
        <v>106.254</v>
      </c>
      <c r="G1364" s="1">
        <f t="shared" si="64"/>
        <v>104.986701</v>
      </c>
    </row>
    <row r="1365" spans="1:7" x14ac:dyDescent="0.3">
      <c r="A1365">
        <v>13630</v>
      </c>
      <c r="B1365">
        <v>1235.4000000000001</v>
      </c>
      <c r="C1365">
        <v>113.30500000000001</v>
      </c>
      <c r="D1365" s="15">
        <f t="shared" si="65"/>
        <v>7.5000000000002839E-5</v>
      </c>
      <c r="E1365" s="14">
        <f t="shared" si="63"/>
        <v>7.796173593423E-5</v>
      </c>
      <c r="F1365">
        <v>106.244</v>
      </c>
      <c r="G1365" s="1">
        <f t="shared" si="64"/>
        <v>104.98557100000001</v>
      </c>
    </row>
    <row r="1366" spans="1:7" x14ac:dyDescent="0.3">
      <c r="A1366">
        <v>13640</v>
      </c>
      <c r="B1366">
        <v>1238</v>
      </c>
      <c r="C1366">
        <v>113.304</v>
      </c>
      <c r="D1366" s="15">
        <f t="shared" si="65"/>
        <v>7.5000000000002839E-5</v>
      </c>
      <c r="E1366" s="14">
        <f t="shared" si="63"/>
        <v>7.7930435668319991E-5</v>
      </c>
      <c r="F1366">
        <v>106.233</v>
      </c>
      <c r="G1366" s="1">
        <f t="shared" si="64"/>
        <v>104.984441</v>
      </c>
    </row>
    <row r="1367" spans="1:7" x14ac:dyDescent="0.3">
      <c r="A1367">
        <v>13650</v>
      </c>
      <c r="B1367">
        <v>1240.5</v>
      </c>
      <c r="C1367">
        <v>113.303</v>
      </c>
      <c r="D1367" s="15">
        <f t="shared" si="65"/>
        <v>7.5000000000002839E-5</v>
      </c>
      <c r="E1367" s="14">
        <f t="shared" si="63"/>
        <v>7.7899148085749996E-5</v>
      </c>
      <c r="F1367">
        <v>106.224</v>
      </c>
      <c r="G1367" s="1">
        <f t="shared" si="64"/>
        <v>104.983311</v>
      </c>
    </row>
    <row r="1368" spans="1:7" x14ac:dyDescent="0.3">
      <c r="A1368">
        <v>13660</v>
      </c>
      <c r="B1368">
        <v>1243.0999999999999</v>
      </c>
      <c r="C1368">
        <v>113.303</v>
      </c>
      <c r="D1368" s="15">
        <f t="shared" si="65"/>
        <v>7.5000000000002839E-5</v>
      </c>
      <c r="E1368" s="14">
        <f t="shared" si="63"/>
        <v>7.7867873186520002E-5</v>
      </c>
      <c r="F1368">
        <v>106.21299999999999</v>
      </c>
      <c r="G1368" s="1">
        <f t="shared" si="64"/>
        <v>104.982181</v>
      </c>
    </row>
    <row r="1369" spans="1:7" x14ac:dyDescent="0.3">
      <c r="A1369">
        <v>13670</v>
      </c>
      <c r="B1369">
        <v>1245.5999999999999</v>
      </c>
      <c r="C1369">
        <v>113.30200000000001</v>
      </c>
      <c r="D1369" s="15">
        <f t="shared" si="65"/>
        <v>4.9999999999883471E-5</v>
      </c>
      <c r="E1369" s="14">
        <f t="shared" si="63"/>
        <v>7.7836610970629996E-5</v>
      </c>
      <c r="F1369">
        <v>106.203</v>
      </c>
      <c r="G1369" s="1">
        <f t="shared" si="64"/>
        <v>104.98105100000001</v>
      </c>
    </row>
    <row r="1370" spans="1:7" x14ac:dyDescent="0.3">
      <c r="A1370">
        <v>13680</v>
      </c>
      <c r="B1370">
        <v>1248.0999999999999</v>
      </c>
      <c r="C1370">
        <v>113.301</v>
      </c>
      <c r="D1370" s="15">
        <f t="shared" si="65"/>
        <v>7.5000000000002839E-5</v>
      </c>
      <c r="E1370" s="14">
        <f t="shared" si="63"/>
        <v>7.7805361438080005E-5</v>
      </c>
      <c r="F1370">
        <v>106.19199999999999</v>
      </c>
      <c r="G1370" s="1">
        <f t="shared" si="64"/>
        <v>104.979921</v>
      </c>
    </row>
    <row r="1371" spans="1:7" x14ac:dyDescent="0.3">
      <c r="A1371">
        <v>13690</v>
      </c>
      <c r="B1371">
        <v>1250.5999999999999</v>
      </c>
      <c r="C1371">
        <v>113.301</v>
      </c>
      <c r="D1371" s="15">
        <f t="shared" si="65"/>
        <v>7.5000000000002839E-5</v>
      </c>
      <c r="E1371" s="14">
        <f t="shared" si="63"/>
        <v>7.7774124588869987E-5</v>
      </c>
      <c r="F1371">
        <v>106.18300000000001</v>
      </c>
      <c r="G1371" s="1">
        <f t="shared" si="64"/>
        <v>104.978791</v>
      </c>
    </row>
    <row r="1372" spans="1:7" x14ac:dyDescent="0.3">
      <c r="A1372">
        <v>13700</v>
      </c>
      <c r="B1372">
        <v>1253.2</v>
      </c>
      <c r="C1372">
        <v>113.3</v>
      </c>
      <c r="D1372" s="15">
        <f t="shared" si="65"/>
        <v>4.9999999999883471E-5</v>
      </c>
      <c r="E1372" s="14">
        <f t="shared" si="63"/>
        <v>7.7742900422999998E-5</v>
      </c>
      <c r="F1372">
        <v>106.172</v>
      </c>
      <c r="G1372" s="1">
        <f t="shared" si="64"/>
        <v>104.977661</v>
      </c>
    </row>
    <row r="1373" spans="1:7" x14ac:dyDescent="0.3">
      <c r="A1373">
        <v>13710</v>
      </c>
      <c r="B1373">
        <v>1255.7</v>
      </c>
      <c r="C1373">
        <v>113.29900000000001</v>
      </c>
      <c r="D1373" s="15">
        <f t="shared" si="65"/>
        <v>7.5000000000002839E-5</v>
      </c>
      <c r="E1373" s="14">
        <f t="shared" si="63"/>
        <v>7.7711688940469996E-5</v>
      </c>
      <c r="F1373">
        <v>106.16200000000001</v>
      </c>
      <c r="G1373" s="1">
        <f t="shared" si="64"/>
        <v>104.97653100000001</v>
      </c>
    </row>
    <row r="1374" spans="1:7" x14ac:dyDescent="0.3">
      <c r="A1374">
        <v>13720</v>
      </c>
      <c r="B1374">
        <v>1258.0999999999999</v>
      </c>
      <c r="C1374">
        <v>113.29900000000001</v>
      </c>
      <c r="D1374" s="15">
        <f t="shared" si="65"/>
        <v>7.5000000000002839E-5</v>
      </c>
      <c r="E1374" s="14">
        <f t="shared" si="63"/>
        <v>7.7680490141279995E-5</v>
      </c>
      <c r="F1374">
        <v>106.151</v>
      </c>
      <c r="G1374" s="1">
        <f t="shared" si="64"/>
        <v>104.97540100000001</v>
      </c>
    </row>
    <row r="1375" spans="1:7" x14ac:dyDescent="0.3">
      <c r="A1375">
        <v>13730</v>
      </c>
      <c r="B1375">
        <v>1260.7</v>
      </c>
      <c r="C1375">
        <v>113.298</v>
      </c>
      <c r="D1375" s="15">
        <f t="shared" si="65"/>
        <v>7.5000000000002839E-5</v>
      </c>
      <c r="E1375" s="14">
        <f t="shared" si="63"/>
        <v>7.7649304025429996E-5</v>
      </c>
      <c r="F1375">
        <v>106.142</v>
      </c>
      <c r="G1375" s="1">
        <f t="shared" si="64"/>
        <v>104.974271</v>
      </c>
    </row>
    <row r="1376" spans="1:7" x14ac:dyDescent="0.3">
      <c r="A1376">
        <v>13740</v>
      </c>
      <c r="B1376">
        <v>1263.2</v>
      </c>
      <c r="C1376">
        <v>113.297</v>
      </c>
      <c r="D1376" s="15">
        <f t="shared" si="65"/>
        <v>7.5000000000002839E-5</v>
      </c>
      <c r="E1376" s="14">
        <f t="shared" si="63"/>
        <v>7.7618130592919997E-5</v>
      </c>
      <c r="F1376">
        <v>106.131</v>
      </c>
      <c r="G1376" s="1">
        <f t="shared" si="64"/>
        <v>104.973141</v>
      </c>
    </row>
    <row r="1377" spans="1:7" x14ac:dyDescent="0.3">
      <c r="A1377">
        <v>13750</v>
      </c>
      <c r="B1377">
        <v>1265.7</v>
      </c>
      <c r="C1377">
        <v>113.29600000000001</v>
      </c>
      <c r="D1377" s="15">
        <f t="shared" si="65"/>
        <v>7.5000000000002839E-5</v>
      </c>
      <c r="E1377" s="14">
        <f t="shared" si="63"/>
        <v>7.758696984375E-5</v>
      </c>
      <c r="F1377">
        <v>106.121</v>
      </c>
      <c r="G1377" s="1">
        <f t="shared" si="64"/>
        <v>104.97201100000001</v>
      </c>
    </row>
    <row r="1378" spans="1:7" x14ac:dyDescent="0.3">
      <c r="A1378">
        <v>13760</v>
      </c>
      <c r="B1378">
        <v>1268.2</v>
      </c>
      <c r="C1378">
        <v>113.29600000000001</v>
      </c>
      <c r="D1378" s="15">
        <f t="shared" si="65"/>
        <v>7.5000000000002839E-5</v>
      </c>
      <c r="E1378" s="14">
        <f t="shared" si="63"/>
        <v>7.7555821777920003E-5</v>
      </c>
      <c r="F1378">
        <v>106.111</v>
      </c>
      <c r="G1378" s="1">
        <f t="shared" si="64"/>
        <v>104.97088100000001</v>
      </c>
    </row>
    <row r="1379" spans="1:7" x14ac:dyDescent="0.3">
      <c r="A1379">
        <v>13770</v>
      </c>
      <c r="B1379">
        <v>1270.7</v>
      </c>
      <c r="C1379">
        <v>113.295</v>
      </c>
      <c r="D1379" s="15">
        <f t="shared" si="65"/>
        <v>7.5000000000002839E-5</v>
      </c>
      <c r="E1379" s="14">
        <f t="shared" si="63"/>
        <v>7.7524686395430008E-5</v>
      </c>
      <c r="F1379">
        <v>106.101</v>
      </c>
      <c r="G1379" s="1">
        <f t="shared" si="64"/>
        <v>104.969751</v>
      </c>
    </row>
    <row r="1380" spans="1:7" x14ac:dyDescent="0.3">
      <c r="A1380">
        <v>13780</v>
      </c>
      <c r="B1380">
        <v>1273.3</v>
      </c>
      <c r="C1380">
        <v>113.294</v>
      </c>
      <c r="D1380" s="15">
        <f t="shared" si="65"/>
        <v>7.5000000000002839E-5</v>
      </c>
      <c r="E1380" s="14">
        <f t="shared" si="63"/>
        <v>7.7493563696279987E-5</v>
      </c>
      <c r="F1380">
        <v>106.09</v>
      </c>
      <c r="G1380" s="1">
        <f t="shared" si="64"/>
        <v>104.968621</v>
      </c>
    </row>
    <row r="1381" spans="1:7" x14ac:dyDescent="0.3">
      <c r="A1381">
        <v>13790</v>
      </c>
      <c r="B1381">
        <v>1275.7</v>
      </c>
      <c r="C1381">
        <v>113.29300000000001</v>
      </c>
      <c r="D1381" s="15">
        <f t="shared" si="65"/>
        <v>7.5000000000002839E-5</v>
      </c>
      <c r="E1381" s="14">
        <f t="shared" si="63"/>
        <v>7.7462453680469994E-5</v>
      </c>
      <c r="F1381">
        <v>106.08</v>
      </c>
      <c r="G1381" s="1">
        <f t="shared" si="64"/>
        <v>104.96749100000001</v>
      </c>
    </row>
    <row r="1382" spans="1:7" x14ac:dyDescent="0.3">
      <c r="A1382">
        <v>13800</v>
      </c>
      <c r="B1382">
        <v>1278.3</v>
      </c>
      <c r="C1382">
        <v>113.29300000000001</v>
      </c>
      <c r="D1382" s="15">
        <f t="shared" si="65"/>
        <v>7.5000000000002839E-5</v>
      </c>
      <c r="E1382" s="14">
        <f t="shared" si="63"/>
        <v>7.7431356347999988E-5</v>
      </c>
      <c r="F1382">
        <v>106.07</v>
      </c>
      <c r="G1382" s="1">
        <f t="shared" si="64"/>
        <v>104.96636100000001</v>
      </c>
    </row>
    <row r="1383" spans="1:7" x14ac:dyDescent="0.3">
      <c r="A1383">
        <v>13810</v>
      </c>
      <c r="B1383">
        <v>1280.8</v>
      </c>
      <c r="C1383">
        <v>113.292</v>
      </c>
      <c r="D1383" s="15">
        <f t="shared" si="65"/>
        <v>7.5000000000002839E-5</v>
      </c>
      <c r="E1383" s="14">
        <f t="shared" si="63"/>
        <v>7.7400271698869997E-5</v>
      </c>
      <c r="F1383">
        <v>106.059</v>
      </c>
      <c r="G1383" s="1">
        <f t="shared" si="64"/>
        <v>104.965231</v>
      </c>
    </row>
    <row r="1384" spans="1:7" x14ac:dyDescent="0.3">
      <c r="A1384">
        <v>13820</v>
      </c>
      <c r="B1384">
        <v>1283.2</v>
      </c>
      <c r="C1384">
        <v>113.291</v>
      </c>
      <c r="D1384" s="15">
        <f t="shared" si="65"/>
        <v>7.5000000000002839E-5</v>
      </c>
      <c r="E1384" s="14">
        <f t="shared" si="63"/>
        <v>7.7369199733079994E-5</v>
      </c>
      <c r="F1384">
        <v>106.04900000000001</v>
      </c>
      <c r="G1384" s="1">
        <f t="shared" si="64"/>
        <v>104.964101</v>
      </c>
    </row>
    <row r="1385" spans="1:7" x14ac:dyDescent="0.3">
      <c r="A1385">
        <v>13830</v>
      </c>
      <c r="B1385">
        <v>1285.7</v>
      </c>
      <c r="C1385">
        <v>113.29</v>
      </c>
      <c r="D1385" s="15">
        <f t="shared" si="65"/>
        <v>7.5000000000002839E-5</v>
      </c>
      <c r="E1385" s="14">
        <f t="shared" si="63"/>
        <v>7.7338140450629992E-5</v>
      </c>
      <c r="F1385">
        <v>106.039</v>
      </c>
      <c r="G1385" s="1">
        <f t="shared" si="64"/>
        <v>104.962971</v>
      </c>
    </row>
    <row r="1386" spans="1:7" x14ac:dyDescent="0.3">
      <c r="A1386">
        <v>13840</v>
      </c>
      <c r="B1386">
        <v>1288</v>
      </c>
      <c r="C1386">
        <v>113.29</v>
      </c>
      <c r="D1386" s="15">
        <f t="shared" si="65"/>
        <v>7.5000000000002839E-5</v>
      </c>
      <c r="E1386" s="14">
        <f t="shared" si="63"/>
        <v>7.730709385151999E-5</v>
      </c>
      <c r="F1386">
        <v>106.029</v>
      </c>
      <c r="G1386" s="1">
        <f t="shared" si="64"/>
        <v>104.96184100000001</v>
      </c>
    </row>
    <row r="1387" spans="1:7" x14ac:dyDescent="0.3">
      <c r="A1387">
        <v>13850</v>
      </c>
      <c r="B1387">
        <v>1290.5</v>
      </c>
      <c r="C1387">
        <v>113.289</v>
      </c>
      <c r="D1387" s="15">
        <f t="shared" si="65"/>
        <v>7.5000000000002839E-5</v>
      </c>
      <c r="E1387" s="14">
        <f t="shared" si="63"/>
        <v>7.7276059935750004E-5</v>
      </c>
      <c r="F1387">
        <v>106.018</v>
      </c>
      <c r="G1387" s="1">
        <f t="shared" si="64"/>
        <v>104.960711</v>
      </c>
    </row>
    <row r="1388" spans="1:7" x14ac:dyDescent="0.3">
      <c r="A1388">
        <v>13860</v>
      </c>
      <c r="B1388">
        <v>1292.9000000000001</v>
      </c>
      <c r="C1388">
        <v>113.288</v>
      </c>
      <c r="D1388" s="15">
        <f t="shared" si="65"/>
        <v>7.5000000000002839E-5</v>
      </c>
      <c r="E1388" s="14">
        <f t="shared" si="63"/>
        <v>7.7245038703319991E-5</v>
      </c>
      <c r="F1388">
        <v>106.008</v>
      </c>
      <c r="G1388" s="1">
        <f t="shared" si="64"/>
        <v>104.959581</v>
      </c>
    </row>
    <row r="1389" spans="1:7" x14ac:dyDescent="0.3">
      <c r="A1389">
        <v>13870</v>
      </c>
      <c r="B1389">
        <v>1295.4000000000001</v>
      </c>
      <c r="C1389">
        <v>113.28700000000001</v>
      </c>
      <c r="D1389" s="15">
        <f t="shared" si="65"/>
        <v>7.5000000000002839E-5</v>
      </c>
      <c r="E1389" s="14">
        <f t="shared" si="63"/>
        <v>7.7214030154229994E-5</v>
      </c>
      <c r="F1389">
        <v>105.998</v>
      </c>
      <c r="G1389" s="1">
        <f t="shared" si="64"/>
        <v>104.958451</v>
      </c>
    </row>
    <row r="1390" spans="1:7" x14ac:dyDescent="0.3">
      <c r="A1390">
        <v>13880</v>
      </c>
      <c r="B1390">
        <v>1297.9000000000001</v>
      </c>
      <c r="C1390">
        <v>113.28700000000001</v>
      </c>
      <c r="D1390" s="15">
        <f t="shared" si="65"/>
        <v>7.5000000000002839E-5</v>
      </c>
      <c r="E1390" s="14">
        <f t="shared" si="63"/>
        <v>7.7183034288479997E-5</v>
      </c>
      <c r="F1390">
        <v>105.988</v>
      </c>
      <c r="G1390" s="1">
        <f t="shared" si="64"/>
        <v>104.95732100000001</v>
      </c>
    </row>
    <row r="1391" spans="1:7" x14ac:dyDescent="0.3">
      <c r="A1391">
        <v>13890</v>
      </c>
      <c r="B1391">
        <v>1300.3</v>
      </c>
      <c r="C1391">
        <v>113.286</v>
      </c>
      <c r="D1391" s="15">
        <f t="shared" si="65"/>
        <v>7.5000000000002839E-5</v>
      </c>
      <c r="E1391" s="14">
        <f t="shared" si="63"/>
        <v>7.7152051106069988E-5</v>
      </c>
      <c r="F1391">
        <v>105.977</v>
      </c>
      <c r="G1391" s="1">
        <f t="shared" si="64"/>
        <v>104.956191</v>
      </c>
    </row>
    <row r="1392" spans="1:7" x14ac:dyDescent="0.3">
      <c r="A1392">
        <v>13900</v>
      </c>
      <c r="B1392">
        <v>1302.8</v>
      </c>
      <c r="C1392">
        <v>113.285</v>
      </c>
      <c r="D1392" s="15">
        <f t="shared" si="65"/>
        <v>7.5000000000002839E-5</v>
      </c>
      <c r="E1392" s="14">
        <f t="shared" si="63"/>
        <v>7.7121080607000007E-5</v>
      </c>
      <c r="F1392">
        <v>105.968</v>
      </c>
      <c r="G1392" s="1">
        <f t="shared" si="64"/>
        <v>104.955061</v>
      </c>
    </row>
    <row r="1393" spans="1:7" x14ac:dyDescent="0.3">
      <c r="A1393">
        <v>13910</v>
      </c>
      <c r="B1393">
        <v>1305.2</v>
      </c>
      <c r="C1393">
        <v>113.28400000000001</v>
      </c>
      <c r="D1393" s="15">
        <f t="shared" si="65"/>
        <v>7.5000000000002839E-5</v>
      </c>
      <c r="E1393" s="14">
        <f t="shared" si="63"/>
        <v>7.7090122791269999E-5</v>
      </c>
      <c r="F1393">
        <v>105.95699999999999</v>
      </c>
      <c r="G1393" s="1">
        <f t="shared" si="64"/>
        <v>104.953931</v>
      </c>
    </row>
    <row r="1394" spans="1:7" x14ac:dyDescent="0.3">
      <c r="A1394">
        <v>13920</v>
      </c>
      <c r="B1394">
        <v>1307.7</v>
      </c>
      <c r="C1394">
        <v>113.28400000000001</v>
      </c>
      <c r="D1394" s="15">
        <f t="shared" si="65"/>
        <v>7.5000000000002839E-5</v>
      </c>
      <c r="E1394" s="14">
        <f t="shared" si="63"/>
        <v>7.7059177658879994E-5</v>
      </c>
      <c r="F1394">
        <v>105.947</v>
      </c>
      <c r="G1394" s="1">
        <f t="shared" si="64"/>
        <v>104.95280100000001</v>
      </c>
    </row>
    <row r="1395" spans="1:7" x14ac:dyDescent="0.3">
      <c r="A1395">
        <v>13930</v>
      </c>
      <c r="B1395">
        <v>1310.2</v>
      </c>
      <c r="C1395">
        <v>113.283</v>
      </c>
      <c r="D1395" s="15">
        <f t="shared" si="65"/>
        <v>7.5000000000002839E-5</v>
      </c>
      <c r="E1395" s="14">
        <f t="shared" si="63"/>
        <v>7.7028245209830002E-5</v>
      </c>
      <c r="F1395">
        <v>105.937</v>
      </c>
      <c r="G1395" s="1">
        <f t="shared" si="64"/>
        <v>104.951671</v>
      </c>
    </row>
    <row r="1396" spans="1:7" x14ac:dyDescent="0.3">
      <c r="A1396">
        <v>13940</v>
      </c>
      <c r="B1396">
        <v>1312.6</v>
      </c>
      <c r="C1396">
        <v>113.282</v>
      </c>
      <c r="D1396" s="15">
        <f t="shared" si="65"/>
        <v>1.0000000000012221E-4</v>
      </c>
      <c r="E1396" s="14">
        <f t="shared" si="63"/>
        <v>7.6997325444119985E-5</v>
      </c>
      <c r="F1396">
        <v>105.926</v>
      </c>
      <c r="G1396" s="1">
        <f t="shared" si="64"/>
        <v>104.950541</v>
      </c>
    </row>
    <row r="1397" spans="1:7" x14ac:dyDescent="0.3">
      <c r="A1397">
        <v>13950</v>
      </c>
      <c r="B1397">
        <v>1315.1</v>
      </c>
      <c r="C1397">
        <v>113.28100000000001</v>
      </c>
      <c r="D1397" s="15">
        <f t="shared" si="65"/>
        <v>7.5000000000002839E-5</v>
      </c>
      <c r="E1397" s="14">
        <f t="shared" si="63"/>
        <v>7.6966418361749996E-5</v>
      </c>
      <c r="F1397">
        <v>105.916</v>
      </c>
      <c r="G1397" s="1">
        <f t="shared" si="64"/>
        <v>104.949411</v>
      </c>
    </row>
    <row r="1398" spans="1:7" x14ac:dyDescent="0.3">
      <c r="A1398">
        <v>13960</v>
      </c>
      <c r="B1398">
        <v>1317.5</v>
      </c>
      <c r="C1398">
        <v>113.28</v>
      </c>
      <c r="D1398" s="15">
        <f t="shared" si="65"/>
        <v>7.5000000000002839E-5</v>
      </c>
      <c r="E1398" s="14">
        <f t="shared" si="63"/>
        <v>7.6935523962720008E-5</v>
      </c>
      <c r="F1398">
        <v>105.905</v>
      </c>
      <c r="G1398" s="1">
        <f t="shared" si="64"/>
        <v>104.94828100000001</v>
      </c>
    </row>
    <row r="1399" spans="1:7" x14ac:dyDescent="0.3">
      <c r="A1399">
        <v>13970</v>
      </c>
      <c r="B1399">
        <v>1320</v>
      </c>
      <c r="C1399">
        <v>113.28</v>
      </c>
      <c r="D1399" s="15">
        <f t="shared" si="65"/>
        <v>7.5000000000002839E-5</v>
      </c>
      <c r="E1399" s="14">
        <f t="shared" si="63"/>
        <v>7.6904642247029994E-5</v>
      </c>
      <c r="F1399">
        <v>105.896</v>
      </c>
      <c r="G1399" s="1">
        <f t="shared" si="64"/>
        <v>104.94715100000001</v>
      </c>
    </row>
    <row r="1400" spans="1:7" x14ac:dyDescent="0.3">
      <c r="A1400">
        <v>13980</v>
      </c>
      <c r="B1400">
        <v>1322.4</v>
      </c>
      <c r="C1400">
        <v>113.279</v>
      </c>
      <c r="D1400" s="15">
        <f t="shared" si="65"/>
        <v>7.5000000000002839E-5</v>
      </c>
      <c r="E1400" s="14">
        <f t="shared" si="63"/>
        <v>7.6873773214680008E-5</v>
      </c>
      <c r="F1400">
        <v>105.88500000000001</v>
      </c>
      <c r="G1400" s="1">
        <f t="shared" si="64"/>
        <v>104.946021</v>
      </c>
    </row>
    <row r="1401" spans="1:7" x14ac:dyDescent="0.3">
      <c r="A1401">
        <v>13990</v>
      </c>
      <c r="B1401">
        <v>1324.9</v>
      </c>
      <c r="C1401">
        <v>113.27800000000001</v>
      </c>
      <c r="D1401" s="15">
        <f t="shared" si="65"/>
        <v>1.0000000000012221E-4</v>
      </c>
      <c r="E1401" s="14">
        <f t="shared" si="63"/>
        <v>7.6842916865669982E-5</v>
      </c>
      <c r="F1401">
        <v>105.874</v>
      </c>
      <c r="G1401" s="1">
        <f t="shared" si="64"/>
        <v>104.944891</v>
      </c>
    </row>
    <row r="1402" spans="1:7" x14ac:dyDescent="0.3">
      <c r="A1402">
        <v>14000</v>
      </c>
      <c r="B1402">
        <v>1327.4</v>
      </c>
      <c r="C1402">
        <v>113.277</v>
      </c>
      <c r="D1402" s="15">
        <f t="shared" si="65"/>
        <v>7.5000000000002839E-5</v>
      </c>
      <c r="E1402" s="14">
        <f t="shared" si="63"/>
        <v>7.6812073199999999E-5</v>
      </c>
      <c r="F1402">
        <v>105.86499999999999</v>
      </c>
      <c r="G1402" s="1">
        <f t="shared" si="64"/>
        <v>104.94376100000001</v>
      </c>
    </row>
    <row r="1403" spans="1:7" x14ac:dyDescent="0.3">
      <c r="A1403">
        <v>14010</v>
      </c>
      <c r="B1403">
        <v>1329.8</v>
      </c>
      <c r="C1403">
        <v>113.276</v>
      </c>
      <c r="D1403" s="15">
        <f t="shared" si="65"/>
        <v>7.5000000000002839E-5</v>
      </c>
      <c r="E1403" s="14">
        <f t="shared" si="63"/>
        <v>7.6781242217670003E-5</v>
      </c>
      <c r="F1403">
        <v>105.854</v>
      </c>
      <c r="G1403" s="1">
        <f t="shared" si="64"/>
        <v>104.94263100000001</v>
      </c>
    </row>
    <row r="1404" spans="1:7" x14ac:dyDescent="0.3">
      <c r="A1404">
        <v>14020</v>
      </c>
      <c r="B1404">
        <v>1332.3</v>
      </c>
      <c r="C1404">
        <v>113.276</v>
      </c>
      <c r="D1404" s="15">
        <f t="shared" si="65"/>
        <v>7.5000000000002839E-5</v>
      </c>
      <c r="E1404" s="14">
        <f t="shared" si="63"/>
        <v>7.6750423918679994E-5</v>
      </c>
      <c r="F1404">
        <v>105.84399999999999</v>
      </c>
      <c r="G1404" s="1">
        <f t="shared" si="64"/>
        <v>104.941501</v>
      </c>
    </row>
    <row r="1405" spans="1:7" x14ac:dyDescent="0.3">
      <c r="A1405">
        <v>14030</v>
      </c>
      <c r="B1405">
        <v>1334.8</v>
      </c>
      <c r="C1405">
        <v>113.27500000000001</v>
      </c>
      <c r="D1405" s="15">
        <f t="shared" si="65"/>
        <v>7.5000000000002839E-5</v>
      </c>
      <c r="E1405" s="14">
        <f t="shared" si="63"/>
        <v>7.671961830303E-5</v>
      </c>
      <c r="F1405">
        <v>105.834</v>
      </c>
      <c r="G1405" s="1">
        <f t="shared" si="64"/>
        <v>104.940371</v>
      </c>
    </row>
    <row r="1406" spans="1:7" x14ac:dyDescent="0.3">
      <c r="A1406">
        <v>14040</v>
      </c>
      <c r="B1406">
        <v>1337.2</v>
      </c>
      <c r="C1406">
        <v>113.274</v>
      </c>
      <c r="D1406" s="15">
        <f t="shared" si="65"/>
        <v>9.9999999999766942E-5</v>
      </c>
      <c r="E1406" s="14">
        <f t="shared" si="63"/>
        <v>7.6688825370720007E-5</v>
      </c>
      <c r="F1406">
        <v>105.824</v>
      </c>
      <c r="G1406" s="1">
        <f t="shared" si="64"/>
        <v>104.93924100000001</v>
      </c>
    </row>
    <row r="1407" spans="1:7" x14ac:dyDescent="0.3">
      <c r="A1407">
        <v>14050</v>
      </c>
      <c r="B1407">
        <v>1339.7</v>
      </c>
      <c r="C1407">
        <v>113.273</v>
      </c>
      <c r="D1407" s="15">
        <f t="shared" si="65"/>
        <v>7.5000000000002839E-5</v>
      </c>
      <c r="E1407" s="14">
        <f t="shared" si="63"/>
        <v>7.6658045121749988E-5</v>
      </c>
      <c r="F1407">
        <v>105.813</v>
      </c>
      <c r="G1407" s="1">
        <f t="shared" si="64"/>
        <v>104.93811100000001</v>
      </c>
    </row>
    <row r="1408" spans="1:7" x14ac:dyDescent="0.3">
      <c r="A1408">
        <v>14060</v>
      </c>
      <c r="B1408">
        <v>1342.1</v>
      </c>
      <c r="C1408">
        <v>113.27200000000001</v>
      </c>
      <c r="D1408" s="15">
        <f t="shared" si="65"/>
        <v>7.5000000000002839E-5</v>
      </c>
      <c r="E1408" s="14">
        <f t="shared" si="63"/>
        <v>7.6627277556119998E-5</v>
      </c>
      <c r="F1408">
        <v>105.804</v>
      </c>
      <c r="G1408" s="1">
        <f t="shared" si="64"/>
        <v>104.936981</v>
      </c>
    </row>
    <row r="1409" spans="1:7" x14ac:dyDescent="0.3">
      <c r="A1409">
        <v>14070</v>
      </c>
      <c r="B1409">
        <v>1344.6</v>
      </c>
      <c r="C1409">
        <v>113.27200000000001</v>
      </c>
      <c r="D1409" s="15">
        <f t="shared" si="65"/>
        <v>7.5000000000002839E-5</v>
      </c>
      <c r="E1409" s="14">
        <f t="shared" si="63"/>
        <v>7.6596522673830008E-5</v>
      </c>
      <c r="F1409">
        <v>105.79300000000001</v>
      </c>
      <c r="G1409" s="1">
        <f t="shared" si="64"/>
        <v>104.935851</v>
      </c>
    </row>
    <row r="1410" spans="1:7" x14ac:dyDescent="0.3">
      <c r="A1410">
        <v>14080</v>
      </c>
      <c r="B1410">
        <v>1347</v>
      </c>
      <c r="C1410">
        <v>113.271</v>
      </c>
      <c r="D1410" s="15">
        <f t="shared" si="65"/>
        <v>7.5000000000002839E-5</v>
      </c>
      <c r="E1410" s="14">
        <f t="shared" ref="E1410:E1473" si="66">0.0000000000000634167*A1410*A1410 - 0.0000000048594*A1410 + 0.000132414</f>
        <v>7.6565780474879992E-5</v>
      </c>
      <c r="F1410">
        <v>105.782</v>
      </c>
      <c r="G1410" s="1">
        <f t="shared" si="64"/>
        <v>104.934721</v>
      </c>
    </row>
    <row r="1411" spans="1:7" x14ac:dyDescent="0.3">
      <c r="A1411">
        <v>14090</v>
      </c>
      <c r="B1411">
        <v>1349.5</v>
      </c>
      <c r="C1411">
        <v>113.27</v>
      </c>
      <c r="D1411" s="15">
        <f t="shared" si="65"/>
        <v>1.0000000000012221E-4</v>
      </c>
      <c r="E1411" s="14">
        <f t="shared" si="66"/>
        <v>7.6535050959270005E-5</v>
      </c>
      <c r="F1411">
        <v>105.773</v>
      </c>
      <c r="G1411" s="1">
        <f t="shared" ref="G1411:G1474" si="67">-0.000113*A1411 + 106.525761</f>
        <v>104.93359100000001</v>
      </c>
    </row>
    <row r="1412" spans="1:7" x14ac:dyDescent="0.3">
      <c r="A1412">
        <v>14100</v>
      </c>
      <c r="B1412">
        <v>1352</v>
      </c>
      <c r="C1412">
        <v>113.26900000000001</v>
      </c>
      <c r="D1412" s="15">
        <f t="shared" si="65"/>
        <v>7.5000000000002839E-5</v>
      </c>
      <c r="E1412" s="14">
        <f t="shared" si="66"/>
        <v>7.6504334126999992E-5</v>
      </c>
      <c r="F1412">
        <v>105.762</v>
      </c>
      <c r="G1412" s="1">
        <f t="shared" si="67"/>
        <v>104.932461</v>
      </c>
    </row>
    <row r="1413" spans="1:7" x14ac:dyDescent="0.3">
      <c r="A1413">
        <v>14110</v>
      </c>
      <c r="B1413">
        <v>1354.4</v>
      </c>
      <c r="C1413">
        <v>113.268</v>
      </c>
      <c r="D1413" s="15">
        <f t="shared" ref="D1413:D1476" si="68">(C1411-C1415)/(A1415-A1411)</f>
        <v>7.5000000000002839E-5</v>
      </c>
      <c r="E1413" s="14">
        <f t="shared" si="66"/>
        <v>7.6473629978069993E-5</v>
      </c>
      <c r="F1413">
        <v>105.752</v>
      </c>
      <c r="G1413" s="1">
        <f t="shared" si="67"/>
        <v>104.931331</v>
      </c>
    </row>
    <row r="1414" spans="1:7" x14ac:dyDescent="0.3">
      <c r="A1414">
        <v>14120</v>
      </c>
      <c r="B1414">
        <v>1356.9</v>
      </c>
      <c r="C1414">
        <v>113.268</v>
      </c>
      <c r="D1414" s="15">
        <f t="shared" si="68"/>
        <v>7.5000000000002839E-5</v>
      </c>
      <c r="E1414" s="14">
        <f t="shared" si="66"/>
        <v>7.6442938512479995E-5</v>
      </c>
      <c r="F1414">
        <v>105.742</v>
      </c>
      <c r="G1414" s="1">
        <f t="shared" si="67"/>
        <v>104.930201</v>
      </c>
    </row>
    <row r="1415" spans="1:7" x14ac:dyDescent="0.3">
      <c r="A1415">
        <v>14130</v>
      </c>
      <c r="B1415">
        <v>1359.3</v>
      </c>
      <c r="C1415">
        <v>113.267</v>
      </c>
      <c r="D1415" s="15">
        <f t="shared" si="68"/>
        <v>7.5000000000002839E-5</v>
      </c>
      <c r="E1415" s="14">
        <f t="shared" si="66"/>
        <v>7.6412259730229985E-5</v>
      </c>
      <c r="F1415">
        <v>105.73099999999999</v>
      </c>
      <c r="G1415" s="1">
        <f t="shared" si="67"/>
        <v>104.92907100000001</v>
      </c>
    </row>
    <row r="1416" spans="1:7" x14ac:dyDescent="0.3">
      <c r="A1416">
        <v>14140</v>
      </c>
      <c r="B1416">
        <v>1361.8</v>
      </c>
      <c r="C1416">
        <v>113.26600000000001</v>
      </c>
      <c r="D1416" s="15">
        <f t="shared" si="68"/>
        <v>1.0000000000012221E-4</v>
      </c>
      <c r="E1416" s="14">
        <f t="shared" si="66"/>
        <v>7.6381593631320003E-5</v>
      </c>
      <c r="F1416">
        <v>105.721</v>
      </c>
      <c r="G1416" s="1">
        <f t="shared" si="67"/>
        <v>104.927941</v>
      </c>
    </row>
    <row r="1417" spans="1:7" x14ac:dyDescent="0.3">
      <c r="A1417">
        <v>14150</v>
      </c>
      <c r="B1417">
        <v>1293.8</v>
      </c>
      <c r="C1417">
        <v>113.265</v>
      </c>
      <c r="D1417" s="15">
        <f t="shared" si="68"/>
        <v>9.9999999999766942E-5</v>
      </c>
      <c r="E1417" s="14">
        <f t="shared" si="66"/>
        <v>7.6350940215749995E-5</v>
      </c>
      <c r="F1417">
        <v>105.711</v>
      </c>
      <c r="G1417" s="1">
        <f t="shared" si="67"/>
        <v>104.926811</v>
      </c>
    </row>
    <row r="1418" spans="1:7" x14ac:dyDescent="0.3">
      <c r="A1418">
        <v>14160</v>
      </c>
      <c r="B1418">
        <v>1297.5999999999999</v>
      </c>
      <c r="C1418">
        <v>113.264</v>
      </c>
      <c r="D1418" s="15">
        <f t="shared" si="68"/>
        <v>7.5000000000002839E-5</v>
      </c>
      <c r="E1418" s="14">
        <f t="shared" si="66"/>
        <v>7.6320299483519988E-5</v>
      </c>
      <c r="F1418">
        <v>105.70399999999999</v>
      </c>
      <c r="G1418" s="1">
        <f t="shared" si="67"/>
        <v>104.925681</v>
      </c>
    </row>
    <row r="1419" spans="1:7" x14ac:dyDescent="0.3">
      <c r="A1419">
        <v>14170</v>
      </c>
      <c r="B1419">
        <v>1301.4000000000001</v>
      </c>
      <c r="C1419">
        <v>113.26300000000001</v>
      </c>
      <c r="D1419" s="15">
        <f t="shared" si="68"/>
        <v>7.5000000000002839E-5</v>
      </c>
      <c r="E1419" s="14">
        <f t="shared" si="66"/>
        <v>7.6289671434629996E-5</v>
      </c>
      <c r="F1419">
        <v>105.696</v>
      </c>
      <c r="G1419" s="1">
        <f t="shared" si="67"/>
        <v>104.92455100000001</v>
      </c>
    </row>
    <row r="1420" spans="1:7" x14ac:dyDescent="0.3">
      <c r="A1420">
        <v>14180</v>
      </c>
      <c r="B1420">
        <v>1305</v>
      </c>
      <c r="C1420">
        <v>113.26300000000001</v>
      </c>
      <c r="D1420" s="15">
        <f t="shared" si="68"/>
        <v>7.5000000000002839E-5</v>
      </c>
      <c r="E1420" s="14">
        <f t="shared" si="66"/>
        <v>7.6259056069079992E-5</v>
      </c>
      <c r="F1420">
        <v>105.688</v>
      </c>
      <c r="G1420" s="1">
        <f t="shared" si="67"/>
        <v>104.923421</v>
      </c>
    </row>
    <row r="1421" spans="1:7" x14ac:dyDescent="0.3">
      <c r="A1421">
        <v>14190</v>
      </c>
      <c r="B1421">
        <v>1308.8</v>
      </c>
      <c r="C1421">
        <v>113.262</v>
      </c>
      <c r="D1421" s="15">
        <f t="shared" si="68"/>
        <v>7.5000000000002839E-5</v>
      </c>
      <c r="E1421" s="14">
        <f t="shared" si="66"/>
        <v>7.6228453386870002E-5</v>
      </c>
      <c r="F1421">
        <v>105.681</v>
      </c>
      <c r="G1421" s="1">
        <f t="shared" si="67"/>
        <v>104.922291</v>
      </c>
    </row>
    <row r="1422" spans="1:7" x14ac:dyDescent="0.3">
      <c r="A1422">
        <v>14200</v>
      </c>
      <c r="B1422">
        <v>1312.4</v>
      </c>
      <c r="C1422">
        <v>113.261</v>
      </c>
      <c r="D1422" s="15">
        <f t="shared" si="68"/>
        <v>1.0000000000012221E-4</v>
      </c>
      <c r="E1422" s="14">
        <f t="shared" si="66"/>
        <v>7.6197863387999999E-5</v>
      </c>
      <c r="F1422">
        <v>105.673</v>
      </c>
      <c r="G1422" s="1">
        <f t="shared" si="67"/>
        <v>104.921161</v>
      </c>
    </row>
    <row r="1423" spans="1:7" x14ac:dyDescent="0.3">
      <c r="A1423">
        <v>14210</v>
      </c>
      <c r="B1423">
        <v>1315.9</v>
      </c>
      <c r="C1423">
        <v>113.26</v>
      </c>
      <c r="D1423" s="15">
        <f t="shared" si="68"/>
        <v>1.0000000000012221E-4</v>
      </c>
      <c r="E1423" s="14">
        <f t="shared" si="66"/>
        <v>7.6167286072469998E-5</v>
      </c>
      <c r="F1423">
        <v>105.66500000000001</v>
      </c>
      <c r="G1423" s="1">
        <f t="shared" si="67"/>
        <v>104.92003100000001</v>
      </c>
    </row>
    <row r="1424" spans="1:7" x14ac:dyDescent="0.3">
      <c r="A1424">
        <v>14220</v>
      </c>
      <c r="B1424">
        <v>1319.5</v>
      </c>
      <c r="C1424">
        <v>113.259</v>
      </c>
      <c r="D1424" s="15">
        <f t="shared" si="68"/>
        <v>9.9999999999766942E-5</v>
      </c>
      <c r="E1424" s="14">
        <f t="shared" si="66"/>
        <v>7.6136721440279997E-5</v>
      </c>
      <c r="F1424">
        <v>105.658</v>
      </c>
      <c r="G1424" s="1">
        <f t="shared" si="67"/>
        <v>104.91890100000001</v>
      </c>
    </row>
    <row r="1425" spans="1:7" x14ac:dyDescent="0.3">
      <c r="A1425">
        <v>14230</v>
      </c>
      <c r="B1425">
        <v>1323.1</v>
      </c>
      <c r="C1425">
        <v>113.258</v>
      </c>
      <c r="D1425" s="15">
        <f t="shared" si="68"/>
        <v>7.5000000000002839E-5</v>
      </c>
      <c r="E1425" s="14">
        <f t="shared" si="66"/>
        <v>7.6106169491429998E-5</v>
      </c>
      <c r="F1425">
        <v>105.65</v>
      </c>
      <c r="G1425" s="1">
        <f t="shared" si="67"/>
        <v>104.917771</v>
      </c>
    </row>
    <row r="1426" spans="1:7" x14ac:dyDescent="0.3">
      <c r="A1426">
        <v>14240</v>
      </c>
      <c r="B1426">
        <v>1326.5</v>
      </c>
      <c r="C1426">
        <v>113.25700000000001</v>
      </c>
      <c r="D1426" s="15">
        <f t="shared" si="68"/>
        <v>7.5000000000002839E-5</v>
      </c>
      <c r="E1426" s="14">
        <f t="shared" si="66"/>
        <v>7.607563022592E-5</v>
      </c>
      <c r="F1426">
        <v>105.643</v>
      </c>
      <c r="G1426" s="1">
        <f t="shared" si="67"/>
        <v>104.916641</v>
      </c>
    </row>
    <row r="1427" spans="1:7" x14ac:dyDescent="0.3">
      <c r="A1427">
        <v>14250</v>
      </c>
      <c r="B1427">
        <v>1329.8</v>
      </c>
      <c r="C1427">
        <v>113.25700000000001</v>
      </c>
      <c r="D1427" s="15">
        <f t="shared" si="68"/>
        <v>7.5000000000002839E-5</v>
      </c>
      <c r="E1427" s="14">
        <f t="shared" si="66"/>
        <v>7.6045103643750003E-5</v>
      </c>
      <c r="F1427">
        <v>105.634</v>
      </c>
      <c r="G1427" s="1">
        <f t="shared" si="67"/>
        <v>104.91551100000001</v>
      </c>
    </row>
    <row r="1428" spans="1:7" x14ac:dyDescent="0.3">
      <c r="A1428">
        <v>14260</v>
      </c>
      <c r="B1428">
        <v>1333.2</v>
      </c>
      <c r="C1428">
        <v>113.256</v>
      </c>
      <c r="D1428" s="15">
        <f t="shared" si="68"/>
        <v>7.5000000000002839E-5</v>
      </c>
      <c r="E1428" s="14">
        <f t="shared" si="66"/>
        <v>7.6014589744920007E-5</v>
      </c>
      <c r="F1428">
        <v>105.626</v>
      </c>
      <c r="G1428" s="1">
        <f t="shared" si="67"/>
        <v>104.91438100000001</v>
      </c>
    </row>
    <row r="1429" spans="1:7" x14ac:dyDescent="0.3">
      <c r="A1429">
        <v>14270</v>
      </c>
      <c r="B1429">
        <v>1336.7</v>
      </c>
      <c r="C1429">
        <v>113.255</v>
      </c>
      <c r="D1429" s="15">
        <f t="shared" si="68"/>
        <v>1.0000000000012221E-4</v>
      </c>
      <c r="E1429" s="14">
        <f t="shared" si="66"/>
        <v>7.5984088529429985E-5</v>
      </c>
      <c r="F1429">
        <v>105.619</v>
      </c>
      <c r="G1429" s="1">
        <f t="shared" si="67"/>
        <v>104.913251</v>
      </c>
    </row>
    <row r="1430" spans="1:7" x14ac:dyDescent="0.3">
      <c r="A1430">
        <v>14280</v>
      </c>
      <c r="B1430">
        <v>1339.9</v>
      </c>
      <c r="C1430">
        <v>113.254</v>
      </c>
      <c r="D1430" s="15">
        <f t="shared" si="68"/>
        <v>1.0000000000012221E-4</v>
      </c>
      <c r="E1430" s="14">
        <f t="shared" si="66"/>
        <v>7.5953599997279992E-5</v>
      </c>
      <c r="F1430">
        <v>105.611</v>
      </c>
      <c r="G1430" s="1">
        <f t="shared" si="67"/>
        <v>104.912121</v>
      </c>
    </row>
    <row r="1431" spans="1:7" x14ac:dyDescent="0.3">
      <c r="A1431">
        <v>14290</v>
      </c>
      <c r="B1431">
        <v>1343.1</v>
      </c>
      <c r="C1431">
        <v>113.253</v>
      </c>
      <c r="D1431" s="15">
        <f t="shared" si="68"/>
        <v>9.9999999999766942E-5</v>
      </c>
      <c r="E1431" s="14">
        <f t="shared" si="66"/>
        <v>7.5923124148469999E-5</v>
      </c>
      <c r="F1431">
        <v>105.60299999999999</v>
      </c>
      <c r="G1431" s="1">
        <f t="shared" si="67"/>
        <v>104.910991</v>
      </c>
    </row>
    <row r="1432" spans="1:7" x14ac:dyDescent="0.3">
      <c r="A1432">
        <v>14300</v>
      </c>
      <c r="B1432">
        <v>1346.2</v>
      </c>
      <c r="C1432">
        <v>113.252</v>
      </c>
      <c r="D1432" s="15">
        <f t="shared" si="68"/>
        <v>1.0000000000012221E-4</v>
      </c>
      <c r="E1432" s="14">
        <f t="shared" si="66"/>
        <v>7.5892660982999994E-5</v>
      </c>
      <c r="F1432">
        <v>105.596</v>
      </c>
      <c r="G1432" s="1">
        <f t="shared" si="67"/>
        <v>104.90986100000001</v>
      </c>
    </row>
    <row r="1433" spans="1:7" x14ac:dyDescent="0.3">
      <c r="A1433">
        <v>14310</v>
      </c>
      <c r="B1433">
        <v>1349.6</v>
      </c>
      <c r="C1433">
        <v>113.251</v>
      </c>
      <c r="D1433" s="15">
        <f t="shared" si="68"/>
        <v>1.0000000000012221E-4</v>
      </c>
      <c r="E1433" s="14">
        <f t="shared" si="66"/>
        <v>7.5862210500870003E-5</v>
      </c>
      <c r="F1433">
        <v>105.58799999999999</v>
      </c>
      <c r="G1433" s="1">
        <f t="shared" si="67"/>
        <v>104.908731</v>
      </c>
    </row>
    <row r="1434" spans="1:7" x14ac:dyDescent="0.3">
      <c r="A1434">
        <v>14320</v>
      </c>
      <c r="B1434">
        <v>1352.7</v>
      </c>
      <c r="C1434">
        <v>113.25</v>
      </c>
      <c r="D1434" s="15">
        <f t="shared" si="68"/>
        <v>7.5000000000002839E-5</v>
      </c>
      <c r="E1434" s="14">
        <f t="shared" si="66"/>
        <v>7.583177270208E-5</v>
      </c>
      <c r="F1434">
        <v>105.58</v>
      </c>
      <c r="G1434" s="1">
        <f t="shared" si="67"/>
        <v>104.907601</v>
      </c>
    </row>
    <row r="1435" spans="1:7" x14ac:dyDescent="0.3">
      <c r="A1435">
        <v>14330</v>
      </c>
      <c r="B1435">
        <v>1355.7</v>
      </c>
      <c r="C1435">
        <v>113.249</v>
      </c>
      <c r="D1435" s="15">
        <f t="shared" si="68"/>
        <v>7.5000000000002839E-5</v>
      </c>
      <c r="E1435" s="14">
        <f t="shared" si="66"/>
        <v>7.5801347586629999E-5</v>
      </c>
      <c r="F1435">
        <v>105.57299999999999</v>
      </c>
      <c r="G1435" s="1">
        <f t="shared" si="67"/>
        <v>104.906471</v>
      </c>
    </row>
    <row r="1436" spans="1:7" x14ac:dyDescent="0.3">
      <c r="A1436">
        <v>14340</v>
      </c>
      <c r="B1436">
        <v>1358.6</v>
      </c>
      <c r="C1436">
        <v>113.249</v>
      </c>
      <c r="D1436" s="15">
        <f t="shared" si="68"/>
        <v>7.5000000000002839E-5</v>
      </c>
      <c r="E1436" s="14">
        <f t="shared" si="66"/>
        <v>7.5770935154519998E-5</v>
      </c>
      <c r="F1436">
        <v>105.565</v>
      </c>
      <c r="G1436" s="1">
        <f t="shared" si="67"/>
        <v>104.90534100000001</v>
      </c>
    </row>
    <row r="1437" spans="1:7" x14ac:dyDescent="0.3">
      <c r="A1437">
        <v>14350</v>
      </c>
      <c r="B1437">
        <v>1361.8</v>
      </c>
      <c r="C1437">
        <v>113.248</v>
      </c>
      <c r="D1437" s="15">
        <f t="shared" si="68"/>
        <v>7.5000000000002839E-5</v>
      </c>
      <c r="E1437" s="14">
        <f t="shared" si="66"/>
        <v>7.5740535405749985E-5</v>
      </c>
      <c r="F1437">
        <v>105.557</v>
      </c>
      <c r="G1437" s="1">
        <f t="shared" si="67"/>
        <v>104.904211</v>
      </c>
    </row>
    <row r="1438" spans="1:7" x14ac:dyDescent="0.3">
      <c r="A1438">
        <v>14360</v>
      </c>
      <c r="B1438">
        <v>1364.8</v>
      </c>
      <c r="C1438">
        <v>113.247</v>
      </c>
      <c r="D1438" s="15">
        <f t="shared" si="68"/>
        <v>9.9999999999766942E-5</v>
      </c>
      <c r="E1438" s="14">
        <f t="shared" si="66"/>
        <v>7.571014834032E-5</v>
      </c>
      <c r="F1438">
        <v>105.55</v>
      </c>
      <c r="G1438" s="1">
        <f t="shared" si="67"/>
        <v>104.903081</v>
      </c>
    </row>
    <row r="1439" spans="1:7" x14ac:dyDescent="0.3">
      <c r="A1439">
        <v>14370</v>
      </c>
      <c r="B1439">
        <v>1367.7</v>
      </c>
      <c r="C1439">
        <v>113.246</v>
      </c>
      <c r="D1439" s="15">
        <f t="shared" si="68"/>
        <v>1.0000000000012221E-4</v>
      </c>
      <c r="E1439" s="14">
        <f t="shared" si="66"/>
        <v>7.5679773958229989E-5</v>
      </c>
      <c r="F1439">
        <v>105.542</v>
      </c>
      <c r="G1439" s="1">
        <f t="shared" si="67"/>
        <v>104.901951</v>
      </c>
    </row>
    <row r="1440" spans="1:7" x14ac:dyDescent="0.3">
      <c r="A1440">
        <v>14380</v>
      </c>
      <c r="B1440">
        <v>1370.7</v>
      </c>
      <c r="C1440">
        <v>113.245</v>
      </c>
      <c r="D1440" s="15">
        <f t="shared" si="68"/>
        <v>1.0000000000012221E-4</v>
      </c>
      <c r="E1440" s="14">
        <f t="shared" si="66"/>
        <v>7.5649412259479992E-5</v>
      </c>
      <c r="F1440">
        <v>105.535</v>
      </c>
      <c r="G1440" s="1">
        <f t="shared" si="67"/>
        <v>104.90082100000001</v>
      </c>
    </row>
    <row r="1441" spans="1:7" x14ac:dyDescent="0.3">
      <c r="A1441">
        <v>14390</v>
      </c>
      <c r="B1441">
        <v>1373.5</v>
      </c>
      <c r="C1441">
        <v>113.244</v>
      </c>
      <c r="D1441" s="15">
        <f t="shared" si="68"/>
        <v>9.9999999999766942E-5</v>
      </c>
      <c r="E1441" s="14">
        <f t="shared" si="66"/>
        <v>7.5619063244069997E-5</v>
      </c>
      <c r="F1441">
        <v>105.527</v>
      </c>
      <c r="G1441" s="1">
        <f t="shared" si="67"/>
        <v>104.899691</v>
      </c>
    </row>
    <row r="1442" spans="1:7" x14ac:dyDescent="0.3">
      <c r="A1442">
        <v>14400</v>
      </c>
      <c r="B1442">
        <v>1376.3</v>
      </c>
      <c r="C1442">
        <v>113.24299999999999</v>
      </c>
      <c r="D1442" s="15">
        <f t="shared" si="68"/>
        <v>1.0000000000012221E-4</v>
      </c>
      <c r="E1442" s="14">
        <f t="shared" si="66"/>
        <v>7.5588726911999989E-5</v>
      </c>
      <c r="F1442">
        <v>105.51900000000001</v>
      </c>
      <c r="G1442" s="1">
        <f t="shared" si="67"/>
        <v>104.898561</v>
      </c>
    </row>
    <row r="1443" spans="1:7" x14ac:dyDescent="0.3">
      <c r="A1443">
        <v>14410</v>
      </c>
      <c r="B1443">
        <v>1378.9</v>
      </c>
      <c r="C1443">
        <v>113.242</v>
      </c>
      <c r="D1443" s="15">
        <f t="shared" si="68"/>
        <v>1.0000000000012221E-4</v>
      </c>
      <c r="E1443" s="14">
        <f t="shared" si="66"/>
        <v>7.5558403263269996E-5</v>
      </c>
      <c r="F1443">
        <v>105.511</v>
      </c>
      <c r="G1443" s="1">
        <f t="shared" si="67"/>
        <v>104.897431</v>
      </c>
    </row>
    <row r="1444" spans="1:7" x14ac:dyDescent="0.3">
      <c r="A1444">
        <v>14420</v>
      </c>
      <c r="B1444">
        <v>1381.7</v>
      </c>
      <c r="C1444">
        <v>113.241</v>
      </c>
      <c r="D1444" s="15">
        <f t="shared" si="68"/>
        <v>9.9999999999766942E-5</v>
      </c>
      <c r="E1444" s="14">
        <f t="shared" si="66"/>
        <v>7.5528092297880004E-5</v>
      </c>
      <c r="F1444">
        <v>105.504</v>
      </c>
      <c r="G1444" s="1">
        <f t="shared" si="67"/>
        <v>104.89630100000001</v>
      </c>
    </row>
    <row r="1445" spans="1:7" x14ac:dyDescent="0.3">
      <c r="A1445">
        <v>14430</v>
      </c>
      <c r="B1445">
        <v>1384.1</v>
      </c>
      <c r="C1445">
        <v>113.24</v>
      </c>
      <c r="D1445" s="15">
        <f t="shared" si="68"/>
        <v>1.0000000000012221E-4</v>
      </c>
      <c r="E1445" s="14">
        <f t="shared" si="66"/>
        <v>7.549779401583E-5</v>
      </c>
      <c r="F1445">
        <v>105.496</v>
      </c>
      <c r="G1445" s="1">
        <f t="shared" si="67"/>
        <v>104.895171</v>
      </c>
    </row>
    <row r="1446" spans="1:7" x14ac:dyDescent="0.3">
      <c r="A1446">
        <v>14440</v>
      </c>
      <c r="B1446">
        <v>1386.6</v>
      </c>
      <c r="C1446">
        <v>113.239</v>
      </c>
      <c r="D1446" s="15">
        <f t="shared" si="68"/>
        <v>1.0000000000012221E-4</v>
      </c>
      <c r="E1446" s="14">
        <f t="shared" si="66"/>
        <v>7.5467508417119997E-5</v>
      </c>
      <c r="F1446">
        <v>105.488</v>
      </c>
      <c r="G1446" s="1">
        <f t="shared" si="67"/>
        <v>104.894041</v>
      </c>
    </row>
    <row r="1447" spans="1:7" x14ac:dyDescent="0.3">
      <c r="A1447">
        <v>14450</v>
      </c>
      <c r="B1447">
        <v>1389</v>
      </c>
      <c r="C1447">
        <v>113.238</v>
      </c>
      <c r="D1447" s="15">
        <f t="shared" si="68"/>
        <v>9.9999999999766942E-5</v>
      </c>
      <c r="E1447" s="14">
        <f t="shared" si="66"/>
        <v>7.5437235501749994E-5</v>
      </c>
      <c r="F1447">
        <v>105.48099999999999</v>
      </c>
      <c r="G1447" s="1">
        <f t="shared" si="67"/>
        <v>104.892911</v>
      </c>
    </row>
    <row r="1448" spans="1:7" x14ac:dyDescent="0.3">
      <c r="A1448">
        <v>14460</v>
      </c>
      <c r="B1448">
        <v>1391.7</v>
      </c>
      <c r="C1448">
        <v>113.23699999999999</v>
      </c>
      <c r="D1448" s="15">
        <f t="shared" si="68"/>
        <v>1.0000000000012221E-4</v>
      </c>
      <c r="E1448" s="14">
        <f t="shared" si="66"/>
        <v>7.5406975269719993E-5</v>
      </c>
      <c r="F1448">
        <v>105.473</v>
      </c>
      <c r="G1448" s="1">
        <f t="shared" si="67"/>
        <v>104.89178100000001</v>
      </c>
    </row>
    <row r="1449" spans="1:7" x14ac:dyDescent="0.3">
      <c r="A1449">
        <v>14470</v>
      </c>
      <c r="B1449">
        <v>1394</v>
      </c>
      <c r="C1449">
        <v>113.236</v>
      </c>
      <c r="D1449" s="15">
        <f t="shared" si="68"/>
        <v>1.0000000000012221E-4</v>
      </c>
      <c r="E1449" s="14">
        <f t="shared" si="66"/>
        <v>7.5376727721029993E-5</v>
      </c>
      <c r="F1449">
        <v>105.465</v>
      </c>
      <c r="G1449" s="1">
        <f t="shared" si="67"/>
        <v>104.89065100000001</v>
      </c>
    </row>
    <row r="1450" spans="1:7" x14ac:dyDescent="0.3">
      <c r="A1450">
        <v>14480</v>
      </c>
      <c r="B1450">
        <v>1396.3</v>
      </c>
      <c r="C1450">
        <v>113.235</v>
      </c>
      <c r="D1450" s="15">
        <f t="shared" si="68"/>
        <v>9.9999999999766942E-5</v>
      </c>
      <c r="E1450" s="14">
        <f t="shared" si="66"/>
        <v>7.5346492855679994E-5</v>
      </c>
      <c r="F1450">
        <v>105.458</v>
      </c>
      <c r="G1450" s="1">
        <f t="shared" si="67"/>
        <v>104.889521</v>
      </c>
    </row>
    <row r="1451" spans="1:7" x14ac:dyDescent="0.3">
      <c r="A1451">
        <v>14490</v>
      </c>
      <c r="B1451">
        <v>1398.5</v>
      </c>
      <c r="C1451">
        <v>113.23399999999999</v>
      </c>
      <c r="D1451" s="15">
        <f t="shared" si="68"/>
        <v>1.0000000000012221E-4</v>
      </c>
      <c r="E1451" s="14">
        <f t="shared" si="66"/>
        <v>7.5316270673669996E-5</v>
      </c>
      <c r="F1451">
        <v>105.45</v>
      </c>
      <c r="G1451" s="1">
        <f t="shared" si="67"/>
        <v>104.888391</v>
      </c>
    </row>
    <row r="1452" spans="1:7" x14ac:dyDescent="0.3">
      <c r="A1452">
        <v>14500</v>
      </c>
      <c r="B1452">
        <v>1401.3</v>
      </c>
      <c r="C1452">
        <v>113.233</v>
      </c>
      <c r="D1452" s="15">
        <f t="shared" si="68"/>
        <v>1.0000000000012221E-4</v>
      </c>
      <c r="E1452" s="14">
        <f t="shared" si="66"/>
        <v>7.5286061174999999E-5</v>
      </c>
      <c r="F1452">
        <v>105.44199999999999</v>
      </c>
      <c r="G1452" s="1">
        <f t="shared" si="67"/>
        <v>104.88726100000001</v>
      </c>
    </row>
    <row r="1453" spans="1:7" x14ac:dyDescent="0.3">
      <c r="A1453">
        <v>14510</v>
      </c>
      <c r="B1453">
        <v>1403.7</v>
      </c>
      <c r="C1453">
        <v>113.232</v>
      </c>
      <c r="D1453" s="15">
        <f t="shared" si="68"/>
        <v>9.9999999999766942E-5</v>
      </c>
      <c r="E1453" s="14">
        <f t="shared" si="66"/>
        <v>7.525586435966999E-5</v>
      </c>
      <c r="F1453">
        <v>105.434</v>
      </c>
      <c r="G1453" s="1">
        <f t="shared" si="67"/>
        <v>104.88613100000001</v>
      </c>
    </row>
    <row r="1454" spans="1:7" x14ac:dyDescent="0.3">
      <c r="A1454">
        <v>14520</v>
      </c>
      <c r="B1454">
        <v>1406.1</v>
      </c>
      <c r="C1454">
        <v>113.23099999999999</v>
      </c>
      <c r="D1454" s="15">
        <f t="shared" si="68"/>
        <v>1.0000000000012221E-4</v>
      </c>
      <c r="E1454" s="14">
        <f t="shared" si="66"/>
        <v>7.5225680227679995E-5</v>
      </c>
      <c r="F1454">
        <v>105.42700000000001</v>
      </c>
      <c r="G1454" s="1">
        <f t="shared" si="67"/>
        <v>104.885001</v>
      </c>
    </row>
    <row r="1455" spans="1:7" x14ac:dyDescent="0.3">
      <c r="A1455">
        <v>14530</v>
      </c>
      <c r="B1455">
        <v>1408.4</v>
      </c>
      <c r="C1455">
        <v>113.23</v>
      </c>
      <c r="D1455" s="15">
        <f t="shared" si="68"/>
        <v>1.0000000000012221E-4</v>
      </c>
      <c r="E1455" s="14">
        <f t="shared" si="66"/>
        <v>7.5195508779030002E-5</v>
      </c>
      <c r="F1455">
        <v>105.419</v>
      </c>
      <c r="G1455" s="1">
        <f t="shared" si="67"/>
        <v>104.883871</v>
      </c>
    </row>
    <row r="1456" spans="1:7" x14ac:dyDescent="0.3">
      <c r="A1456">
        <v>14540</v>
      </c>
      <c r="B1456">
        <v>1411</v>
      </c>
      <c r="C1456">
        <v>113.229</v>
      </c>
      <c r="D1456" s="15">
        <f t="shared" si="68"/>
        <v>9.9999999999766942E-5</v>
      </c>
      <c r="E1456" s="14">
        <f t="shared" si="66"/>
        <v>7.5165350013719996E-5</v>
      </c>
      <c r="F1456">
        <v>105.411</v>
      </c>
      <c r="G1456" s="1">
        <f t="shared" si="67"/>
        <v>104.88274100000001</v>
      </c>
    </row>
    <row r="1457" spans="1:7" x14ac:dyDescent="0.3">
      <c r="A1457">
        <v>14550</v>
      </c>
      <c r="B1457">
        <v>1413.3</v>
      </c>
      <c r="C1457">
        <v>113.22799999999999</v>
      </c>
      <c r="D1457" s="15">
        <f t="shared" si="68"/>
        <v>1.0000000000012221E-4</v>
      </c>
      <c r="E1457" s="14">
        <f t="shared" si="66"/>
        <v>7.5135203931750005E-5</v>
      </c>
      <c r="F1457">
        <v>105.404</v>
      </c>
      <c r="G1457" s="1">
        <f t="shared" si="67"/>
        <v>104.88161100000001</v>
      </c>
    </row>
    <row r="1458" spans="1:7" x14ac:dyDescent="0.3">
      <c r="A1458">
        <v>14560</v>
      </c>
      <c r="B1458">
        <v>1415.6</v>
      </c>
      <c r="C1458">
        <v>113.227</v>
      </c>
      <c r="D1458" s="15">
        <f t="shared" si="68"/>
        <v>1.0000000000012221E-4</v>
      </c>
      <c r="E1458" s="14">
        <f t="shared" si="66"/>
        <v>7.5105070533119987E-5</v>
      </c>
      <c r="F1458">
        <v>105.396</v>
      </c>
      <c r="G1458" s="1">
        <f t="shared" si="67"/>
        <v>104.880481</v>
      </c>
    </row>
    <row r="1459" spans="1:7" x14ac:dyDescent="0.3">
      <c r="A1459">
        <v>14570</v>
      </c>
      <c r="B1459">
        <v>1418</v>
      </c>
      <c r="C1459">
        <v>113.226</v>
      </c>
      <c r="D1459" s="15">
        <f t="shared" si="68"/>
        <v>9.9999999999766942E-5</v>
      </c>
      <c r="E1459" s="14">
        <f t="shared" si="66"/>
        <v>7.5074949817829998E-5</v>
      </c>
      <c r="F1459">
        <v>105.38800000000001</v>
      </c>
      <c r="G1459" s="1">
        <f t="shared" si="67"/>
        <v>104.879351</v>
      </c>
    </row>
    <row r="1460" spans="1:7" x14ac:dyDescent="0.3">
      <c r="A1460">
        <v>14580</v>
      </c>
      <c r="B1460">
        <v>1420.5</v>
      </c>
      <c r="C1460">
        <v>113.22499999999999</v>
      </c>
      <c r="D1460" s="15">
        <f t="shared" si="68"/>
        <v>1.0000000000012221E-4</v>
      </c>
      <c r="E1460" s="14">
        <f t="shared" si="66"/>
        <v>7.5044841785879997E-5</v>
      </c>
      <c r="F1460">
        <v>105.38</v>
      </c>
      <c r="G1460" s="1">
        <f t="shared" si="67"/>
        <v>104.878221</v>
      </c>
    </row>
    <row r="1461" spans="1:7" x14ac:dyDescent="0.3">
      <c r="A1461">
        <v>14590</v>
      </c>
      <c r="B1461">
        <v>1423.8</v>
      </c>
      <c r="C1461">
        <v>113.224</v>
      </c>
      <c r="D1461" s="15">
        <f t="shared" si="68"/>
        <v>1.0000000000012221E-4</v>
      </c>
      <c r="E1461" s="14">
        <f t="shared" si="66"/>
        <v>7.5014746437269996E-5</v>
      </c>
      <c r="F1461">
        <v>105.373</v>
      </c>
      <c r="G1461" s="1">
        <f t="shared" si="67"/>
        <v>104.87709100000001</v>
      </c>
    </row>
    <row r="1462" spans="1:7" x14ac:dyDescent="0.3">
      <c r="A1462">
        <v>14600</v>
      </c>
      <c r="B1462">
        <v>1427.1</v>
      </c>
      <c r="C1462">
        <v>113.223</v>
      </c>
      <c r="D1462" s="15">
        <f t="shared" si="68"/>
        <v>9.9999999999766942E-5</v>
      </c>
      <c r="E1462" s="14">
        <f t="shared" si="66"/>
        <v>7.4984663771999997E-5</v>
      </c>
      <c r="F1462">
        <v>105.36499999999999</v>
      </c>
      <c r="G1462" s="1">
        <f t="shared" si="67"/>
        <v>104.875961</v>
      </c>
    </row>
    <row r="1463" spans="1:7" x14ac:dyDescent="0.3">
      <c r="A1463">
        <v>14610</v>
      </c>
      <c r="B1463">
        <v>1430.4</v>
      </c>
      <c r="C1463">
        <v>113.22199999999999</v>
      </c>
      <c r="D1463" s="15">
        <f t="shared" si="68"/>
        <v>1.0000000000012221E-4</v>
      </c>
      <c r="E1463" s="14">
        <f t="shared" si="66"/>
        <v>7.4954593790069998E-5</v>
      </c>
      <c r="F1463">
        <v>105.357</v>
      </c>
      <c r="G1463" s="1">
        <f t="shared" si="67"/>
        <v>104.874831</v>
      </c>
    </row>
    <row r="1464" spans="1:7" x14ac:dyDescent="0.3">
      <c r="A1464">
        <v>14620</v>
      </c>
      <c r="B1464">
        <v>1433.7</v>
      </c>
      <c r="C1464">
        <v>113.221</v>
      </c>
      <c r="D1464" s="15">
        <f t="shared" si="68"/>
        <v>1.0000000000012221E-4</v>
      </c>
      <c r="E1464" s="14">
        <f t="shared" si="66"/>
        <v>7.4924536491479987E-5</v>
      </c>
      <c r="F1464">
        <v>105.349</v>
      </c>
      <c r="G1464" s="1">
        <f t="shared" si="67"/>
        <v>104.873701</v>
      </c>
    </row>
    <row r="1465" spans="1:7" x14ac:dyDescent="0.3">
      <c r="A1465">
        <v>14630</v>
      </c>
      <c r="B1465">
        <v>1436.9</v>
      </c>
      <c r="C1465">
        <v>113.22</v>
      </c>
      <c r="D1465" s="15">
        <f t="shared" si="68"/>
        <v>9.9999999999766942E-5</v>
      </c>
      <c r="E1465" s="14">
        <f t="shared" si="66"/>
        <v>7.4894491876230005E-5</v>
      </c>
      <c r="F1465">
        <v>105.342</v>
      </c>
      <c r="G1465" s="1">
        <f t="shared" si="67"/>
        <v>104.87257100000001</v>
      </c>
    </row>
    <row r="1466" spans="1:7" x14ac:dyDescent="0.3">
      <c r="A1466">
        <v>14640</v>
      </c>
      <c r="B1466">
        <v>1440.3</v>
      </c>
      <c r="C1466">
        <v>113.21899999999999</v>
      </c>
      <c r="D1466" s="15">
        <f t="shared" si="68"/>
        <v>1.2500000000024159E-4</v>
      </c>
      <c r="E1466" s="14">
        <f t="shared" si="66"/>
        <v>7.4864459944319996E-5</v>
      </c>
      <c r="F1466">
        <v>105.334</v>
      </c>
      <c r="G1466" s="1">
        <f t="shared" si="67"/>
        <v>104.871441</v>
      </c>
    </row>
    <row r="1467" spans="1:7" x14ac:dyDescent="0.3">
      <c r="A1467">
        <v>14650</v>
      </c>
      <c r="B1467">
        <v>1443.7</v>
      </c>
      <c r="C1467">
        <v>113.218</v>
      </c>
      <c r="D1467" s="15">
        <f t="shared" si="68"/>
        <v>1.2499999999988632E-4</v>
      </c>
      <c r="E1467" s="14">
        <f t="shared" si="66"/>
        <v>7.4834440695749989E-5</v>
      </c>
      <c r="F1467">
        <v>105.32599999999999</v>
      </c>
      <c r="G1467" s="1">
        <f t="shared" si="67"/>
        <v>104.870311</v>
      </c>
    </row>
    <row r="1468" spans="1:7" x14ac:dyDescent="0.3">
      <c r="A1468">
        <v>14660</v>
      </c>
      <c r="B1468">
        <v>1447</v>
      </c>
      <c r="C1468">
        <v>113.21599999999999</v>
      </c>
      <c r="D1468" s="15">
        <f t="shared" si="68"/>
        <v>1.2499999999988632E-4</v>
      </c>
      <c r="E1468" s="14">
        <f t="shared" si="66"/>
        <v>7.4804434130519996E-5</v>
      </c>
      <c r="F1468">
        <v>105.318</v>
      </c>
      <c r="G1468" s="1">
        <f t="shared" si="67"/>
        <v>104.869181</v>
      </c>
    </row>
    <row r="1469" spans="1:7" x14ac:dyDescent="0.3">
      <c r="A1469">
        <v>14670</v>
      </c>
      <c r="B1469">
        <v>1450</v>
      </c>
      <c r="C1469">
        <v>113.215</v>
      </c>
      <c r="D1469" s="15">
        <f t="shared" si="68"/>
        <v>1.2500000000024159E-4</v>
      </c>
      <c r="E1469" s="14">
        <f t="shared" si="66"/>
        <v>7.4774440248629991E-5</v>
      </c>
      <c r="F1469">
        <v>105.31</v>
      </c>
      <c r="G1469" s="1">
        <f t="shared" si="67"/>
        <v>104.86805100000001</v>
      </c>
    </row>
    <row r="1470" spans="1:7" x14ac:dyDescent="0.3">
      <c r="A1470">
        <v>14680</v>
      </c>
      <c r="B1470">
        <v>1453.2</v>
      </c>
      <c r="C1470">
        <v>113.214</v>
      </c>
      <c r="D1470" s="15">
        <f t="shared" si="68"/>
        <v>9.9999999999766942E-5</v>
      </c>
      <c r="E1470" s="14">
        <f t="shared" si="66"/>
        <v>7.474445905008E-5</v>
      </c>
      <c r="F1470">
        <v>105.304</v>
      </c>
      <c r="G1470" s="1">
        <f t="shared" si="67"/>
        <v>104.866921</v>
      </c>
    </row>
    <row r="1471" spans="1:7" x14ac:dyDescent="0.3">
      <c r="A1471">
        <v>14690</v>
      </c>
      <c r="B1471">
        <v>1456.5</v>
      </c>
      <c r="C1471">
        <v>113.21299999999999</v>
      </c>
      <c r="D1471" s="15">
        <f t="shared" si="68"/>
        <v>1.0000000000012221E-4</v>
      </c>
      <c r="E1471" s="14">
        <f t="shared" si="66"/>
        <v>7.4714490534869997E-5</v>
      </c>
      <c r="F1471">
        <v>105.29600000000001</v>
      </c>
      <c r="G1471" s="1">
        <f t="shared" si="67"/>
        <v>104.865791</v>
      </c>
    </row>
    <row r="1472" spans="1:7" x14ac:dyDescent="0.3">
      <c r="A1472">
        <v>14700</v>
      </c>
      <c r="B1472">
        <v>1459.7</v>
      </c>
      <c r="C1472">
        <v>113.212</v>
      </c>
      <c r="D1472" s="15">
        <f t="shared" si="68"/>
        <v>1.0000000000012221E-4</v>
      </c>
      <c r="E1472" s="14">
        <f t="shared" si="66"/>
        <v>7.4684534702999995E-5</v>
      </c>
      <c r="F1472">
        <v>105.288</v>
      </c>
      <c r="G1472" s="1">
        <f t="shared" si="67"/>
        <v>104.864661</v>
      </c>
    </row>
    <row r="1473" spans="1:7" x14ac:dyDescent="0.3">
      <c r="A1473">
        <v>14710</v>
      </c>
      <c r="B1473">
        <v>1462.9</v>
      </c>
      <c r="C1473">
        <v>113.211</v>
      </c>
      <c r="D1473" s="15">
        <f t="shared" si="68"/>
        <v>1.2499999999988632E-4</v>
      </c>
      <c r="E1473" s="14">
        <f t="shared" si="66"/>
        <v>7.4654591554469994E-5</v>
      </c>
      <c r="F1473">
        <v>105.28</v>
      </c>
      <c r="G1473" s="1">
        <f t="shared" si="67"/>
        <v>104.86353100000001</v>
      </c>
    </row>
    <row r="1474" spans="1:7" x14ac:dyDescent="0.3">
      <c r="A1474">
        <v>14720</v>
      </c>
      <c r="B1474">
        <v>1466.2</v>
      </c>
      <c r="C1474">
        <v>113.21</v>
      </c>
      <c r="D1474" s="15">
        <f t="shared" si="68"/>
        <v>1.2500000000024159E-4</v>
      </c>
      <c r="E1474" s="14">
        <f t="shared" ref="E1474:E1537" si="69">0.0000000000000634167*A1474*A1474 - 0.0000000048594*A1474 + 0.000132414</f>
        <v>7.4624661089279994E-5</v>
      </c>
      <c r="F1474">
        <v>105.27200000000001</v>
      </c>
      <c r="G1474" s="1">
        <f t="shared" si="67"/>
        <v>104.86240100000001</v>
      </c>
    </row>
    <row r="1475" spans="1:7" x14ac:dyDescent="0.3">
      <c r="A1475">
        <v>14730</v>
      </c>
      <c r="B1475">
        <v>1469.6</v>
      </c>
      <c r="C1475">
        <v>113.208</v>
      </c>
      <c r="D1475" s="15">
        <f t="shared" si="68"/>
        <v>1.2499999999988632E-4</v>
      </c>
      <c r="E1475" s="14">
        <f t="shared" si="69"/>
        <v>7.4594743307429995E-5</v>
      </c>
      <c r="F1475">
        <v>105.264</v>
      </c>
      <c r="G1475" s="1">
        <f t="shared" ref="G1475:G1538" si="70">-0.000113*A1475 + 106.525761</f>
        <v>104.861271</v>
      </c>
    </row>
    <row r="1476" spans="1:7" x14ac:dyDescent="0.3">
      <c r="A1476">
        <v>14740</v>
      </c>
      <c r="B1476">
        <v>1473.1</v>
      </c>
      <c r="C1476">
        <v>113.20699999999999</v>
      </c>
      <c r="D1476" s="15">
        <f t="shared" si="68"/>
        <v>1.2499999999988632E-4</v>
      </c>
      <c r="E1476" s="14">
        <f t="shared" si="69"/>
        <v>7.4564838208919997E-5</v>
      </c>
      <c r="F1476">
        <v>105.25700000000001</v>
      </c>
      <c r="G1476" s="1">
        <f t="shared" si="70"/>
        <v>104.860141</v>
      </c>
    </row>
    <row r="1477" spans="1:7" x14ac:dyDescent="0.3">
      <c r="A1477">
        <v>14750</v>
      </c>
      <c r="B1477">
        <v>1476.3</v>
      </c>
      <c r="C1477">
        <v>113.206</v>
      </c>
      <c r="D1477" s="15">
        <f t="shared" ref="D1477:D1540" si="71">(C1475-C1479)/(A1479-A1475)</f>
        <v>1.2499999999988632E-4</v>
      </c>
      <c r="E1477" s="14">
        <f t="shared" si="69"/>
        <v>7.4534945793749987E-5</v>
      </c>
      <c r="F1477">
        <v>105.249</v>
      </c>
      <c r="G1477" s="1">
        <f t="shared" si="70"/>
        <v>104.85901100000001</v>
      </c>
    </row>
    <row r="1478" spans="1:7" x14ac:dyDescent="0.3">
      <c r="A1478">
        <v>14760</v>
      </c>
      <c r="B1478">
        <v>1479.8</v>
      </c>
      <c r="C1478">
        <v>113.205</v>
      </c>
      <c r="D1478" s="15">
        <f t="shared" si="71"/>
        <v>1.2499999999988632E-4</v>
      </c>
      <c r="E1478" s="14">
        <f t="shared" si="69"/>
        <v>7.4505066061919992E-5</v>
      </c>
      <c r="F1478">
        <v>105.242</v>
      </c>
      <c r="G1478" s="1">
        <f t="shared" si="70"/>
        <v>104.85788100000001</v>
      </c>
    </row>
    <row r="1479" spans="1:7" x14ac:dyDescent="0.3">
      <c r="A1479">
        <v>14770</v>
      </c>
      <c r="B1479">
        <v>1483.3</v>
      </c>
      <c r="C1479">
        <v>113.203</v>
      </c>
      <c r="D1479" s="15">
        <f t="shared" si="71"/>
        <v>1.2500000000024159E-4</v>
      </c>
      <c r="E1479" s="14">
        <f t="shared" si="69"/>
        <v>7.4475199013429997E-5</v>
      </c>
      <c r="F1479">
        <v>105.23399999999999</v>
      </c>
      <c r="G1479" s="1">
        <f t="shared" si="70"/>
        <v>104.856751</v>
      </c>
    </row>
    <row r="1480" spans="1:7" x14ac:dyDescent="0.3">
      <c r="A1480">
        <v>14780</v>
      </c>
      <c r="B1480">
        <v>1486.7</v>
      </c>
      <c r="C1480">
        <v>113.202</v>
      </c>
      <c r="D1480" s="15">
        <f t="shared" si="71"/>
        <v>1.2499999999988632E-4</v>
      </c>
      <c r="E1480" s="14">
        <f t="shared" si="69"/>
        <v>7.4445344648279991E-5</v>
      </c>
      <c r="F1480">
        <v>105.226</v>
      </c>
      <c r="G1480" s="1">
        <f t="shared" si="70"/>
        <v>104.855621</v>
      </c>
    </row>
    <row r="1481" spans="1:7" x14ac:dyDescent="0.3">
      <c r="A1481">
        <v>14790</v>
      </c>
      <c r="B1481">
        <v>1490.3</v>
      </c>
      <c r="C1481">
        <v>113.20099999999999</v>
      </c>
      <c r="D1481" s="15">
        <f t="shared" si="71"/>
        <v>1.2500000000024159E-4</v>
      </c>
      <c r="E1481" s="14">
        <f t="shared" si="69"/>
        <v>7.4415502966469998E-5</v>
      </c>
      <c r="F1481">
        <v>105.218</v>
      </c>
      <c r="G1481" s="1">
        <f t="shared" si="70"/>
        <v>104.854491</v>
      </c>
    </row>
    <row r="1482" spans="1:7" x14ac:dyDescent="0.3">
      <c r="A1482">
        <v>14800</v>
      </c>
      <c r="B1482">
        <v>1493.1</v>
      </c>
      <c r="C1482">
        <v>113.2</v>
      </c>
      <c r="D1482" s="15">
        <f t="shared" si="71"/>
        <v>1.2499999999988632E-4</v>
      </c>
      <c r="E1482" s="14">
        <f t="shared" si="69"/>
        <v>7.4385673968000007E-5</v>
      </c>
      <c r="F1482">
        <v>105.203</v>
      </c>
      <c r="G1482" s="1">
        <f t="shared" si="70"/>
        <v>104.85336100000001</v>
      </c>
    </row>
    <row r="1483" spans="1:7" x14ac:dyDescent="0.3">
      <c r="A1483">
        <v>14810</v>
      </c>
      <c r="B1483">
        <v>1494.5</v>
      </c>
      <c r="C1483">
        <v>113.19799999999999</v>
      </c>
      <c r="D1483" s="15">
        <f t="shared" si="71"/>
        <v>1.2499999999988632E-4</v>
      </c>
      <c r="E1483" s="14">
        <f t="shared" si="69"/>
        <v>7.435585765286999E-5</v>
      </c>
      <c r="F1483">
        <v>105.172</v>
      </c>
      <c r="G1483" s="1">
        <f t="shared" si="70"/>
        <v>104.852231</v>
      </c>
    </row>
    <row r="1484" spans="1:7" x14ac:dyDescent="0.3">
      <c r="A1484">
        <v>14820</v>
      </c>
      <c r="B1484">
        <v>1495.9</v>
      </c>
      <c r="C1484">
        <v>113.197</v>
      </c>
      <c r="D1484" s="15">
        <f t="shared" si="71"/>
        <v>1.5000000000000568E-4</v>
      </c>
      <c r="E1484" s="14">
        <f t="shared" si="69"/>
        <v>7.4326054021080001E-5</v>
      </c>
      <c r="F1484">
        <v>105.142</v>
      </c>
      <c r="G1484" s="1">
        <f t="shared" si="70"/>
        <v>104.851101</v>
      </c>
    </row>
    <row r="1485" spans="1:7" x14ac:dyDescent="0.3">
      <c r="A1485">
        <v>14830</v>
      </c>
      <c r="B1485">
        <v>1497.3</v>
      </c>
      <c r="C1485">
        <v>113.196</v>
      </c>
      <c r="D1485" s="15">
        <f t="shared" si="71"/>
        <v>1.2499999999988632E-4</v>
      </c>
      <c r="E1485" s="14">
        <f t="shared" si="69"/>
        <v>7.429626307263E-5</v>
      </c>
      <c r="F1485">
        <v>105.111</v>
      </c>
      <c r="G1485" s="1">
        <f t="shared" si="70"/>
        <v>104.849971</v>
      </c>
    </row>
    <row r="1486" spans="1:7" x14ac:dyDescent="0.3">
      <c r="A1486">
        <v>14840</v>
      </c>
      <c r="B1486">
        <v>1498.6</v>
      </c>
      <c r="C1486">
        <v>113.194</v>
      </c>
      <c r="D1486" s="15">
        <f t="shared" si="71"/>
        <v>1.2500000000024159E-4</v>
      </c>
      <c r="E1486" s="14">
        <f t="shared" si="69"/>
        <v>7.4266484807519999E-5</v>
      </c>
      <c r="F1486">
        <v>105.07899999999999</v>
      </c>
      <c r="G1486" s="1">
        <f t="shared" si="70"/>
        <v>104.84884100000001</v>
      </c>
    </row>
    <row r="1487" spans="1:7" x14ac:dyDescent="0.3">
      <c r="A1487">
        <v>14850</v>
      </c>
      <c r="B1487">
        <v>1500.1</v>
      </c>
      <c r="C1487">
        <v>113.193</v>
      </c>
      <c r="D1487" s="15">
        <f t="shared" si="71"/>
        <v>1.5000000000000568E-4</v>
      </c>
      <c r="E1487" s="14">
        <f t="shared" si="69"/>
        <v>7.423671922575E-5</v>
      </c>
      <c r="F1487">
        <v>105.048</v>
      </c>
      <c r="G1487" s="1">
        <f t="shared" si="70"/>
        <v>104.847711</v>
      </c>
    </row>
    <row r="1488" spans="1:7" x14ac:dyDescent="0.3">
      <c r="A1488">
        <v>14860</v>
      </c>
      <c r="B1488">
        <v>1501.6</v>
      </c>
      <c r="C1488">
        <v>113.19199999999999</v>
      </c>
      <c r="D1488" s="15">
        <f t="shared" si="71"/>
        <v>1.2500000000024159E-4</v>
      </c>
      <c r="E1488" s="14">
        <f t="shared" si="69"/>
        <v>7.4206966327319989E-5</v>
      </c>
      <c r="F1488">
        <v>105.017</v>
      </c>
      <c r="G1488" s="1">
        <f t="shared" si="70"/>
        <v>104.846581</v>
      </c>
    </row>
    <row r="1489" spans="1:7" x14ac:dyDescent="0.3">
      <c r="A1489">
        <v>14870</v>
      </c>
      <c r="B1489">
        <v>1502.9</v>
      </c>
      <c r="C1489">
        <v>113.19</v>
      </c>
      <c r="D1489" s="15">
        <f t="shared" si="71"/>
        <v>1.2499999999988632E-4</v>
      </c>
      <c r="E1489" s="14">
        <f t="shared" si="69"/>
        <v>7.4177226112229992E-5</v>
      </c>
      <c r="F1489">
        <v>104.986</v>
      </c>
      <c r="G1489" s="1">
        <f t="shared" si="70"/>
        <v>104.845451</v>
      </c>
    </row>
    <row r="1490" spans="1:7" x14ac:dyDescent="0.3">
      <c r="A1490">
        <v>14880</v>
      </c>
      <c r="B1490">
        <v>1504.3</v>
      </c>
      <c r="C1490">
        <v>113.18899999999999</v>
      </c>
      <c r="D1490" s="15">
        <f t="shared" si="71"/>
        <v>1.4999999999965041E-4</v>
      </c>
      <c r="E1490" s="14">
        <f t="shared" si="69"/>
        <v>7.4147498580480009E-5</v>
      </c>
      <c r="F1490">
        <v>104.95399999999999</v>
      </c>
      <c r="G1490" s="1">
        <f t="shared" si="70"/>
        <v>104.84432100000001</v>
      </c>
    </row>
    <row r="1491" spans="1:7" x14ac:dyDescent="0.3">
      <c r="A1491">
        <v>14890</v>
      </c>
      <c r="B1491">
        <v>1505.6</v>
      </c>
      <c r="C1491">
        <v>113.188</v>
      </c>
      <c r="D1491" s="15">
        <f t="shared" si="71"/>
        <v>1.2499999999988632E-4</v>
      </c>
      <c r="E1491" s="14">
        <f t="shared" si="69"/>
        <v>7.4117783732070001E-5</v>
      </c>
      <c r="F1491">
        <v>104.923</v>
      </c>
      <c r="G1491" s="1">
        <f t="shared" si="70"/>
        <v>104.843191</v>
      </c>
    </row>
    <row r="1492" spans="1:7" x14ac:dyDescent="0.3">
      <c r="A1492">
        <v>14900</v>
      </c>
      <c r="B1492">
        <v>1507</v>
      </c>
      <c r="C1492">
        <v>113.18600000000001</v>
      </c>
      <c r="D1492" s="15">
        <f t="shared" si="71"/>
        <v>1.2499999999988632E-4</v>
      </c>
      <c r="E1492" s="14">
        <f t="shared" si="69"/>
        <v>7.4088081566999993E-5</v>
      </c>
      <c r="F1492">
        <v>104.892</v>
      </c>
      <c r="G1492" s="1">
        <f t="shared" si="70"/>
        <v>104.842061</v>
      </c>
    </row>
    <row r="1493" spans="1:7" x14ac:dyDescent="0.3">
      <c r="A1493">
        <v>14910</v>
      </c>
      <c r="B1493">
        <v>1508.3</v>
      </c>
      <c r="C1493">
        <v>113.185</v>
      </c>
      <c r="D1493" s="15">
        <f t="shared" si="71"/>
        <v>1.5000000000000568E-4</v>
      </c>
      <c r="E1493" s="14">
        <f t="shared" si="69"/>
        <v>7.4058392085270001E-5</v>
      </c>
      <c r="F1493">
        <v>104.861</v>
      </c>
      <c r="G1493" s="1">
        <f t="shared" si="70"/>
        <v>104.840931</v>
      </c>
    </row>
    <row r="1494" spans="1:7" x14ac:dyDescent="0.3">
      <c r="A1494">
        <v>14920</v>
      </c>
      <c r="B1494">
        <v>1509.8</v>
      </c>
      <c r="C1494">
        <v>113.184</v>
      </c>
      <c r="D1494" s="15">
        <f t="shared" si="71"/>
        <v>1.2500000000024159E-4</v>
      </c>
      <c r="E1494" s="14">
        <f t="shared" si="69"/>
        <v>7.4028715286879982E-5</v>
      </c>
      <c r="F1494">
        <v>104.82899999999999</v>
      </c>
      <c r="G1494" s="1">
        <f t="shared" si="70"/>
        <v>104.83980100000001</v>
      </c>
    </row>
    <row r="1495" spans="1:7" x14ac:dyDescent="0.3">
      <c r="A1495">
        <v>14930</v>
      </c>
      <c r="B1495">
        <v>1511.1</v>
      </c>
      <c r="C1495">
        <v>113.182</v>
      </c>
      <c r="D1495" s="15">
        <f t="shared" si="71"/>
        <v>1.2499999999988632E-4</v>
      </c>
      <c r="E1495" s="14">
        <f t="shared" si="69"/>
        <v>7.3999051171830005E-5</v>
      </c>
      <c r="F1495">
        <v>104.798</v>
      </c>
      <c r="G1495" s="1">
        <f t="shared" si="70"/>
        <v>104.83867100000001</v>
      </c>
    </row>
    <row r="1496" spans="1:7" x14ac:dyDescent="0.3">
      <c r="A1496">
        <v>14940</v>
      </c>
      <c r="B1496">
        <v>1512.4</v>
      </c>
      <c r="C1496">
        <v>113.181</v>
      </c>
      <c r="D1496" s="15">
        <f t="shared" si="71"/>
        <v>1.5000000000000568E-4</v>
      </c>
      <c r="E1496" s="14">
        <f t="shared" si="69"/>
        <v>7.3969399740120002E-5</v>
      </c>
      <c r="F1496">
        <v>104.768</v>
      </c>
      <c r="G1496" s="1">
        <f t="shared" si="70"/>
        <v>104.837541</v>
      </c>
    </row>
    <row r="1497" spans="1:7" x14ac:dyDescent="0.3">
      <c r="A1497">
        <v>14950</v>
      </c>
      <c r="B1497">
        <v>1500.2</v>
      </c>
      <c r="C1497">
        <v>113.18</v>
      </c>
      <c r="D1497" s="15">
        <f t="shared" si="71"/>
        <v>1.2499999999988632E-4</v>
      </c>
      <c r="E1497" s="14">
        <f t="shared" si="69"/>
        <v>7.393976099175E-5</v>
      </c>
      <c r="F1497">
        <v>104.73699999999999</v>
      </c>
      <c r="G1497" s="1">
        <f t="shared" si="70"/>
        <v>104.836411</v>
      </c>
    </row>
    <row r="1498" spans="1:7" x14ac:dyDescent="0.3">
      <c r="A1498">
        <v>14960</v>
      </c>
      <c r="B1498">
        <v>1497.1</v>
      </c>
      <c r="C1498">
        <v>113.178</v>
      </c>
      <c r="D1498" s="15">
        <f t="shared" si="71"/>
        <v>1.2499999999988632E-4</v>
      </c>
      <c r="E1498" s="14">
        <f t="shared" si="69"/>
        <v>7.391013492672E-5</v>
      </c>
      <c r="F1498">
        <v>104.705</v>
      </c>
      <c r="G1498" s="1">
        <f t="shared" si="70"/>
        <v>104.83528100000001</v>
      </c>
    </row>
    <row r="1499" spans="1:7" x14ac:dyDescent="0.3">
      <c r="A1499">
        <v>14970</v>
      </c>
      <c r="B1499">
        <v>1493.8</v>
      </c>
      <c r="C1499">
        <v>113.17700000000001</v>
      </c>
      <c r="D1499" s="15">
        <f t="shared" si="71"/>
        <v>1.5000000000000568E-4</v>
      </c>
      <c r="E1499" s="14">
        <f t="shared" si="69"/>
        <v>7.3880521545029987E-5</v>
      </c>
      <c r="F1499">
        <v>104.67400000000001</v>
      </c>
      <c r="G1499" s="1">
        <f t="shared" si="70"/>
        <v>104.83415100000001</v>
      </c>
    </row>
    <row r="1500" spans="1:7" x14ac:dyDescent="0.3">
      <c r="A1500">
        <v>14980</v>
      </c>
      <c r="B1500">
        <v>1493.8</v>
      </c>
      <c r="C1500">
        <v>113.176</v>
      </c>
      <c r="D1500" s="15">
        <f t="shared" si="71"/>
        <v>1.2499999999988632E-4</v>
      </c>
      <c r="E1500" s="14">
        <f t="shared" si="69"/>
        <v>7.3850920846680002E-5</v>
      </c>
      <c r="F1500">
        <v>104.643</v>
      </c>
      <c r="G1500" s="1">
        <f t="shared" si="70"/>
        <v>104.833021</v>
      </c>
    </row>
    <row r="1501" spans="1:7" x14ac:dyDescent="0.3">
      <c r="A1501">
        <v>14990</v>
      </c>
      <c r="B1501">
        <v>1493.9</v>
      </c>
      <c r="C1501">
        <v>113.17400000000001</v>
      </c>
      <c r="D1501" s="15">
        <f t="shared" si="71"/>
        <v>1.2500000000024159E-4</v>
      </c>
      <c r="E1501" s="14">
        <f t="shared" si="69"/>
        <v>7.3821332831670004E-5</v>
      </c>
      <c r="F1501">
        <v>104.61199999999999</v>
      </c>
      <c r="G1501" s="1">
        <f t="shared" si="70"/>
        <v>104.831891</v>
      </c>
    </row>
    <row r="1502" spans="1:7" x14ac:dyDescent="0.3">
      <c r="A1502">
        <v>15000</v>
      </c>
      <c r="B1502">
        <v>1494</v>
      </c>
      <c r="C1502">
        <v>113.173</v>
      </c>
      <c r="D1502" s="15">
        <f t="shared" si="71"/>
        <v>1.5000000000000568E-4</v>
      </c>
      <c r="E1502" s="14">
        <f t="shared" si="69"/>
        <v>7.3791757499999994E-5</v>
      </c>
      <c r="F1502">
        <v>104.581</v>
      </c>
      <c r="G1502" s="1">
        <f t="shared" si="70"/>
        <v>104.83076100000001</v>
      </c>
    </row>
    <row r="1503" spans="1:7" x14ac:dyDescent="0.3">
      <c r="A1503">
        <v>15010</v>
      </c>
      <c r="B1503">
        <v>1492.5</v>
      </c>
      <c r="C1503">
        <v>113.172</v>
      </c>
      <c r="D1503" s="15">
        <f t="shared" si="71"/>
        <v>1.2500000000024159E-4</v>
      </c>
      <c r="E1503" s="14">
        <f t="shared" si="69"/>
        <v>7.3762194851669999E-5</v>
      </c>
      <c r="F1503">
        <v>104.54900000000001</v>
      </c>
      <c r="G1503" s="1">
        <f t="shared" si="70"/>
        <v>104.82963100000001</v>
      </c>
    </row>
    <row r="1504" spans="1:7" x14ac:dyDescent="0.3">
      <c r="A1504">
        <v>15020</v>
      </c>
      <c r="B1504">
        <v>1489.6</v>
      </c>
      <c r="C1504">
        <v>113.17</v>
      </c>
      <c r="D1504" s="15">
        <f t="shared" si="71"/>
        <v>1.2499999999988632E-4</v>
      </c>
      <c r="E1504" s="14">
        <f t="shared" si="69"/>
        <v>7.3732644886679991E-5</v>
      </c>
      <c r="F1504">
        <v>104.518</v>
      </c>
      <c r="G1504" s="1">
        <f t="shared" si="70"/>
        <v>104.828501</v>
      </c>
    </row>
    <row r="1505" spans="1:7" x14ac:dyDescent="0.3">
      <c r="A1505">
        <v>15030</v>
      </c>
      <c r="B1505">
        <v>1489.5</v>
      </c>
      <c r="C1505">
        <v>113.169</v>
      </c>
      <c r="D1505" s="15">
        <f t="shared" si="71"/>
        <v>1.5000000000000568E-4</v>
      </c>
      <c r="E1505" s="14">
        <f t="shared" si="69"/>
        <v>7.3703107605029998E-5</v>
      </c>
      <c r="F1505">
        <v>104.48699999999999</v>
      </c>
      <c r="G1505" s="1">
        <f t="shared" si="70"/>
        <v>104.827371</v>
      </c>
    </row>
    <row r="1506" spans="1:7" x14ac:dyDescent="0.3">
      <c r="A1506">
        <v>15040</v>
      </c>
      <c r="B1506">
        <v>1489.6</v>
      </c>
      <c r="C1506">
        <v>113.16800000000001</v>
      </c>
      <c r="D1506" s="15">
        <f t="shared" si="71"/>
        <v>1.2499999999988632E-4</v>
      </c>
      <c r="E1506" s="14">
        <f t="shared" si="69"/>
        <v>7.3673583006720006E-5</v>
      </c>
      <c r="F1506">
        <v>104.456</v>
      </c>
      <c r="G1506" s="1">
        <f t="shared" si="70"/>
        <v>104.826241</v>
      </c>
    </row>
    <row r="1507" spans="1:7" x14ac:dyDescent="0.3">
      <c r="A1507">
        <v>15050</v>
      </c>
      <c r="B1507">
        <v>1489.8</v>
      </c>
      <c r="C1507">
        <v>113.166</v>
      </c>
      <c r="D1507" s="15">
        <f t="shared" si="71"/>
        <v>1.2499999999988632E-4</v>
      </c>
      <c r="E1507" s="14">
        <f t="shared" si="69"/>
        <v>7.3644071091749988E-5</v>
      </c>
      <c r="F1507">
        <v>104.425</v>
      </c>
      <c r="G1507" s="1">
        <f t="shared" si="70"/>
        <v>104.82511100000001</v>
      </c>
    </row>
    <row r="1508" spans="1:7" x14ac:dyDescent="0.3">
      <c r="A1508">
        <v>15060</v>
      </c>
      <c r="B1508">
        <v>1489.7</v>
      </c>
      <c r="C1508">
        <v>113.16500000000001</v>
      </c>
      <c r="D1508" s="15">
        <f t="shared" si="71"/>
        <v>1.5000000000000568E-4</v>
      </c>
      <c r="E1508" s="14">
        <f t="shared" si="69"/>
        <v>7.3614571860119998E-5</v>
      </c>
      <c r="F1508">
        <v>104.393</v>
      </c>
      <c r="G1508" s="1">
        <f t="shared" si="70"/>
        <v>104.823981</v>
      </c>
    </row>
    <row r="1509" spans="1:7" x14ac:dyDescent="0.3">
      <c r="A1509">
        <v>15070</v>
      </c>
      <c r="B1509">
        <v>1489.7</v>
      </c>
      <c r="C1509">
        <v>113.164</v>
      </c>
      <c r="D1509" s="15">
        <f t="shared" si="71"/>
        <v>1.2499999999988632E-4</v>
      </c>
      <c r="E1509" s="14">
        <f t="shared" si="69"/>
        <v>7.3585085311829996E-5</v>
      </c>
      <c r="F1509">
        <v>104.36199999999999</v>
      </c>
      <c r="G1509" s="1">
        <f t="shared" si="70"/>
        <v>104.822851</v>
      </c>
    </row>
    <row r="1510" spans="1:7" x14ac:dyDescent="0.3">
      <c r="A1510">
        <v>15080</v>
      </c>
      <c r="B1510">
        <v>1489.6</v>
      </c>
      <c r="C1510">
        <v>113.16200000000001</v>
      </c>
      <c r="D1510" s="15">
        <f t="shared" si="71"/>
        <v>1.2500000000024159E-4</v>
      </c>
      <c r="E1510" s="14">
        <f t="shared" si="69"/>
        <v>7.3555611446879995E-5</v>
      </c>
      <c r="F1510">
        <v>104.331</v>
      </c>
      <c r="G1510" s="1">
        <f t="shared" si="70"/>
        <v>104.821721</v>
      </c>
    </row>
    <row r="1511" spans="1:7" x14ac:dyDescent="0.3">
      <c r="A1511">
        <v>15090</v>
      </c>
      <c r="B1511">
        <v>1489.4</v>
      </c>
      <c r="C1511">
        <v>113.161</v>
      </c>
      <c r="D1511" s="15">
        <f t="shared" si="71"/>
        <v>1.5000000000000568E-4</v>
      </c>
      <c r="E1511" s="14">
        <f t="shared" si="69"/>
        <v>7.3526150265269995E-5</v>
      </c>
      <c r="F1511">
        <v>104.3</v>
      </c>
      <c r="G1511" s="1">
        <f t="shared" si="70"/>
        <v>104.82059100000001</v>
      </c>
    </row>
    <row r="1512" spans="1:7" x14ac:dyDescent="0.3">
      <c r="A1512">
        <v>15100</v>
      </c>
      <c r="B1512">
        <v>1486.9</v>
      </c>
      <c r="C1512">
        <v>113.16</v>
      </c>
      <c r="D1512" s="15">
        <f t="shared" si="71"/>
        <v>1.2500000000024159E-4</v>
      </c>
      <c r="E1512" s="14">
        <f t="shared" si="69"/>
        <v>7.3496701766999996E-5</v>
      </c>
      <c r="F1512">
        <v>104.268</v>
      </c>
      <c r="G1512" s="1">
        <f t="shared" si="70"/>
        <v>104.819461</v>
      </c>
    </row>
    <row r="1513" spans="1:7" x14ac:dyDescent="0.3">
      <c r="A1513">
        <v>15110</v>
      </c>
      <c r="B1513">
        <v>1438.9</v>
      </c>
      <c r="C1513">
        <v>113.158</v>
      </c>
      <c r="D1513" s="15">
        <f t="shared" si="71"/>
        <v>1.2499999999988632E-4</v>
      </c>
      <c r="E1513" s="14">
        <f t="shared" si="69"/>
        <v>7.3467265952069984E-5</v>
      </c>
      <c r="F1513">
        <v>104.23699999999999</v>
      </c>
      <c r="G1513" s="1">
        <f t="shared" si="70"/>
        <v>104.818331</v>
      </c>
    </row>
    <row r="1514" spans="1:7" x14ac:dyDescent="0.3">
      <c r="A1514">
        <v>15120</v>
      </c>
      <c r="B1514">
        <v>1419.2</v>
      </c>
      <c r="C1514">
        <v>113.157</v>
      </c>
      <c r="D1514" s="15">
        <f t="shared" si="71"/>
        <v>1.2499999999988632E-4</v>
      </c>
      <c r="E1514" s="14">
        <f t="shared" si="69"/>
        <v>7.3437842820480001E-5</v>
      </c>
      <c r="F1514">
        <v>104.206</v>
      </c>
      <c r="G1514" s="1">
        <f t="shared" si="70"/>
        <v>104.817201</v>
      </c>
    </row>
    <row r="1515" spans="1:7" x14ac:dyDescent="0.3">
      <c r="A1515">
        <v>15130</v>
      </c>
      <c r="B1515">
        <v>1410.3</v>
      </c>
      <c r="C1515">
        <v>113.15600000000001</v>
      </c>
      <c r="D1515" s="15">
        <f t="shared" si="71"/>
        <v>1.2499999999988632E-4</v>
      </c>
      <c r="E1515" s="14">
        <f t="shared" si="69"/>
        <v>7.3408432372230005E-5</v>
      </c>
      <c r="F1515">
        <v>104.175</v>
      </c>
      <c r="G1515" s="1">
        <f t="shared" si="70"/>
        <v>104.81607100000001</v>
      </c>
    </row>
    <row r="1516" spans="1:7" x14ac:dyDescent="0.3">
      <c r="A1516">
        <v>15140</v>
      </c>
      <c r="B1516">
        <v>1406</v>
      </c>
      <c r="C1516">
        <v>113.155</v>
      </c>
      <c r="D1516" s="15">
        <f t="shared" si="71"/>
        <v>1.2499999999988632E-4</v>
      </c>
      <c r="E1516" s="14">
        <f t="shared" si="69"/>
        <v>7.3379034607319997E-5</v>
      </c>
      <c r="F1516">
        <v>104.14400000000001</v>
      </c>
      <c r="G1516" s="1">
        <f t="shared" si="70"/>
        <v>104.814941</v>
      </c>
    </row>
    <row r="1517" spans="1:7" x14ac:dyDescent="0.3">
      <c r="A1517">
        <v>15150</v>
      </c>
      <c r="B1517">
        <v>1396.1</v>
      </c>
      <c r="C1517">
        <v>113.15300000000001</v>
      </c>
      <c r="D1517" s="15">
        <f t="shared" si="71"/>
        <v>1.2500000000024159E-4</v>
      </c>
      <c r="E1517" s="14">
        <f t="shared" si="69"/>
        <v>7.3349649525750003E-5</v>
      </c>
      <c r="F1517">
        <v>104.113</v>
      </c>
      <c r="G1517" s="1">
        <f t="shared" si="70"/>
        <v>104.813811</v>
      </c>
    </row>
    <row r="1518" spans="1:7" x14ac:dyDescent="0.3">
      <c r="A1518">
        <v>15160</v>
      </c>
      <c r="B1518">
        <v>1378.2</v>
      </c>
      <c r="C1518">
        <v>113.152</v>
      </c>
      <c r="D1518" s="15">
        <f t="shared" si="71"/>
        <v>1.2499999999988632E-4</v>
      </c>
      <c r="E1518" s="14">
        <f t="shared" si="69"/>
        <v>7.3320277127519997E-5</v>
      </c>
      <c r="F1518">
        <v>104.08199999999999</v>
      </c>
      <c r="G1518" s="1">
        <f t="shared" si="70"/>
        <v>104.812681</v>
      </c>
    </row>
    <row r="1519" spans="1:7" x14ac:dyDescent="0.3">
      <c r="A1519">
        <v>15170</v>
      </c>
      <c r="B1519">
        <v>1372.9</v>
      </c>
      <c r="C1519">
        <v>113.151</v>
      </c>
      <c r="D1519" s="15">
        <f t="shared" si="71"/>
        <v>1.2500000000024159E-4</v>
      </c>
      <c r="E1519" s="14">
        <f t="shared" si="69"/>
        <v>7.3290917412629993E-5</v>
      </c>
      <c r="F1519">
        <v>104.051</v>
      </c>
      <c r="G1519" s="1">
        <f t="shared" si="70"/>
        <v>104.81155100000001</v>
      </c>
    </row>
    <row r="1520" spans="1:7" x14ac:dyDescent="0.3">
      <c r="A1520">
        <v>15180</v>
      </c>
      <c r="B1520">
        <v>1367.5</v>
      </c>
      <c r="C1520">
        <v>113.15</v>
      </c>
      <c r="D1520" s="15">
        <f t="shared" si="71"/>
        <v>1.2499999999988632E-4</v>
      </c>
      <c r="E1520" s="14">
        <f t="shared" si="69"/>
        <v>7.3261570381080002E-5</v>
      </c>
      <c r="F1520">
        <v>104.01900000000001</v>
      </c>
      <c r="G1520" s="1">
        <f t="shared" si="70"/>
        <v>104.81042100000001</v>
      </c>
    </row>
    <row r="1521" spans="1:7" x14ac:dyDescent="0.3">
      <c r="A1521">
        <v>15190</v>
      </c>
      <c r="B1521">
        <v>1362</v>
      </c>
      <c r="C1521">
        <v>113.148</v>
      </c>
      <c r="D1521" s="15">
        <f t="shared" si="71"/>
        <v>1.2499999999988632E-4</v>
      </c>
      <c r="E1521" s="14">
        <f t="shared" si="69"/>
        <v>7.3232236032869986E-5</v>
      </c>
      <c r="F1521">
        <v>103.988</v>
      </c>
      <c r="G1521" s="1">
        <f t="shared" si="70"/>
        <v>104.809291</v>
      </c>
    </row>
    <row r="1522" spans="1:7" x14ac:dyDescent="0.3">
      <c r="A1522">
        <v>15200</v>
      </c>
      <c r="B1522">
        <v>1356.6</v>
      </c>
      <c r="C1522">
        <v>113.14700000000001</v>
      </c>
      <c r="D1522" s="15">
        <f t="shared" si="71"/>
        <v>1.2500000000024159E-4</v>
      </c>
      <c r="E1522" s="14">
        <f t="shared" si="69"/>
        <v>7.3202914367999998E-5</v>
      </c>
      <c r="F1522">
        <v>103.958</v>
      </c>
      <c r="G1522" s="1">
        <f t="shared" si="70"/>
        <v>104.808161</v>
      </c>
    </row>
    <row r="1523" spans="1:7" x14ac:dyDescent="0.3">
      <c r="A1523">
        <v>15210</v>
      </c>
      <c r="B1523">
        <v>1351.5</v>
      </c>
      <c r="C1523">
        <v>113.146</v>
      </c>
      <c r="D1523" s="15">
        <f t="shared" si="71"/>
        <v>9.9999999999766942E-5</v>
      </c>
      <c r="E1523" s="14">
        <f t="shared" si="69"/>
        <v>7.3173605386469997E-5</v>
      </c>
      <c r="F1523">
        <v>103.926</v>
      </c>
      <c r="G1523" s="1">
        <f t="shared" si="70"/>
        <v>104.80703100000001</v>
      </c>
    </row>
    <row r="1524" spans="1:7" x14ac:dyDescent="0.3">
      <c r="A1524">
        <v>15220</v>
      </c>
      <c r="B1524">
        <v>1346.8</v>
      </c>
      <c r="C1524">
        <v>113.145</v>
      </c>
      <c r="D1524" s="15">
        <f t="shared" si="71"/>
        <v>1.0000000000012221E-4</v>
      </c>
      <c r="E1524" s="14">
        <f t="shared" si="69"/>
        <v>7.3144309088279984E-5</v>
      </c>
      <c r="F1524">
        <v>103.895</v>
      </c>
      <c r="G1524" s="1">
        <f t="shared" si="70"/>
        <v>104.80590100000001</v>
      </c>
    </row>
    <row r="1525" spans="1:7" x14ac:dyDescent="0.3">
      <c r="A1525">
        <v>15230</v>
      </c>
      <c r="B1525">
        <v>1342.3</v>
      </c>
      <c r="C1525">
        <v>113.14400000000001</v>
      </c>
      <c r="D1525" s="15">
        <f t="shared" si="71"/>
        <v>1.2499999999988632E-4</v>
      </c>
      <c r="E1525" s="14">
        <f t="shared" si="69"/>
        <v>7.311502547343E-5</v>
      </c>
      <c r="F1525">
        <v>103.864</v>
      </c>
      <c r="G1525" s="1">
        <f t="shared" si="70"/>
        <v>104.804771</v>
      </c>
    </row>
    <row r="1526" spans="1:7" x14ac:dyDescent="0.3">
      <c r="A1526">
        <v>15240</v>
      </c>
      <c r="B1526">
        <v>1337</v>
      </c>
      <c r="C1526">
        <v>113.143</v>
      </c>
      <c r="D1526" s="15">
        <f t="shared" si="71"/>
        <v>1.2499999999988632E-4</v>
      </c>
      <c r="E1526" s="14">
        <f t="shared" si="69"/>
        <v>7.3085754541919989E-5</v>
      </c>
      <c r="F1526">
        <v>103.83199999999999</v>
      </c>
      <c r="G1526" s="1">
        <f t="shared" si="70"/>
        <v>104.803641</v>
      </c>
    </row>
    <row r="1527" spans="1:7" x14ac:dyDescent="0.3">
      <c r="A1527">
        <v>15250</v>
      </c>
      <c r="B1527">
        <v>1331.3</v>
      </c>
      <c r="C1527">
        <v>113.14100000000001</v>
      </c>
      <c r="D1527" s="15">
        <f t="shared" si="71"/>
        <v>1.2500000000024159E-4</v>
      </c>
      <c r="E1527" s="14">
        <f t="shared" si="69"/>
        <v>7.3056496293749993E-5</v>
      </c>
      <c r="F1527">
        <v>103.801</v>
      </c>
      <c r="G1527" s="1">
        <f t="shared" si="70"/>
        <v>104.80251100000001</v>
      </c>
    </row>
    <row r="1528" spans="1:7" x14ac:dyDescent="0.3">
      <c r="A1528">
        <v>15260</v>
      </c>
      <c r="B1528">
        <v>1325</v>
      </c>
      <c r="C1528">
        <v>113.14</v>
      </c>
      <c r="D1528" s="15">
        <f t="shared" si="71"/>
        <v>1.2499999999988632E-4</v>
      </c>
      <c r="E1528" s="14">
        <f t="shared" si="69"/>
        <v>7.3027250728919998E-5</v>
      </c>
      <c r="F1528">
        <v>103.77</v>
      </c>
      <c r="G1528" s="1">
        <f t="shared" si="70"/>
        <v>104.80138100000001</v>
      </c>
    </row>
    <row r="1529" spans="1:7" x14ac:dyDescent="0.3">
      <c r="A1529">
        <v>15270</v>
      </c>
      <c r="B1529">
        <v>1306.8</v>
      </c>
      <c r="C1529">
        <v>113.139</v>
      </c>
      <c r="D1529" s="15">
        <f t="shared" si="71"/>
        <v>1.0000000000012221E-4</v>
      </c>
      <c r="E1529" s="14">
        <f t="shared" si="69"/>
        <v>7.299801784742999E-5</v>
      </c>
      <c r="F1529">
        <v>103.739</v>
      </c>
      <c r="G1529" s="1">
        <f t="shared" si="70"/>
        <v>104.800251</v>
      </c>
    </row>
    <row r="1530" spans="1:7" x14ac:dyDescent="0.3">
      <c r="A1530">
        <v>15280</v>
      </c>
      <c r="B1530">
        <v>1300</v>
      </c>
      <c r="C1530">
        <v>113.13800000000001</v>
      </c>
      <c r="D1530" s="15">
        <f t="shared" si="71"/>
        <v>1.0000000000012221E-4</v>
      </c>
      <c r="E1530" s="14">
        <f t="shared" si="69"/>
        <v>7.2968797649279997E-5</v>
      </c>
      <c r="F1530">
        <v>103.708</v>
      </c>
      <c r="G1530" s="1">
        <f t="shared" si="70"/>
        <v>104.799121</v>
      </c>
    </row>
    <row r="1531" spans="1:7" x14ac:dyDescent="0.3">
      <c r="A1531">
        <v>15290</v>
      </c>
      <c r="B1531">
        <v>1292.2</v>
      </c>
      <c r="C1531">
        <v>113.137</v>
      </c>
      <c r="D1531" s="15">
        <f t="shared" si="71"/>
        <v>9.9999999999766942E-5</v>
      </c>
      <c r="E1531" s="14">
        <f t="shared" si="69"/>
        <v>7.2939590134469992E-5</v>
      </c>
      <c r="F1531">
        <v>103.676</v>
      </c>
      <c r="G1531" s="1">
        <f t="shared" si="70"/>
        <v>104.797991</v>
      </c>
    </row>
    <row r="1532" spans="1:7" x14ac:dyDescent="0.3">
      <c r="A1532">
        <v>15300</v>
      </c>
      <c r="B1532">
        <v>1284.5</v>
      </c>
      <c r="C1532">
        <v>113.136</v>
      </c>
      <c r="D1532" s="15">
        <f t="shared" si="71"/>
        <v>1.0000000000012221E-4</v>
      </c>
      <c r="E1532" s="14">
        <f t="shared" si="69"/>
        <v>7.2910395302999988E-5</v>
      </c>
      <c r="F1532">
        <v>103.646</v>
      </c>
      <c r="G1532" s="1">
        <f t="shared" si="70"/>
        <v>104.79686100000001</v>
      </c>
    </row>
    <row r="1533" spans="1:7" x14ac:dyDescent="0.3">
      <c r="A1533">
        <v>15310</v>
      </c>
      <c r="B1533">
        <v>1276.8</v>
      </c>
      <c r="C1533">
        <v>113.13500000000001</v>
      </c>
      <c r="D1533" s="15">
        <f t="shared" si="71"/>
        <v>1.0000000000012221E-4</v>
      </c>
      <c r="E1533" s="14">
        <f t="shared" si="69"/>
        <v>7.2881213154869998E-5</v>
      </c>
      <c r="F1533">
        <v>103.614</v>
      </c>
      <c r="G1533" s="1">
        <f t="shared" si="70"/>
        <v>104.795731</v>
      </c>
    </row>
    <row r="1534" spans="1:7" x14ac:dyDescent="0.3">
      <c r="A1534">
        <v>15320</v>
      </c>
      <c r="B1534">
        <v>1271.3</v>
      </c>
      <c r="C1534">
        <v>113.134</v>
      </c>
      <c r="D1534" s="15">
        <f t="shared" si="71"/>
        <v>9.9999999999766942E-5</v>
      </c>
      <c r="E1534" s="14">
        <f t="shared" si="69"/>
        <v>7.2852043690079996E-5</v>
      </c>
      <c r="F1534">
        <v>103.583</v>
      </c>
      <c r="G1534" s="1">
        <f t="shared" si="70"/>
        <v>104.794601</v>
      </c>
    </row>
    <row r="1535" spans="1:7" x14ac:dyDescent="0.3">
      <c r="A1535">
        <v>15330</v>
      </c>
      <c r="B1535">
        <v>1271.5</v>
      </c>
      <c r="C1535">
        <v>113.133</v>
      </c>
      <c r="D1535" s="15">
        <f t="shared" si="71"/>
        <v>1.0000000000012221E-4</v>
      </c>
      <c r="E1535" s="14">
        <f t="shared" si="69"/>
        <v>7.2822886908629995E-5</v>
      </c>
      <c r="F1535">
        <v>103.55200000000001</v>
      </c>
      <c r="G1535" s="1">
        <f t="shared" si="70"/>
        <v>104.793471</v>
      </c>
    </row>
    <row r="1536" spans="1:7" x14ac:dyDescent="0.3">
      <c r="A1536">
        <v>15340</v>
      </c>
      <c r="B1536">
        <v>1271.3</v>
      </c>
      <c r="C1536">
        <v>113.13200000000001</v>
      </c>
      <c r="D1536" s="15">
        <f t="shared" si="71"/>
        <v>1.0000000000012221E-4</v>
      </c>
      <c r="E1536" s="14">
        <f t="shared" si="69"/>
        <v>7.2793742810519995E-5</v>
      </c>
      <c r="F1536">
        <v>103.521</v>
      </c>
      <c r="G1536" s="1">
        <f t="shared" si="70"/>
        <v>104.79234100000001</v>
      </c>
    </row>
    <row r="1537" spans="1:7" x14ac:dyDescent="0.3">
      <c r="A1537">
        <v>15350</v>
      </c>
      <c r="B1537">
        <v>1271.5999999999999</v>
      </c>
      <c r="C1537">
        <v>113.131</v>
      </c>
      <c r="D1537" s="15">
        <f t="shared" si="71"/>
        <v>9.9999999999766942E-5</v>
      </c>
      <c r="E1537" s="14">
        <f t="shared" si="69"/>
        <v>7.2764611395749983E-5</v>
      </c>
      <c r="F1537">
        <v>103.49</v>
      </c>
      <c r="G1537" s="1">
        <f t="shared" si="70"/>
        <v>104.791211</v>
      </c>
    </row>
    <row r="1538" spans="1:7" x14ac:dyDescent="0.3">
      <c r="A1538">
        <v>15360</v>
      </c>
      <c r="B1538">
        <v>1271.7</v>
      </c>
      <c r="C1538">
        <v>113.13</v>
      </c>
      <c r="D1538" s="15">
        <f t="shared" si="71"/>
        <v>1.0000000000012221E-4</v>
      </c>
      <c r="E1538" s="14">
        <f t="shared" ref="E1538:E1601" si="72">0.0000000000000634167*A1538*A1538 - 0.0000000048594*A1538 + 0.000132414</f>
        <v>7.2735492664319999E-5</v>
      </c>
      <c r="F1538">
        <v>103.458</v>
      </c>
      <c r="G1538" s="1">
        <f t="shared" si="70"/>
        <v>104.790081</v>
      </c>
    </row>
    <row r="1539" spans="1:7" x14ac:dyDescent="0.3">
      <c r="A1539">
        <v>15370</v>
      </c>
      <c r="B1539">
        <v>1271.9000000000001</v>
      </c>
      <c r="C1539">
        <v>113.129</v>
      </c>
      <c r="D1539" s="15">
        <f t="shared" si="71"/>
        <v>1.0000000000012221E-4</v>
      </c>
      <c r="E1539" s="14">
        <f t="shared" si="72"/>
        <v>7.2706386616230002E-5</v>
      </c>
      <c r="F1539">
        <v>103.428</v>
      </c>
      <c r="G1539" s="1">
        <f t="shared" ref="G1539:G1602" si="73">-0.000113*A1539 + 106.525761</f>
        <v>104.788951</v>
      </c>
    </row>
    <row r="1540" spans="1:7" x14ac:dyDescent="0.3">
      <c r="A1540">
        <v>15380</v>
      </c>
      <c r="B1540">
        <v>1271.9000000000001</v>
      </c>
      <c r="C1540">
        <v>113.128</v>
      </c>
      <c r="D1540" s="15">
        <f t="shared" si="71"/>
        <v>9.9999999999766942E-5</v>
      </c>
      <c r="E1540" s="14">
        <f t="shared" si="72"/>
        <v>7.2677293251479993E-5</v>
      </c>
      <c r="F1540">
        <v>103.396</v>
      </c>
      <c r="G1540" s="1">
        <f t="shared" si="73"/>
        <v>104.78782100000001</v>
      </c>
    </row>
    <row r="1541" spans="1:7" x14ac:dyDescent="0.3">
      <c r="A1541">
        <v>15390</v>
      </c>
      <c r="B1541">
        <v>1272.3</v>
      </c>
      <c r="C1541">
        <v>113.127</v>
      </c>
      <c r="D1541" s="15">
        <f t="shared" ref="D1541:D1604" si="74">(C1539-C1543)/(A1543-A1539)</f>
        <v>1.0000000000012221E-4</v>
      </c>
      <c r="E1541" s="14">
        <f t="shared" si="72"/>
        <v>7.2648212570069999E-5</v>
      </c>
      <c r="F1541">
        <v>103.36499999999999</v>
      </c>
      <c r="G1541" s="1">
        <f t="shared" si="73"/>
        <v>104.786691</v>
      </c>
    </row>
    <row r="1542" spans="1:7" x14ac:dyDescent="0.3">
      <c r="A1542">
        <v>15400</v>
      </c>
      <c r="B1542">
        <v>1272.4000000000001</v>
      </c>
      <c r="C1542">
        <v>113.126</v>
      </c>
      <c r="D1542" s="15">
        <f t="shared" si="74"/>
        <v>1.0000000000012221E-4</v>
      </c>
      <c r="E1542" s="14">
        <f t="shared" si="72"/>
        <v>7.2619144571999992E-5</v>
      </c>
      <c r="F1542">
        <v>103.334</v>
      </c>
      <c r="G1542" s="1">
        <f t="shared" si="73"/>
        <v>104.785561</v>
      </c>
    </row>
    <row r="1543" spans="1:7" x14ac:dyDescent="0.3">
      <c r="A1543">
        <v>15410</v>
      </c>
      <c r="B1543">
        <v>1272.7</v>
      </c>
      <c r="C1543">
        <v>113.125</v>
      </c>
      <c r="D1543" s="15">
        <f t="shared" si="74"/>
        <v>9.9999999999766942E-5</v>
      </c>
      <c r="E1543" s="14">
        <f t="shared" si="72"/>
        <v>7.2590089257269986E-5</v>
      </c>
      <c r="F1543">
        <v>103.303</v>
      </c>
      <c r="G1543" s="1">
        <f t="shared" si="73"/>
        <v>104.784431</v>
      </c>
    </row>
    <row r="1544" spans="1:7" x14ac:dyDescent="0.3">
      <c r="A1544">
        <v>15420</v>
      </c>
      <c r="B1544">
        <v>1273</v>
      </c>
      <c r="C1544">
        <v>113.124</v>
      </c>
      <c r="D1544" s="15">
        <f t="shared" si="74"/>
        <v>1.0000000000012221E-4</v>
      </c>
      <c r="E1544" s="14">
        <f t="shared" si="72"/>
        <v>7.2561046625880008E-5</v>
      </c>
      <c r="F1544">
        <v>103.271</v>
      </c>
      <c r="G1544" s="1">
        <f t="shared" si="73"/>
        <v>104.78330100000001</v>
      </c>
    </row>
    <row r="1545" spans="1:7" x14ac:dyDescent="0.3">
      <c r="A1545">
        <v>15430</v>
      </c>
      <c r="B1545">
        <v>1273.3</v>
      </c>
      <c r="C1545">
        <v>113.123</v>
      </c>
      <c r="D1545" s="15">
        <f t="shared" si="74"/>
        <v>1.0000000000012221E-4</v>
      </c>
      <c r="E1545" s="14">
        <f t="shared" si="72"/>
        <v>7.2532016677829991E-5</v>
      </c>
      <c r="F1545">
        <v>103.241</v>
      </c>
      <c r="G1545" s="1">
        <f t="shared" si="73"/>
        <v>104.78217100000001</v>
      </c>
    </row>
    <row r="1546" spans="1:7" x14ac:dyDescent="0.3">
      <c r="A1546">
        <v>15440</v>
      </c>
      <c r="B1546">
        <v>1273.5999999999999</v>
      </c>
      <c r="C1546">
        <v>113.122</v>
      </c>
      <c r="D1546" s="15">
        <f t="shared" si="74"/>
        <v>7.5000000000002839E-5</v>
      </c>
      <c r="E1546" s="14">
        <f t="shared" si="72"/>
        <v>7.2502999413120002E-5</v>
      </c>
      <c r="F1546">
        <v>103.209</v>
      </c>
      <c r="G1546" s="1">
        <f t="shared" si="73"/>
        <v>104.781041</v>
      </c>
    </row>
    <row r="1547" spans="1:7" x14ac:dyDescent="0.3">
      <c r="A1547">
        <v>15450</v>
      </c>
      <c r="B1547">
        <v>1273.8</v>
      </c>
      <c r="C1547">
        <v>113.121</v>
      </c>
      <c r="D1547" s="15">
        <f t="shared" si="74"/>
        <v>1.0000000000012221E-4</v>
      </c>
      <c r="E1547" s="14">
        <f t="shared" si="72"/>
        <v>7.2473994831750001E-5</v>
      </c>
      <c r="F1547">
        <v>103.178</v>
      </c>
      <c r="G1547" s="1">
        <f t="shared" si="73"/>
        <v>104.779911</v>
      </c>
    </row>
    <row r="1548" spans="1:7" x14ac:dyDescent="0.3">
      <c r="A1548">
        <v>15460</v>
      </c>
      <c r="B1548">
        <v>1274.0999999999999</v>
      </c>
      <c r="C1548">
        <v>113.121</v>
      </c>
      <c r="D1548" s="15">
        <f t="shared" si="74"/>
        <v>7.5000000000002839E-5</v>
      </c>
      <c r="E1548" s="14">
        <f t="shared" si="72"/>
        <v>7.2445002933719987E-5</v>
      </c>
      <c r="F1548">
        <v>103.14700000000001</v>
      </c>
      <c r="G1548" s="1">
        <f t="shared" si="73"/>
        <v>104.77878100000001</v>
      </c>
    </row>
    <row r="1549" spans="1:7" x14ac:dyDescent="0.3">
      <c r="A1549">
        <v>15470</v>
      </c>
      <c r="B1549">
        <v>1274.5999999999999</v>
      </c>
      <c r="C1549">
        <v>113.119</v>
      </c>
      <c r="D1549" s="15">
        <f t="shared" si="74"/>
        <v>7.5000000000002839E-5</v>
      </c>
      <c r="E1549" s="14">
        <f t="shared" si="72"/>
        <v>7.2416023719030001E-5</v>
      </c>
      <c r="F1549">
        <v>103.116</v>
      </c>
      <c r="G1549" s="1">
        <f t="shared" si="73"/>
        <v>104.77765100000001</v>
      </c>
    </row>
    <row r="1550" spans="1:7" x14ac:dyDescent="0.3">
      <c r="A1550">
        <v>15480</v>
      </c>
      <c r="B1550">
        <v>1274.9000000000001</v>
      </c>
      <c r="C1550">
        <v>113.119</v>
      </c>
      <c r="D1550" s="15">
        <f t="shared" si="74"/>
        <v>9.9999999999766942E-5</v>
      </c>
      <c r="E1550" s="14">
        <f t="shared" si="72"/>
        <v>7.2387057187680003E-5</v>
      </c>
      <c r="F1550">
        <v>103.084</v>
      </c>
      <c r="G1550" s="1">
        <f t="shared" si="73"/>
        <v>104.776521</v>
      </c>
    </row>
    <row r="1551" spans="1:7" x14ac:dyDescent="0.3">
      <c r="A1551">
        <v>15490</v>
      </c>
      <c r="B1551">
        <v>1275.4000000000001</v>
      </c>
      <c r="C1551">
        <v>113.11799999999999</v>
      </c>
      <c r="D1551" s="15">
        <f t="shared" si="74"/>
        <v>7.5000000000002839E-5</v>
      </c>
      <c r="E1551" s="14">
        <f t="shared" si="72"/>
        <v>7.2358103339669993E-5</v>
      </c>
      <c r="F1551">
        <v>103.054</v>
      </c>
      <c r="G1551" s="1">
        <f t="shared" si="73"/>
        <v>104.775391</v>
      </c>
    </row>
    <row r="1552" spans="1:7" x14ac:dyDescent="0.3">
      <c r="A1552">
        <v>15500</v>
      </c>
      <c r="B1552">
        <v>1275.9000000000001</v>
      </c>
      <c r="C1552">
        <v>113.117</v>
      </c>
      <c r="D1552" s="15">
        <f t="shared" si="74"/>
        <v>1.0000000000012221E-4</v>
      </c>
      <c r="E1552" s="14">
        <f t="shared" si="72"/>
        <v>7.2329162174999997E-5</v>
      </c>
      <c r="F1552">
        <v>103.02200000000001</v>
      </c>
      <c r="G1552" s="1">
        <f t="shared" si="73"/>
        <v>104.77426100000001</v>
      </c>
    </row>
    <row r="1553" spans="1:7" x14ac:dyDescent="0.3">
      <c r="A1553">
        <v>15510</v>
      </c>
      <c r="B1553">
        <v>1276.3</v>
      </c>
      <c r="C1553">
        <v>113.116</v>
      </c>
      <c r="D1553" s="15">
        <f t="shared" si="74"/>
        <v>9.9999999999766942E-5</v>
      </c>
      <c r="E1553" s="14">
        <f t="shared" si="72"/>
        <v>7.2300233693670002E-5</v>
      </c>
      <c r="F1553">
        <v>102.991</v>
      </c>
      <c r="G1553" s="1">
        <f t="shared" si="73"/>
        <v>104.77313100000001</v>
      </c>
    </row>
    <row r="1554" spans="1:7" x14ac:dyDescent="0.3">
      <c r="A1554">
        <v>15520</v>
      </c>
      <c r="B1554">
        <v>1276.8</v>
      </c>
      <c r="C1554">
        <v>113.11499999999999</v>
      </c>
      <c r="D1554" s="15">
        <f t="shared" si="74"/>
        <v>1.0000000000012221E-4</v>
      </c>
      <c r="E1554" s="14">
        <f t="shared" si="72"/>
        <v>7.2271317895679994E-5</v>
      </c>
      <c r="F1554">
        <v>102.96</v>
      </c>
      <c r="G1554" s="1">
        <f t="shared" si="73"/>
        <v>104.772001</v>
      </c>
    </row>
    <row r="1555" spans="1:7" x14ac:dyDescent="0.3">
      <c r="A1555">
        <v>15530</v>
      </c>
      <c r="B1555">
        <v>1277.3</v>
      </c>
      <c r="C1555">
        <v>113.114</v>
      </c>
      <c r="D1555" s="15">
        <f t="shared" si="74"/>
        <v>1.0000000000012221E-4</v>
      </c>
      <c r="E1555" s="14">
        <f t="shared" si="72"/>
        <v>7.2242414781030002E-5</v>
      </c>
      <c r="F1555">
        <v>102.928</v>
      </c>
      <c r="G1555" s="1">
        <f t="shared" si="73"/>
        <v>104.770871</v>
      </c>
    </row>
    <row r="1556" spans="1:7" x14ac:dyDescent="0.3">
      <c r="A1556">
        <v>15540</v>
      </c>
      <c r="B1556">
        <v>1277.8</v>
      </c>
      <c r="C1556">
        <v>113.113</v>
      </c>
      <c r="D1556" s="15">
        <f t="shared" si="74"/>
        <v>9.9999999999766942E-5</v>
      </c>
      <c r="E1556" s="14">
        <f t="shared" si="72"/>
        <v>7.2213524349719983E-5</v>
      </c>
      <c r="F1556">
        <v>102.898</v>
      </c>
      <c r="G1556" s="1">
        <f t="shared" si="73"/>
        <v>104.769741</v>
      </c>
    </row>
    <row r="1557" spans="1:7" x14ac:dyDescent="0.3">
      <c r="A1557">
        <v>15550</v>
      </c>
      <c r="B1557">
        <v>1278.2</v>
      </c>
      <c r="C1557">
        <v>113.11199999999999</v>
      </c>
      <c r="D1557" s="15">
        <f t="shared" si="74"/>
        <v>1.0000000000012221E-4</v>
      </c>
      <c r="E1557" s="14">
        <f t="shared" si="72"/>
        <v>7.2184646601749993E-5</v>
      </c>
      <c r="F1557">
        <v>102.866</v>
      </c>
      <c r="G1557" s="1">
        <f t="shared" si="73"/>
        <v>104.76861100000001</v>
      </c>
    </row>
    <row r="1558" spans="1:7" x14ac:dyDescent="0.3">
      <c r="A1558">
        <v>15560</v>
      </c>
      <c r="B1558">
        <v>1278.8</v>
      </c>
      <c r="C1558">
        <v>113.111</v>
      </c>
      <c r="D1558" s="15">
        <f t="shared" si="74"/>
        <v>7.5000000000002839E-5</v>
      </c>
      <c r="E1558" s="14">
        <f t="shared" si="72"/>
        <v>7.2155781537120003E-5</v>
      </c>
      <c r="F1558">
        <v>102.83499999999999</v>
      </c>
      <c r="G1558" s="1">
        <f t="shared" si="73"/>
        <v>104.767481</v>
      </c>
    </row>
    <row r="1559" spans="1:7" x14ac:dyDescent="0.3">
      <c r="A1559">
        <v>15570</v>
      </c>
      <c r="B1559">
        <v>1279.3</v>
      </c>
      <c r="C1559">
        <v>113.11</v>
      </c>
      <c r="D1559" s="15">
        <f t="shared" si="74"/>
        <v>7.5000000000002839E-5</v>
      </c>
      <c r="E1559" s="14">
        <f t="shared" si="72"/>
        <v>7.2126929155829988E-5</v>
      </c>
      <c r="F1559">
        <v>102.804</v>
      </c>
      <c r="G1559" s="1">
        <f t="shared" si="73"/>
        <v>104.766351</v>
      </c>
    </row>
    <row r="1560" spans="1:7" x14ac:dyDescent="0.3">
      <c r="A1560">
        <v>15580</v>
      </c>
      <c r="B1560">
        <v>1279.7</v>
      </c>
      <c r="C1560">
        <v>113.11</v>
      </c>
      <c r="D1560" s="15">
        <f t="shared" si="74"/>
        <v>7.5000000000002839E-5</v>
      </c>
      <c r="E1560" s="14">
        <f t="shared" si="72"/>
        <v>7.2098089457880001E-5</v>
      </c>
      <c r="F1560">
        <v>102.773</v>
      </c>
      <c r="G1560" s="1">
        <f t="shared" si="73"/>
        <v>104.765221</v>
      </c>
    </row>
    <row r="1561" spans="1:7" x14ac:dyDescent="0.3">
      <c r="A1561">
        <v>15590</v>
      </c>
      <c r="B1561">
        <v>1280.4000000000001</v>
      </c>
      <c r="C1561">
        <v>113.10899999999999</v>
      </c>
      <c r="D1561" s="15">
        <f t="shared" si="74"/>
        <v>7.5000000000002839E-5</v>
      </c>
      <c r="E1561" s="14">
        <f t="shared" si="72"/>
        <v>7.2069262443270001E-5</v>
      </c>
      <c r="F1561">
        <v>102.742</v>
      </c>
      <c r="G1561" s="1">
        <f t="shared" si="73"/>
        <v>104.76409100000001</v>
      </c>
    </row>
    <row r="1562" spans="1:7" x14ac:dyDescent="0.3">
      <c r="A1562">
        <v>15600</v>
      </c>
      <c r="B1562">
        <v>1281</v>
      </c>
      <c r="C1562">
        <v>113.108</v>
      </c>
      <c r="D1562" s="15">
        <f t="shared" si="74"/>
        <v>1.0000000000012221E-4</v>
      </c>
      <c r="E1562" s="14">
        <f t="shared" si="72"/>
        <v>7.2040448111999989E-5</v>
      </c>
      <c r="F1562">
        <v>102.711</v>
      </c>
      <c r="G1562" s="1">
        <f t="shared" si="73"/>
        <v>104.762961</v>
      </c>
    </row>
    <row r="1563" spans="1:7" x14ac:dyDescent="0.3">
      <c r="A1563">
        <v>15610</v>
      </c>
      <c r="B1563">
        <v>1281.5</v>
      </c>
      <c r="C1563">
        <v>113.107</v>
      </c>
      <c r="D1563" s="15">
        <f t="shared" si="74"/>
        <v>9.9999999999766942E-5</v>
      </c>
      <c r="E1563" s="14">
        <f t="shared" si="72"/>
        <v>7.2011646464069991E-5</v>
      </c>
      <c r="F1563">
        <v>102.679</v>
      </c>
      <c r="G1563" s="1">
        <f t="shared" si="73"/>
        <v>104.761831</v>
      </c>
    </row>
    <row r="1564" spans="1:7" x14ac:dyDescent="0.3">
      <c r="A1564">
        <v>15620</v>
      </c>
      <c r="B1564">
        <v>1282.2</v>
      </c>
      <c r="C1564">
        <v>113.10599999999999</v>
      </c>
      <c r="D1564" s="15">
        <f t="shared" si="74"/>
        <v>7.5000000000002839E-5</v>
      </c>
      <c r="E1564" s="14">
        <f t="shared" si="72"/>
        <v>7.1982857499480008E-5</v>
      </c>
      <c r="F1564">
        <v>102.648</v>
      </c>
      <c r="G1564" s="1">
        <f t="shared" si="73"/>
        <v>104.760701</v>
      </c>
    </row>
    <row r="1565" spans="1:7" x14ac:dyDescent="0.3">
      <c r="A1565">
        <v>15630</v>
      </c>
      <c r="B1565">
        <v>1282.7</v>
      </c>
      <c r="C1565">
        <v>113.105</v>
      </c>
      <c r="D1565" s="15">
        <f t="shared" si="74"/>
        <v>7.5000000000002839E-5</v>
      </c>
      <c r="E1565" s="14">
        <f t="shared" si="72"/>
        <v>7.195408121823E-5</v>
      </c>
      <c r="F1565">
        <v>102.617</v>
      </c>
      <c r="G1565" s="1">
        <f t="shared" si="73"/>
        <v>104.75957100000001</v>
      </c>
    </row>
    <row r="1566" spans="1:7" x14ac:dyDescent="0.3">
      <c r="A1566">
        <v>15640</v>
      </c>
      <c r="B1566">
        <v>1283.3</v>
      </c>
      <c r="C1566">
        <v>113.105</v>
      </c>
      <c r="D1566" s="15">
        <f t="shared" si="74"/>
        <v>7.5000000000002839E-5</v>
      </c>
      <c r="E1566" s="14">
        <f t="shared" si="72"/>
        <v>7.1925317620319992E-5</v>
      </c>
      <c r="F1566">
        <v>102.586</v>
      </c>
      <c r="G1566" s="1">
        <f t="shared" si="73"/>
        <v>104.758441</v>
      </c>
    </row>
    <row r="1567" spans="1:7" x14ac:dyDescent="0.3">
      <c r="A1567">
        <v>15650</v>
      </c>
      <c r="B1567">
        <v>1284</v>
      </c>
      <c r="C1567">
        <v>113.104</v>
      </c>
      <c r="D1567" s="15">
        <f t="shared" si="74"/>
        <v>7.5000000000002839E-5</v>
      </c>
      <c r="E1567" s="14">
        <f t="shared" si="72"/>
        <v>7.1896566705749985E-5</v>
      </c>
      <c r="F1567">
        <v>102.55500000000001</v>
      </c>
      <c r="G1567" s="1">
        <f t="shared" si="73"/>
        <v>104.757311</v>
      </c>
    </row>
    <row r="1568" spans="1:7" x14ac:dyDescent="0.3">
      <c r="A1568">
        <v>15660</v>
      </c>
      <c r="B1568">
        <v>1284.5999999999999</v>
      </c>
      <c r="C1568">
        <v>113.10299999999999</v>
      </c>
      <c r="D1568" s="15">
        <f t="shared" si="74"/>
        <v>1.0000000000012221E-4</v>
      </c>
      <c r="E1568" s="14">
        <f t="shared" si="72"/>
        <v>7.1867828474519993E-5</v>
      </c>
      <c r="F1568">
        <v>102.524</v>
      </c>
      <c r="G1568" s="1">
        <f t="shared" si="73"/>
        <v>104.756181</v>
      </c>
    </row>
    <row r="1569" spans="1:7" x14ac:dyDescent="0.3">
      <c r="A1569">
        <v>15670</v>
      </c>
      <c r="B1569">
        <v>1285.0999999999999</v>
      </c>
      <c r="C1569">
        <v>113.102</v>
      </c>
      <c r="D1569" s="15">
        <f t="shared" si="74"/>
        <v>1.0000000000012221E-4</v>
      </c>
      <c r="E1569" s="14">
        <f t="shared" si="72"/>
        <v>7.1839102926630002E-5</v>
      </c>
      <c r="F1569">
        <v>102.49299999999999</v>
      </c>
      <c r="G1569" s="1">
        <f t="shared" si="73"/>
        <v>104.75505100000001</v>
      </c>
    </row>
    <row r="1570" spans="1:7" x14ac:dyDescent="0.3">
      <c r="A1570">
        <v>15680</v>
      </c>
      <c r="B1570">
        <v>1286</v>
      </c>
      <c r="C1570">
        <v>113.101</v>
      </c>
      <c r="D1570" s="15">
        <f t="shared" si="74"/>
        <v>7.5000000000002839E-5</v>
      </c>
      <c r="E1570" s="14">
        <f t="shared" si="72"/>
        <v>7.1810390062079999E-5</v>
      </c>
      <c r="F1570">
        <v>102.461</v>
      </c>
      <c r="G1570" s="1">
        <f t="shared" si="73"/>
        <v>104.75392100000001</v>
      </c>
    </row>
    <row r="1571" spans="1:7" x14ac:dyDescent="0.3">
      <c r="A1571">
        <v>15690</v>
      </c>
      <c r="B1571">
        <v>1286.4000000000001</v>
      </c>
      <c r="C1571">
        <v>113.1</v>
      </c>
      <c r="D1571" s="15">
        <f t="shared" si="74"/>
        <v>7.5000000000002839E-5</v>
      </c>
      <c r="E1571" s="14">
        <f t="shared" si="72"/>
        <v>7.1781689880869997E-5</v>
      </c>
      <c r="F1571">
        <v>102.43</v>
      </c>
      <c r="G1571" s="1">
        <f t="shared" si="73"/>
        <v>104.752791</v>
      </c>
    </row>
    <row r="1572" spans="1:7" x14ac:dyDescent="0.3">
      <c r="A1572">
        <v>15700</v>
      </c>
      <c r="B1572">
        <v>1287.3</v>
      </c>
      <c r="C1572">
        <v>113.1</v>
      </c>
      <c r="D1572" s="15">
        <f t="shared" si="74"/>
        <v>7.5000000000002839E-5</v>
      </c>
      <c r="E1572" s="14">
        <f t="shared" si="72"/>
        <v>7.1753002382999995E-5</v>
      </c>
      <c r="F1572">
        <v>102.399</v>
      </c>
      <c r="G1572" s="1">
        <f t="shared" si="73"/>
        <v>104.751661</v>
      </c>
    </row>
    <row r="1573" spans="1:7" x14ac:dyDescent="0.3">
      <c r="A1573">
        <v>15710</v>
      </c>
      <c r="B1573">
        <v>1287.9000000000001</v>
      </c>
      <c r="C1573">
        <v>113.099</v>
      </c>
      <c r="D1573" s="15">
        <f t="shared" si="74"/>
        <v>7.5000000000002839E-5</v>
      </c>
      <c r="E1573" s="14">
        <f t="shared" si="72"/>
        <v>7.1724327568469995E-5</v>
      </c>
      <c r="F1573">
        <v>102.36799999999999</v>
      </c>
      <c r="G1573" s="1">
        <f t="shared" si="73"/>
        <v>104.75053100000001</v>
      </c>
    </row>
    <row r="1574" spans="1:7" x14ac:dyDescent="0.3">
      <c r="A1574">
        <v>15720</v>
      </c>
      <c r="B1574">
        <v>1288.4000000000001</v>
      </c>
      <c r="C1574">
        <v>113.098</v>
      </c>
      <c r="D1574" s="15">
        <f t="shared" si="74"/>
        <v>9.9999999999766942E-5</v>
      </c>
      <c r="E1574" s="14">
        <f t="shared" si="72"/>
        <v>7.1695665437279996E-5</v>
      </c>
      <c r="F1574">
        <v>102.336</v>
      </c>
      <c r="G1574" s="1">
        <f t="shared" si="73"/>
        <v>104.74940100000001</v>
      </c>
    </row>
    <row r="1575" spans="1:7" x14ac:dyDescent="0.3">
      <c r="A1575">
        <v>15730</v>
      </c>
      <c r="B1575">
        <v>1289.2</v>
      </c>
      <c r="C1575">
        <v>113.09699999999999</v>
      </c>
      <c r="D1575" s="15">
        <f t="shared" si="74"/>
        <v>7.5000000000002839E-5</v>
      </c>
      <c r="E1575" s="14">
        <f t="shared" si="72"/>
        <v>7.1667015989429998E-5</v>
      </c>
      <c r="F1575">
        <v>102.306</v>
      </c>
      <c r="G1575" s="1">
        <f t="shared" si="73"/>
        <v>104.748271</v>
      </c>
    </row>
    <row r="1576" spans="1:7" x14ac:dyDescent="0.3">
      <c r="A1576">
        <v>15740</v>
      </c>
      <c r="B1576">
        <v>1290.9000000000001</v>
      </c>
      <c r="C1576">
        <v>113.096</v>
      </c>
      <c r="D1576" s="15">
        <f t="shared" si="74"/>
        <v>7.5000000000002839E-5</v>
      </c>
      <c r="E1576" s="14">
        <f t="shared" si="72"/>
        <v>7.1638379224920002E-5</v>
      </c>
      <c r="F1576">
        <v>102.312</v>
      </c>
      <c r="G1576" s="1">
        <f t="shared" si="73"/>
        <v>104.747141</v>
      </c>
    </row>
    <row r="1577" spans="1:7" x14ac:dyDescent="0.3">
      <c r="A1577">
        <v>15750</v>
      </c>
      <c r="B1577">
        <v>1292.5999999999999</v>
      </c>
      <c r="C1577">
        <v>113.096</v>
      </c>
      <c r="D1577" s="15">
        <f t="shared" si="74"/>
        <v>7.5000000000002839E-5</v>
      </c>
      <c r="E1577" s="14">
        <f t="shared" si="72"/>
        <v>7.1609755143750006E-5</v>
      </c>
      <c r="F1577">
        <v>102.34399999999999</v>
      </c>
      <c r="G1577" s="1">
        <f t="shared" si="73"/>
        <v>104.74601100000001</v>
      </c>
    </row>
    <row r="1578" spans="1:7" x14ac:dyDescent="0.3">
      <c r="A1578">
        <v>15760</v>
      </c>
      <c r="B1578">
        <v>1294.7</v>
      </c>
      <c r="C1578">
        <v>113.095</v>
      </c>
      <c r="D1578" s="15">
        <f t="shared" si="74"/>
        <v>7.5000000000002839E-5</v>
      </c>
      <c r="E1578" s="14">
        <f t="shared" si="72"/>
        <v>7.1581143745919984E-5</v>
      </c>
      <c r="F1578">
        <v>102.377</v>
      </c>
      <c r="G1578" s="1">
        <f t="shared" si="73"/>
        <v>104.74488100000001</v>
      </c>
    </row>
    <row r="1579" spans="1:7" x14ac:dyDescent="0.3">
      <c r="A1579">
        <v>15770</v>
      </c>
      <c r="B1579">
        <v>1296.5999999999999</v>
      </c>
      <c r="C1579">
        <v>113.09399999999999</v>
      </c>
      <c r="D1579" s="15">
        <f t="shared" si="74"/>
        <v>1.0000000000012221E-4</v>
      </c>
      <c r="E1579" s="14">
        <f t="shared" si="72"/>
        <v>7.1552545031429991E-5</v>
      </c>
      <c r="F1579">
        <v>102.40900000000001</v>
      </c>
      <c r="G1579" s="1">
        <f t="shared" si="73"/>
        <v>104.743751</v>
      </c>
    </row>
    <row r="1580" spans="1:7" x14ac:dyDescent="0.3">
      <c r="A1580">
        <v>15780</v>
      </c>
      <c r="B1580">
        <v>1298.2</v>
      </c>
      <c r="C1580">
        <v>113.093</v>
      </c>
      <c r="D1580" s="15">
        <f t="shared" si="74"/>
        <v>7.5000000000002839E-5</v>
      </c>
      <c r="E1580" s="14">
        <f t="shared" si="72"/>
        <v>7.1523959000279998E-5</v>
      </c>
      <c r="F1580">
        <v>102.441</v>
      </c>
      <c r="G1580" s="1">
        <f t="shared" si="73"/>
        <v>104.742621</v>
      </c>
    </row>
    <row r="1581" spans="1:7" x14ac:dyDescent="0.3">
      <c r="A1581">
        <v>15790</v>
      </c>
      <c r="B1581">
        <v>1299.9000000000001</v>
      </c>
      <c r="C1581">
        <v>113.092</v>
      </c>
      <c r="D1581" s="15">
        <f t="shared" si="74"/>
        <v>7.5000000000002839E-5</v>
      </c>
      <c r="E1581" s="14">
        <f t="shared" si="72"/>
        <v>7.1495385652469993E-5</v>
      </c>
      <c r="F1581">
        <v>102.473</v>
      </c>
      <c r="G1581" s="1">
        <f t="shared" si="73"/>
        <v>104.741491</v>
      </c>
    </row>
    <row r="1582" spans="1:7" x14ac:dyDescent="0.3">
      <c r="A1582">
        <v>15800</v>
      </c>
      <c r="B1582">
        <v>1301.5</v>
      </c>
      <c r="C1582">
        <v>113.092</v>
      </c>
      <c r="D1582" s="15">
        <f t="shared" si="74"/>
        <v>7.5000000000002839E-5</v>
      </c>
      <c r="E1582" s="14">
        <f t="shared" si="72"/>
        <v>7.1466824987999989E-5</v>
      </c>
      <c r="F1582">
        <v>102.506</v>
      </c>
      <c r="G1582" s="1">
        <f t="shared" si="73"/>
        <v>104.74036100000001</v>
      </c>
    </row>
    <row r="1583" spans="1:7" x14ac:dyDescent="0.3">
      <c r="A1583">
        <v>15810</v>
      </c>
      <c r="B1583">
        <v>1302.5</v>
      </c>
      <c r="C1583">
        <v>113.09099999999999</v>
      </c>
      <c r="D1583" s="15">
        <f t="shared" si="74"/>
        <v>7.5000000000002839E-5</v>
      </c>
      <c r="E1583" s="14">
        <f t="shared" si="72"/>
        <v>7.143827700687E-5</v>
      </c>
      <c r="F1583">
        <v>102.538</v>
      </c>
      <c r="G1583" s="1">
        <f t="shared" si="73"/>
        <v>104.739231</v>
      </c>
    </row>
    <row r="1584" spans="1:7" x14ac:dyDescent="0.3">
      <c r="A1584">
        <v>15820</v>
      </c>
      <c r="B1584">
        <v>1304</v>
      </c>
      <c r="C1584">
        <v>113.09</v>
      </c>
      <c r="D1584" s="15">
        <f t="shared" si="74"/>
        <v>1.0000000000012221E-4</v>
      </c>
      <c r="E1584" s="14">
        <f t="shared" si="72"/>
        <v>7.1409741709079998E-5</v>
      </c>
      <c r="F1584">
        <v>102.57</v>
      </c>
      <c r="G1584" s="1">
        <f t="shared" si="73"/>
        <v>104.738101</v>
      </c>
    </row>
    <row r="1585" spans="1:7" x14ac:dyDescent="0.3">
      <c r="A1585">
        <v>15830</v>
      </c>
      <c r="B1585">
        <v>1305.3</v>
      </c>
      <c r="C1585">
        <v>113.089</v>
      </c>
      <c r="D1585" s="15">
        <f t="shared" si="74"/>
        <v>9.9999999999766942E-5</v>
      </c>
      <c r="E1585" s="14">
        <f t="shared" si="72"/>
        <v>7.1381219094629998E-5</v>
      </c>
      <c r="F1585">
        <v>102.602</v>
      </c>
      <c r="G1585" s="1">
        <f t="shared" si="73"/>
        <v>104.736971</v>
      </c>
    </row>
    <row r="1586" spans="1:7" x14ac:dyDescent="0.3">
      <c r="A1586">
        <v>15840</v>
      </c>
      <c r="B1586">
        <v>1306.0999999999999</v>
      </c>
      <c r="C1586">
        <v>113.08799999999999</v>
      </c>
      <c r="D1586" s="15">
        <f t="shared" si="74"/>
        <v>1.0000000000012221E-4</v>
      </c>
      <c r="E1586" s="14">
        <f t="shared" si="72"/>
        <v>7.1352709163519985E-5</v>
      </c>
      <c r="F1586">
        <v>102.634</v>
      </c>
      <c r="G1586" s="1">
        <f t="shared" si="73"/>
        <v>104.73584100000001</v>
      </c>
    </row>
    <row r="1587" spans="1:7" x14ac:dyDescent="0.3">
      <c r="A1587">
        <v>15850</v>
      </c>
      <c r="B1587">
        <v>1307.4000000000001</v>
      </c>
      <c r="C1587">
        <v>113.087</v>
      </c>
      <c r="D1587" s="15">
        <f t="shared" si="74"/>
        <v>1.0000000000012221E-4</v>
      </c>
      <c r="E1587" s="14">
        <f t="shared" si="72"/>
        <v>7.132421191575E-5</v>
      </c>
      <c r="F1587">
        <v>102.667</v>
      </c>
      <c r="G1587" s="1">
        <f t="shared" si="73"/>
        <v>104.734711</v>
      </c>
    </row>
    <row r="1588" spans="1:7" x14ac:dyDescent="0.3">
      <c r="A1588">
        <v>15860</v>
      </c>
      <c r="B1588">
        <v>1308.8</v>
      </c>
      <c r="C1588">
        <v>113.086</v>
      </c>
      <c r="D1588" s="15">
        <f t="shared" si="74"/>
        <v>7.5000000000002839E-5</v>
      </c>
      <c r="E1588" s="14">
        <f t="shared" si="72"/>
        <v>7.1295727351320003E-5</v>
      </c>
      <c r="F1588">
        <v>102.699</v>
      </c>
      <c r="G1588" s="1">
        <f t="shared" si="73"/>
        <v>104.733581</v>
      </c>
    </row>
    <row r="1589" spans="1:7" x14ac:dyDescent="0.3">
      <c r="A1589">
        <v>15870</v>
      </c>
      <c r="B1589">
        <v>1309.9000000000001</v>
      </c>
      <c r="C1589">
        <v>113.08499999999999</v>
      </c>
      <c r="D1589" s="15">
        <f t="shared" si="74"/>
        <v>7.5000000000002839E-5</v>
      </c>
      <c r="E1589" s="14">
        <f t="shared" si="72"/>
        <v>7.1267255470229993E-5</v>
      </c>
      <c r="F1589">
        <v>102.73099999999999</v>
      </c>
      <c r="G1589" s="1">
        <f t="shared" si="73"/>
        <v>104.732451</v>
      </c>
    </row>
    <row r="1590" spans="1:7" x14ac:dyDescent="0.3">
      <c r="A1590">
        <v>15880</v>
      </c>
      <c r="B1590">
        <v>1311.1</v>
      </c>
      <c r="C1590">
        <v>113.08499999999999</v>
      </c>
      <c r="D1590" s="15">
        <f t="shared" si="74"/>
        <v>7.5000000000002839E-5</v>
      </c>
      <c r="E1590" s="14">
        <f t="shared" si="72"/>
        <v>7.1238796272479998E-5</v>
      </c>
      <c r="F1590">
        <v>102.76300000000001</v>
      </c>
      <c r="G1590" s="1">
        <f t="shared" si="73"/>
        <v>104.73132100000001</v>
      </c>
    </row>
    <row r="1591" spans="1:7" x14ac:dyDescent="0.3">
      <c r="A1591">
        <v>15890</v>
      </c>
      <c r="B1591">
        <v>1312.2</v>
      </c>
      <c r="C1591">
        <v>113.084</v>
      </c>
      <c r="D1591" s="15">
        <f t="shared" si="74"/>
        <v>7.5000000000002839E-5</v>
      </c>
      <c r="E1591" s="14">
        <f t="shared" si="72"/>
        <v>7.1210349758070004E-5</v>
      </c>
      <c r="F1591">
        <v>102.795</v>
      </c>
      <c r="G1591" s="1">
        <f t="shared" si="73"/>
        <v>104.730191</v>
      </c>
    </row>
    <row r="1592" spans="1:7" x14ac:dyDescent="0.3">
      <c r="A1592">
        <v>15900</v>
      </c>
      <c r="B1592">
        <v>1313.1</v>
      </c>
      <c r="C1592">
        <v>113.083</v>
      </c>
      <c r="D1592" s="15">
        <f t="shared" si="74"/>
        <v>9.9999999999766942E-5</v>
      </c>
      <c r="E1592" s="14">
        <f t="shared" si="72"/>
        <v>7.1181915926999984E-5</v>
      </c>
      <c r="F1592">
        <v>102.828</v>
      </c>
      <c r="G1592" s="1">
        <f t="shared" si="73"/>
        <v>104.729061</v>
      </c>
    </row>
    <row r="1593" spans="1:7" x14ac:dyDescent="0.3">
      <c r="A1593">
        <v>15910</v>
      </c>
      <c r="B1593">
        <v>1314</v>
      </c>
      <c r="C1593">
        <v>113.08199999999999</v>
      </c>
      <c r="D1593" s="15">
        <f t="shared" si="74"/>
        <v>1.0000000000012221E-4</v>
      </c>
      <c r="E1593" s="14">
        <f t="shared" si="72"/>
        <v>7.1153494779269992E-5</v>
      </c>
      <c r="F1593">
        <v>102.86</v>
      </c>
      <c r="G1593" s="1">
        <f t="shared" si="73"/>
        <v>104.727931</v>
      </c>
    </row>
    <row r="1594" spans="1:7" x14ac:dyDescent="0.3">
      <c r="A1594">
        <v>15920</v>
      </c>
      <c r="B1594">
        <v>1315.1</v>
      </c>
      <c r="C1594">
        <v>113.081</v>
      </c>
      <c r="D1594" s="15">
        <f t="shared" si="74"/>
        <v>1.0000000000012221E-4</v>
      </c>
      <c r="E1594" s="14">
        <f t="shared" si="72"/>
        <v>7.1125086314879988E-5</v>
      </c>
      <c r="F1594">
        <v>102.892</v>
      </c>
      <c r="G1594" s="1">
        <f t="shared" si="73"/>
        <v>104.72680100000001</v>
      </c>
    </row>
    <row r="1595" spans="1:7" x14ac:dyDescent="0.3">
      <c r="A1595">
        <v>15930</v>
      </c>
      <c r="B1595">
        <v>1315.7</v>
      </c>
      <c r="C1595">
        <v>113.08</v>
      </c>
      <c r="D1595" s="15">
        <f t="shared" si="74"/>
        <v>9.9999999999766942E-5</v>
      </c>
      <c r="E1595" s="14">
        <f t="shared" si="72"/>
        <v>7.1096690533829998E-5</v>
      </c>
      <c r="F1595">
        <v>102.925</v>
      </c>
      <c r="G1595" s="1">
        <f t="shared" si="73"/>
        <v>104.72567100000001</v>
      </c>
    </row>
    <row r="1596" spans="1:7" x14ac:dyDescent="0.3">
      <c r="A1596">
        <v>15940</v>
      </c>
      <c r="B1596">
        <v>1316.2</v>
      </c>
      <c r="C1596">
        <v>113.07899999999999</v>
      </c>
      <c r="D1596" s="15">
        <f t="shared" si="74"/>
        <v>1.0000000000012221E-4</v>
      </c>
      <c r="E1596" s="14">
        <f t="shared" si="72"/>
        <v>7.1068307436119996E-5</v>
      </c>
      <c r="F1596">
        <v>102.956</v>
      </c>
      <c r="G1596" s="1">
        <f t="shared" si="73"/>
        <v>104.724541</v>
      </c>
    </row>
    <row r="1597" spans="1:7" x14ac:dyDescent="0.3">
      <c r="A1597">
        <v>15950</v>
      </c>
      <c r="B1597">
        <v>1317.4</v>
      </c>
      <c r="C1597">
        <v>113.078</v>
      </c>
      <c r="D1597" s="15">
        <f t="shared" si="74"/>
        <v>1.0000000000012221E-4</v>
      </c>
      <c r="E1597" s="14">
        <f t="shared" si="72"/>
        <v>7.1039937021749995E-5</v>
      </c>
      <c r="F1597">
        <v>102.988</v>
      </c>
      <c r="G1597" s="1">
        <f t="shared" si="73"/>
        <v>104.723411</v>
      </c>
    </row>
    <row r="1598" spans="1:7" x14ac:dyDescent="0.3">
      <c r="A1598">
        <v>15960</v>
      </c>
      <c r="B1598">
        <v>1319.3</v>
      </c>
      <c r="C1598">
        <v>113.077</v>
      </c>
      <c r="D1598" s="15">
        <f t="shared" si="74"/>
        <v>9.9999999999766942E-5</v>
      </c>
      <c r="E1598" s="14">
        <f t="shared" si="72"/>
        <v>7.1011579290719995E-5</v>
      </c>
      <c r="F1598">
        <v>103.021</v>
      </c>
      <c r="G1598" s="1">
        <f t="shared" si="73"/>
        <v>104.72228100000001</v>
      </c>
    </row>
    <row r="1599" spans="1:7" x14ac:dyDescent="0.3">
      <c r="A1599">
        <v>15970</v>
      </c>
      <c r="B1599">
        <v>1321.2</v>
      </c>
      <c r="C1599">
        <v>113.07599999999999</v>
      </c>
      <c r="D1599" s="15">
        <f t="shared" si="74"/>
        <v>1.0000000000012221E-4</v>
      </c>
      <c r="E1599" s="14">
        <f t="shared" si="72"/>
        <v>7.0983234243029997E-5</v>
      </c>
      <c r="F1599">
        <v>103.053</v>
      </c>
      <c r="G1599" s="1">
        <f t="shared" si="73"/>
        <v>104.72115100000001</v>
      </c>
    </row>
    <row r="1600" spans="1:7" x14ac:dyDescent="0.3">
      <c r="A1600">
        <v>15980</v>
      </c>
      <c r="B1600">
        <v>1323</v>
      </c>
      <c r="C1600">
        <v>113.075</v>
      </c>
      <c r="D1600" s="15">
        <f t="shared" si="74"/>
        <v>1.0000000000012221E-4</v>
      </c>
      <c r="E1600" s="14">
        <f t="shared" si="72"/>
        <v>7.0954901878679999E-5</v>
      </c>
      <c r="F1600">
        <v>103.086</v>
      </c>
      <c r="G1600" s="1">
        <f t="shared" si="73"/>
        <v>104.720021</v>
      </c>
    </row>
    <row r="1601" spans="1:7" x14ac:dyDescent="0.3">
      <c r="A1601">
        <v>15990</v>
      </c>
      <c r="B1601">
        <v>1324.9</v>
      </c>
      <c r="C1601">
        <v>113.074</v>
      </c>
      <c r="D1601" s="15">
        <f t="shared" si="74"/>
        <v>9.9999999999766942E-5</v>
      </c>
      <c r="E1601" s="14">
        <f t="shared" si="72"/>
        <v>7.0926582197670002E-5</v>
      </c>
      <c r="F1601">
        <v>103.11799999999999</v>
      </c>
      <c r="G1601" s="1">
        <f t="shared" si="73"/>
        <v>104.718891</v>
      </c>
    </row>
    <row r="1602" spans="1:7" x14ac:dyDescent="0.3">
      <c r="A1602">
        <v>16000</v>
      </c>
      <c r="B1602">
        <v>1326.3</v>
      </c>
      <c r="C1602">
        <v>113.07299999999999</v>
      </c>
      <c r="D1602" s="15">
        <f t="shared" si="74"/>
        <v>1.0000000000012221E-4</v>
      </c>
      <c r="E1602" s="14">
        <f t="shared" ref="E1602:E1665" si="75">0.0000000000000634167*A1602*A1602 - 0.0000000048594*A1602 + 0.000132414</f>
        <v>7.0898275200000007E-5</v>
      </c>
      <c r="F1602">
        <v>103.15</v>
      </c>
      <c r="G1602" s="1">
        <f t="shared" si="73"/>
        <v>104.717761</v>
      </c>
    </row>
    <row r="1603" spans="1:7" x14ac:dyDescent="0.3">
      <c r="A1603">
        <v>16010</v>
      </c>
      <c r="B1603">
        <v>1327.6</v>
      </c>
      <c r="C1603">
        <v>113.072</v>
      </c>
      <c r="D1603" s="15">
        <f t="shared" si="74"/>
        <v>1.0000000000012221E-4</v>
      </c>
      <c r="E1603" s="14">
        <f t="shared" si="75"/>
        <v>7.0869980885669985E-5</v>
      </c>
      <c r="F1603">
        <v>103.182</v>
      </c>
      <c r="G1603" s="1">
        <f t="shared" ref="G1603:G1666" si="76">-0.000113*A1603 + 106.525761</f>
        <v>104.71663100000001</v>
      </c>
    </row>
    <row r="1604" spans="1:7" x14ac:dyDescent="0.3">
      <c r="A1604">
        <v>16020</v>
      </c>
      <c r="B1604">
        <v>1329</v>
      </c>
      <c r="C1604">
        <v>113.071</v>
      </c>
      <c r="D1604" s="15">
        <f t="shared" si="74"/>
        <v>9.9999999999766942E-5</v>
      </c>
      <c r="E1604" s="14">
        <f t="shared" si="75"/>
        <v>7.0841699254679992E-5</v>
      </c>
      <c r="F1604">
        <v>103.214</v>
      </c>
      <c r="G1604" s="1">
        <f t="shared" si="76"/>
        <v>104.715501</v>
      </c>
    </row>
    <row r="1605" spans="1:7" x14ac:dyDescent="0.3">
      <c r="A1605">
        <v>16030</v>
      </c>
      <c r="B1605">
        <v>1328.9</v>
      </c>
      <c r="C1605">
        <v>113.07</v>
      </c>
      <c r="D1605" s="15">
        <f t="shared" ref="D1605:D1668" si="77">(C1603-C1607)/(A1607-A1603)</f>
        <v>1.0000000000012221E-4</v>
      </c>
      <c r="E1605" s="14">
        <f t="shared" si="75"/>
        <v>7.0813430307029986E-5</v>
      </c>
      <c r="F1605">
        <v>103.246</v>
      </c>
      <c r="G1605" s="1">
        <f t="shared" si="76"/>
        <v>104.714371</v>
      </c>
    </row>
    <row r="1606" spans="1:7" x14ac:dyDescent="0.3">
      <c r="A1606">
        <v>16040</v>
      </c>
      <c r="B1606">
        <v>1329.7</v>
      </c>
      <c r="C1606">
        <v>113.069</v>
      </c>
      <c r="D1606" s="15">
        <f t="shared" si="77"/>
        <v>1.0000000000012221E-4</v>
      </c>
      <c r="E1606" s="14">
        <f t="shared" si="75"/>
        <v>7.0785174042719995E-5</v>
      </c>
      <c r="F1606">
        <v>103.27800000000001</v>
      </c>
      <c r="G1606" s="1">
        <f t="shared" si="76"/>
        <v>104.713241</v>
      </c>
    </row>
    <row r="1607" spans="1:7" x14ac:dyDescent="0.3">
      <c r="A1607">
        <v>16050</v>
      </c>
      <c r="B1607">
        <v>1329.8</v>
      </c>
      <c r="C1607">
        <v>113.068</v>
      </c>
      <c r="D1607" s="15">
        <f t="shared" si="77"/>
        <v>9.9999999999766942E-5</v>
      </c>
      <c r="E1607" s="14">
        <f t="shared" si="75"/>
        <v>7.0756930461749991E-5</v>
      </c>
      <c r="F1607">
        <v>103.31100000000001</v>
      </c>
      <c r="G1607" s="1">
        <f t="shared" si="76"/>
        <v>104.71211100000001</v>
      </c>
    </row>
    <row r="1608" spans="1:7" x14ac:dyDescent="0.3">
      <c r="A1608">
        <v>16060</v>
      </c>
      <c r="B1608">
        <v>1331.1</v>
      </c>
      <c r="C1608">
        <v>113.06699999999999</v>
      </c>
      <c r="D1608" s="15">
        <f t="shared" si="77"/>
        <v>1.0000000000012221E-4</v>
      </c>
      <c r="E1608" s="14">
        <f t="shared" si="75"/>
        <v>7.0728699564119989E-5</v>
      </c>
      <c r="F1608">
        <v>103.343</v>
      </c>
      <c r="G1608" s="1">
        <f t="shared" si="76"/>
        <v>104.710981</v>
      </c>
    </row>
    <row r="1609" spans="1:7" x14ac:dyDescent="0.3">
      <c r="A1609">
        <v>16070</v>
      </c>
      <c r="B1609">
        <v>1326.6</v>
      </c>
      <c r="C1609">
        <v>113.066</v>
      </c>
      <c r="D1609" s="15">
        <f t="shared" si="77"/>
        <v>1.0000000000012221E-4</v>
      </c>
      <c r="E1609" s="14">
        <f t="shared" si="75"/>
        <v>7.0700481349830001E-5</v>
      </c>
      <c r="F1609">
        <v>103.375</v>
      </c>
      <c r="G1609" s="1">
        <f t="shared" si="76"/>
        <v>104.709851</v>
      </c>
    </row>
    <row r="1610" spans="1:7" x14ac:dyDescent="0.3">
      <c r="A1610">
        <v>16080</v>
      </c>
      <c r="B1610">
        <v>1320.3</v>
      </c>
      <c r="C1610">
        <v>113.065</v>
      </c>
      <c r="D1610" s="15">
        <f t="shared" si="77"/>
        <v>9.9999999999766942E-5</v>
      </c>
      <c r="E1610" s="14">
        <f t="shared" si="75"/>
        <v>7.0672275818880001E-5</v>
      </c>
      <c r="F1610">
        <v>103.408</v>
      </c>
      <c r="G1610" s="1">
        <f t="shared" si="76"/>
        <v>104.708721</v>
      </c>
    </row>
    <row r="1611" spans="1:7" x14ac:dyDescent="0.3">
      <c r="A1611">
        <v>16090</v>
      </c>
      <c r="B1611">
        <v>1314.4</v>
      </c>
      <c r="C1611">
        <v>113.06399999999999</v>
      </c>
      <c r="D1611" s="15">
        <f t="shared" si="77"/>
        <v>1.0000000000012221E-4</v>
      </c>
      <c r="E1611" s="14">
        <f t="shared" si="75"/>
        <v>7.0644082971269988E-5</v>
      </c>
      <c r="F1611">
        <v>103.44</v>
      </c>
      <c r="G1611" s="1">
        <f t="shared" si="76"/>
        <v>104.70759100000001</v>
      </c>
    </row>
    <row r="1612" spans="1:7" x14ac:dyDescent="0.3">
      <c r="A1612">
        <v>16100</v>
      </c>
      <c r="B1612">
        <v>1305</v>
      </c>
      <c r="C1612">
        <v>113.063</v>
      </c>
      <c r="D1612" s="15">
        <f t="shared" si="77"/>
        <v>9.9999999999766942E-5</v>
      </c>
      <c r="E1612" s="14">
        <f t="shared" si="75"/>
        <v>7.0615902807000003E-5</v>
      </c>
      <c r="F1612">
        <v>103.47199999999999</v>
      </c>
      <c r="G1612" s="1">
        <f t="shared" si="76"/>
        <v>104.706461</v>
      </c>
    </row>
    <row r="1613" spans="1:7" x14ac:dyDescent="0.3">
      <c r="A1613">
        <v>16110</v>
      </c>
      <c r="B1613">
        <v>1300.8</v>
      </c>
      <c r="C1613">
        <v>113.062</v>
      </c>
      <c r="D1613" s="15">
        <f t="shared" si="77"/>
        <v>9.9999999999766942E-5</v>
      </c>
      <c r="E1613" s="14">
        <f t="shared" si="75"/>
        <v>7.0587735326069993E-5</v>
      </c>
      <c r="F1613">
        <v>103.504</v>
      </c>
      <c r="G1613" s="1">
        <f t="shared" si="76"/>
        <v>104.705331</v>
      </c>
    </row>
    <row r="1614" spans="1:7" x14ac:dyDescent="0.3">
      <c r="A1614">
        <v>16120</v>
      </c>
      <c r="B1614">
        <v>1283.2</v>
      </c>
      <c r="C1614">
        <v>113.06100000000001</v>
      </c>
      <c r="D1614" s="15">
        <f t="shared" si="77"/>
        <v>1.0000000000012221E-4</v>
      </c>
      <c r="E1614" s="14">
        <f t="shared" si="75"/>
        <v>7.0559580528479997E-5</v>
      </c>
      <c r="F1614">
        <v>103.53700000000001</v>
      </c>
      <c r="G1614" s="1">
        <f t="shared" si="76"/>
        <v>104.704201</v>
      </c>
    </row>
    <row r="1615" spans="1:7" x14ac:dyDescent="0.3">
      <c r="A1615">
        <v>16130</v>
      </c>
      <c r="B1615">
        <v>1282</v>
      </c>
      <c r="C1615">
        <v>113.06</v>
      </c>
      <c r="D1615" s="15">
        <f t="shared" si="77"/>
        <v>9.9999999999766942E-5</v>
      </c>
      <c r="E1615" s="14">
        <f t="shared" si="75"/>
        <v>7.0531438414230002E-5</v>
      </c>
      <c r="F1615">
        <v>103.569</v>
      </c>
      <c r="G1615" s="1">
        <f t="shared" si="76"/>
        <v>104.70307100000001</v>
      </c>
    </row>
    <row r="1616" spans="1:7" x14ac:dyDescent="0.3">
      <c r="A1616">
        <v>16140</v>
      </c>
      <c r="B1616">
        <v>1282.5</v>
      </c>
      <c r="C1616">
        <v>113.059</v>
      </c>
      <c r="D1616" s="15">
        <f t="shared" si="77"/>
        <v>1.0000000000012221E-4</v>
      </c>
      <c r="E1616" s="14">
        <f t="shared" si="75"/>
        <v>7.0503308983319994E-5</v>
      </c>
      <c r="F1616">
        <v>103.6</v>
      </c>
      <c r="G1616" s="1">
        <f t="shared" si="76"/>
        <v>104.70194100000001</v>
      </c>
    </row>
    <row r="1617" spans="1:7" x14ac:dyDescent="0.3">
      <c r="A1617">
        <v>16150</v>
      </c>
      <c r="B1617">
        <v>1271.0999999999999</v>
      </c>
      <c r="C1617">
        <v>113.05800000000001</v>
      </c>
      <c r="D1617" s="15">
        <f t="shared" si="77"/>
        <v>1.0000000000012221E-4</v>
      </c>
      <c r="E1617" s="14">
        <f t="shared" si="75"/>
        <v>7.0475192235749988E-5</v>
      </c>
      <c r="F1617">
        <v>103.633</v>
      </c>
      <c r="G1617" s="1">
        <f t="shared" si="76"/>
        <v>104.700811</v>
      </c>
    </row>
    <row r="1618" spans="1:7" x14ac:dyDescent="0.3">
      <c r="A1618">
        <v>16160</v>
      </c>
      <c r="B1618">
        <v>1251.9000000000001</v>
      </c>
      <c r="C1618">
        <v>113.057</v>
      </c>
      <c r="D1618" s="15">
        <f t="shared" si="77"/>
        <v>9.9999999999766942E-5</v>
      </c>
      <c r="E1618" s="14">
        <f t="shared" si="75"/>
        <v>7.0447088171519997E-5</v>
      </c>
      <c r="F1618">
        <v>103.66500000000001</v>
      </c>
      <c r="G1618" s="1">
        <f t="shared" si="76"/>
        <v>104.699681</v>
      </c>
    </row>
    <row r="1619" spans="1:7" x14ac:dyDescent="0.3">
      <c r="A1619">
        <v>16170</v>
      </c>
      <c r="B1619">
        <v>1235.4000000000001</v>
      </c>
      <c r="C1619">
        <v>113.056</v>
      </c>
      <c r="D1619" s="15">
        <f t="shared" si="77"/>
        <v>1.0000000000012221E-4</v>
      </c>
      <c r="E1619" s="14">
        <f t="shared" si="75"/>
        <v>7.0418996790629993E-5</v>
      </c>
      <c r="F1619">
        <v>103.697</v>
      </c>
      <c r="G1619" s="1">
        <f t="shared" si="76"/>
        <v>104.69855100000001</v>
      </c>
    </row>
    <row r="1620" spans="1:7" x14ac:dyDescent="0.3">
      <c r="A1620">
        <v>16180</v>
      </c>
      <c r="B1620">
        <v>1220.9000000000001</v>
      </c>
      <c r="C1620">
        <v>113.05500000000001</v>
      </c>
      <c r="D1620" s="15">
        <f t="shared" si="77"/>
        <v>1.0000000000012221E-4</v>
      </c>
      <c r="E1620" s="14">
        <f t="shared" si="75"/>
        <v>7.0390918093080003E-5</v>
      </c>
      <c r="F1620">
        <v>103.729</v>
      </c>
      <c r="G1620" s="1">
        <f t="shared" si="76"/>
        <v>104.69742100000001</v>
      </c>
    </row>
    <row r="1621" spans="1:7" x14ac:dyDescent="0.3">
      <c r="A1621">
        <v>16190</v>
      </c>
      <c r="B1621">
        <v>1214.5999999999999</v>
      </c>
      <c r="C1621">
        <v>113.054</v>
      </c>
      <c r="D1621" s="15">
        <f t="shared" si="77"/>
        <v>9.9999999999766942E-5</v>
      </c>
      <c r="E1621" s="14">
        <f t="shared" si="75"/>
        <v>7.0362852078870001E-5</v>
      </c>
      <c r="F1621">
        <v>103.762</v>
      </c>
      <c r="G1621" s="1">
        <f t="shared" si="76"/>
        <v>104.696291</v>
      </c>
    </row>
    <row r="1622" spans="1:7" x14ac:dyDescent="0.3">
      <c r="A1622">
        <v>16200</v>
      </c>
      <c r="B1622">
        <v>1178.9000000000001</v>
      </c>
      <c r="C1622">
        <v>113.053</v>
      </c>
      <c r="D1622" s="15">
        <f t="shared" si="77"/>
        <v>1.0000000000012221E-4</v>
      </c>
      <c r="E1622" s="14">
        <f t="shared" si="75"/>
        <v>7.0334798748000001E-5</v>
      </c>
      <c r="F1622">
        <v>103.794</v>
      </c>
      <c r="G1622" s="1">
        <f t="shared" si="76"/>
        <v>104.695161</v>
      </c>
    </row>
    <row r="1623" spans="1:7" x14ac:dyDescent="0.3">
      <c r="A1623">
        <v>16210</v>
      </c>
      <c r="B1623">
        <v>1180.3</v>
      </c>
      <c r="C1623">
        <v>113.05200000000001</v>
      </c>
      <c r="D1623" s="15">
        <f t="shared" si="77"/>
        <v>1.0000000000012221E-4</v>
      </c>
      <c r="E1623" s="14">
        <f t="shared" si="75"/>
        <v>7.0306758100470001E-5</v>
      </c>
      <c r="F1623">
        <v>103.82599999999999</v>
      </c>
      <c r="G1623" s="1">
        <f t="shared" si="76"/>
        <v>104.69403100000001</v>
      </c>
    </row>
    <row r="1624" spans="1:7" x14ac:dyDescent="0.3">
      <c r="A1624">
        <v>16220</v>
      </c>
      <c r="B1624">
        <v>1182</v>
      </c>
      <c r="C1624">
        <v>113.051</v>
      </c>
      <c r="D1624" s="15">
        <f t="shared" si="77"/>
        <v>7.5000000000002839E-5</v>
      </c>
      <c r="E1624" s="14">
        <f t="shared" si="75"/>
        <v>7.0278730136279989E-5</v>
      </c>
      <c r="F1624">
        <v>103.85899999999999</v>
      </c>
      <c r="G1624" s="1">
        <f t="shared" si="76"/>
        <v>104.69290100000001</v>
      </c>
    </row>
    <row r="1625" spans="1:7" x14ac:dyDescent="0.3">
      <c r="A1625">
        <v>16230</v>
      </c>
      <c r="B1625">
        <v>1184.0999999999999</v>
      </c>
      <c r="C1625">
        <v>113.05</v>
      </c>
      <c r="D1625" s="15">
        <f t="shared" si="77"/>
        <v>7.5000000000002839E-5</v>
      </c>
      <c r="E1625" s="14">
        <f t="shared" si="75"/>
        <v>7.0250714855429991E-5</v>
      </c>
      <c r="F1625">
        <v>103.89100000000001</v>
      </c>
      <c r="G1625" s="1">
        <f t="shared" si="76"/>
        <v>104.691771</v>
      </c>
    </row>
    <row r="1626" spans="1:7" x14ac:dyDescent="0.3">
      <c r="A1626">
        <v>16240</v>
      </c>
      <c r="B1626">
        <v>1186.4000000000001</v>
      </c>
      <c r="C1626">
        <v>113.05</v>
      </c>
      <c r="D1626" s="15">
        <f t="shared" si="77"/>
        <v>7.5000000000002839E-5</v>
      </c>
      <c r="E1626" s="14">
        <f t="shared" si="75"/>
        <v>7.0222712257919995E-5</v>
      </c>
      <c r="F1626">
        <v>103.922</v>
      </c>
      <c r="G1626" s="1">
        <f t="shared" si="76"/>
        <v>104.690641</v>
      </c>
    </row>
    <row r="1627" spans="1:7" x14ac:dyDescent="0.3">
      <c r="A1627">
        <v>16250</v>
      </c>
      <c r="B1627">
        <v>1188.7</v>
      </c>
      <c r="C1627">
        <v>113.04900000000001</v>
      </c>
      <c r="D1627" s="15">
        <f t="shared" si="77"/>
        <v>7.5000000000002839E-5</v>
      </c>
      <c r="E1627" s="14">
        <f t="shared" si="75"/>
        <v>7.0194722343749986E-5</v>
      </c>
      <c r="F1627">
        <v>103.955</v>
      </c>
      <c r="G1627" s="1">
        <f t="shared" si="76"/>
        <v>104.689511</v>
      </c>
    </row>
    <row r="1628" spans="1:7" x14ac:dyDescent="0.3">
      <c r="A1628">
        <v>16260</v>
      </c>
      <c r="B1628">
        <v>1191.0999999999999</v>
      </c>
      <c r="C1628">
        <v>113.048</v>
      </c>
      <c r="D1628" s="15">
        <f t="shared" si="77"/>
        <v>9.9999999999766942E-5</v>
      </c>
      <c r="E1628" s="14">
        <f t="shared" si="75"/>
        <v>7.0166745112919992E-5</v>
      </c>
      <c r="F1628">
        <v>103.98699999999999</v>
      </c>
      <c r="G1628" s="1">
        <f t="shared" si="76"/>
        <v>104.68838100000001</v>
      </c>
    </row>
    <row r="1629" spans="1:7" x14ac:dyDescent="0.3">
      <c r="A1629">
        <v>16270</v>
      </c>
      <c r="B1629">
        <v>1193.5999999999999</v>
      </c>
      <c r="C1629">
        <v>113.047</v>
      </c>
      <c r="D1629" s="15">
        <f t="shared" si="77"/>
        <v>1.0000000000012221E-4</v>
      </c>
      <c r="E1629" s="14">
        <f t="shared" si="75"/>
        <v>7.0138780565429999E-5</v>
      </c>
      <c r="F1629">
        <v>104.02</v>
      </c>
      <c r="G1629" s="1">
        <f t="shared" si="76"/>
        <v>104.687251</v>
      </c>
    </row>
    <row r="1630" spans="1:7" x14ac:dyDescent="0.3">
      <c r="A1630">
        <v>16280</v>
      </c>
      <c r="B1630">
        <v>1196</v>
      </c>
      <c r="C1630">
        <v>113.04600000000001</v>
      </c>
      <c r="D1630" s="15">
        <f t="shared" si="77"/>
        <v>1.0000000000012221E-4</v>
      </c>
      <c r="E1630" s="14">
        <f t="shared" si="75"/>
        <v>7.0110828701279993E-5</v>
      </c>
      <c r="F1630">
        <v>104.05200000000001</v>
      </c>
      <c r="G1630" s="1">
        <f t="shared" si="76"/>
        <v>104.686121</v>
      </c>
    </row>
    <row r="1631" spans="1:7" x14ac:dyDescent="0.3">
      <c r="A1631">
        <v>16290</v>
      </c>
      <c r="B1631">
        <v>1198.8</v>
      </c>
      <c r="C1631">
        <v>113.045</v>
      </c>
      <c r="D1631" s="15">
        <f t="shared" si="77"/>
        <v>9.9999999999766942E-5</v>
      </c>
      <c r="E1631" s="14">
        <f t="shared" si="75"/>
        <v>7.0082889520470002E-5</v>
      </c>
      <c r="F1631">
        <v>104.084</v>
      </c>
      <c r="G1631" s="1">
        <f t="shared" si="76"/>
        <v>104.684991</v>
      </c>
    </row>
    <row r="1632" spans="1:7" x14ac:dyDescent="0.3">
      <c r="A1632">
        <v>16300</v>
      </c>
      <c r="B1632">
        <v>1192.5</v>
      </c>
      <c r="C1632">
        <v>113.044</v>
      </c>
      <c r="D1632" s="15">
        <f t="shared" si="77"/>
        <v>1.0000000000012221E-4</v>
      </c>
      <c r="E1632" s="14">
        <f t="shared" si="75"/>
        <v>7.0054963022999985E-5</v>
      </c>
      <c r="F1632">
        <v>104.116</v>
      </c>
      <c r="G1632" s="1">
        <f t="shared" si="76"/>
        <v>104.68386100000001</v>
      </c>
    </row>
    <row r="1633" spans="1:7" x14ac:dyDescent="0.3">
      <c r="A1633">
        <v>16310</v>
      </c>
      <c r="B1633">
        <v>1195.0999999999999</v>
      </c>
      <c r="C1633">
        <v>113.04300000000001</v>
      </c>
      <c r="D1633" s="15">
        <f t="shared" si="77"/>
        <v>1.0000000000012221E-4</v>
      </c>
      <c r="E1633" s="14">
        <f t="shared" si="75"/>
        <v>7.0027049208869996E-5</v>
      </c>
      <c r="F1633">
        <v>104.148</v>
      </c>
      <c r="G1633" s="1">
        <f t="shared" si="76"/>
        <v>104.682731</v>
      </c>
    </row>
    <row r="1634" spans="1:7" x14ac:dyDescent="0.3">
      <c r="A1634">
        <v>16320</v>
      </c>
      <c r="B1634">
        <v>1197.2</v>
      </c>
      <c r="C1634">
        <v>113.042</v>
      </c>
      <c r="D1634" s="15">
        <f t="shared" si="77"/>
        <v>9.9999999999766942E-5</v>
      </c>
      <c r="E1634" s="14">
        <f t="shared" si="75"/>
        <v>6.9999148078079995E-5</v>
      </c>
      <c r="F1634">
        <v>104.18</v>
      </c>
      <c r="G1634" s="1">
        <f t="shared" si="76"/>
        <v>104.681601</v>
      </c>
    </row>
    <row r="1635" spans="1:7" x14ac:dyDescent="0.3">
      <c r="A1635">
        <v>16330</v>
      </c>
      <c r="B1635">
        <v>1199.9000000000001</v>
      </c>
      <c r="C1635">
        <v>113.041</v>
      </c>
      <c r="D1635" s="15">
        <f t="shared" si="77"/>
        <v>7.5000000000002839E-5</v>
      </c>
      <c r="E1635" s="14">
        <f t="shared" si="75"/>
        <v>6.9971259630629995E-5</v>
      </c>
      <c r="F1635">
        <v>104.21299999999999</v>
      </c>
      <c r="G1635" s="1">
        <f t="shared" si="76"/>
        <v>104.680471</v>
      </c>
    </row>
    <row r="1636" spans="1:7" x14ac:dyDescent="0.3">
      <c r="A1636">
        <v>16340</v>
      </c>
      <c r="B1636">
        <v>1202.5999999999999</v>
      </c>
      <c r="C1636">
        <v>113.04</v>
      </c>
      <c r="D1636" s="15">
        <f t="shared" si="77"/>
        <v>7.5000000000002839E-5</v>
      </c>
      <c r="E1636" s="14">
        <f t="shared" si="75"/>
        <v>6.9943383866519996E-5</v>
      </c>
      <c r="F1636">
        <v>104.245</v>
      </c>
      <c r="G1636" s="1">
        <f t="shared" si="76"/>
        <v>104.67934100000001</v>
      </c>
    </row>
    <row r="1637" spans="1:7" x14ac:dyDescent="0.3">
      <c r="A1637">
        <v>16350</v>
      </c>
      <c r="B1637">
        <v>1205.8</v>
      </c>
      <c r="C1637">
        <v>113.04</v>
      </c>
      <c r="D1637" s="15">
        <f t="shared" si="77"/>
        <v>7.5000000000002839E-5</v>
      </c>
      <c r="E1637" s="14">
        <f t="shared" si="75"/>
        <v>6.9915520785749998E-5</v>
      </c>
      <c r="F1637">
        <v>104.27800000000001</v>
      </c>
      <c r="G1637" s="1">
        <f t="shared" si="76"/>
        <v>104.678211</v>
      </c>
    </row>
    <row r="1638" spans="1:7" x14ac:dyDescent="0.3">
      <c r="A1638">
        <v>16360</v>
      </c>
      <c r="B1638">
        <v>1209.0999999999999</v>
      </c>
      <c r="C1638">
        <v>113.039</v>
      </c>
      <c r="D1638" s="15">
        <f t="shared" si="77"/>
        <v>7.5000000000002839E-5</v>
      </c>
      <c r="E1638" s="14">
        <f t="shared" si="75"/>
        <v>6.9887670388320001E-5</v>
      </c>
      <c r="F1638">
        <v>104.309</v>
      </c>
      <c r="G1638" s="1">
        <f t="shared" si="76"/>
        <v>104.677081</v>
      </c>
    </row>
    <row r="1639" spans="1:7" x14ac:dyDescent="0.3">
      <c r="A1639">
        <v>16370</v>
      </c>
      <c r="B1639">
        <v>1212.0999999999999</v>
      </c>
      <c r="C1639">
        <v>113.038</v>
      </c>
      <c r="D1639" s="15">
        <f t="shared" si="77"/>
        <v>1.0000000000012221E-4</v>
      </c>
      <c r="E1639" s="14">
        <f t="shared" si="75"/>
        <v>6.9859832674229992E-5</v>
      </c>
      <c r="F1639">
        <v>104.34099999999999</v>
      </c>
      <c r="G1639" s="1">
        <f t="shared" si="76"/>
        <v>104.675951</v>
      </c>
    </row>
    <row r="1640" spans="1:7" x14ac:dyDescent="0.3">
      <c r="A1640">
        <v>16380</v>
      </c>
      <c r="B1640">
        <v>1215.7</v>
      </c>
      <c r="C1640">
        <v>113.03700000000001</v>
      </c>
      <c r="D1640" s="15">
        <f t="shared" si="77"/>
        <v>1.0000000000012221E-4</v>
      </c>
      <c r="E1640" s="14">
        <f t="shared" si="75"/>
        <v>6.9832007643479997E-5</v>
      </c>
      <c r="F1640">
        <v>104.374</v>
      </c>
      <c r="G1640" s="1">
        <f t="shared" si="76"/>
        <v>104.67482100000001</v>
      </c>
    </row>
    <row r="1641" spans="1:7" x14ac:dyDescent="0.3">
      <c r="A1641">
        <v>16390</v>
      </c>
      <c r="B1641">
        <v>1219.3</v>
      </c>
      <c r="C1641">
        <v>113.036</v>
      </c>
      <c r="D1641" s="15">
        <f t="shared" si="77"/>
        <v>9.9999999999766942E-5</v>
      </c>
      <c r="E1641" s="14">
        <f t="shared" si="75"/>
        <v>6.980419529606999E-5</v>
      </c>
      <c r="F1641">
        <v>104.40600000000001</v>
      </c>
      <c r="G1641" s="1">
        <f t="shared" si="76"/>
        <v>104.67369100000001</v>
      </c>
    </row>
    <row r="1642" spans="1:7" x14ac:dyDescent="0.3">
      <c r="A1642">
        <v>16400</v>
      </c>
      <c r="B1642">
        <v>1222.7</v>
      </c>
      <c r="C1642">
        <v>113.035</v>
      </c>
      <c r="D1642" s="15">
        <f t="shared" si="77"/>
        <v>1.0000000000012221E-4</v>
      </c>
      <c r="E1642" s="14">
        <f t="shared" si="75"/>
        <v>6.9776395631999998E-5</v>
      </c>
      <c r="F1642">
        <v>104.438</v>
      </c>
      <c r="G1642" s="1">
        <f t="shared" si="76"/>
        <v>104.672561</v>
      </c>
    </row>
    <row r="1643" spans="1:7" x14ac:dyDescent="0.3">
      <c r="A1643">
        <v>16410</v>
      </c>
      <c r="B1643">
        <v>1226.3</v>
      </c>
      <c r="C1643">
        <v>113.03400000000001</v>
      </c>
      <c r="D1643" s="15">
        <f t="shared" si="77"/>
        <v>1.0000000000012221E-4</v>
      </c>
      <c r="E1643" s="14">
        <f t="shared" si="75"/>
        <v>6.9748608651269993E-5</v>
      </c>
      <c r="F1643">
        <v>104.471</v>
      </c>
      <c r="G1643" s="1">
        <f t="shared" si="76"/>
        <v>104.671431</v>
      </c>
    </row>
    <row r="1644" spans="1:7" x14ac:dyDescent="0.3">
      <c r="A1644">
        <v>16420</v>
      </c>
      <c r="B1644">
        <v>1229.8</v>
      </c>
      <c r="C1644">
        <v>113.033</v>
      </c>
      <c r="D1644" s="15">
        <f t="shared" si="77"/>
        <v>9.9999999999766942E-5</v>
      </c>
      <c r="E1644" s="14">
        <f t="shared" si="75"/>
        <v>6.9720834353879989E-5</v>
      </c>
      <c r="F1644">
        <v>104.502</v>
      </c>
      <c r="G1644" s="1">
        <f t="shared" si="76"/>
        <v>104.67030100000001</v>
      </c>
    </row>
    <row r="1645" spans="1:7" x14ac:dyDescent="0.3">
      <c r="A1645">
        <v>16430</v>
      </c>
      <c r="B1645">
        <v>1233.5</v>
      </c>
      <c r="C1645">
        <v>113.032</v>
      </c>
      <c r="D1645" s="15">
        <f t="shared" si="77"/>
        <v>1.0000000000012221E-4</v>
      </c>
      <c r="E1645" s="14">
        <f t="shared" si="75"/>
        <v>6.969307273983E-5</v>
      </c>
      <c r="F1645">
        <v>104.53400000000001</v>
      </c>
      <c r="G1645" s="1">
        <f t="shared" si="76"/>
        <v>104.66917100000001</v>
      </c>
    </row>
    <row r="1646" spans="1:7" x14ac:dyDescent="0.3">
      <c r="A1646">
        <v>16440</v>
      </c>
      <c r="B1646">
        <v>1237.2</v>
      </c>
      <c r="C1646">
        <v>113.03100000000001</v>
      </c>
      <c r="D1646" s="15">
        <f t="shared" si="77"/>
        <v>7.5000000000002839E-5</v>
      </c>
      <c r="E1646" s="14">
        <f t="shared" si="75"/>
        <v>6.9665323809119984E-5</v>
      </c>
      <c r="F1646">
        <v>104.56699999999999</v>
      </c>
      <c r="G1646" s="1">
        <f t="shared" si="76"/>
        <v>104.668041</v>
      </c>
    </row>
    <row r="1647" spans="1:7" x14ac:dyDescent="0.3">
      <c r="A1647">
        <v>16450</v>
      </c>
      <c r="B1647">
        <v>1240.7</v>
      </c>
      <c r="C1647">
        <v>113.03</v>
      </c>
      <c r="D1647" s="15">
        <f t="shared" si="77"/>
        <v>7.5000000000002839E-5</v>
      </c>
      <c r="E1647" s="14">
        <f t="shared" si="75"/>
        <v>6.9637587561749997E-5</v>
      </c>
      <c r="F1647">
        <v>104.599</v>
      </c>
      <c r="G1647" s="1">
        <f t="shared" si="76"/>
        <v>104.666911</v>
      </c>
    </row>
    <row r="1648" spans="1:7" x14ac:dyDescent="0.3">
      <c r="A1648">
        <v>16460</v>
      </c>
      <c r="B1648">
        <v>1244.4000000000001</v>
      </c>
      <c r="C1648">
        <v>113.03</v>
      </c>
      <c r="D1648" s="15">
        <f t="shared" si="77"/>
        <v>7.5000000000002839E-5</v>
      </c>
      <c r="E1648" s="14">
        <f t="shared" si="75"/>
        <v>6.9609863997719998E-5</v>
      </c>
      <c r="F1648">
        <v>104.63200000000001</v>
      </c>
      <c r="G1648" s="1">
        <f t="shared" si="76"/>
        <v>104.66578100000001</v>
      </c>
    </row>
    <row r="1649" spans="1:7" x14ac:dyDescent="0.3">
      <c r="A1649">
        <v>16470</v>
      </c>
      <c r="B1649">
        <v>1248</v>
      </c>
      <c r="C1649">
        <v>113.029</v>
      </c>
      <c r="D1649" s="15">
        <f t="shared" si="77"/>
        <v>7.5000000000002839E-5</v>
      </c>
      <c r="E1649" s="14">
        <f t="shared" si="75"/>
        <v>6.9582153117029986E-5</v>
      </c>
      <c r="F1649">
        <v>104.664</v>
      </c>
      <c r="G1649" s="1">
        <f t="shared" si="76"/>
        <v>104.66465100000001</v>
      </c>
    </row>
    <row r="1650" spans="1:7" x14ac:dyDescent="0.3">
      <c r="A1650">
        <v>16480</v>
      </c>
      <c r="B1650">
        <v>1251.5999999999999</v>
      </c>
      <c r="C1650">
        <v>113.02800000000001</v>
      </c>
      <c r="D1650" s="15">
        <f t="shared" si="77"/>
        <v>1.0000000000012221E-4</v>
      </c>
      <c r="E1650" s="14">
        <f t="shared" si="75"/>
        <v>6.9554454919680002E-5</v>
      </c>
      <c r="F1650">
        <v>104.696</v>
      </c>
      <c r="G1650" s="1">
        <f t="shared" si="76"/>
        <v>104.663521</v>
      </c>
    </row>
    <row r="1651" spans="1:7" x14ac:dyDescent="0.3">
      <c r="A1651">
        <v>16490</v>
      </c>
      <c r="B1651">
        <v>1255.3</v>
      </c>
      <c r="C1651">
        <v>113.027</v>
      </c>
      <c r="D1651" s="15">
        <f t="shared" si="77"/>
        <v>9.9999999999766942E-5</v>
      </c>
      <c r="E1651" s="14">
        <f t="shared" si="75"/>
        <v>6.9526769405670006E-5</v>
      </c>
      <c r="F1651">
        <v>104.72799999999999</v>
      </c>
      <c r="G1651" s="1">
        <f t="shared" si="76"/>
        <v>104.662391</v>
      </c>
    </row>
    <row r="1652" spans="1:7" x14ac:dyDescent="0.3">
      <c r="A1652">
        <v>16500</v>
      </c>
      <c r="B1652">
        <v>1258.9000000000001</v>
      </c>
      <c r="C1652">
        <v>113.026</v>
      </c>
      <c r="D1652" s="15">
        <f t="shared" si="77"/>
        <v>1.0000000000012221E-4</v>
      </c>
      <c r="E1652" s="14">
        <f t="shared" si="75"/>
        <v>6.9499096574999997E-5</v>
      </c>
      <c r="F1652">
        <v>104.76</v>
      </c>
      <c r="G1652" s="1">
        <f t="shared" si="76"/>
        <v>104.661261</v>
      </c>
    </row>
    <row r="1653" spans="1:7" x14ac:dyDescent="0.3">
      <c r="A1653">
        <v>16510</v>
      </c>
      <c r="B1653">
        <v>1262.7</v>
      </c>
      <c r="C1653">
        <v>113.02500000000001</v>
      </c>
      <c r="D1653" s="15">
        <f t="shared" si="77"/>
        <v>1.0000000000012221E-4</v>
      </c>
      <c r="E1653" s="14">
        <f t="shared" si="75"/>
        <v>6.9471436427670003E-5</v>
      </c>
      <c r="F1653">
        <v>104.792</v>
      </c>
      <c r="G1653" s="1">
        <f t="shared" si="76"/>
        <v>104.66013100000001</v>
      </c>
    </row>
    <row r="1654" spans="1:7" x14ac:dyDescent="0.3">
      <c r="A1654">
        <v>16520</v>
      </c>
      <c r="B1654">
        <v>1266.3</v>
      </c>
      <c r="C1654">
        <v>113.024</v>
      </c>
      <c r="D1654" s="15">
        <f t="shared" si="77"/>
        <v>9.9999999999766942E-5</v>
      </c>
      <c r="E1654" s="14">
        <f t="shared" si="75"/>
        <v>6.9443788963679983E-5</v>
      </c>
      <c r="F1654">
        <v>104.825</v>
      </c>
      <c r="G1654" s="1">
        <f t="shared" si="76"/>
        <v>104.659001</v>
      </c>
    </row>
    <row r="1655" spans="1:7" x14ac:dyDescent="0.3">
      <c r="A1655">
        <v>16530</v>
      </c>
      <c r="B1655">
        <v>1270</v>
      </c>
      <c r="C1655">
        <v>113.023</v>
      </c>
      <c r="D1655" s="15">
        <f t="shared" si="77"/>
        <v>1.0000000000012221E-4</v>
      </c>
      <c r="E1655" s="14">
        <f t="shared" si="75"/>
        <v>6.9416154183029992E-5</v>
      </c>
      <c r="F1655">
        <v>104.857</v>
      </c>
      <c r="G1655" s="1">
        <f t="shared" si="76"/>
        <v>104.657871</v>
      </c>
    </row>
    <row r="1656" spans="1:7" x14ac:dyDescent="0.3">
      <c r="A1656">
        <v>16540</v>
      </c>
      <c r="B1656">
        <v>1273.7</v>
      </c>
      <c r="C1656">
        <v>113.02200000000001</v>
      </c>
      <c r="D1656" s="15">
        <f t="shared" si="77"/>
        <v>1.0000000000012221E-4</v>
      </c>
      <c r="E1656" s="14">
        <f t="shared" si="75"/>
        <v>6.9388532085720001E-5</v>
      </c>
      <c r="F1656">
        <v>104.889</v>
      </c>
      <c r="G1656" s="1">
        <f t="shared" si="76"/>
        <v>104.656741</v>
      </c>
    </row>
    <row r="1657" spans="1:7" x14ac:dyDescent="0.3">
      <c r="A1657">
        <v>16550</v>
      </c>
      <c r="B1657">
        <v>1277.4000000000001</v>
      </c>
      <c r="C1657">
        <v>113.021</v>
      </c>
      <c r="D1657" s="15">
        <f t="shared" si="77"/>
        <v>9.9999999999766942E-5</v>
      </c>
      <c r="E1657" s="14">
        <f t="shared" si="75"/>
        <v>6.9360922671749984E-5</v>
      </c>
      <c r="F1657">
        <v>104.922</v>
      </c>
      <c r="G1657" s="1">
        <f t="shared" si="76"/>
        <v>104.65561100000001</v>
      </c>
    </row>
    <row r="1658" spans="1:7" x14ac:dyDescent="0.3">
      <c r="A1658">
        <v>16560</v>
      </c>
      <c r="B1658">
        <v>1281.0999999999999</v>
      </c>
      <c r="C1658">
        <v>113.02</v>
      </c>
      <c r="D1658" s="15">
        <f t="shared" si="77"/>
        <v>1.0000000000012221E-4</v>
      </c>
      <c r="E1658" s="14">
        <f t="shared" si="75"/>
        <v>6.9333325941119996E-5</v>
      </c>
      <c r="F1658">
        <v>104.953</v>
      </c>
      <c r="G1658" s="1">
        <f t="shared" si="76"/>
        <v>104.654481</v>
      </c>
    </row>
    <row r="1659" spans="1:7" x14ac:dyDescent="0.3">
      <c r="A1659">
        <v>16570</v>
      </c>
      <c r="B1659">
        <v>1284.8</v>
      </c>
      <c r="C1659">
        <v>113.01900000000001</v>
      </c>
      <c r="D1659" s="15">
        <f t="shared" si="77"/>
        <v>1.0000000000012221E-4</v>
      </c>
      <c r="E1659" s="14">
        <f t="shared" si="75"/>
        <v>6.9305741893830008E-5</v>
      </c>
      <c r="F1659">
        <v>104.986</v>
      </c>
      <c r="G1659" s="1">
        <f t="shared" si="76"/>
        <v>104.653351</v>
      </c>
    </row>
    <row r="1660" spans="1:7" x14ac:dyDescent="0.3">
      <c r="A1660">
        <v>16580</v>
      </c>
      <c r="B1660">
        <v>1288.5999999999999</v>
      </c>
      <c r="C1660">
        <v>113.018</v>
      </c>
      <c r="D1660" s="15">
        <f t="shared" si="77"/>
        <v>9.9999999999766942E-5</v>
      </c>
      <c r="E1660" s="14">
        <f t="shared" si="75"/>
        <v>6.9278170529879995E-5</v>
      </c>
      <c r="F1660">
        <v>105.018</v>
      </c>
      <c r="G1660" s="1">
        <f t="shared" si="76"/>
        <v>104.652221</v>
      </c>
    </row>
    <row r="1661" spans="1:7" x14ac:dyDescent="0.3">
      <c r="A1661">
        <v>16590</v>
      </c>
      <c r="B1661">
        <v>1292.3</v>
      </c>
      <c r="C1661">
        <v>113.017</v>
      </c>
      <c r="D1661" s="15">
        <f t="shared" si="77"/>
        <v>1.0000000000012221E-4</v>
      </c>
      <c r="E1661" s="14">
        <f t="shared" si="75"/>
        <v>6.9250611849269996E-5</v>
      </c>
      <c r="F1661">
        <v>105.05</v>
      </c>
      <c r="G1661" s="1">
        <f t="shared" si="76"/>
        <v>104.65109100000001</v>
      </c>
    </row>
    <row r="1662" spans="1:7" x14ac:dyDescent="0.3">
      <c r="A1662">
        <v>16600</v>
      </c>
      <c r="B1662">
        <v>1296.0999999999999</v>
      </c>
      <c r="C1662">
        <v>113.01600000000001</v>
      </c>
      <c r="D1662" s="15">
        <f t="shared" si="77"/>
        <v>1.0000000000012221E-4</v>
      </c>
      <c r="E1662" s="14">
        <f t="shared" si="75"/>
        <v>6.9223065851999985E-5</v>
      </c>
      <c r="F1662">
        <v>105.083</v>
      </c>
      <c r="G1662" s="1">
        <f t="shared" si="76"/>
        <v>104.649961</v>
      </c>
    </row>
    <row r="1663" spans="1:7" x14ac:dyDescent="0.3">
      <c r="A1663">
        <v>16610</v>
      </c>
      <c r="B1663">
        <v>1299.7</v>
      </c>
      <c r="C1663">
        <v>113.015</v>
      </c>
      <c r="D1663" s="15">
        <f t="shared" si="77"/>
        <v>9.9999999999766942E-5</v>
      </c>
      <c r="E1663" s="14">
        <f t="shared" si="75"/>
        <v>6.9195532538069988E-5</v>
      </c>
      <c r="F1663">
        <v>105.11499999999999</v>
      </c>
      <c r="G1663" s="1">
        <f t="shared" si="76"/>
        <v>104.648831</v>
      </c>
    </row>
    <row r="1664" spans="1:7" x14ac:dyDescent="0.3">
      <c r="A1664">
        <v>16620</v>
      </c>
      <c r="B1664">
        <v>1303.5</v>
      </c>
      <c r="C1664">
        <v>113.014</v>
      </c>
      <c r="D1664" s="15">
        <f t="shared" si="77"/>
        <v>7.5000000000002839E-5</v>
      </c>
      <c r="E1664" s="14">
        <f t="shared" si="75"/>
        <v>6.9168011907480006E-5</v>
      </c>
      <c r="F1664">
        <v>105.14700000000001</v>
      </c>
      <c r="G1664" s="1">
        <f t="shared" si="76"/>
        <v>104.647701</v>
      </c>
    </row>
    <row r="1665" spans="1:7" x14ac:dyDescent="0.3">
      <c r="A1665">
        <v>16630</v>
      </c>
      <c r="B1665">
        <v>1307.2</v>
      </c>
      <c r="C1665">
        <v>113.01300000000001</v>
      </c>
      <c r="D1665" s="15">
        <f t="shared" si="77"/>
        <v>7.5000000000002839E-5</v>
      </c>
      <c r="E1665" s="14">
        <f t="shared" si="75"/>
        <v>6.9140503960229998E-5</v>
      </c>
      <c r="F1665">
        <v>105.179</v>
      </c>
      <c r="G1665" s="1">
        <f t="shared" si="76"/>
        <v>104.64657100000001</v>
      </c>
    </row>
    <row r="1666" spans="1:7" x14ac:dyDescent="0.3">
      <c r="A1666">
        <v>16640</v>
      </c>
      <c r="B1666">
        <v>1311</v>
      </c>
      <c r="C1666">
        <v>113.01300000000001</v>
      </c>
      <c r="D1666" s="15">
        <f t="shared" si="77"/>
        <v>7.5000000000002839E-5</v>
      </c>
      <c r="E1666" s="14">
        <f t="shared" ref="E1666:E1729" si="78">0.0000000000000634167*A1666*A1666 - 0.0000000048594*A1666 + 0.000132414</f>
        <v>6.9113008696319991E-5</v>
      </c>
      <c r="F1666">
        <v>105.211</v>
      </c>
      <c r="G1666" s="1">
        <f t="shared" si="76"/>
        <v>104.64544100000001</v>
      </c>
    </row>
    <row r="1667" spans="1:7" x14ac:dyDescent="0.3">
      <c r="A1667">
        <v>16650</v>
      </c>
      <c r="B1667">
        <v>1314.8</v>
      </c>
      <c r="C1667">
        <v>113.012</v>
      </c>
      <c r="D1667" s="15">
        <f t="shared" si="77"/>
        <v>7.5000000000002839E-5</v>
      </c>
      <c r="E1667" s="14">
        <f t="shared" si="78"/>
        <v>6.9085526115749999E-5</v>
      </c>
      <c r="F1667">
        <v>105.24299999999999</v>
      </c>
      <c r="G1667" s="1">
        <f t="shared" ref="G1667:G1730" si="79">-0.000113*A1667 + 106.525761</f>
        <v>104.644311</v>
      </c>
    </row>
    <row r="1668" spans="1:7" x14ac:dyDescent="0.3">
      <c r="A1668">
        <v>16660</v>
      </c>
      <c r="B1668">
        <v>1318.6</v>
      </c>
      <c r="C1668">
        <v>113.011</v>
      </c>
      <c r="D1668" s="15">
        <f t="shared" si="77"/>
        <v>1.0000000000012221E-4</v>
      </c>
      <c r="E1668" s="14">
        <f t="shared" si="78"/>
        <v>6.9058056218519994E-5</v>
      </c>
      <c r="F1668">
        <v>105.276</v>
      </c>
      <c r="G1668" s="1">
        <f t="shared" si="79"/>
        <v>104.643181</v>
      </c>
    </row>
    <row r="1669" spans="1:7" x14ac:dyDescent="0.3">
      <c r="A1669">
        <v>16670</v>
      </c>
      <c r="B1669">
        <v>1322.4</v>
      </c>
      <c r="C1669">
        <v>113.01</v>
      </c>
      <c r="D1669" s="15">
        <f t="shared" ref="D1669:D1732" si="80">(C1667-C1671)/(A1671-A1667)</f>
        <v>1.0000000000012221E-4</v>
      </c>
      <c r="E1669" s="14">
        <f t="shared" si="78"/>
        <v>6.9030599004630004E-5</v>
      </c>
      <c r="F1669">
        <v>105.30800000000001</v>
      </c>
      <c r="G1669" s="1">
        <f t="shared" si="79"/>
        <v>104.64205100000001</v>
      </c>
    </row>
    <row r="1670" spans="1:7" x14ac:dyDescent="0.3">
      <c r="A1670">
        <v>16680</v>
      </c>
      <c r="B1670">
        <v>1326</v>
      </c>
      <c r="C1670">
        <v>113.009</v>
      </c>
      <c r="D1670" s="15">
        <f t="shared" si="80"/>
        <v>9.9999999999766942E-5</v>
      </c>
      <c r="E1670" s="14">
        <f t="shared" si="78"/>
        <v>6.9003154474080002E-5</v>
      </c>
      <c r="F1670">
        <v>105.34</v>
      </c>
      <c r="G1670" s="1">
        <f t="shared" si="79"/>
        <v>104.64092100000001</v>
      </c>
    </row>
    <row r="1671" spans="1:7" x14ac:dyDescent="0.3">
      <c r="A1671">
        <v>16690</v>
      </c>
      <c r="B1671">
        <v>1329.8</v>
      </c>
      <c r="C1671">
        <v>113.008</v>
      </c>
      <c r="D1671" s="15">
        <f t="shared" si="80"/>
        <v>1.0000000000012221E-4</v>
      </c>
      <c r="E1671" s="14">
        <f t="shared" si="78"/>
        <v>6.897572262687E-5</v>
      </c>
      <c r="F1671">
        <v>105.373</v>
      </c>
      <c r="G1671" s="1">
        <f t="shared" si="79"/>
        <v>104.639791</v>
      </c>
    </row>
    <row r="1672" spans="1:7" x14ac:dyDescent="0.3">
      <c r="A1672">
        <v>16700</v>
      </c>
      <c r="B1672">
        <v>1333.7</v>
      </c>
      <c r="C1672">
        <v>113.00700000000001</v>
      </c>
      <c r="D1672" s="15">
        <f t="shared" si="80"/>
        <v>1.0000000000012221E-4</v>
      </c>
      <c r="E1672" s="14">
        <f t="shared" si="78"/>
        <v>6.8948303463E-5</v>
      </c>
      <c r="F1672">
        <v>105.405</v>
      </c>
      <c r="G1672" s="1">
        <f t="shared" si="79"/>
        <v>104.638661</v>
      </c>
    </row>
    <row r="1673" spans="1:7" x14ac:dyDescent="0.3">
      <c r="A1673">
        <v>16710</v>
      </c>
      <c r="B1673">
        <v>1337.4</v>
      </c>
      <c r="C1673">
        <v>113.006</v>
      </c>
      <c r="D1673" s="15">
        <f t="shared" si="80"/>
        <v>9.9999999999766942E-5</v>
      </c>
      <c r="E1673" s="14">
        <f t="shared" si="78"/>
        <v>6.8920896982469987E-5</v>
      </c>
      <c r="F1673">
        <v>105.43600000000001</v>
      </c>
      <c r="G1673" s="1">
        <f t="shared" si="79"/>
        <v>104.63753100000001</v>
      </c>
    </row>
    <row r="1674" spans="1:7" x14ac:dyDescent="0.3">
      <c r="A1674">
        <v>16720</v>
      </c>
      <c r="B1674">
        <v>1341.2</v>
      </c>
      <c r="C1674">
        <v>113.005</v>
      </c>
      <c r="D1674" s="15">
        <f t="shared" si="80"/>
        <v>1.0000000000012221E-4</v>
      </c>
      <c r="E1674" s="14">
        <f t="shared" si="78"/>
        <v>6.8893503185280002E-5</v>
      </c>
      <c r="F1674">
        <v>105.46899999999999</v>
      </c>
      <c r="G1674" s="1">
        <f t="shared" si="79"/>
        <v>104.63640100000001</v>
      </c>
    </row>
    <row r="1675" spans="1:7" x14ac:dyDescent="0.3">
      <c r="A1675">
        <v>16730</v>
      </c>
      <c r="B1675">
        <v>1344.9</v>
      </c>
      <c r="C1675">
        <v>113.004</v>
      </c>
      <c r="D1675" s="15">
        <f t="shared" si="80"/>
        <v>1.0000000000012221E-4</v>
      </c>
      <c r="E1675" s="14">
        <f t="shared" si="78"/>
        <v>6.8866122071430005E-5</v>
      </c>
      <c r="F1675">
        <v>105.501</v>
      </c>
      <c r="G1675" s="1">
        <f t="shared" si="79"/>
        <v>104.635271</v>
      </c>
    </row>
    <row r="1676" spans="1:7" x14ac:dyDescent="0.3">
      <c r="A1676">
        <v>16740</v>
      </c>
      <c r="B1676">
        <v>1348.8</v>
      </c>
      <c r="C1676">
        <v>113.003</v>
      </c>
      <c r="D1676" s="15">
        <f t="shared" si="80"/>
        <v>9.9999999999766942E-5</v>
      </c>
      <c r="E1676" s="14">
        <f t="shared" si="78"/>
        <v>6.8838753640919996E-5</v>
      </c>
      <c r="F1676">
        <v>105.533</v>
      </c>
      <c r="G1676" s="1">
        <f t="shared" si="79"/>
        <v>104.634141</v>
      </c>
    </row>
    <row r="1677" spans="1:7" x14ac:dyDescent="0.3">
      <c r="A1677">
        <v>16750</v>
      </c>
      <c r="B1677">
        <v>1352.5</v>
      </c>
      <c r="C1677">
        <v>113.002</v>
      </c>
      <c r="D1677" s="15">
        <f t="shared" si="80"/>
        <v>1.0000000000012221E-4</v>
      </c>
      <c r="E1677" s="14">
        <f t="shared" si="78"/>
        <v>6.8811397893749987E-5</v>
      </c>
      <c r="F1677">
        <v>105.566</v>
      </c>
      <c r="G1677" s="1">
        <f t="shared" si="79"/>
        <v>104.633011</v>
      </c>
    </row>
    <row r="1678" spans="1:7" x14ac:dyDescent="0.3">
      <c r="A1678">
        <v>16760</v>
      </c>
      <c r="B1678">
        <v>1356.4</v>
      </c>
      <c r="C1678">
        <v>113.001</v>
      </c>
      <c r="D1678" s="15">
        <f t="shared" si="80"/>
        <v>1.0000000000012221E-4</v>
      </c>
      <c r="E1678" s="14">
        <f t="shared" si="78"/>
        <v>6.8784054829920007E-5</v>
      </c>
      <c r="F1678">
        <v>105.598</v>
      </c>
      <c r="G1678" s="1">
        <f t="shared" si="79"/>
        <v>104.63188100000001</v>
      </c>
    </row>
    <row r="1679" spans="1:7" x14ac:dyDescent="0.3">
      <c r="A1679">
        <v>16770</v>
      </c>
      <c r="B1679">
        <v>1360.2</v>
      </c>
      <c r="C1679">
        <v>113</v>
      </c>
      <c r="D1679" s="15">
        <f t="shared" si="80"/>
        <v>9.9999999999766942E-5</v>
      </c>
      <c r="E1679" s="14">
        <f t="shared" si="78"/>
        <v>6.8756724449430001E-5</v>
      </c>
      <c r="F1679">
        <v>105.63</v>
      </c>
      <c r="G1679" s="1">
        <f t="shared" si="79"/>
        <v>104.630751</v>
      </c>
    </row>
    <row r="1680" spans="1:7" x14ac:dyDescent="0.3">
      <c r="A1680">
        <v>16780</v>
      </c>
      <c r="B1680">
        <v>1363.9</v>
      </c>
      <c r="C1680">
        <v>112.999</v>
      </c>
      <c r="D1680" s="15">
        <f t="shared" si="80"/>
        <v>1.0000000000012221E-4</v>
      </c>
      <c r="E1680" s="14">
        <f t="shared" si="78"/>
        <v>6.8729406752279996E-5</v>
      </c>
      <c r="F1680">
        <v>105.663</v>
      </c>
      <c r="G1680" s="1">
        <f t="shared" si="79"/>
        <v>104.629621</v>
      </c>
    </row>
    <row r="1681" spans="1:7" x14ac:dyDescent="0.3">
      <c r="A1681">
        <v>16790</v>
      </c>
      <c r="B1681">
        <v>1367.8</v>
      </c>
      <c r="C1681">
        <v>112.998</v>
      </c>
      <c r="D1681" s="15">
        <f t="shared" si="80"/>
        <v>1.0000000000012221E-4</v>
      </c>
      <c r="E1681" s="14">
        <f t="shared" si="78"/>
        <v>6.8702101738469992E-5</v>
      </c>
      <c r="F1681">
        <v>105.69499999999999</v>
      </c>
      <c r="G1681" s="1">
        <f t="shared" si="79"/>
        <v>104.628491</v>
      </c>
    </row>
    <row r="1682" spans="1:7" x14ac:dyDescent="0.3">
      <c r="A1682">
        <v>16800</v>
      </c>
      <c r="B1682">
        <v>1371.5</v>
      </c>
      <c r="C1682">
        <v>112.997</v>
      </c>
      <c r="D1682" s="15">
        <f t="shared" si="80"/>
        <v>9.9999999999766942E-5</v>
      </c>
      <c r="E1682" s="14">
        <f t="shared" si="78"/>
        <v>6.8674809407999989E-5</v>
      </c>
      <c r="F1682">
        <v>105.726</v>
      </c>
      <c r="G1682" s="1">
        <f t="shared" si="79"/>
        <v>104.62736100000001</v>
      </c>
    </row>
    <row r="1683" spans="1:7" x14ac:dyDescent="0.3">
      <c r="A1683">
        <v>16810</v>
      </c>
      <c r="B1683">
        <v>1368.4</v>
      </c>
      <c r="C1683">
        <v>112.996</v>
      </c>
      <c r="D1683" s="15">
        <f t="shared" si="80"/>
        <v>1.0000000000012221E-4</v>
      </c>
      <c r="E1683" s="14">
        <f t="shared" si="78"/>
        <v>6.864752976087E-5</v>
      </c>
      <c r="F1683">
        <v>105.71899999999999</v>
      </c>
      <c r="G1683" s="1">
        <f t="shared" si="79"/>
        <v>104.626231</v>
      </c>
    </row>
    <row r="1684" spans="1:7" x14ac:dyDescent="0.3">
      <c r="A1684">
        <v>16820</v>
      </c>
      <c r="B1684">
        <v>1363.4</v>
      </c>
      <c r="C1684">
        <v>112.995</v>
      </c>
      <c r="D1684" s="15">
        <f t="shared" si="80"/>
        <v>1.0000000000012221E-4</v>
      </c>
      <c r="E1684" s="14">
        <f t="shared" si="78"/>
        <v>6.8620262797079999E-5</v>
      </c>
      <c r="F1684">
        <v>105.702</v>
      </c>
      <c r="G1684" s="1">
        <f t="shared" si="79"/>
        <v>104.625101</v>
      </c>
    </row>
    <row r="1685" spans="1:7" x14ac:dyDescent="0.3">
      <c r="A1685">
        <v>16830</v>
      </c>
      <c r="B1685">
        <v>1358.5</v>
      </c>
      <c r="C1685">
        <v>112.994</v>
      </c>
      <c r="D1685" s="15">
        <f t="shared" si="80"/>
        <v>9.9999999999766942E-5</v>
      </c>
      <c r="E1685" s="14">
        <f t="shared" si="78"/>
        <v>6.859300851663E-5</v>
      </c>
      <c r="F1685">
        <v>105.684</v>
      </c>
      <c r="G1685" s="1">
        <f t="shared" si="79"/>
        <v>104.623971</v>
      </c>
    </row>
    <row r="1686" spans="1:7" x14ac:dyDescent="0.3">
      <c r="A1686">
        <v>16840</v>
      </c>
      <c r="B1686">
        <v>1353.6</v>
      </c>
      <c r="C1686">
        <v>112.99299999999999</v>
      </c>
      <c r="D1686" s="15">
        <f t="shared" si="80"/>
        <v>1.0000000000012221E-4</v>
      </c>
      <c r="E1686" s="14">
        <f t="shared" si="78"/>
        <v>6.8565766919520001E-5</v>
      </c>
      <c r="F1686">
        <v>105.666</v>
      </c>
      <c r="G1686" s="1">
        <f t="shared" si="79"/>
        <v>104.62284100000001</v>
      </c>
    </row>
    <row r="1687" spans="1:7" x14ac:dyDescent="0.3">
      <c r="A1687">
        <v>16850</v>
      </c>
      <c r="B1687">
        <v>1348.7</v>
      </c>
      <c r="C1687">
        <v>112.992</v>
      </c>
      <c r="D1687" s="15">
        <f t="shared" si="80"/>
        <v>1.0000000000012221E-4</v>
      </c>
      <c r="E1687" s="14">
        <f t="shared" si="78"/>
        <v>6.853853800574999E-5</v>
      </c>
      <c r="F1687">
        <v>105.649</v>
      </c>
      <c r="G1687" s="1">
        <f t="shared" si="79"/>
        <v>104.621711</v>
      </c>
    </row>
    <row r="1688" spans="1:7" x14ac:dyDescent="0.3">
      <c r="A1688">
        <v>16860</v>
      </c>
      <c r="B1688">
        <v>1343.8</v>
      </c>
      <c r="C1688">
        <v>112.991</v>
      </c>
      <c r="D1688" s="15">
        <f t="shared" si="80"/>
        <v>9.9999999999766942E-5</v>
      </c>
      <c r="E1688" s="14">
        <f t="shared" si="78"/>
        <v>6.8511321775319994E-5</v>
      </c>
      <c r="F1688">
        <v>105.63200000000001</v>
      </c>
      <c r="G1688" s="1">
        <f t="shared" si="79"/>
        <v>104.620581</v>
      </c>
    </row>
    <row r="1689" spans="1:7" x14ac:dyDescent="0.3">
      <c r="A1689">
        <v>16870</v>
      </c>
      <c r="B1689">
        <v>1338.9</v>
      </c>
      <c r="C1689">
        <v>112.99</v>
      </c>
      <c r="D1689" s="15">
        <f t="shared" si="80"/>
        <v>1.0000000000012221E-4</v>
      </c>
      <c r="E1689" s="14">
        <f t="shared" si="78"/>
        <v>6.8484118228229998E-5</v>
      </c>
      <c r="F1689">
        <v>105.614</v>
      </c>
      <c r="G1689" s="1">
        <f t="shared" si="79"/>
        <v>104.619451</v>
      </c>
    </row>
    <row r="1690" spans="1:7" x14ac:dyDescent="0.3">
      <c r="A1690">
        <v>16880</v>
      </c>
      <c r="B1690">
        <v>1333.9</v>
      </c>
      <c r="C1690">
        <v>112.989</v>
      </c>
      <c r="D1690" s="15">
        <f t="shared" si="80"/>
        <v>1.0000000000012221E-4</v>
      </c>
      <c r="E1690" s="14">
        <f t="shared" si="78"/>
        <v>6.8456927364479991E-5</v>
      </c>
      <c r="F1690">
        <v>105.59699999999999</v>
      </c>
      <c r="G1690" s="1">
        <f t="shared" si="79"/>
        <v>104.61832100000001</v>
      </c>
    </row>
    <row r="1691" spans="1:7" x14ac:dyDescent="0.3">
      <c r="A1691">
        <v>16890</v>
      </c>
      <c r="B1691">
        <v>1329.1</v>
      </c>
      <c r="C1691">
        <v>112.988</v>
      </c>
      <c r="D1691" s="15">
        <f t="shared" si="80"/>
        <v>9.9999999999766942E-5</v>
      </c>
      <c r="E1691" s="14">
        <f t="shared" si="78"/>
        <v>6.8429749184069997E-5</v>
      </c>
      <c r="F1691">
        <v>105.57899999999999</v>
      </c>
      <c r="G1691" s="1">
        <f t="shared" si="79"/>
        <v>104.61719100000001</v>
      </c>
    </row>
    <row r="1692" spans="1:7" x14ac:dyDescent="0.3">
      <c r="A1692">
        <v>16900</v>
      </c>
      <c r="B1692">
        <v>1324.1</v>
      </c>
      <c r="C1692">
        <v>112.98699999999999</v>
      </c>
      <c r="D1692" s="15">
        <f t="shared" si="80"/>
        <v>1.0000000000012221E-4</v>
      </c>
      <c r="E1692" s="14">
        <f t="shared" si="78"/>
        <v>6.8402583686999992E-5</v>
      </c>
      <c r="F1692">
        <v>105.56100000000001</v>
      </c>
      <c r="G1692" s="1">
        <f t="shared" si="79"/>
        <v>104.616061</v>
      </c>
    </row>
    <row r="1693" spans="1:7" x14ac:dyDescent="0.3">
      <c r="A1693">
        <v>16910</v>
      </c>
      <c r="B1693">
        <v>1319.2</v>
      </c>
      <c r="C1693">
        <v>112.986</v>
      </c>
      <c r="D1693" s="15">
        <f t="shared" si="80"/>
        <v>1.0000000000012221E-4</v>
      </c>
      <c r="E1693" s="14">
        <f t="shared" si="78"/>
        <v>6.8375430873270001E-5</v>
      </c>
      <c r="F1693">
        <v>105.545</v>
      </c>
      <c r="G1693" s="1">
        <f t="shared" si="79"/>
        <v>104.614931</v>
      </c>
    </row>
    <row r="1694" spans="1:7" x14ac:dyDescent="0.3">
      <c r="A1694">
        <v>16920</v>
      </c>
      <c r="B1694">
        <v>1314.3</v>
      </c>
      <c r="C1694">
        <v>112.985</v>
      </c>
      <c r="D1694" s="15">
        <f t="shared" si="80"/>
        <v>9.9999999999766942E-5</v>
      </c>
      <c r="E1694" s="14">
        <f t="shared" si="78"/>
        <v>6.8348290742879997E-5</v>
      </c>
      <c r="F1694">
        <v>105.527</v>
      </c>
      <c r="G1694" s="1">
        <f t="shared" si="79"/>
        <v>104.61380100000001</v>
      </c>
    </row>
    <row r="1695" spans="1:7" x14ac:dyDescent="0.3">
      <c r="A1695">
        <v>16930</v>
      </c>
      <c r="B1695">
        <v>1309.3</v>
      </c>
      <c r="C1695">
        <v>112.98399999999999</v>
      </c>
      <c r="D1695" s="15">
        <f t="shared" si="80"/>
        <v>1.2500000000024159E-4</v>
      </c>
      <c r="E1695" s="14">
        <f t="shared" si="78"/>
        <v>6.8321163295829995E-5</v>
      </c>
      <c r="F1695">
        <v>105.509</v>
      </c>
      <c r="G1695" s="1">
        <f t="shared" si="79"/>
        <v>104.61267100000001</v>
      </c>
    </row>
    <row r="1696" spans="1:7" x14ac:dyDescent="0.3">
      <c r="A1696">
        <v>16940</v>
      </c>
      <c r="B1696">
        <v>1304.4000000000001</v>
      </c>
      <c r="C1696">
        <v>112.983</v>
      </c>
      <c r="D1696" s="15">
        <f t="shared" si="80"/>
        <v>1.2499999999988632E-4</v>
      </c>
      <c r="E1696" s="14">
        <f t="shared" si="78"/>
        <v>6.8294048532119994E-5</v>
      </c>
      <c r="F1696">
        <v>105.491</v>
      </c>
      <c r="G1696" s="1">
        <f t="shared" si="79"/>
        <v>104.611541</v>
      </c>
    </row>
    <row r="1697" spans="1:7" x14ac:dyDescent="0.3">
      <c r="A1697">
        <v>16950</v>
      </c>
      <c r="B1697">
        <v>1299.5</v>
      </c>
      <c r="C1697">
        <v>112.98099999999999</v>
      </c>
      <c r="D1697" s="15">
        <f t="shared" si="80"/>
        <v>1.2499999999988632E-4</v>
      </c>
      <c r="E1697" s="14">
        <f t="shared" si="78"/>
        <v>6.8266946451749994E-5</v>
      </c>
      <c r="F1697">
        <v>105.474</v>
      </c>
      <c r="G1697" s="1">
        <f t="shared" si="79"/>
        <v>104.610411</v>
      </c>
    </row>
    <row r="1698" spans="1:7" x14ac:dyDescent="0.3">
      <c r="A1698">
        <v>16960</v>
      </c>
      <c r="B1698">
        <v>1294.5999999999999</v>
      </c>
      <c r="C1698">
        <v>112.98</v>
      </c>
      <c r="D1698" s="15">
        <f t="shared" si="80"/>
        <v>1.2500000000024159E-4</v>
      </c>
      <c r="E1698" s="14">
        <f t="shared" si="78"/>
        <v>6.8239857054719995E-5</v>
      </c>
      <c r="F1698">
        <v>105.45699999999999</v>
      </c>
      <c r="G1698" s="1">
        <f t="shared" si="79"/>
        <v>104.60928100000001</v>
      </c>
    </row>
    <row r="1699" spans="1:7" x14ac:dyDescent="0.3">
      <c r="A1699">
        <v>16970</v>
      </c>
      <c r="B1699">
        <v>1289.7</v>
      </c>
      <c r="C1699">
        <v>112.979</v>
      </c>
      <c r="D1699" s="15">
        <f t="shared" si="80"/>
        <v>9.9999999999766942E-5</v>
      </c>
      <c r="E1699" s="14">
        <f t="shared" si="78"/>
        <v>6.8212780341029997E-5</v>
      </c>
      <c r="F1699">
        <v>105.43899999999999</v>
      </c>
      <c r="G1699" s="1">
        <f t="shared" si="79"/>
        <v>104.60815100000001</v>
      </c>
    </row>
    <row r="1700" spans="1:7" x14ac:dyDescent="0.3">
      <c r="A1700">
        <v>16980</v>
      </c>
      <c r="B1700">
        <v>1284.7</v>
      </c>
      <c r="C1700">
        <v>112.97799999999999</v>
      </c>
      <c r="D1700" s="15">
        <f t="shared" si="80"/>
        <v>1.0000000000012221E-4</v>
      </c>
      <c r="E1700" s="14">
        <f t="shared" si="78"/>
        <v>6.8185716310679986E-5</v>
      </c>
      <c r="F1700">
        <v>105.422</v>
      </c>
      <c r="G1700" s="1">
        <f t="shared" si="79"/>
        <v>104.607021</v>
      </c>
    </row>
    <row r="1701" spans="1:7" x14ac:dyDescent="0.3">
      <c r="A1701">
        <v>16990</v>
      </c>
      <c r="B1701">
        <v>1279.8</v>
      </c>
      <c r="C1701">
        <v>112.977</v>
      </c>
      <c r="D1701" s="15">
        <f t="shared" si="80"/>
        <v>1.0000000000012221E-4</v>
      </c>
      <c r="E1701" s="14">
        <f t="shared" si="78"/>
        <v>6.8158664963669991E-5</v>
      </c>
      <c r="F1701">
        <v>105.404</v>
      </c>
      <c r="G1701" s="1">
        <f t="shared" si="79"/>
        <v>104.605891</v>
      </c>
    </row>
    <row r="1702" spans="1:7" x14ac:dyDescent="0.3">
      <c r="A1702">
        <v>17000</v>
      </c>
      <c r="B1702">
        <v>1275</v>
      </c>
      <c r="C1702">
        <v>112.976</v>
      </c>
      <c r="D1702" s="15">
        <f t="shared" si="80"/>
        <v>9.9999999999766942E-5</v>
      </c>
      <c r="E1702" s="14">
        <f t="shared" si="78"/>
        <v>6.8131626299999996E-5</v>
      </c>
      <c r="F1702">
        <v>105.387</v>
      </c>
      <c r="G1702" s="1">
        <f t="shared" si="79"/>
        <v>104.604761</v>
      </c>
    </row>
    <row r="1703" spans="1:7" x14ac:dyDescent="0.3">
      <c r="A1703">
        <v>17010</v>
      </c>
      <c r="B1703">
        <v>1270.0999999999999</v>
      </c>
      <c r="C1703">
        <v>112.97499999999999</v>
      </c>
      <c r="D1703" s="15">
        <f t="shared" si="80"/>
        <v>1.0000000000012221E-4</v>
      </c>
      <c r="E1703" s="14">
        <f t="shared" si="78"/>
        <v>6.8104600319669989E-5</v>
      </c>
      <c r="F1703">
        <v>105.37</v>
      </c>
      <c r="G1703" s="1">
        <f t="shared" si="79"/>
        <v>104.60363100000001</v>
      </c>
    </row>
    <row r="1704" spans="1:7" x14ac:dyDescent="0.3">
      <c r="A1704">
        <v>17020</v>
      </c>
      <c r="B1704">
        <v>1265.2</v>
      </c>
      <c r="C1704">
        <v>112.974</v>
      </c>
      <c r="D1704" s="15">
        <f t="shared" si="80"/>
        <v>1.0000000000012221E-4</v>
      </c>
      <c r="E1704" s="14">
        <f t="shared" si="78"/>
        <v>6.8077587022679996E-5</v>
      </c>
      <c r="F1704">
        <v>105.352</v>
      </c>
      <c r="G1704" s="1">
        <f t="shared" si="79"/>
        <v>104.602501</v>
      </c>
    </row>
    <row r="1705" spans="1:7" x14ac:dyDescent="0.3">
      <c r="A1705">
        <v>17030</v>
      </c>
      <c r="B1705">
        <v>1260.3</v>
      </c>
      <c r="C1705">
        <v>112.973</v>
      </c>
      <c r="D1705" s="15">
        <f t="shared" si="80"/>
        <v>9.9999999999766942E-5</v>
      </c>
      <c r="E1705" s="14">
        <f t="shared" si="78"/>
        <v>6.8050586409030005E-5</v>
      </c>
      <c r="F1705">
        <v>105.334</v>
      </c>
      <c r="G1705" s="1">
        <f t="shared" si="79"/>
        <v>104.601371</v>
      </c>
    </row>
    <row r="1706" spans="1:7" x14ac:dyDescent="0.3">
      <c r="A1706">
        <v>17040</v>
      </c>
      <c r="B1706">
        <v>1255.5</v>
      </c>
      <c r="C1706">
        <v>112.97199999999999</v>
      </c>
      <c r="D1706" s="15">
        <f t="shared" si="80"/>
        <v>1.0000000000012221E-4</v>
      </c>
      <c r="E1706" s="14">
        <f t="shared" si="78"/>
        <v>6.8023598478719987E-5</v>
      </c>
      <c r="F1706">
        <v>105.316</v>
      </c>
      <c r="G1706" s="1">
        <f t="shared" si="79"/>
        <v>104.600241</v>
      </c>
    </row>
    <row r="1707" spans="1:7" x14ac:dyDescent="0.3">
      <c r="A1707">
        <v>17050</v>
      </c>
      <c r="B1707">
        <v>1250.5999999999999</v>
      </c>
      <c r="C1707">
        <v>112.971</v>
      </c>
      <c r="D1707" s="15">
        <f t="shared" si="80"/>
        <v>1.0000000000012221E-4</v>
      </c>
      <c r="E1707" s="14">
        <f t="shared" si="78"/>
        <v>6.7996623231749998E-5</v>
      </c>
      <c r="F1707">
        <v>105.3</v>
      </c>
      <c r="G1707" s="1">
        <f t="shared" si="79"/>
        <v>104.59911100000001</v>
      </c>
    </row>
    <row r="1708" spans="1:7" x14ac:dyDescent="0.3">
      <c r="A1708">
        <v>17060</v>
      </c>
      <c r="B1708">
        <v>1245.8</v>
      </c>
      <c r="C1708">
        <v>112.97</v>
      </c>
      <c r="D1708" s="15">
        <f t="shared" si="80"/>
        <v>9.9999999999766942E-5</v>
      </c>
      <c r="E1708" s="14">
        <f t="shared" si="78"/>
        <v>6.796966066812001E-5</v>
      </c>
      <c r="F1708">
        <v>105.282</v>
      </c>
      <c r="G1708" s="1">
        <f t="shared" si="79"/>
        <v>104.597981</v>
      </c>
    </row>
    <row r="1709" spans="1:7" x14ac:dyDescent="0.3">
      <c r="A1709">
        <v>17070</v>
      </c>
      <c r="B1709">
        <v>1240.9000000000001</v>
      </c>
      <c r="C1709">
        <v>112.96899999999999</v>
      </c>
      <c r="D1709" s="15">
        <f t="shared" si="80"/>
        <v>1.0000000000012221E-4</v>
      </c>
      <c r="E1709" s="14">
        <f t="shared" si="78"/>
        <v>6.7942710787829996E-5</v>
      </c>
      <c r="F1709">
        <v>105.264</v>
      </c>
      <c r="G1709" s="1">
        <f t="shared" si="79"/>
        <v>104.596851</v>
      </c>
    </row>
    <row r="1710" spans="1:7" x14ac:dyDescent="0.3">
      <c r="A1710">
        <v>17080</v>
      </c>
      <c r="B1710">
        <v>1236</v>
      </c>
      <c r="C1710">
        <v>112.968</v>
      </c>
      <c r="D1710" s="15">
        <f t="shared" si="80"/>
        <v>1.0000000000012221E-4</v>
      </c>
      <c r="E1710" s="14">
        <f t="shared" si="78"/>
        <v>6.7915773590879997E-5</v>
      </c>
      <c r="F1710">
        <v>105.247</v>
      </c>
      <c r="G1710" s="1">
        <f t="shared" si="79"/>
        <v>104.595721</v>
      </c>
    </row>
    <row r="1711" spans="1:7" x14ac:dyDescent="0.3">
      <c r="A1711">
        <v>17090</v>
      </c>
      <c r="B1711">
        <v>1231.2</v>
      </c>
      <c r="C1711">
        <v>112.967</v>
      </c>
      <c r="D1711" s="15">
        <f t="shared" si="80"/>
        <v>9.9999999999766942E-5</v>
      </c>
      <c r="E1711" s="14">
        <f t="shared" si="78"/>
        <v>6.7888849077269985E-5</v>
      </c>
      <c r="F1711">
        <v>105.23</v>
      </c>
      <c r="G1711" s="1">
        <f t="shared" si="79"/>
        <v>104.59459100000001</v>
      </c>
    </row>
    <row r="1712" spans="1:7" x14ac:dyDescent="0.3">
      <c r="A1712">
        <v>17100</v>
      </c>
      <c r="B1712">
        <v>1226.3</v>
      </c>
      <c r="C1712">
        <v>112.96599999999999</v>
      </c>
      <c r="D1712" s="15">
        <f t="shared" si="80"/>
        <v>1.0000000000012221E-4</v>
      </c>
      <c r="E1712" s="14">
        <f t="shared" si="78"/>
        <v>6.7861937246999987E-5</v>
      </c>
      <c r="F1712">
        <v>105.212</v>
      </c>
      <c r="G1712" s="1">
        <f t="shared" si="79"/>
        <v>104.593461</v>
      </c>
    </row>
    <row r="1713" spans="1:7" x14ac:dyDescent="0.3">
      <c r="A1713">
        <v>17110</v>
      </c>
      <c r="B1713">
        <v>1221.5999999999999</v>
      </c>
      <c r="C1713">
        <v>112.965</v>
      </c>
      <c r="D1713" s="15">
        <f t="shared" si="80"/>
        <v>1.0000000000012221E-4</v>
      </c>
      <c r="E1713" s="14">
        <f t="shared" si="78"/>
        <v>6.7835038100070005E-5</v>
      </c>
      <c r="F1713">
        <v>105.194</v>
      </c>
      <c r="G1713" s="1">
        <f t="shared" si="79"/>
        <v>104.592331</v>
      </c>
    </row>
    <row r="1714" spans="1:7" x14ac:dyDescent="0.3">
      <c r="A1714">
        <v>17120</v>
      </c>
      <c r="B1714">
        <v>1216.5999999999999</v>
      </c>
      <c r="C1714">
        <v>112.964</v>
      </c>
      <c r="D1714" s="15">
        <f t="shared" si="80"/>
        <v>9.9999999999766942E-5</v>
      </c>
      <c r="E1714" s="14">
        <f t="shared" si="78"/>
        <v>6.7808151636479996E-5</v>
      </c>
      <c r="F1714">
        <v>105.17700000000001</v>
      </c>
      <c r="G1714" s="1">
        <f t="shared" si="79"/>
        <v>104.591201</v>
      </c>
    </row>
    <row r="1715" spans="1:7" x14ac:dyDescent="0.3">
      <c r="A1715">
        <v>17130</v>
      </c>
      <c r="B1715">
        <v>1211.7</v>
      </c>
      <c r="C1715">
        <v>112.96299999999999</v>
      </c>
      <c r="D1715" s="15">
        <f t="shared" si="80"/>
        <v>1.0000000000012221E-4</v>
      </c>
      <c r="E1715" s="14">
        <f t="shared" si="78"/>
        <v>6.7781277856229988E-5</v>
      </c>
      <c r="F1715">
        <v>105.15900000000001</v>
      </c>
      <c r="G1715" s="1">
        <f t="shared" si="79"/>
        <v>104.59007100000001</v>
      </c>
    </row>
    <row r="1716" spans="1:7" x14ac:dyDescent="0.3">
      <c r="A1716">
        <v>17140</v>
      </c>
      <c r="B1716">
        <v>1206.7</v>
      </c>
      <c r="C1716">
        <v>112.962</v>
      </c>
      <c r="D1716" s="15">
        <f t="shared" si="80"/>
        <v>1.0000000000012221E-4</v>
      </c>
      <c r="E1716" s="14">
        <f t="shared" si="78"/>
        <v>6.7754416759319995E-5</v>
      </c>
      <c r="F1716">
        <v>105.142</v>
      </c>
      <c r="G1716" s="1">
        <f t="shared" si="79"/>
        <v>104.58894100000001</v>
      </c>
    </row>
    <row r="1717" spans="1:7" x14ac:dyDescent="0.3">
      <c r="A1717">
        <v>17150</v>
      </c>
      <c r="B1717">
        <v>1209.8</v>
      </c>
      <c r="C1717">
        <v>112.961</v>
      </c>
      <c r="D1717" s="15">
        <f t="shared" si="80"/>
        <v>9.9999999999766942E-5</v>
      </c>
      <c r="E1717" s="14">
        <f t="shared" si="78"/>
        <v>6.772756834574999E-5</v>
      </c>
      <c r="F1717">
        <v>105.125</v>
      </c>
      <c r="G1717" s="1">
        <f t="shared" si="79"/>
        <v>104.587811</v>
      </c>
    </row>
    <row r="1718" spans="1:7" x14ac:dyDescent="0.3">
      <c r="A1718">
        <v>17160</v>
      </c>
      <c r="B1718">
        <v>1209.9000000000001</v>
      </c>
      <c r="C1718">
        <v>112.96</v>
      </c>
      <c r="D1718" s="15">
        <f t="shared" si="80"/>
        <v>1.2500000000024159E-4</v>
      </c>
      <c r="E1718" s="14">
        <f t="shared" si="78"/>
        <v>6.7700732615519999E-5</v>
      </c>
      <c r="F1718">
        <v>105.107</v>
      </c>
      <c r="G1718" s="1">
        <f t="shared" si="79"/>
        <v>104.586681</v>
      </c>
    </row>
    <row r="1719" spans="1:7" x14ac:dyDescent="0.3">
      <c r="A1719">
        <v>17170</v>
      </c>
      <c r="B1719">
        <v>1207.8</v>
      </c>
      <c r="C1719">
        <v>112.959</v>
      </c>
      <c r="D1719" s="15">
        <f t="shared" si="80"/>
        <v>1.2499999999988632E-4</v>
      </c>
      <c r="E1719" s="14">
        <f t="shared" si="78"/>
        <v>6.7673909568629996E-5</v>
      </c>
      <c r="F1719">
        <v>105.089</v>
      </c>
      <c r="G1719" s="1">
        <f t="shared" si="79"/>
        <v>104.58555100000001</v>
      </c>
    </row>
    <row r="1720" spans="1:7" x14ac:dyDescent="0.3">
      <c r="A1720">
        <v>17180</v>
      </c>
      <c r="B1720">
        <v>1205.3</v>
      </c>
      <c r="C1720">
        <v>112.95699999999999</v>
      </c>
      <c r="D1720" s="15">
        <f t="shared" si="80"/>
        <v>1.2499999999988632E-4</v>
      </c>
      <c r="E1720" s="14">
        <f t="shared" si="78"/>
        <v>6.7647099205079994E-5</v>
      </c>
      <c r="F1720">
        <v>105.072</v>
      </c>
      <c r="G1720" s="1">
        <f t="shared" si="79"/>
        <v>104.58442100000001</v>
      </c>
    </row>
    <row r="1721" spans="1:7" x14ac:dyDescent="0.3">
      <c r="A1721">
        <v>17190</v>
      </c>
      <c r="B1721">
        <v>1203.4000000000001</v>
      </c>
      <c r="C1721">
        <v>112.956</v>
      </c>
      <c r="D1721" s="15">
        <f t="shared" si="80"/>
        <v>1.2500000000024159E-4</v>
      </c>
      <c r="E1721" s="14">
        <f t="shared" si="78"/>
        <v>6.7620301524869993E-5</v>
      </c>
      <c r="F1721">
        <v>105.05500000000001</v>
      </c>
      <c r="G1721" s="1">
        <f t="shared" si="79"/>
        <v>104.583291</v>
      </c>
    </row>
    <row r="1722" spans="1:7" x14ac:dyDescent="0.3">
      <c r="A1722">
        <v>17200</v>
      </c>
      <c r="B1722">
        <v>1200.5999999999999</v>
      </c>
      <c r="C1722">
        <v>112.955</v>
      </c>
      <c r="D1722" s="15">
        <f t="shared" si="80"/>
        <v>9.9999999999766942E-5</v>
      </c>
      <c r="E1722" s="14">
        <f t="shared" si="78"/>
        <v>6.7593516527999993E-5</v>
      </c>
      <c r="F1722">
        <v>105.03700000000001</v>
      </c>
      <c r="G1722" s="1">
        <f t="shared" si="79"/>
        <v>104.582161</v>
      </c>
    </row>
    <row r="1723" spans="1:7" x14ac:dyDescent="0.3">
      <c r="A1723">
        <v>17210</v>
      </c>
      <c r="B1723">
        <v>1197.9000000000001</v>
      </c>
      <c r="C1723">
        <v>112.95399999999999</v>
      </c>
      <c r="D1723" s="15">
        <f t="shared" si="80"/>
        <v>1.0000000000012221E-4</v>
      </c>
      <c r="E1723" s="14">
        <f t="shared" si="78"/>
        <v>6.7566744214469994E-5</v>
      </c>
      <c r="F1723">
        <v>105.02</v>
      </c>
      <c r="G1723" s="1">
        <f t="shared" si="79"/>
        <v>104.581031</v>
      </c>
    </row>
    <row r="1724" spans="1:7" x14ac:dyDescent="0.3">
      <c r="A1724">
        <v>17220</v>
      </c>
      <c r="B1724">
        <v>1195.8</v>
      </c>
      <c r="C1724">
        <v>112.953</v>
      </c>
      <c r="D1724" s="15">
        <f t="shared" si="80"/>
        <v>1.0000000000012221E-4</v>
      </c>
      <c r="E1724" s="14">
        <f t="shared" si="78"/>
        <v>6.7539984584279997E-5</v>
      </c>
      <c r="F1724">
        <v>105.002</v>
      </c>
      <c r="G1724" s="1">
        <f t="shared" si="79"/>
        <v>104.57990100000001</v>
      </c>
    </row>
    <row r="1725" spans="1:7" x14ac:dyDescent="0.3">
      <c r="A1725">
        <v>17230</v>
      </c>
      <c r="B1725">
        <v>1193</v>
      </c>
      <c r="C1725">
        <v>112.952</v>
      </c>
      <c r="D1725" s="15">
        <f t="shared" si="80"/>
        <v>9.9999999999766942E-5</v>
      </c>
      <c r="E1725" s="14">
        <f t="shared" si="78"/>
        <v>6.751323763743E-5</v>
      </c>
      <c r="F1725">
        <v>104.985</v>
      </c>
      <c r="G1725" s="1">
        <f t="shared" si="79"/>
        <v>104.578771</v>
      </c>
    </row>
    <row r="1726" spans="1:7" x14ac:dyDescent="0.3">
      <c r="A1726">
        <v>17240</v>
      </c>
      <c r="B1726">
        <v>1190.5</v>
      </c>
      <c r="C1726">
        <v>112.95099999999999</v>
      </c>
      <c r="D1726" s="15">
        <f t="shared" si="80"/>
        <v>1.0000000000012221E-4</v>
      </c>
      <c r="E1726" s="14">
        <f t="shared" si="78"/>
        <v>6.7486503373919991E-5</v>
      </c>
      <c r="F1726">
        <v>104.967</v>
      </c>
      <c r="G1726" s="1">
        <f t="shared" si="79"/>
        <v>104.577641</v>
      </c>
    </row>
    <row r="1727" spans="1:7" x14ac:dyDescent="0.3">
      <c r="A1727">
        <v>17250</v>
      </c>
      <c r="B1727">
        <v>1187.5999999999999</v>
      </c>
      <c r="C1727">
        <v>112.95</v>
      </c>
      <c r="D1727" s="15">
        <f t="shared" si="80"/>
        <v>1.2499999999988632E-4</v>
      </c>
      <c r="E1727" s="14">
        <f t="shared" si="78"/>
        <v>6.7459781793749996E-5</v>
      </c>
      <c r="F1727">
        <v>104.95</v>
      </c>
      <c r="G1727" s="1">
        <f t="shared" si="79"/>
        <v>104.576511</v>
      </c>
    </row>
    <row r="1728" spans="1:7" x14ac:dyDescent="0.3">
      <c r="A1728">
        <v>17260</v>
      </c>
      <c r="B1728">
        <v>1185.4000000000001</v>
      </c>
      <c r="C1728">
        <v>112.949</v>
      </c>
      <c r="D1728" s="15">
        <f t="shared" si="80"/>
        <v>1.2499999999988632E-4</v>
      </c>
      <c r="E1728" s="14">
        <f t="shared" si="78"/>
        <v>6.7433072896919989E-5</v>
      </c>
      <c r="F1728">
        <v>104.932</v>
      </c>
      <c r="G1728" s="1">
        <f t="shared" si="79"/>
        <v>104.57538100000001</v>
      </c>
    </row>
    <row r="1729" spans="1:7" x14ac:dyDescent="0.3">
      <c r="A1729">
        <v>17270</v>
      </c>
      <c r="B1729">
        <v>1182.0999999999999</v>
      </c>
      <c r="C1729">
        <v>112.947</v>
      </c>
      <c r="D1729" s="15">
        <f t="shared" si="80"/>
        <v>1.2500000000024159E-4</v>
      </c>
      <c r="E1729" s="14">
        <f t="shared" si="78"/>
        <v>6.7406376683429997E-5</v>
      </c>
      <c r="F1729">
        <v>104.914</v>
      </c>
      <c r="G1729" s="1">
        <f t="shared" si="79"/>
        <v>104.574251</v>
      </c>
    </row>
    <row r="1730" spans="1:7" x14ac:dyDescent="0.3">
      <c r="A1730">
        <v>17280</v>
      </c>
      <c r="B1730">
        <v>1179</v>
      </c>
      <c r="C1730">
        <v>112.946</v>
      </c>
      <c r="D1730" s="15">
        <f t="shared" si="80"/>
        <v>1.2499999999988632E-4</v>
      </c>
      <c r="E1730" s="14">
        <f t="shared" ref="E1730:E1793" si="81">0.0000000000000634167*A1730*A1730 - 0.0000000048594*A1730 + 0.000132414</f>
        <v>6.7379693153279992E-5</v>
      </c>
      <c r="F1730">
        <v>104.898</v>
      </c>
      <c r="G1730" s="1">
        <f t="shared" si="79"/>
        <v>104.573121</v>
      </c>
    </row>
    <row r="1731" spans="1:7" x14ac:dyDescent="0.3">
      <c r="A1731">
        <v>17290</v>
      </c>
      <c r="B1731">
        <v>1175.7</v>
      </c>
      <c r="C1731">
        <v>112.94499999999999</v>
      </c>
      <c r="D1731" s="15">
        <f t="shared" si="80"/>
        <v>1.0000000000012221E-4</v>
      </c>
      <c r="E1731" s="14">
        <f t="shared" si="81"/>
        <v>6.7353022306469989E-5</v>
      </c>
      <c r="F1731">
        <v>104.88</v>
      </c>
      <c r="G1731" s="1">
        <f t="shared" ref="G1731:G1794" si="82">-0.000113*A1731 + 106.525761</f>
        <v>104.571991</v>
      </c>
    </row>
    <row r="1732" spans="1:7" x14ac:dyDescent="0.3">
      <c r="A1732">
        <v>17300</v>
      </c>
      <c r="B1732">
        <v>1172.4000000000001</v>
      </c>
      <c r="C1732">
        <v>112.944</v>
      </c>
      <c r="D1732" s="15">
        <f t="shared" si="80"/>
        <v>1.0000000000012221E-4</v>
      </c>
      <c r="E1732" s="14">
        <f t="shared" si="81"/>
        <v>6.7326364143E-5</v>
      </c>
      <c r="F1732">
        <v>104.86199999999999</v>
      </c>
      <c r="G1732" s="1">
        <f t="shared" si="82"/>
        <v>104.57086100000001</v>
      </c>
    </row>
    <row r="1733" spans="1:7" x14ac:dyDescent="0.3">
      <c r="A1733">
        <v>17310</v>
      </c>
      <c r="B1733">
        <v>1169.2</v>
      </c>
      <c r="C1733">
        <v>112.943</v>
      </c>
      <c r="D1733" s="15">
        <f t="shared" ref="D1733:D1796" si="83">(C1731-C1735)/(A1735-A1731)</f>
        <v>9.9999999999766942E-5</v>
      </c>
      <c r="E1733" s="14">
        <f t="shared" si="81"/>
        <v>6.7299718662869985E-5</v>
      </c>
      <c r="F1733">
        <v>104.845</v>
      </c>
      <c r="G1733" s="1">
        <f t="shared" si="82"/>
        <v>104.569731</v>
      </c>
    </row>
    <row r="1734" spans="1:7" x14ac:dyDescent="0.3">
      <c r="A1734">
        <v>17320</v>
      </c>
      <c r="B1734">
        <v>1166.2</v>
      </c>
      <c r="C1734">
        <v>112.94199999999999</v>
      </c>
      <c r="D1734" s="15">
        <f t="shared" si="83"/>
        <v>1.2500000000024159E-4</v>
      </c>
      <c r="E1734" s="14">
        <f t="shared" si="81"/>
        <v>6.7273085866079998E-5</v>
      </c>
      <c r="F1734">
        <v>104.828</v>
      </c>
      <c r="G1734" s="1">
        <f t="shared" si="82"/>
        <v>104.568601</v>
      </c>
    </row>
    <row r="1735" spans="1:7" x14ac:dyDescent="0.3">
      <c r="A1735">
        <v>17330</v>
      </c>
      <c r="B1735">
        <v>1163.7</v>
      </c>
      <c r="C1735">
        <v>112.941</v>
      </c>
      <c r="D1735" s="15">
        <f t="shared" si="83"/>
        <v>1.2499999999988632E-4</v>
      </c>
      <c r="E1735" s="14">
        <f t="shared" si="81"/>
        <v>6.7246465752629999E-5</v>
      </c>
      <c r="F1735">
        <v>104.81</v>
      </c>
      <c r="G1735" s="1">
        <f t="shared" si="82"/>
        <v>104.567471</v>
      </c>
    </row>
    <row r="1736" spans="1:7" x14ac:dyDescent="0.3">
      <c r="A1736">
        <v>17340</v>
      </c>
      <c r="B1736">
        <v>1162.7</v>
      </c>
      <c r="C1736">
        <v>112.93899999999999</v>
      </c>
      <c r="D1736" s="15">
        <f t="shared" si="83"/>
        <v>1.2499999999988632E-4</v>
      </c>
      <c r="E1736" s="14">
        <f t="shared" si="81"/>
        <v>6.7219858322519987E-5</v>
      </c>
      <c r="F1736">
        <v>104.79300000000001</v>
      </c>
      <c r="G1736" s="1">
        <f t="shared" si="82"/>
        <v>104.56634100000001</v>
      </c>
    </row>
    <row r="1737" spans="1:7" x14ac:dyDescent="0.3">
      <c r="A1737">
        <v>17350</v>
      </c>
      <c r="B1737">
        <v>1163.9000000000001</v>
      </c>
      <c r="C1737">
        <v>112.938</v>
      </c>
      <c r="D1737" s="15">
        <f t="shared" si="83"/>
        <v>1.2499999999988632E-4</v>
      </c>
      <c r="E1737" s="14">
        <f t="shared" si="81"/>
        <v>6.7193263575750003E-5</v>
      </c>
      <c r="F1737">
        <v>104.77500000000001</v>
      </c>
      <c r="G1737" s="1">
        <f t="shared" si="82"/>
        <v>104.56521100000001</v>
      </c>
    </row>
    <row r="1738" spans="1:7" x14ac:dyDescent="0.3">
      <c r="A1738">
        <v>17360</v>
      </c>
      <c r="B1738">
        <v>1163.8</v>
      </c>
      <c r="C1738">
        <v>112.937</v>
      </c>
      <c r="D1738" s="15">
        <f t="shared" si="83"/>
        <v>9.9999999999766942E-5</v>
      </c>
      <c r="E1738" s="14">
        <f t="shared" si="81"/>
        <v>6.7166681512320007E-5</v>
      </c>
      <c r="F1738">
        <v>104.75700000000001</v>
      </c>
      <c r="G1738" s="1">
        <f t="shared" si="82"/>
        <v>104.564081</v>
      </c>
    </row>
    <row r="1739" spans="1:7" x14ac:dyDescent="0.3">
      <c r="A1739">
        <v>17370</v>
      </c>
      <c r="B1739">
        <v>1164.0999999999999</v>
      </c>
      <c r="C1739">
        <v>112.93600000000001</v>
      </c>
      <c r="D1739" s="15">
        <f t="shared" si="83"/>
        <v>1.2499999999988632E-4</v>
      </c>
      <c r="E1739" s="14">
        <f t="shared" si="81"/>
        <v>6.7140112132229999E-5</v>
      </c>
      <c r="F1739">
        <v>104.74</v>
      </c>
      <c r="G1739" s="1">
        <f t="shared" si="82"/>
        <v>104.562951</v>
      </c>
    </row>
    <row r="1740" spans="1:7" x14ac:dyDescent="0.3">
      <c r="A1740">
        <v>17380</v>
      </c>
      <c r="B1740">
        <v>1163.8</v>
      </c>
      <c r="C1740">
        <v>112.935</v>
      </c>
      <c r="D1740" s="15">
        <f t="shared" si="83"/>
        <v>1.2499999999988632E-4</v>
      </c>
      <c r="E1740" s="14">
        <f t="shared" si="81"/>
        <v>6.7113555435479992E-5</v>
      </c>
      <c r="F1740">
        <v>104.723</v>
      </c>
      <c r="G1740" s="1">
        <f t="shared" si="82"/>
        <v>104.56182100000001</v>
      </c>
    </row>
    <row r="1741" spans="1:7" x14ac:dyDescent="0.3">
      <c r="A1741">
        <v>17390</v>
      </c>
      <c r="B1741">
        <v>1163.3</v>
      </c>
      <c r="C1741">
        <v>112.93300000000001</v>
      </c>
      <c r="D1741" s="15">
        <f t="shared" si="83"/>
        <v>1.2500000000024159E-4</v>
      </c>
      <c r="E1741" s="14">
        <f t="shared" si="81"/>
        <v>6.7087011422069985E-5</v>
      </c>
      <c r="F1741">
        <v>104.705</v>
      </c>
      <c r="G1741" s="1">
        <f t="shared" si="82"/>
        <v>104.56069100000001</v>
      </c>
    </row>
    <row r="1742" spans="1:7" x14ac:dyDescent="0.3">
      <c r="A1742">
        <v>17400</v>
      </c>
      <c r="B1742">
        <v>1163</v>
      </c>
      <c r="C1742">
        <v>112.932</v>
      </c>
      <c r="D1742" s="15">
        <f t="shared" si="83"/>
        <v>1.2499999999988632E-4</v>
      </c>
      <c r="E1742" s="14">
        <f t="shared" si="81"/>
        <v>6.7060480091999994E-5</v>
      </c>
      <c r="F1742">
        <v>104.688</v>
      </c>
      <c r="G1742" s="1">
        <f t="shared" si="82"/>
        <v>104.559561</v>
      </c>
    </row>
    <row r="1743" spans="1:7" x14ac:dyDescent="0.3">
      <c r="A1743">
        <v>17410</v>
      </c>
      <c r="B1743">
        <v>1162.0999999999999</v>
      </c>
      <c r="C1743">
        <v>112.931</v>
      </c>
      <c r="D1743" s="15">
        <f t="shared" si="83"/>
        <v>1.2500000000024159E-4</v>
      </c>
      <c r="E1743" s="14">
        <f t="shared" si="81"/>
        <v>6.7033961445270003E-5</v>
      </c>
      <c r="F1743">
        <v>104.67</v>
      </c>
      <c r="G1743" s="1">
        <f t="shared" si="82"/>
        <v>104.558431</v>
      </c>
    </row>
    <row r="1744" spans="1:7" x14ac:dyDescent="0.3">
      <c r="A1744">
        <v>17420</v>
      </c>
      <c r="B1744">
        <v>1161.3</v>
      </c>
      <c r="C1744">
        <v>112.93</v>
      </c>
      <c r="D1744" s="15">
        <f t="shared" si="83"/>
        <v>1.2499999999988632E-4</v>
      </c>
      <c r="E1744" s="14">
        <f t="shared" si="81"/>
        <v>6.700745548188E-5</v>
      </c>
      <c r="F1744">
        <v>104.652</v>
      </c>
      <c r="G1744" s="1">
        <f t="shared" si="82"/>
        <v>104.55730100000001</v>
      </c>
    </row>
    <row r="1745" spans="1:7" x14ac:dyDescent="0.3">
      <c r="A1745">
        <v>17430</v>
      </c>
      <c r="B1745">
        <v>1160.3</v>
      </c>
      <c r="C1745">
        <v>112.928</v>
      </c>
      <c r="D1745" s="15">
        <f t="shared" si="83"/>
        <v>1.2499999999988632E-4</v>
      </c>
      <c r="E1745" s="14">
        <f t="shared" si="81"/>
        <v>6.6980962201829998E-5</v>
      </c>
      <c r="F1745">
        <v>104.63500000000001</v>
      </c>
      <c r="G1745" s="1">
        <f t="shared" si="82"/>
        <v>104.55617100000001</v>
      </c>
    </row>
    <row r="1746" spans="1:7" x14ac:dyDescent="0.3">
      <c r="A1746">
        <v>17440</v>
      </c>
      <c r="B1746">
        <v>1159</v>
      </c>
      <c r="C1746">
        <v>112.92700000000001</v>
      </c>
      <c r="D1746" s="15">
        <f t="shared" si="83"/>
        <v>1.2500000000024159E-4</v>
      </c>
      <c r="E1746" s="14">
        <f t="shared" si="81"/>
        <v>6.6954481605119997E-5</v>
      </c>
      <c r="F1746">
        <v>104.617</v>
      </c>
      <c r="G1746" s="1">
        <f t="shared" si="82"/>
        <v>104.555041</v>
      </c>
    </row>
    <row r="1747" spans="1:7" x14ac:dyDescent="0.3">
      <c r="A1747">
        <v>17450</v>
      </c>
      <c r="B1747">
        <v>1157.4000000000001</v>
      </c>
      <c r="C1747">
        <v>112.926</v>
      </c>
      <c r="D1747" s="15">
        <f t="shared" si="83"/>
        <v>1.2499999999988632E-4</v>
      </c>
      <c r="E1747" s="14">
        <f t="shared" si="81"/>
        <v>6.6928013691749998E-5</v>
      </c>
      <c r="F1747">
        <v>104.6</v>
      </c>
      <c r="G1747" s="1">
        <f t="shared" si="82"/>
        <v>104.553911</v>
      </c>
    </row>
    <row r="1748" spans="1:7" x14ac:dyDescent="0.3">
      <c r="A1748">
        <v>17460</v>
      </c>
      <c r="B1748">
        <v>1163.0999999999999</v>
      </c>
      <c r="C1748">
        <v>112.925</v>
      </c>
      <c r="D1748" s="15">
        <f t="shared" si="83"/>
        <v>1.2500000000024159E-4</v>
      </c>
      <c r="E1748" s="14">
        <f t="shared" si="81"/>
        <v>6.6901558461719999E-5</v>
      </c>
      <c r="F1748">
        <v>104.583</v>
      </c>
      <c r="G1748" s="1">
        <f t="shared" si="82"/>
        <v>104.552781</v>
      </c>
    </row>
    <row r="1749" spans="1:7" x14ac:dyDescent="0.3">
      <c r="A1749">
        <v>17470</v>
      </c>
      <c r="B1749">
        <v>1169</v>
      </c>
      <c r="C1749">
        <v>112.923</v>
      </c>
      <c r="D1749" s="15">
        <f t="shared" si="83"/>
        <v>1.5000000000000568E-4</v>
      </c>
      <c r="E1749" s="14">
        <f t="shared" si="81"/>
        <v>6.6875115915029988E-5</v>
      </c>
      <c r="F1749">
        <v>104.565</v>
      </c>
      <c r="G1749" s="1">
        <f t="shared" si="82"/>
        <v>104.55165100000001</v>
      </c>
    </row>
    <row r="1750" spans="1:7" x14ac:dyDescent="0.3">
      <c r="A1750">
        <v>17480</v>
      </c>
      <c r="B1750">
        <v>1177.8</v>
      </c>
      <c r="C1750">
        <v>112.922</v>
      </c>
      <c r="D1750" s="15">
        <f t="shared" si="83"/>
        <v>1.5000000000000568E-4</v>
      </c>
      <c r="E1750" s="14">
        <f t="shared" si="81"/>
        <v>6.6848686051679992E-5</v>
      </c>
      <c r="F1750">
        <v>104.548</v>
      </c>
      <c r="G1750" s="1">
        <f t="shared" si="82"/>
        <v>104.550521</v>
      </c>
    </row>
    <row r="1751" spans="1:7" x14ac:dyDescent="0.3">
      <c r="A1751">
        <v>17490</v>
      </c>
      <c r="B1751">
        <v>1195.7</v>
      </c>
      <c r="C1751">
        <v>112.92</v>
      </c>
      <c r="D1751" s="15">
        <f t="shared" si="83"/>
        <v>1.2499999999988632E-4</v>
      </c>
      <c r="E1751" s="14">
        <f t="shared" si="81"/>
        <v>6.6822268871669996E-5</v>
      </c>
      <c r="F1751">
        <v>104.53</v>
      </c>
      <c r="G1751" s="1">
        <f t="shared" si="82"/>
        <v>104.549391</v>
      </c>
    </row>
    <row r="1752" spans="1:7" x14ac:dyDescent="0.3">
      <c r="A1752">
        <v>17500</v>
      </c>
      <c r="B1752">
        <v>1206</v>
      </c>
      <c r="C1752">
        <v>112.919</v>
      </c>
      <c r="D1752" s="15">
        <f t="shared" si="83"/>
        <v>1.5000000000000568E-4</v>
      </c>
      <c r="E1752" s="14">
        <f t="shared" si="81"/>
        <v>6.6795864374999988E-5</v>
      </c>
      <c r="F1752">
        <v>104.51300000000001</v>
      </c>
      <c r="G1752" s="1">
        <f t="shared" si="82"/>
        <v>104.548261</v>
      </c>
    </row>
    <row r="1753" spans="1:7" x14ac:dyDescent="0.3">
      <c r="A1753">
        <v>17510</v>
      </c>
      <c r="B1753">
        <v>1212.9000000000001</v>
      </c>
      <c r="C1753">
        <v>112.91800000000001</v>
      </c>
      <c r="D1753" s="15">
        <f t="shared" si="83"/>
        <v>1.2499999999988632E-4</v>
      </c>
      <c r="E1753" s="14">
        <f t="shared" si="81"/>
        <v>6.6769472561669995E-5</v>
      </c>
      <c r="F1753">
        <v>104.495</v>
      </c>
      <c r="G1753" s="1">
        <f t="shared" si="82"/>
        <v>104.54713100000001</v>
      </c>
    </row>
    <row r="1754" spans="1:7" x14ac:dyDescent="0.3">
      <c r="A1754">
        <v>17520</v>
      </c>
      <c r="B1754">
        <v>1225.5999999999999</v>
      </c>
      <c r="C1754">
        <v>112.916</v>
      </c>
      <c r="D1754" s="15">
        <f t="shared" si="83"/>
        <v>1.5000000000000568E-4</v>
      </c>
      <c r="E1754" s="14">
        <f t="shared" si="81"/>
        <v>6.6743093431680003E-5</v>
      </c>
      <c r="F1754">
        <v>104.47799999999999</v>
      </c>
      <c r="G1754" s="1">
        <f t="shared" si="82"/>
        <v>104.546001</v>
      </c>
    </row>
    <row r="1755" spans="1:7" x14ac:dyDescent="0.3">
      <c r="A1755">
        <v>17530</v>
      </c>
      <c r="B1755">
        <v>1240.2</v>
      </c>
      <c r="C1755">
        <v>112.91500000000001</v>
      </c>
      <c r="D1755" s="15">
        <f t="shared" si="83"/>
        <v>1.5000000000000568E-4</v>
      </c>
      <c r="E1755" s="14">
        <f t="shared" si="81"/>
        <v>6.6716726985029985E-5</v>
      </c>
      <c r="F1755">
        <v>104.461</v>
      </c>
      <c r="G1755" s="1">
        <f t="shared" si="82"/>
        <v>104.544871</v>
      </c>
    </row>
    <row r="1756" spans="1:7" x14ac:dyDescent="0.3">
      <c r="A1756">
        <v>17540</v>
      </c>
      <c r="B1756">
        <v>1253.4000000000001</v>
      </c>
      <c r="C1756">
        <v>112.913</v>
      </c>
      <c r="D1756" s="15">
        <f t="shared" si="83"/>
        <v>1.5000000000000568E-4</v>
      </c>
      <c r="E1756" s="14">
        <f t="shared" si="81"/>
        <v>6.6690373221719995E-5</v>
      </c>
      <c r="F1756">
        <v>104.443</v>
      </c>
      <c r="G1756" s="1">
        <f t="shared" si="82"/>
        <v>104.543741</v>
      </c>
    </row>
    <row r="1757" spans="1:7" x14ac:dyDescent="0.3">
      <c r="A1757">
        <v>17550</v>
      </c>
      <c r="B1757">
        <v>1278.7</v>
      </c>
      <c r="C1757">
        <v>112.91200000000001</v>
      </c>
      <c r="D1757" s="15">
        <f t="shared" si="83"/>
        <v>1.5000000000000568E-4</v>
      </c>
      <c r="E1757" s="14">
        <f t="shared" si="81"/>
        <v>6.6664032141750007E-5</v>
      </c>
      <c r="F1757">
        <v>104.426</v>
      </c>
      <c r="G1757" s="1">
        <f t="shared" si="82"/>
        <v>104.54261100000001</v>
      </c>
    </row>
    <row r="1758" spans="1:7" x14ac:dyDescent="0.3">
      <c r="A1758">
        <v>17560</v>
      </c>
      <c r="B1758">
        <v>1299.7</v>
      </c>
      <c r="C1758">
        <v>112.91</v>
      </c>
      <c r="D1758" s="15">
        <f t="shared" si="83"/>
        <v>1.5000000000000568E-4</v>
      </c>
      <c r="E1758" s="14">
        <f t="shared" si="81"/>
        <v>6.6637703745119992E-5</v>
      </c>
      <c r="F1758">
        <v>104.407</v>
      </c>
      <c r="G1758" s="1">
        <f t="shared" si="82"/>
        <v>104.541481</v>
      </c>
    </row>
    <row r="1759" spans="1:7" x14ac:dyDescent="0.3">
      <c r="A1759">
        <v>17570</v>
      </c>
      <c r="B1759">
        <v>1318.1</v>
      </c>
      <c r="C1759">
        <v>112.90900000000001</v>
      </c>
      <c r="D1759" s="15">
        <f t="shared" si="83"/>
        <v>1.7500000000012506E-4</v>
      </c>
      <c r="E1759" s="14">
        <f t="shared" si="81"/>
        <v>6.6611388031830005E-5</v>
      </c>
      <c r="F1759">
        <v>104.39</v>
      </c>
      <c r="G1759" s="1">
        <f t="shared" si="82"/>
        <v>104.540351</v>
      </c>
    </row>
    <row r="1760" spans="1:7" x14ac:dyDescent="0.3">
      <c r="A1760">
        <v>17580</v>
      </c>
      <c r="B1760">
        <v>1325.1</v>
      </c>
      <c r="C1760">
        <v>112.907</v>
      </c>
      <c r="D1760" s="15">
        <f t="shared" si="83"/>
        <v>1.5000000000000568E-4</v>
      </c>
      <c r="E1760" s="14">
        <f t="shared" si="81"/>
        <v>6.6585085001879992E-5</v>
      </c>
      <c r="F1760">
        <v>104.373</v>
      </c>
      <c r="G1760" s="1">
        <f t="shared" si="82"/>
        <v>104.539221</v>
      </c>
    </row>
    <row r="1761" spans="1:7" x14ac:dyDescent="0.3">
      <c r="A1761">
        <v>17590</v>
      </c>
      <c r="B1761">
        <v>1331.5</v>
      </c>
      <c r="C1761">
        <v>112.905</v>
      </c>
      <c r="D1761" s="15">
        <f t="shared" si="83"/>
        <v>1.7500000000012506E-4</v>
      </c>
      <c r="E1761" s="14">
        <f t="shared" si="81"/>
        <v>6.6558794655269995E-5</v>
      </c>
      <c r="F1761">
        <v>104.355</v>
      </c>
      <c r="G1761" s="1">
        <f t="shared" si="82"/>
        <v>104.53809100000001</v>
      </c>
    </row>
    <row r="1762" spans="1:7" x14ac:dyDescent="0.3">
      <c r="A1762">
        <v>17600</v>
      </c>
      <c r="B1762">
        <v>1338</v>
      </c>
      <c r="C1762">
        <v>112.904</v>
      </c>
      <c r="D1762" s="15">
        <f t="shared" si="83"/>
        <v>1.7499999999976979E-4</v>
      </c>
      <c r="E1762" s="14">
        <f t="shared" si="81"/>
        <v>6.6532516991999998E-5</v>
      </c>
      <c r="F1762">
        <v>104.33799999999999</v>
      </c>
      <c r="G1762" s="1">
        <f t="shared" si="82"/>
        <v>104.53696100000001</v>
      </c>
    </row>
    <row r="1763" spans="1:7" x14ac:dyDescent="0.3">
      <c r="A1763">
        <v>17610</v>
      </c>
      <c r="B1763">
        <v>1353.5</v>
      </c>
      <c r="C1763">
        <v>112.902</v>
      </c>
      <c r="D1763" s="15">
        <f t="shared" si="83"/>
        <v>1.5000000000000568E-4</v>
      </c>
      <c r="E1763" s="14">
        <f t="shared" si="81"/>
        <v>6.6506252012069988E-5</v>
      </c>
      <c r="F1763">
        <v>104.321</v>
      </c>
      <c r="G1763" s="1">
        <f t="shared" si="82"/>
        <v>104.535831</v>
      </c>
    </row>
    <row r="1764" spans="1:7" x14ac:dyDescent="0.3">
      <c r="A1764">
        <v>17620</v>
      </c>
      <c r="B1764">
        <v>1355.7</v>
      </c>
      <c r="C1764">
        <v>112.9</v>
      </c>
      <c r="D1764" s="15">
        <f t="shared" si="83"/>
        <v>1.7499999999976979E-4</v>
      </c>
      <c r="E1764" s="14">
        <f t="shared" si="81"/>
        <v>6.6479999715479994E-5</v>
      </c>
      <c r="F1764">
        <v>104.30200000000001</v>
      </c>
      <c r="G1764" s="1">
        <f t="shared" si="82"/>
        <v>104.534701</v>
      </c>
    </row>
    <row r="1765" spans="1:7" x14ac:dyDescent="0.3">
      <c r="A1765">
        <v>17630</v>
      </c>
      <c r="B1765">
        <v>1355.9</v>
      </c>
      <c r="C1765">
        <v>112.899</v>
      </c>
      <c r="D1765" s="15">
        <f t="shared" si="83"/>
        <v>1.7500000000012506E-4</v>
      </c>
      <c r="E1765" s="14">
        <f t="shared" si="81"/>
        <v>6.645376010223E-5</v>
      </c>
      <c r="F1765">
        <v>104.285</v>
      </c>
      <c r="G1765" s="1">
        <f t="shared" si="82"/>
        <v>104.53357100000001</v>
      </c>
    </row>
    <row r="1766" spans="1:7" x14ac:dyDescent="0.3">
      <c r="A1766">
        <v>17640</v>
      </c>
      <c r="B1766">
        <v>1360.3</v>
      </c>
      <c r="C1766">
        <v>112.89700000000001</v>
      </c>
      <c r="D1766" s="15">
        <f t="shared" si="83"/>
        <v>1.7500000000012506E-4</v>
      </c>
      <c r="E1766" s="14">
        <f t="shared" si="81"/>
        <v>6.6427533172319994E-5</v>
      </c>
      <c r="F1766">
        <v>104.268</v>
      </c>
      <c r="G1766" s="1">
        <f t="shared" si="82"/>
        <v>104.53244100000001</v>
      </c>
    </row>
    <row r="1767" spans="1:7" x14ac:dyDescent="0.3">
      <c r="A1767">
        <v>17650</v>
      </c>
      <c r="B1767">
        <v>1361</v>
      </c>
      <c r="C1767">
        <v>112.895</v>
      </c>
      <c r="D1767" s="15">
        <f t="shared" si="83"/>
        <v>1.7500000000012506E-4</v>
      </c>
      <c r="E1767" s="14">
        <f t="shared" si="81"/>
        <v>6.6401318925750003E-5</v>
      </c>
      <c r="F1767">
        <v>104.25</v>
      </c>
      <c r="G1767" s="1">
        <f t="shared" si="82"/>
        <v>104.531311</v>
      </c>
    </row>
    <row r="1768" spans="1:7" x14ac:dyDescent="0.3">
      <c r="A1768">
        <v>17660</v>
      </c>
      <c r="B1768">
        <v>1363</v>
      </c>
      <c r="C1768">
        <v>112.893</v>
      </c>
      <c r="D1768" s="15">
        <f t="shared" si="83"/>
        <v>1.7500000000012506E-4</v>
      </c>
      <c r="E1768" s="14">
        <f t="shared" si="81"/>
        <v>6.6375117362519985E-5</v>
      </c>
      <c r="F1768">
        <v>104.233</v>
      </c>
      <c r="G1768" s="1">
        <f t="shared" si="82"/>
        <v>104.530181</v>
      </c>
    </row>
    <row r="1769" spans="1:7" x14ac:dyDescent="0.3">
      <c r="A1769">
        <v>17670</v>
      </c>
      <c r="B1769">
        <v>1370.6</v>
      </c>
      <c r="C1769">
        <v>112.892</v>
      </c>
      <c r="D1769" s="15">
        <f t="shared" si="83"/>
        <v>1.7499999999976979E-4</v>
      </c>
      <c r="E1769" s="14">
        <f t="shared" si="81"/>
        <v>6.6348928482629996E-5</v>
      </c>
      <c r="F1769">
        <v>104.21599999999999</v>
      </c>
      <c r="G1769" s="1">
        <f t="shared" si="82"/>
        <v>104.52905100000001</v>
      </c>
    </row>
    <row r="1770" spans="1:7" x14ac:dyDescent="0.3">
      <c r="A1770">
        <v>17680</v>
      </c>
      <c r="B1770">
        <v>1378.9</v>
      </c>
      <c r="C1770">
        <v>112.89</v>
      </c>
      <c r="D1770" s="15">
        <f t="shared" si="83"/>
        <v>1.5000000000000568E-4</v>
      </c>
      <c r="E1770" s="14">
        <f t="shared" si="81"/>
        <v>6.6322752286079994E-5</v>
      </c>
      <c r="F1770">
        <v>104.19799999999999</v>
      </c>
      <c r="G1770" s="1">
        <f t="shared" si="82"/>
        <v>104.52792100000001</v>
      </c>
    </row>
    <row r="1771" spans="1:7" x14ac:dyDescent="0.3">
      <c r="A1771">
        <v>17690</v>
      </c>
      <c r="B1771">
        <v>1377.7</v>
      </c>
      <c r="C1771">
        <v>112.88800000000001</v>
      </c>
      <c r="D1771" s="15">
        <f t="shared" si="83"/>
        <v>1.7499999999976979E-4</v>
      </c>
      <c r="E1771" s="14">
        <f t="shared" si="81"/>
        <v>6.6296588772869994E-5</v>
      </c>
      <c r="F1771">
        <v>104.181</v>
      </c>
      <c r="G1771" s="1">
        <f t="shared" si="82"/>
        <v>104.526791</v>
      </c>
    </row>
    <row r="1772" spans="1:7" x14ac:dyDescent="0.3">
      <c r="A1772">
        <v>17700</v>
      </c>
      <c r="B1772">
        <v>1376.7</v>
      </c>
      <c r="C1772">
        <v>112.887</v>
      </c>
      <c r="D1772" s="15">
        <f t="shared" si="83"/>
        <v>1.7500000000012506E-4</v>
      </c>
      <c r="E1772" s="14">
        <f t="shared" si="81"/>
        <v>6.6270437942999994E-5</v>
      </c>
      <c r="F1772">
        <v>104.163</v>
      </c>
      <c r="G1772" s="1">
        <f t="shared" si="82"/>
        <v>104.525661</v>
      </c>
    </row>
    <row r="1773" spans="1:7" x14ac:dyDescent="0.3">
      <c r="A1773">
        <v>17710</v>
      </c>
      <c r="B1773">
        <v>1379.5</v>
      </c>
      <c r="C1773">
        <v>112.88500000000001</v>
      </c>
      <c r="D1773" s="15">
        <f t="shared" si="83"/>
        <v>1.7500000000012506E-4</v>
      </c>
      <c r="E1773" s="14">
        <f t="shared" si="81"/>
        <v>6.6244299796470009E-5</v>
      </c>
      <c r="F1773">
        <v>104.145</v>
      </c>
      <c r="G1773" s="1">
        <f t="shared" si="82"/>
        <v>104.524531</v>
      </c>
    </row>
    <row r="1774" spans="1:7" x14ac:dyDescent="0.3">
      <c r="A1774">
        <v>17720</v>
      </c>
      <c r="B1774">
        <v>1375.4</v>
      </c>
      <c r="C1774">
        <v>112.883</v>
      </c>
      <c r="D1774" s="15">
        <f t="shared" si="83"/>
        <v>1.7500000000012506E-4</v>
      </c>
      <c r="E1774" s="14">
        <f t="shared" si="81"/>
        <v>6.6218174333279985E-5</v>
      </c>
      <c r="F1774">
        <v>104.128</v>
      </c>
      <c r="G1774" s="1">
        <f t="shared" si="82"/>
        <v>104.52340100000001</v>
      </c>
    </row>
    <row r="1775" spans="1:7" x14ac:dyDescent="0.3">
      <c r="A1775">
        <v>17730</v>
      </c>
      <c r="B1775">
        <v>1371.2</v>
      </c>
      <c r="C1775">
        <v>112.881</v>
      </c>
      <c r="D1775" s="15">
        <f t="shared" si="83"/>
        <v>1.7500000000012506E-4</v>
      </c>
      <c r="E1775" s="14">
        <f t="shared" si="81"/>
        <v>6.6192061553429989E-5</v>
      </c>
      <c r="F1775">
        <v>104.11</v>
      </c>
      <c r="G1775" s="1">
        <f t="shared" si="82"/>
        <v>104.522271</v>
      </c>
    </row>
    <row r="1776" spans="1:7" x14ac:dyDescent="0.3">
      <c r="A1776">
        <v>17740</v>
      </c>
      <c r="B1776">
        <v>1367.4</v>
      </c>
      <c r="C1776">
        <v>112.88</v>
      </c>
      <c r="D1776" s="15">
        <f t="shared" si="83"/>
        <v>1.7499999999976979E-4</v>
      </c>
      <c r="E1776" s="14">
        <f t="shared" si="81"/>
        <v>6.6165961456919994E-5</v>
      </c>
      <c r="F1776">
        <v>104.093</v>
      </c>
      <c r="G1776" s="1">
        <f t="shared" si="82"/>
        <v>104.521141</v>
      </c>
    </row>
    <row r="1777" spans="1:7" x14ac:dyDescent="0.3">
      <c r="A1777">
        <v>17750</v>
      </c>
      <c r="B1777">
        <v>1363.4</v>
      </c>
      <c r="C1777">
        <v>112.878</v>
      </c>
      <c r="D1777" s="15">
        <f t="shared" si="83"/>
        <v>1.5000000000000568E-4</v>
      </c>
      <c r="E1777" s="14">
        <f t="shared" si="81"/>
        <v>6.6139874043749999E-5</v>
      </c>
      <c r="F1777">
        <v>104.07599999999999</v>
      </c>
      <c r="G1777" s="1">
        <f t="shared" si="82"/>
        <v>104.520011</v>
      </c>
    </row>
    <row r="1778" spans="1:7" x14ac:dyDescent="0.3">
      <c r="A1778">
        <v>17760</v>
      </c>
      <c r="B1778">
        <v>1359.5</v>
      </c>
      <c r="C1778">
        <v>112.876</v>
      </c>
      <c r="D1778" s="15">
        <f t="shared" si="83"/>
        <v>1.7499999999976979E-4</v>
      </c>
      <c r="E1778" s="14">
        <f t="shared" si="81"/>
        <v>6.6113799313920007E-5</v>
      </c>
      <c r="F1778">
        <v>104.05800000000001</v>
      </c>
      <c r="G1778" s="1">
        <f t="shared" si="82"/>
        <v>104.51888100000001</v>
      </c>
    </row>
    <row r="1779" spans="1:7" x14ac:dyDescent="0.3">
      <c r="A1779">
        <v>17770</v>
      </c>
      <c r="B1779">
        <v>1356</v>
      </c>
      <c r="C1779">
        <v>112.875</v>
      </c>
      <c r="D1779" s="15">
        <f t="shared" si="83"/>
        <v>1.7500000000012506E-4</v>
      </c>
      <c r="E1779" s="14">
        <f t="shared" si="81"/>
        <v>6.6087737267429988E-5</v>
      </c>
      <c r="F1779">
        <v>104.041</v>
      </c>
      <c r="G1779" s="1">
        <f t="shared" si="82"/>
        <v>104.517751</v>
      </c>
    </row>
    <row r="1780" spans="1:7" x14ac:dyDescent="0.3">
      <c r="A1780">
        <v>17780</v>
      </c>
      <c r="B1780">
        <v>1352.7</v>
      </c>
      <c r="C1780">
        <v>112.873</v>
      </c>
      <c r="D1780" s="15">
        <f t="shared" si="83"/>
        <v>1.5000000000000568E-4</v>
      </c>
      <c r="E1780" s="14">
        <f t="shared" si="81"/>
        <v>6.6061687904279997E-5</v>
      </c>
      <c r="F1780">
        <v>104.023</v>
      </c>
      <c r="G1780" s="1">
        <f t="shared" si="82"/>
        <v>104.516621</v>
      </c>
    </row>
    <row r="1781" spans="1:7" x14ac:dyDescent="0.3">
      <c r="A1781">
        <v>17790</v>
      </c>
      <c r="B1781">
        <v>1349.1</v>
      </c>
      <c r="C1781">
        <v>112.871</v>
      </c>
      <c r="D1781" s="15">
        <f t="shared" si="83"/>
        <v>1.7500000000012506E-4</v>
      </c>
      <c r="E1781" s="14">
        <f t="shared" si="81"/>
        <v>6.6035651224469994E-5</v>
      </c>
      <c r="F1781">
        <v>104.006</v>
      </c>
      <c r="G1781" s="1">
        <f t="shared" si="82"/>
        <v>104.515491</v>
      </c>
    </row>
    <row r="1782" spans="1:7" x14ac:dyDescent="0.3">
      <c r="A1782">
        <v>17800</v>
      </c>
      <c r="B1782">
        <v>1346.5</v>
      </c>
      <c r="C1782">
        <v>112.87</v>
      </c>
      <c r="D1782" s="15">
        <f t="shared" si="83"/>
        <v>1.5000000000000568E-4</v>
      </c>
      <c r="E1782" s="14">
        <f t="shared" si="81"/>
        <v>6.6009627227999991E-5</v>
      </c>
      <c r="F1782">
        <v>103.988</v>
      </c>
      <c r="G1782" s="1">
        <f t="shared" si="82"/>
        <v>104.51436100000001</v>
      </c>
    </row>
    <row r="1783" spans="1:7" x14ac:dyDescent="0.3">
      <c r="A1783">
        <v>17810</v>
      </c>
      <c r="B1783">
        <v>1343.7</v>
      </c>
      <c r="C1783">
        <v>112.86799999999999</v>
      </c>
      <c r="D1783" s="15">
        <f t="shared" si="83"/>
        <v>1.5000000000000568E-4</v>
      </c>
      <c r="E1783" s="14">
        <f t="shared" si="81"/>
        <v>6.5983615914870004E-5</v>
      </c>
      <c r="F1783">
        <v>103.971</v>
      </c>
      <c r="G1783" s="1">
        <f t="shared" si="82"/>
        <v>104.513231</v>
      </c>
    </row>
    <row r="1784" spans="1:7" x14ac:dyDescent="0.3">
      <c r="A1784">
        <v>17820</v>
      </c>
      <c r="B1784">
        <v>1343.5</v>
      </c>
      <c r="C1784">
        <v>112.867</v>
      </c>
      <c r="D1784" s="15">
        <f t="shared" si="83"/>
        <v>1.7500000000012506E-4</v>
      </c>
      <c r="E1784" s="14">
        <f t="shared" si="81"/>
        <v>6.5957617285080004E-5</v>
      </c>
      <c r="F1784">
        <v>103.95399999999999</v>
      </c>
      <c r="G1784" s="1">
        <f t="shared" si="82"/>
        <v>104.512101</v>
      </c>
    </row>
    <row r="1785" spans="1:7" x14ac:dyDescent="0.3">
      <c r="A1785">
        <v>17830</v>
      </c>
      <c r="B1785">
        <v>1343.4</v>
      </c>
      <c r="C1785">
        <v>112.86499999999999</v>
      </c>
      <c r="D1785" s="15">
        <f t="shared" si="83"/>
        <v>1.5000000000000568E-4</v>
      </c>
      <c r="E1785" s="14">
        <f t="shared" si="81"/>
        <v>6.5931631338629992E-5</v>
      </c>
      <c r="F1785">
        <v>103.93600000000001</v>
      </c>
      <c r="G1785" s="1">
        <f t="shared" si="82"/>
        <v>104.510971</v>
      </c>
    </row>
    <row r="1786" spans="1:7" x14ac:dyDescent="0.3">
      <c r="A1786">
        <v>17840</v>
      </c>
      <c r="B1786">
        <v>1342.5</v>
      </c>
      <c r="C1786">
        <v>112.863</v>
      </c>
      <c r="D1786" s="15">
        <f t="shared" si="83"/>
        <v>1.7500000000012506E-4</v>
      </c>
      <c r="E1786" s="14">
        <f t="shared" si="81"/>
        <v>6.5905658075519994E-5</v>
      </c>
      <c r="F1786">
        <v>103.919</v>
      </c>
      <c r="G1786" s="1">
        <f t="shared" si="82"/>
        <v>104.50984100000001</v>
      </c>
    </row>
    <row r="1787" spans="1:7" x14ac:dyDescent="0.3">
      <c r="A1787">
        <v>17850</v>
      </c>
      <c r="B1787">
        <v>1339.3</v>
      </c>
      <c r="C1787">
        <v>112.86199999999999</v>
      </c>
      <c r="D1787" s="15">
        <f t="shared" si="83"/>
        <v>1.5000000000000568E-4</v>
      </c>
      <c r="E1787" s="14">
        <f t="shared" si="81"/>
        <v>6.5879697495749984E-5</v>
      </c>
      <c r="F1787">
        <v>103.901</v>
      </c>
      <c r="G1787" s="1">
        <f t="shared" si="82"/>
        <v>104.50871100000001</v>
      </c>
    </row>
    <row r="1788" spans="1:7" x14ac:dyDescent="0.3">
      <c r="A1788">
        <v>17860</v>
      </c>
      <c r="B1788">
        <v>1336.9</v>
      </c>
      <c r="C1788">
        <v>112.86</v>
      </c>
      <c r="D1788" s="15">
        <f t="shared" si="83"/>
        <v>1.5000000000000568E-4</v>
      </c>
      <c r="E1788" s="14">
        <f t="shared" si="81"/>
        <v>6.5853749599320002E-5</v>
      </c>
      <c r="F1788">
        <v>103.884</v>
      </c>
      <c r="G1788" s="1">
        <f t="shared" si="82"/>
        <v>104.507581</v>
      </c>
    </row>
    <row r="1789" spans="1:7" x14ac:dyDescent="0.3">
      <c r="A1789">
        <v>17870</v>
      </c>
      <c r="B1789">
        <v>1334.7</v>
      </c>
      <c r="C1789">
        <v>112.85899999999999</v>
      </c>
      <c r="D1789" s="15">
        <f t="shared" si="83"/>
        <v>1.7499999999976979E-4</v>
      </c>
      <c r="E1789" s="14">
        <f t="shared" si="81"/>
        <v>6.5827814386229994E-5</v>
      </c>
      <c r="F1789">
        <v>103.866</v>
      </c>
      <c r="G1789" s="1">
        <f t="shared" si="82"/>
        <v>104.506451</v>
      </c>
    </row>
    <row r="1790" spans="1:7" x14ac:dyDescent="0.3">
      <c r="A1790">
        <v>17880</v>
      </c>
      <c r="B1790">
        <v>1331.5</v>
      </c>
      <c r="C1790">
        <v>112.857</v>
      </c>
      <c r="D1790" s="15">
        <f t="shared" si="83"/>
        <v>1.5000000000000568E-4</v>
      </c>
      <c r="E1790" s="14">
        <f t="shared" si="81"/>
        <v>6.5801891856479987E-5</v>
      </c>
      <c r="F1790">
        <v>103.848</v>
      </c>
      <c r="G1790" s="1">
        <f t="shared" si="82"/>
        <v>104.50532100000001</v>
      </c>
    </row>
    <row r="1791" spans="1:7" x14ac:dyDescent="0.3">
      <c r="A1791">
        <v>17890</v>
      </c>
      <c r="B1791">
        <v>1329.5</v>
      </c>
      <c r="C1791">
        <v>112.855</v>
      </c>
      <c r="D1791" s="15">
        <f t="shared" si="83"/>
        <v>1.7499999999976979E-4</v>
      </c>
      <c r="E1791" s="14">
        <f t="shared" si="81"/>
        <v>6.5775982010069994E-5</v>
      </c>
      <c r="F1791">
        <v>103.83</v>
      </c>
      <c r="G1791" s="1">
        <f t="shared" si="82"/>
        <v>104.50419100000001</v>
      </c>
    </row>
    <row r="1792" spans="1:7" x14ac:dyDescent="0.3">
      <c r="A1792">
        <v>17900</v>
      </c>
      <c r="B1792">
        <v>1326.6</v>
      </c>
      <c r="C1792">
        <v>112.854</v>
      </c>
      <c r="D1792" s="15">
        <f t="shared" si="83"/>
        <v>1.5000000000000568E-4</v>
      </c>
      <c r="E1792" s="14">
        <f t="shared" si="81"/>
        <v>6.5750084847000003E-5</v>
      </c>
      <c r="F1792">
        <v>103.813</v>
      </c>
      <c r="G1792" s="1">
        <f t="shared" si="82"/>
        <v>104.503061</v>
      </c>
    </row>
    <row r="1793" spans="1:7" x14ac:dyDescent="0.3">
      <c r="A1793">
        <v>17910</v>
      </c>
      <c r="B1793">
        <v>1323.1</v>
      </c>
      <c r="C1793">
        <v>112.852</v>
      </c>
      <c r="D1793" s="15">
        <f t="shared" si="83"/>
        <v>1.5000000000000568E-4</v>
      </c>
      <c r="E1793" s="14">
        <f t="shared" si="81"/>
        <v>6.572420036727E-5</v>
      </c>
      <c r="F1793">
        <v>103.795</v>
      </c>
      <c r="G1793" s="1">
        <f t="shared" si="82"/>
        <v>104.501931</v>
      </c>
    </row>
    <row r="1794" spans="1:7" x14ac:dyDescent="0.3">
      <c r="A1794">
        <v>17920</v>
      </c>
      <c r="B1794">
        <v>1319.6</v>
      </c>
      <c r="C1794">
        <v>112.851</v>
      </c>
      <c r="D1794" s="15">
        <f t="shared" si="83"/>
        <v>1.5000000000000568E-4</v>
      </c>
      <c r="E1794" s="14">
        <f t="shared" ref="E1794:E1857" si="84">0.0000000000000634167*A1794*A1794 - 0.0000000048594*A1794 + 0.000132414</f>
        <v>6.5698328570879997E-5</v>
      </c>
      <c r="F1794">
        <v>103.77800000000001</v>
      </c>
      <c r="G1794" s="1">
        <f t="shared" si="82"/>
        <v>104.500801</v>
      </c>
    </row>
    <row r="1795" spans="1:7" x14ac:dyDescent="0.3">
      <c r="A1795">
        <v>17930</v>
      </c>
      <c r="B1795">
        <v>1316.5</v>
      </c>
      <c r="C1795">
        <v>112.849</v>
      </c>
      <c r="D1795" s="15">
        <f t="shared" si="83"/>
        <v>1.5000000000000568E-4</v>
      </c>
      <c r="E1795" s="14">
        <f t="shared" si="84"/>
        <v>6.5672469457829996E-5</v>
      </c>
      <c r="F1795">
        <v>103.76</v>
      </c>
      <c r="G1795" s="1">
        <f t="shared" ref="G1795:G1858" si="85">-0.000113*A1795 + 106.525761</f>
        <v>104.49967100000001</v>
      </c>
    </row>
    <row r="1796" spans="1:7" x14ac:dyDescent="0.3">
      <c r="A1796">
        <v>17940</v>
      </c>
      <c r="B1796">
        <v>1312.9</v>
      </c>
      <c r="C1796">
        <v>112.848</v>
      </c>
      <c r="D1796" s="15">
        <f t="shared" si="83"/>
        <v>1.5000000000000568E-4</v>
      </c>
      <c r="E1796" s="14">
        <f t="shared" si="84"/>
        <v>6.5646623028119995E-5</v>
      </c>
      <c r="F1796">
        <v>103.74299999999999</v>
      </c>
      <c r="G1796" s="1">
        <f t="shared" si="85"/>
        <v>104.498541</v>
      </c>
    </row>
    <row r="1797" spans="1:7" x14ac:dyDescent="0.3">
      <c r="A1797">
        <v>17950</v>
      </c>
      <c r="B1797">
        <v>1309.5999999999999</v>
      </c>
      <c r="C1797">
        <v>112.846</v>
      </c>
      <c r="D1797" s="15">
        <f t="shared" ref="D1797:D1860" si="86">(C1795-C1799)/(A1799-A1795)</f>
        <v>1.5000000000000568E-4</v>
      </c>
      <c r="E1797" s="14">
        <f t="shared" si="84"/>
        <v>6.5620789281749996E-5</v>
      </c>
      <c r="F1797">
        <v>103.72499999999999</v>
      </c>
      <c r="G1797" s="1">
        <f t="shared" si="85"/>
        <v>104.497411</v>
      </c>
    </row>
    <row r="1798" spans="1:7" x14ac:dyDescent="0.3">
      <c r="A1798">
        <v>17960</v>
      </c>
      <c r="B1798">
        <v>1306.5</v>
      </c>
      <c r="C1798">
        <v>112.845</v>
      </c>
      <c r="D1798" s="15">
        <f t="shared" si="86"/>
        <v>1.5000000000000568E-4</v>
      </c>
      <c r="E1798" s="14">
        <f t="shared" si="84"/>
        <v>6.5594968218719998E-5</v>
      </c>
      <c r="F1798">
        <v>103.708</v>
      </c>
      <c r="G1798" s="1">
        <f t="shared" si="85"/>
        <v>104.496281</v>
      </c>
    </row>
    <row r="1799" spans="1:7" x14ac:dyDescent="0.3">
      <c r="A1799">
        <v>17970</v>
      </c>
      <c r="B1799">
        <v>1302.9000000000001</v>
      </c>
      <c r="C1799">
        <v>112.843</v>
      </c>
      <c r="D1799" s="15">
        <f t="shared" si="86"/>
        <v>1.5000000000000568E-4</v>
      </c>
      <c r="E1799" s="14">
        <f t="shared" si="84"/>
        <v>6.5569159839030001E-5</v>
      </c>
      <c r="F1799">
        <v>103.691</v>
      </c>
      <c r="G1799" s="1">
        <f t="shared" si="85"/>
        <v>104.49515100000001</v>
      </c>
    </row>
    <row r="1800" spans="1:7" x14ac:dyDescent="0.3">
      <c r="A1800">
        <v>17980</v>
      </c>
      <c r="B1800">
        <v>1299.8</v>
      </c>
      <c r="C1800">
        <v>112.842</v>
      </c>
      <c r="D1800" s="15">
        <f t="shared" si="86"/>
        <v>1.5000000000000568E-4</v>
      </c>
      <c r="E1800" s="14">
        <f t="shared" si="84"/>
        <v>6.5543364142680005E-5</v>
      </c>
      <c r="F1800">
        <v>103.67400000000001</v>
      </c>
      <c r="G1800" s="1">
        <f t="shared" si="85"/>
        <v>104.494021</v>
      </c>
    </row>
    <row r="1801" spans="1:7" x14ac:dyDescent="0.3">
      <c r="A1801">
        <v>17990</v>
      </c>
      <c r="B1801">
        <v>1298.0999999999999</v>
      </c>
      <c r="C1801">
        <v>112.84</v>
      </c>
      <c r="D1801" s="15">
        <f t="shared" si="86"/>
        <v>1.5000000000000568E-4</v>
      </c>
      <c r="E1801" s="14">
        <f t="shared" si="84"/>
        <v>6.5517581129669983E-5</v>
      </c>
      <c r="F1801">
        <v>103.658</v>
      </c>
      <c r="G1801" s="1">
        <f t="shared" si="85"/>
        <v>104.492891</v>
      </c>
    </row>
    <row r="1802" spans="1:7" x14ac:dyDescent="0.3">
      <c r="A1802">
        <v>18000</v>
      </c>
      <c r="B1802">
        <v>1299.0999999999999</v>
      </c>
      <c r="C1802">
        <v>112.839</v>
      </c>
      <c r="D1802" s="15">
        <f t="shared" si="86"/>
        <v>1.5000000000000568E-4</v>
      </c>
      <c r="E1802" s="14">
        <f t="shared" si="84"/>
        <v>6.5491810800000002E-5</v>
      </c>
      <c r="F1802">
        <v>103.646</v>
      </c>
      <c r="G1802" s="1">
        <f t="shared" si="85"/>
        <v>104.491761</v>
      </c>
    </row>
    <row r="1803" spans="1:7" x14ac:dyDescent="0.3">
      <c r="A1803">
        <v>18010</v>
      </c>
      <c r="B1803">
        <v>1299.9000000000001</v>
      </c>
      <c r="C1803">
        <v>112.837</v>
      </c>
      <c r="D1803" s="15">
        <f t="shared" si="86"/>
        <v>1.5000000000000568E-4</v>
      </c>
      <c r="E1803" s="14">
        <f t="shared" si="84"/>
        <v>6.5466053153669996E-5</v>
      </c>
      <c r="F1803">
        <v>103.634</v>
      </c>
      <c r="G1803" s="1">
        <f t="shared" si="85"/>
        <v>104.49063100000001</v>
      </c>
    </row>
    <row r="1804" spans="1:7" x14ac:dyDescent="0.3">
      <c r="A1804">
        <v>18020</v>
      </c>
      <c r="B1804">
        <v>1300.8</v>
      </c>
      <c r="C1804">
        <v>112.836</v>
      </c>
      <c r="D1804" s="15">
        <f t="shared" si="86"/>
        <v>1.5000000000000568E-4</v>
      </c>
      <c r="E1804" s="14">
        <f t="shared" si="84"/>
        <v>6.5440308190679991E-5</v>
      </c>
      <c r="F1804">
        <v>103.621</v>
      </c>
      <c r="G1804" s="1">
        <f t="shared" si="85"/>
        <v>104.489501</v>
      </c>
    </row>
    <row r="1805" spans="1:7" x14ac:dyDescent="0.3">
      <c r="A1805">
        <v>18030</v>
      </c>
      <c r="B1805">
        <v>1301.5999999999999</v>
      </c>
      <c r="C1805">
        <v>112.834</v>
      </c>
      <c r="D1805" s="15">
        <f t="shared" si="86"/>
        <v>1.5000000000000568E-4</v>
      </c>
      <c r="E1805" s="14">
        <f t="shared" si="84"/>
        <v>6.541457591103E-5</v>
      </c>
      <c r="F1805">
        <v>103.60899999999999</v>
      </c>
      <c r="G1805" s="1">
        <f t="shared" si="85"/>
        <v>104.488371</v>
      </c>
    </row>
    <row r="1806" spans="1:7" x14ac:dyDescent="0.3">
      <c r="A1806">
        <v>18040</v>
      </c>
      <c r="B1806">
        <v>1302.5</v>
      </c>
      <c r="C1806">
        <v>112.833</v>
      </c>
      <c r="D1806" s="15">
        <f t="shared" si="86"/>
        <v>1.5000000000000568E-4</v>
      </c>
      <c r="E1806" s="14">
        <f t="shared" si="84"/>
        <v>6.5388856314719984E-5</v>
      </c>
      <c r="F1806">
        <v>103.596</v>
      </c>
      <c r="G1806" s="1">
        <f t="shared" si="85"/>
        <v>104.487241</v>
      </c>
    </row>
    <row r="1807" spans="1:7" x14ac:dyDescent="0.3">
      <c r="A1807">
        <v>18050</v>
      </c>
      <c r="B1807">
        <v>1303.5</v>
      </c>
      <c r="C1807">
        <v>112.831</v>
      </c>
      <c r="D1807" s="15">
        <f t="shared" si="86"/>
        <v>1.2500000000024159E-4</v>
      </c>
      <c r="E1807" s="14">
        <f t="shared" si="84"/>
        <v>6.5363149401749995E-5</v>
      </c>
      <c r="F1807">
        <v>103.584</v>
      </c>
      <c r="G1807" s="1">
        <f t="shared" si="85"/>
        <v>104.48611100000001</v>
      </c>
    </row>
    <row r="1808" spans="1:7" x14ac:dyDescent="0.3">
      <c r="A1808">
        <v>18060</v>
      </c>
      <c r="B1808">
        <v>1304.2</v>
      </c>
      <c r="C1808">
        <v>112.83</v>
      </c>
      <c r="D1808" s="15">
        <f t="shared" si="86"/>
        <v>1.5000000000000568E-4</v>
      </c>
      <c r="E1808" s="14">
        <f t="shared" si="84"/>
        <v>6.5337455172119994E-5</v>
      </c>
      <c r="F1808">
        <v>103.571</v>
      </c>
      <c r="G1808" s="1">
        <f t="shared" si="85"/>
        <v>104.484981</v>
      </c>
    </row>
    <row r="1809" spans="1:7" x14ac:dyDescent="0.3">
      <c r="A1809">
        <v>18070</v>
      </c>
      <c r="B1809">
        <v>1305.3</v>
      </c>
      <c r="C1809">
        <v>112.82899999999999</v>
      </c>
      <c r="D1809" s="15">
        <f t="shared" si="86"/>
        <v>1.2500000000024159E-4</v>
      </c>
      <c r="E1809" s="14">
        <f t="shared" si="84"/>
        <v>6.5311773625829995E-5</v>
      </c>
      <c r="F1809">
        <v>103.559</v>
      </c>
      <c r="G1809" s="1">
        <f t="shared" si="85"/>
        <v>104.483851</v>
      </c>
    </row>
    <row r="1810" spans="1:7" x14ac:dyDescent="0.3">
      <c r="A1810">
        <v>18080</v>
      </c>
      <c r="B1810">
        <v>1306</v>
      </c>
      <c r="C1810">
        <v>112.827</v>
      </c>
      <c r="D1810" s="15">
        <f t="shared" si="86"/>
        <v>1.5000000000000568E-4</v>
      </c>
      <c r="E1810" s="14">
        <f t="shared" si="84"/>
        <v>6.5286104762879996E-5</v>
      </c>
      <c r="F1810">
        <v>103.547</v>
      </c>
      <c r="G1810" s="1">
        <f t="shared" si="85"/>
        <v>104.482721</v>
      </c>
    </row>
    <row r="1811" spans="1:7" x14ac:dyDescent="0.3">
      <c r="A1811">
        <v>18090</v>
      </c>
      <c r="B1811">
        <v>1306.9000000000001</v>
      </c>
      <c r="C1811">
        <v>112.82599999999999</v>
      </c>
      <c r="D1811" s="15">
        <f t="shared" si="86"/>
        <v>1.5000000000000568E-4</v>
      </c>
      <c r="E1811" s="14">
        <f t="shared" si="84"/>
        <v>6.5260448583269999E-5</v>
      </c>
      <c r="F1811">
        <v>103.53400000000001</v>
      </c>
      <c r="G1811" s="1">
        <f t="shared" si="85"/>
        <v>104.48159100000001</v>
      </c>
    </row>
    <row r="1812" spans="1:7" x14ac:dyDescent="0.3">
      <c r="A1812">
        <v>18100</v>
      </c>
      <c r="B1812">
        <v>1307.9000000000001</v>
      </c>
      <c r="C1812">
        <v>112.824</v>
      </c>
      <c r="D1812" s="15">
        <f t="shared" si="86"/>
        <v>1.5000000000000568E-4</v>
      </c>
      <c r="E1812" s="14">
        <f t="shared" si="84"/>
        <v>6.5234805086999989E-5</v>
      </c>
      <c r="F1812">
        <v>103.52200000000001</v>
      </c>
      <c r="G1812" s="1">
        <f t="shared" si="85"/>
        <v>104.48046100000001</v>
      </c>
    </row>
    <row r="1813" spans="1:7" x14ac:dyDescent="0.3">
      <c r="A1813">
        <v>18110</v>
      </c>
      <c r="B1813">
        <v>1308.5999999999999</v>
      </c>
      <c r="C1813">
        <v>112.82299999999999</v>
      </c>
      <c r="D1813" s="15">
        <f t="shared" si="86"/>
        <v>1.5000000000000568E-4</v>
      </c>
      <c r="E1813" s="14">
        <f t="shared" si="84"/>
        <v>6.5209174274069993E-5</v>
      </c>
      <c r="F1813">
        <v>103.509</v>
      </c>
      <c r="G1813" s="1">
        <f t="shared" si="85"/>
        <v>104.479331</v>
      </c>
    </row>
    <row r="1814" spans="1:7" x14ac:dyDescent="0.3">
      <c r="A1814">
        <v>18120</v>
      </c>
      <c r="B1814">
        <v>1309.4000000000001</v>
      </c>
      <c r="C1814">
        <v>112.821</v>
      </c>
      <c r="D1814" s="15">
        <f t="shared" si="86"/>
        <v>1.5000000000000568E-4</v>
      </c>
      <c r="E1814" s="14">
        <f t="shared" si="84"/>
        <v>6.5183556144479999E-5</v>
      </c>
      <c r="F1814">
        <v>103.497</v>
      </c>
      <c r="G1814" s="1">
        <f t="shared" si="85"/>
        <v>104.478201</v>
      </c>
    </row>
    <row r="1815" spans="1:7" x14ac:dyDescent="0.3">
      <c r="A1815">
        <v>18130</v>
      </c>
      <c r="B1815">
        <v>1310.7</v>
      </c>
      <c r="C1815">
        <v>112.82</v>
      </c>
      <c r="D1815" s="15">
        <f t="shared" si="86"/>
        <v>1.5000000000000568E-4</v>
      </c>
      <c r="E1815" s="14">
        <f t="shared" si="84"/>
        <v>6.5157950698229992E-5</v>
      </c>
      <c r="F1815">
        <v>103.48399999999999</v>
      </c>
      <c r="G1815" s="1">
        <f t="shared" si="85"/>
        <v>104.47707100000001</v>
      </c>
    </row>
    <row r="1816" spans="1:7" x14ac:dyDescent="0.3">
      <c r="A1816">
        <v>18140</v>
      </c>
      <c r="B1816">
        <v>1311.4</v>
      </c>
      <c r="C1816">
        <v>112.818</v>
      </c>
      <c r="D1816" s="15">
        <f t="shared" si="86"/>
        <v>1.2499999999988632E-4</v>
      </c>
      <c r="E1816" s="14">
        <f t="shared" si="84"/>
        <v>6.513235793532E-5</v>
      </c>
      <c r="F1816">
        <v>103.47199999999999</v>
      </c>
      <c r="G1816" s="1">
        <f t="shared" si="85"/>
        <v>104.47594100000001</v>
      </c>
    </row>
    <row r="1817" spans="1:7" x14ac:dyDescent="0.3">
      <c r="A1817">
        <v>18150</v>
      </c>
      <c r="B1817">
        <v>1311.3</v>
      </c>
      <c r="C1817">
        <v>112.81699999999999</v>
      </c>
      <c r="D1817" s="15">
        <f t="shared" si="86"/>
        <v>1.5000000000000568E-4</v>
      </c>
      <c r="E1817" s="14">
        <f t="shared" si="84"/>
        <v>6.5106777855749996E-5</v>
      </c>
      <c r="F1817">
        <v>103.459</v>
      </c>
      <c r="G1817" s="1">
        <f t="shared" si="85"/>
        <v>104.474811</v>
      </c>
    </row>
    <row r="1818" spans="1:7" x14ac:dyDescent="0.3">
      <c r="A1818">
        <v>18160</v>
      </c>
      <c r="B1818">
        <v>1312.3</v>
      </c>
      <c r="C1818">
        <v>112.816</v>
      </c>
      <c r="D1818" s="15">
        <f t="shared" si="86"/>
        <v>1.2499999999988632E-4</v>
      </c>
      <c r="E1818" s="14">
        <f t="shared" si="84"/>
        <v>6.5081210459519992E-5</v>
      </c>
      <c r="F1818">
        <v>103.44799999999999</v>
      </c>
      <c r="G1818" s="1">
        <f t="shared" si="85"/>
        <v>104.473681</v>
      </c>
    </row>
    <row r="1819" spans="1:7" x14ac:dyDescent="0.3">
      <c r="A1819">
        <v>18170</v>
      </c>
      <c r="B1819">
        <v>1312.2</v>
      </c>
      <c r="C1819">
        <v>112.81399999999999</v>
      </c>
      <c r="D1819" s="15">
        <f t="shared" si="86"/>
        <v>1.4999999999965041E-4</v>
      </c>
      <c r="E1819" s="14">
        <f t="shared" si="84"/>
        <v>6.5055655746630003E-5</v>
      </c>
      <c r="F1819">
        <v>103.435</v>
      </c>
      <c r="G1819" s="1">
        <f t="shared" si="85"/>
        <v>104.47255100000001</v>
      </c>
    </row>
    <row r="1820" spans="1:7" x14ac:dyDescent="0.3">
      <c r="A1820">
        <v>18180</v>
      </c>
      <c r="B1820">
        <v>1312.7</v>
      </c>
      <c r="C1820">
        <v>112.813</v>
      </c>
      <c r="D1820" s="15">
        <f t="shared" si="86"/>
        <v>1.5000000000000568E-4</v>
      </c>
      <c r="E1820" s="14">
        <f t="shared" si="84"/>
        <v>6.5030113717079989E-5</v>
      </c>
      <c r="F1820">
        <v>103.423</v>
      </c>
      <c r="G1820" s="1">
        <f t="shared" si="85"/>
        <v>104.47142100000001</v>
      </c>
    </row>
    <row r="1821" spans="1:7" x14ac:dyDescent="0.3">
      <c r="A1821">
        <v>18190</v>
      </c>
      <c r="B1821">
        <v>1313.4</v>
      </c>
      <c r="C1821">
        <v>112.81100000000001</v>
      </c>
      <c r="D1821" s="15">
        <f t="shared" si="86"/>
        <v>1.4999999999965041E-4</v>
      </c>
      <c r="E1821" s="14">
        <f t="shared" si="84"/>
        <v>6.5004584370869988E-5</v>
      </c>
      <c r="F1821">
        <v>103.41</v>
      </c>
      <c r="G1821" s="1">
        <f t="shared" si="85"/>
        <v>104.470291</v>
      </c>
    </row>
    <row r="1822" spans="1:7" x14ac:dyDescent="0.3">
      <c r="A1822">
        <v>18200</v>
      </c>
      <c r="B1822">
        <v>1313.4</v>
      </c>
      <c r="C1822">
        <v>112.81</v>
      </c>
      <c r="D1822" s="15">
        <f t="shared" si="86"/>
        <v>1.5000000000000568E-4</v>
      </c>
      <c r="E1822" s="14">
        <f t="shared" si="84"/>
        <v>6.4979067708000003E-5</v>
      </c>
      <c r="F1822">
        <v>103.398</v>
      </c>
      <c r="G1822" s="1">
        <f t="shared" si="85"/>
        <v>104.469161</v>
      </c>
    </row>
    <row r="1823" spans="1:7" x14ac:dyDescent="0.3">
      <c r="A1823">
        <v>18210</v>
      </c>
      <c r="B1823">
        <v>1313.6</v>
      </c>
      <c r="C1823">
        <v>112.80800000000001</v>
      </c>
      <c r="D1823" s="15">
        <f t="shared" si="86"/>
        <v>1.2500000000024159E-4</v>
      </c>
      <c r="E1823" s="14">
        <f t="shared" si="84"/>
        <v>6.4953563728469991E-5</v>
      </c>
      <c r="F1823">
        <v>103.38500000000001</v>
      </c>
      <c r="G1823" s="1">
        <f t="shared" si="85"/>
        <v>104.468031</v>
      </c>
    </row>
    <row r="1824" spans="1:7" x14ac:dyDescent="0.3">
      <c r="A1824">
        <v>18220</v>
      </c>
      <c r="B1824">
        <v>1314.1</v>
      </c>
      <c r="C1824">
        <v>112.807</v>
      </c>
      <c r="D1824" s="15">
        <f t="shared" si="86"/>
        <v>1.5000000000000568E-4</v>
      </c>
      <c r="E1824" s="14">
        <f t="shared" si="84"/>
        <v>6.4928072432279994E-5</v>
      </c>
      <c r="F1824">
        <v>103.373</v>
      </c>
      <c r="G1824" s="1">
        <f t="shared" si="85"/>
        <v>104.46690100000001</v>
      </c>
    </row>
    <row r="1825" spans="1:7" x14ac:dyDescent="0.3">
      <c r="A1825">
        <v>18230</v>
      </c>
      <c r="B1825">
        <v>1314.1</v>
      </c>
      <c r="C1825">
        <v>112.806</v>
      </c>
      <c r="D1825" s="15">
        <f t="shared" si="86"/>
        <v>1.2500000000024159E-4</v>
      </c>
      <c r="E1825" s="14">
        <f t="shared" si="84"/>
        <v>6.4902593819429999E-5</v>
      </c>
      <c r="F1825">
        <v>103.36</v>
      </c>
      <c r="G1825" s="1">
        <f t="shared" si="85"/>
        <v>104.465771</v>
      </c>
    </row>
    <row r="1826" spans="1:7" x14ac:dyDescent="0.3">
      <c r="A1826">
        <v>18240</v>
      </c>
      <c r="B1826">
        <v>1314.5</v>
      </c>
      <c r="C1826">
        <v>112.804</v>
      </c>
      <c r="D1826" s="15">
        <f t="shared" si="86"/>
        <v>1.2499999999988632E-4</v>
      </c>
      <c r="E1826" s="14">
        <f t="shared" si="84"/>
        <v>6.487712788991999E-5</v>
      </c>
      <c r="F1826">
        <v>103.348</v>
      </c>
      <c r="G1826" s="1">
        <f t="shared" si="85"/>
        <v>104.464641</v>
      </c>
    </row>
    <row r="1827" spans="1:7" x14ac:dyDescent="0.3">
      <c r="A1827">
        <v>18250</v>
      </c>
      <c r="B1827">
        <v>1314.8</v>
      </c>
      <c r="C1827">
        <v>112.803</v>
      </c>
      <c r="D1827" s="15">
        <f t="shared" si="86"/>
        <v>1.5000000000000568E-4</v>
      </c>
      <c r="E1827" s="14">
        <f t="shared" si="84"/>
        <v>6.4851674643749997E-5</v>
      </c>
      <c r="F1827">
        <v>103.33499999999999</v>
      </c>
      <c r="G1827" s="1">
        <f t="shared" si="85"/>
        <v>104.463511</v>
      </c>
    </row>
    <row r="1828" spans="1:7" x14ac:dyDescent="0.3">
      <c r="A1828">
        <v>18260</v>
      </c>
      <c r="B1828">
        <v>1314.7</v>
      </c>
      <c r="C1828">
        <v>112.80200000000001</v>
      </c>
      <c r="D1828" s="15">
        <f t="shared" si="86"/>
        <v>1.2499999999988632E-4</v>
      </c>
      <c r="E1828" s="14">
        <f t="shared" si="84"/>
        <v>6.4826234080919991E-5</v>
      </c>
      <c r="F1828">
        <v>103.324</v>
      </c>
      <c r="G1828" s="1">
        <f t="shared" si="85"/>
        <v>104.46238100000001</v>
      </c>
    </row>
    <row r="1829" spans="1:7" x14ac:dyDescent="0.3">
      <c r="A1829">
        <v>18270</v>
      </c>
      <c r="B1829">
        <v>1315.3</v>
      </c>
      <c r="C1829">
        <v>112.8</v>
      </c>
      <c r="D1829" s="15">
        <f t="shared" si="86"/>
        <v>1.5000000000000568E-4</v>
      </c>
      <c r="E1829" s="14">
        <f t="shared" si="84"/>
        <v>6.4800806201429999E-5</v>
      </c>
      <c r="F1829">
        <v>103.31100000000001</v>
      </c>
      <c r="G1829" s="1">
        <f t="shared" si="85"/>
        <v>104.461251</v>
      </c>
    </row>
    <row r="1830" spans="1:7" x14ac:dyDescent="0.3">
      <c r="A1830">
        <v>18280</v>
      </c>
      <c r="B1830">
        <v>1314.1</v>
      </c>
      <c r="C1830">
        <v>112.79900000000001</v>
      </c>
      <c r="D1830" s="15">
        <f t="shared" si="86"/>
        <v>1.5000000000000568E-4</v>
      </c>
      <c r="E1830" s="14">
        <f t="shared" si="84"/>
        <v>6.4775391005279995E-5</v>
      </c>
      <c r="F1830">
        <v>103.29900000000001</v>
      </c>
      <c r="G1830" s="1">
        <f t="shared" si="85"/>
        <v>104.460121</v>
      </c>
    </row>
    <row r="1831" spans="1:7" x14ac:dyDescent="0.3">
      <c r="A1831">
        <v>18290</v>
      </c>
      <c r="B1831">
        <v>1310.5</v>
      </c>
      <c r="C1831">
        <v>112.797</v>
      </c>
      <c r="D1831" s="15">
        <f t="shared" si="86"/>
        <v>1.2499999999988632E-4</v>
      </c>
      <c r="E1831" s="14">
        <f t="shared" si="84"/>
        <v>6.4749988492469993E-5</v>
      </c>
      <c r="F1831">
        <v>103.286</v>
      </c>
      <c r="G1831" s="1">
        <f t="shared" si="85"/>
        <v>104.458991</v>
      </c>
    </row>
    <row r="1832" spans="1:7" x14ac:dyDescent="0.3">
      <c r="A1832">
        <v>18300</v>
      </c>
      <c r="B1832">
        <v>1311.2</v>
      </c>
      <c r="C1832">
        <v>112.79600000000001</v>
      </c>
      <c r="D1832" s="15">
        <f t="shared" si="86"/>
        <v>1.5000000000000568E-4</v>
      </c>
      <c r="E1832" s="14">
        <f t="shared" si="84"/>
        <v>6.4724598663000004E-5</v>
      </c>
      <c r="F1832">
        <v>103.274</v>
      </c>
      <c r="G1832" s="1">
        <f t="shared" si="85"/>
        <v>104.45786100000001</v>
      </c>
    </row>
    <row r="1833" spans="1:7" x14ac:dyDescent="0.3">
      <c r="A1833">
        <v>18310</v>
      </c>
      <c r="B1833">
        <v>1311.7</v>
      </c>
      <c r="C1833">
        <v>112.795</v>
      </c>
      <c r="D1833" s="15">
        <f t="shared" si="86"/>
        <v>1.2499999999988632E-4</v>
      </c>
      <c r="E1833" s="14">
        <f t="shared" si="84"/>
        <v>6.4699221516870004E-5</v>
      </c>
      <c r="F1833">
        <v>103.261</v>
      </c>
      <c r="G1833" s="1">
        <f t="shared" si="85"/>
        <v>104.456731</v>
      </c>
    </row>
    <row r="1834" spans="1:7" x14ac:dyDescent="0.3">
      <c r="A1834">
        <v>18320</v>
      </c>
      <c r="B1834">
        <v>1313</v>
      </c>
      <c r="C1834">
        <v>112.79300000000001</v>
      </c>
      <c r="D1834" s="15">
        <f t="shared" si="86"/>
        <v>1.2500000000024159E-4</v>
      </c>
      <c r="E1834" s="14">
        <f t="shared" si="84"/>
        <v>6.4673857054079991E-5</v>
      </c>
      <c r="F1834">
        <v>103.249</v>
      </c>
      <c r="G1834" s="1">
        <f t="shared" si="85"/>
        <v>104.455601</v>
      </c>
    </row>
    <row r="1835" spans="1:7" x14ac:dyDescent="0.3">
      <c r="A1835">
        <v>18330</v>
      </c>
      <c r="B1835">
        <v>1313.4</v>
      </c>
      <c r="C1835">
        <v>112.792</v>
      </c>
      <c r="D1835" s="15">
        <f t="shared" si="86"/>
        <v>1.5000000000000568E-4</v>
      </c>
      <c r="E1835" s="14">
        <f t="shared" si="84"/>
        <v>6.4648505274629992E-5</v>
      </c>
      <c r="F1835">
        <v>103.23699999999999</v>
      </c>
      <c r="G1835" s="1">
        <f t="shared" si="85"/>
        <v>104.454471</v>
      </c>
    </row>
    <row r="1836" spans="1:7" x14ac:dyDescent="0.3">
      <c r="A1836">
        <v>18340</v>
      </c>
      <c r="B1836">
        <v>1314.1</v>
      </c>
      <c r="C1836">
        <v>112.791</v>
      </c>
      <c r="D1836" s="15">
        <f t="shared" si="86"/>
        <v>1.2500000000024159E-4</v>
      </c>
      <c r="E1836" s="14">
        <f t="shared" si="84"/>
        <v>6.4623166178519995E-5</v>
      </c>
      <c r="F1836">
        <v>103.22499999999999</v>
      </c>
      <c r="G1836" s="1">
        <f t="shared" si="85"/>
        <v>104.45334100000001</v>
      </c>
    </row>
    <row r="1837" spans="1:7" x14ac:dyDescent="0.3">
      <c r="A1837">
        <v>18350</v>
      </c>
      <c r="B1837">
        <v>1315.1</v>
      </c>
      <c r="C1837">
        <v>112.789</v>
      </c>
      <c r="D1837" s="15">
        <f t="shared" si="86"/>
        <v>1.2499999999988632E-4</v>
      </c>
      <c r="E1837" s="14">
        <f t="shared" si="84"/>
        <v>6.4597839765749999E-5</v>
      </c>
      <c r="F1837">
        <v>103.212</v>
      </c>
      <c r="G1837" s="1">
        <f t="shared" si="85"/>
        <v>104.45221100000001</v>
      </c>
    </row>
    <row r="1838" spans="1:7" x14ac:dyDescent="0.3">
      <c r="A1838">
        <v>18360</v>
      </c>
      <c r="B1838">
        <v>1315.6</v>
      </c>
      <c r="C1838">
        <v>112.788</v>
      </c>
      <c r="D1838" s="15">
        <f t="shared" si="86"/>
        <v>1.5000000000000568E-4</v>
      </c>
      <c r="E1838" s="14">
        <f t="shared" si="84"/>
        <v>6.4572526036320004E-5</v>
      </c>
      <c r="F1838">
        <v>103.199</v>
      </c>
      <c r="G1838" s="1">
        <f t="shared" si="85"/>
        <v>104.451081</v>
      </c>
    </row>
    <row r="1839" spans="1:7" x14ac:dyDescent="0.3">
      <c r="A1839">
        <v>18370</v>
      </c>
      <c r="B1839">
        <v>1316.1</v>
      </c>
      <c r="C1839">
        <v>112.78700000000001</v>
      </c>
      <c r="D1839" s="15">
        <f t="shared" si="86"/>
        <v>1.2499999999988632E-4</v>
      </c>
      <c r="E1839" s="14">
        <f t="shared" si="84"/>
        <v>6.4547224990229982E-5</v>
      </c>
      <c r="F1839">
        <v>103.187</v>
      </c>
      <c r="G1839" s="1">
        <f t="shared" si="85"/>
        <v>104.449951</v>
      </c>
    </row>
    <row r="1840" spans="1:7" x14ac:dyDescent="0.3">
      <c r="A1840">
        <v>18380</v>
      </c>
      <c r="B1840">
        <v>1317</v>
      </c>
      <c r="C1840">
        <v>112.785</v>
      </c>
      <c r="D1840" s="15">
        <f t="shared" si="86"/>
        <v>1.2499999999988632E-4</v>
      </c>
      <c r="E1840" s="14">
        <f t="shared" si="84"/>
        <v>6.452193662747999E-5</v>
      </c>
      <c r="F1840">
        <v>103.17400000000001</v>
      </c>
      <c r="G1840" s="1">
        <f t="shared" si="85"/>
        <v>104.44882100000001</v>
      </c>
    </row>
    <row r="1841" spans="1:7" x14ac:dyDescent="0.3">
      <c r="A1841">
        <v>18390</v>
      </c>
      <c r="B1841">
        <v>1317.6</v>
      </c>
      <c r="C1841">
        <v>112.78400000000001</v>
      </c>
      <c r="D1841" s="15">
        <f t="shared" si="86"/>
        <v>1.5000000000000568E-4</v>
      </c>
      <c r="E1841" s="14">
        <f t="shared" si="84"/>
        <v>6.4496660948069998E-5</v>
      </c>
      <c r="F1841">
        <v>103.163</v>
      </c>
      <c r="G1841" s="1">
        <f t="shared" si="85"/>
        <v>104.44769100000001</v>
      </c>
    </row>
    <row r="1842" spans="1:7" x14ac:dyDescent="0.3">
      <c r="A1842">
        <v>18400</v>
      </c>
      <c r="B1842">
        <v>1318</v>
      </c>
      <c r="C1842">
        <v>112.783</v>
      </c>
      <c r="D1842" s="15">
        <f t="shared" si="86"/>
        <v>1.2499999999988632E-4</v>
      </c>
      <c r="E1842" s="14">
        <f t="shared" si="84"/>
        <v>6.4471397951999993E-5</v>
      </c>
      <c r="F1842">
        <v>103.15</v>
      </c>
      <c r="G1842" s="1">
        <f t="shared" si="85"/>
        <v>104.446561</v>
      </c>
    </row>
    <row r="1843" spans="1:7" x14ac:dyDescent="0.3">
      <c r="A1843">
        <v>18410</v>
      </c>
      <c r="B1843">
        <v>1319.2</v>
      </c>
      <c r="C1843">
        <v>112.78100000000001</v>
      </c>
      <c r="D1843" s="15">
        <f t="shared" si="86"/>
        <v>1.2500000000024159E-4</v>
      </c>
      <c r="E1843" s="14">
        <f t="shared" si="84"/>
        <v>6.444614763926999E-5</v>
      </c>
      <c r="F1843">
        <v>103.13800000000001</v>
      </c>
      <c r="G1843" s="1">
        <f t="shared" si="85"/>
        <v>104.445431</v>
      </c>
    </row>
    <row r="1844" spans="1:7" x14ac:dyDescent="0.3">
      <c r="A1844">
        <v>18420</v>
      </c>
      <c r="B1844">
        <v>1319.6</v>
      </c>
      <c r="C1844">
        <v>112.78</v>
      </c>
      <c r="D1844" s="15">
        <f t="shared" si="86"/>
        <v>1.5000000000000568E-4</v>
      </c>
      <c r="E1844" s="14">
        <f t="shared" si="84"/>
        <v>6.4420910009880002E-5</v>
      </c>
      <c r="F1844">
        <v>103.125</v>
      </c>
      <c r="G1844" s="1">
        <f t="shared" si="85"/>
        <v>104.444301</v>
      </c>
    </row>
    <row r="1845" spans="1:7" x14ac:dyDescent="0.3">
      <c r="A1845">
        <v>18430</v>
      </c>
      <c r="B1845">
        <v>1320.2</v>
      </c>
      <c r="C1845">
        <v>112.779</v>
      </c>
      <c r="D1845" s="15">
        <f t="shared" si="86"/>
        <v>1.2500000000024159E-4</v>
      </c>
      <c r="E1845" s="14">
        <f t="shared" si="84"/>
        <v>6.4395685063829987E-5</v>
      </c>
      <c r="F1845">
        <v>103.113</v>
      </c>
      <c r="G1845" s="1">
        <f t="shared" si="85"/>
        <v>104.44317100000001</v>
      </c>
    </row>
    <row r="1846" spans="1:7" x14ac:dyDescent="0.3">
      <c r="A1846">
        <v>18440</v>
      </c>
      <c r="B1846">
        <v>1320.9</v>
      </c>
      <c r="C1846">
        <v>112.777</v>
      </c>
      <c r="D1846" s="15">
        <f t="shared" si="86"/>
        <v>1.2499999999988632E-4</v>
      </c>
      <c r="E1846" s="14">
        <f t="shared" si="84"/>
        <v>6.4370472801120001E-5</v>
      </c>
      <c r="F1846">
        <v>103.1</v>
      </c>
      <c r="G1846" s="1">
        <f t="shared" si="85"/>
        <v>104.442041</v>
      </c>
    </row>
    <row r="1847" spans="1:7" x14ac:dyDescent="0.3">
      <c r="A1847">
        <v>18450</v>
      </c>
      <c r="B1847">
        <v>1321.2</v>
      </c>
      <c r="C1847">
        <v>112.776</v>
      </c>
      <c r="D1847" s="15">
        <f t="shared" si="86"/>
        <v>1.5000000000000568E-4</v>
      </c>
      <c r="E1847" s="14">
        <f t="shared" si="84"/>
        <v>6.4345273221749988E-5</v>
      </c>
      <c r="F1847">
        <v>103.08799999999999</v>
      </c>
      <c r="G1847" s="1">
        <f t="shared" si="85"/>
        <v>104.440911</v>
      </c>
    </row>
    <row r="1848" spans="1:7" x14ac:dyDescent="0.3">
      <c r="A1848">
        <v>18460</v>
      </c>
      <c r="B1848">
        <v>1322</v>
      </c>
      <c r="C1848">
        <v>112.77500000000001</v>
      </c>
      <c r="D1848" s="15">
        <f t="shared" si="86"/>
        <v>1.2499999999988632E-4</v>
      </c>
      <c r="E1848" s="14">
        <f t="shared" si="84"/>
        <v>6.432008632571999E-5</v>
      </c>
      <c r="F1848">
        <v>103.07599999999999</v>
      </c>
      <c r="G1848" s="1">
        <f t="shared" si="85"/>
        <v>104.439781</v>
      </c>
    </row>
    <row r="1849" spans="1:7" x14ac:dyDescent="0.3">
      <c r="A1849">
        <v>18470</v>
      </c>
      <c r="B1849">
        <v>1322.7</v>
      </c>
      <c r="C1849">
        <v>112.773</v>
      </c>
      <c r="D1849" s="15">
        <f t="shared" si="86"/>
        <v>1.2499999999988632E-4</v>
      </c>
      <c r="E1849" s="14">
        <f t="shared" si="84"/>
        <v>6.4294912113029994E-5</v>
      </c>
      <c r="F1849">
        <v>103.063</v>
      </c>
      <c r="G1849" s="1">
        <f t="shared" si="85"/>
        <v>104.43865100000001</v>
      </c>
    </row>
    <row r="1850" spans="1:7" x14ac:dyDescent="0.3">
      <c r="A1850">
        <v>18480</v>
      </c>
      <c r="B1850">
        <v>1323.3</v>
      </c>
      <c r="C1850">
        <v>112.77200000000001</v>
      </c>
      <c r="D1850" s="15">
        <f t="shared" si="86"/>
        <v>1.2500000000024159E-4</v>
      </c>
      <c r="E1850" s="14">
        <f t="shared" si="84"/>
        <v>6.4269750583679998E-5</v>
      </c>
      <c r="F1850">
        <v>103.051</v>
      </c>
      <c r="G1850" s="1">
        <f t="shared" si="85"/>
        <v>104.437521</v>
      </c>
    </row>
    <row r="1851" spans="1:7" x14ac:dyDescent="0.3">
      <c r="A1851">
        <v>18490</v>
      </c>
      <c r="B1851">
        <v>1323.7</v>
      </c>
      <c r="C1851">
        <v>112.771</v>
      </c>
      <c r="D1851" s="15">
        <f t="shared" si="86"/>
        <v>1.2499999999988632E-4</v>
      </c>
      <c r="E1851" s="14">
        <f t="shared" si="84"/>
        <v>6.4244601737670004E-5</v>
      </c>
      <c r="F1851">
        <v>103.038</v>
      </c>
      <c r="G1851" s="1">
        <f t="shared" si="85"/>
        <v>104.436391</v>
      </c>
    </row>
    <row r="1852" spans="1:7" x14ac:dyDescent="0.3">
      <c r="A1852">
        <v>18500</v>
      </c>
      <c r="B1852">
        <v>1324.8</v>
      </c>
      <c r="C1852">
        <v>112.77</v>
      </c>
      <c r="D1852" s="15">
        <f t="shared" si="86"/>
        <v>1.2500000000024159E-4</v>
      </c>
      <c r="E1852" s="14">
        <f t="shared" si="84"/>
        <v>6.421946557500001E-5</v>
      </c>
      <c r="F1852">
        <v>103.026</v>
      </c>
      <c r="G1852" s="1">
        <f t="shared" si="85"/>
        <v>104.435261</v>
      </c>
    </row>
    <row r="1853" spans="1:7" x14ac:dyDescent="0.3">
      <c r="A1853">
        <v>18510</v>
      </c>
      <c r="B1853">
        <v>1325.6</v>
      </c>
      <c r="C1853">
        <v>112.768</v>
      </c>
      <c r="D1853" s="15">
        <f t="shared" si="86"/>
        <v>1.2499999999988632E-4</v>
      </c>
      <c r="E1853" s="14">
        <f t="shared" si="84"/>
        <v>6.4194342095669991E-5</v>
      </c>
      <c r="F1853">
        <v>103.014</v>
      </c>
      <c r="G1853" s="1">
        <f t="shared" si="85"/>
        <v>104.43413100000001</v>
      </c>
    </row>
    <row r="1854" spans="1:7" x14ac:dyDescent="0.3">
      <c r="A1854">
        <v>18520</v>
      </c>
      <c r="B1854">
        <v>1326.6</v>
      </c>
      <c r="C1854">
        <v>112.767</v>
      </c>
      <c r="D1854" s="15">
        <f t="shared" si="86"/>
        <v>1.5000000000000568E-4</v>
      </c>
      <c r="E1854" s="14">
        <f t="shared" si="84"/>
        <v>6.416923129968E-5</v>
      </c>
      <c r="F1854">
        <v>103.001</v>
      </c>
      <c r="G1854" s="1">
        <f t="shared" si="85"/>
        <v>104.433001</v>
      </c>
    </row>
    <row r="1855" spans="1:7" x14ac:dyDescent="0.3">
      <c r="A1855">
        <v>18530</v>
      </c>
      <c r="B1855">
        <v>1327.3</v>
      </c>
      <c r="C1855">
        <v>112.76600000000001</v>
      </c>
      <c r="D1855" s="15">
        <f t="shared" si="86"/>
        <v>1.2499999999988632E-4</v>
      </c>
      <c r="E1855" s="14">
        <f t="shared" si="84"/>
        <v>6.4144133187029982E-5</v>
      </c>
      <c r="F1855">
        <v>102.989</v>
      </c>
      <c r="G1855" s="1">
        <f t="shared" si="85"/>
        <v>104.431871</v>
      </c>
    </row>
    <row r="1856" spans="1:7" x14ac:dyDescent="0.3">
      <c r="A1856">
        <v>18540</v>
      </c>
      <c r="B1856">
        <v>1328</v>
      </c>
      <c r="C1856">
        <v>112.764</v>
      </c>
      <c r="D1856" s="15">
        <f t="shared" si="86"/>
        <v>1.2499999999988632E-4</v>
      </c>
      <c r="E1856" s="14">
        <f t="shared" si="84"/>
        <v>6.4119047757719993E-5</v>
      </c>
      <c r="F1856">
        <v>102.976</v>
      </c>
      <c r="G1856" s="1">
        <f t="shared" si="85"/>
        <v>104.430741</v>
      </c>
    </row>
    <row r="1857" spans="1:7" x14ac:dyDescent="0.3">
      <c r="A1857">
        <v>18550</v>
      </c>
      <c r="B1857">
        <v>1329</v>
      </c>
      <c r="C1857">
        <v>112.76300000000001</v>
      </c>
      <c r="D1857" s="15">
        <f t="shared" si="86"/>
        <v>1.2500000000024159E-4</v>
      </c>
      <c r="E1857" s="14">
        <f t="shared" si="84"/>
        <v>6.4093975011750005E-5</v>
      </c>
      <c r="F1857">
        <v>102.964</v>
      </c>
      <c r="G1857" s="1">
        <f t="shared" si="85"/>
        <v>104.42961100000001</v>
      </c>
    </row>
    <row r="1858" spans="1:7" x14ac:dyDescent="0.3">
      <c r="A1858">
        <v>18560</v>
      </c>
      <c r="B1858">
        <v>1329.3</v>
      </c>
      <c r="C1858">
        <v>112.762</v>
      </c>
      <c r="D1858" s="15">
        <f t="shared" si="86"/>
        <v>1.2499999999988632E-4</v>
      </c>
      <c r="E1858" s="14">
        <f t="shared" ref="E1858:E1921" si="87">0.0000000000000634167*A1858*A1858 - 0.0000000048594*A1858 + 0.000132414</f>
        <v>6.4068914949119991E-5</v>
      </c>
      <c r="F1858">
        <v>102.952</v>
      </c>
      <c r="G1858" s="1">
        <f t="shared" si="85"/>
        <v>104.428481</v>
      </c>
    </row>
    <row r="1859" spans="1:7" x14ac:dyDescent="0.3">
      <c r="A1859">
        <v>18570</v>
      </c>
      <c r="B1859">
        <v>1330.2</v>
      </c>
      <c r="C1859">
        <v>112.761</v>
      </c>
      <c r="D1859" s="15">
        <f t="shared" si="86"/>
        <v>1.2500000000024159E-4</v>
      </c>
      <c r="E1859" s="14">
        <f t="shared" si="87"/>
        <v>6.4043867569829992E-5</v>
      </c>
      <c r="F1859">
        <v>102.93899999999999</v>
      </c>
      <c r="G1859" s="1">
        <f t="shared" ref="G1859:G1922" si="88">-0.000113*A1859 + 106.525761</f>
        <v>104.427351</v>
      </c>
    </row>
    <row r="1860" spans="1:7" x14ac:dyDescent="0.3">
      <c r="A1860">
        <v>18580</v>
      </c>
      <c r="B1860">
        <v>1330.9</v>
      </c>
      <c r="C1860">
        <v>112.759</v>
      </c>
      <c r="D1860" s="15">
        <f t="shared" si="86"/>
        <v>1.2499999999988632E-4</v>
      </c>
      <c r="E1860" s="14">
        <f t="shared" si="87"/>
        <v>6.4018832873879994E-5</v>
      </c>
      <c r="F1860">
        <v>102.92700000000001</v>
      </c>
      <c r="G1860" s="1">
        <f t="shared" si="88"/>
        <v>104.426221</v>
      </c>
    </row>
    <row r="1861" spans="1:7" x14ac:dyDescent="0.3">
      <c r="A1861">
        <v>18590</v>
      </c>
      <c r="B1861">
        <v>1331.6</v>
      </c>
      <c r="C1861">
        <v>112.758</v>
      </c>
      <c r="D1861" s="15">
        <f t="shared" ref="D1861:D1924" si="89">(C1859-C1863)/(A1863-A1859)</f>
        <v>1.2499999999988632E-4</v>
      </c>
      <c r="E1861" s="14">
        <f t="shared" si="87"/>
        <v>6.3993810861269997E-5</v>
      </c>
      <c r="F1861">
        <v>102.914</v>
      </c>
      <c r="G1861" s="1">
        <f t="shared" si="88"/>
        <v>104.42509100000001</v>
      </c>
    </row>
    <row r="1862" spans="1:7" x14ac:dyDescent="0.3">
      <c r="A1862">
        <v>18600</v>
      </c>
      <c r="B1862">
        <v>1332.1</v>
      </c>
      <c r="C1862">
        <v>112.75700000000001</v>
      </c>
      <c r="D1862" s="15">
        <f t="shared" si="89"/>
        <v>1.2499999999988632E-4</v>
      </c>
      <c r="E1862" s="14">
        <f t="shared" si="87"/>
        <v>6.3968801532000001E-5</v>
      </c>
      <c r="F1862">
        <v>102.902</v>
      </c>
      <c r="G1862" s="1">
        <f t="shared" si="88"/>
        <v>104.42396100000001</v>
      </c>
    </row>
    <row r="1863" spans="1:7" x14ac:dyDescent="0.3">
      <c r="A1863">
        <v>18610</v>
      </c>
      <c r="B1863">
        <v>1333.1</v>
      </c>
      <c r="C1863">
        <v>112.756</v>
      </c>
      <c r="D1863" s="15">
        <f t="shared" si="89"/>
        <v>1.2499999999988632E-4</v>
      </c>
      <c r="E1863" s="14">
        <f t="shared" si="87"/>
        <v>6.3943804886070006E-5</v>
      </c>
      <c r="F1863">
        <v>102.89</v>
      </c>
      <c r="G1863" s="1">
        <f t="shared" si="88"/>
        <v>104.422831</v>
      </c>
    </row>
    <row r="1864" spans="1:7" x14ac:dyDescent="0.3">
      <c r="A1864">
        <v>18620</v>
      </c>
      <c r="B1864">
        <v>1333.4</v>
      </c>
      <c r="C1864">
        <v>112.754</v>
      </c>
      <c r="D1864" s="15">
        <f t="shared" si="89"/>
        <v>1.2500000000024159E-4</v>
      </c>
      <c r="E1864" s="14">
        <f t="shared" si="87"/>
        <v>6.3918820923479985E-5</v>
      </c>
      <c r="F1864">
        <v>102.877</v>
      </c>
      <c r="G1864" s="1">
        <f t="shared" si="88"/>
        <v>104.421701</v>
      </c>
    </row>
    <row r="1865" spans="1:7" x14ac:dyDescent="0.3">
      <c r="A1865">
        <v>18630</v>
      </c>
      <c r="B1865">
        <v>1334</v>
      </c>
      <c r="C1865">
        <v>112.753</v>
      </c>
      <c r="D1865" s="15">
        <f t="shared" si="89"/>
        <v>1.2499999999988632E-4</v>
      </c>
      <c r="E1865" s="14">
        <f t="shared" si="87"/>
        <v>6.3893849644229992E-5</v>
      </c>
      <c r="F1865">
        <v>102.86499999999999</v>
      </c>
      <c r="G1865" s="1">
        <f t="shared" si="88"/>
        <v>104.42057100000001</v>
      </c>
    </row>
    <row r="1866" spans="1:7" x14ac:dyDescent="0.3">
      <c r="A1866">
        <v>18640</v>
      </c>
      <c r="B1866">
        <v>1334.6</v>
      </c>
      <c r="C1866">
        <v>112.752</v>
      </c>
      <c r="D1866" s="15">
        <f t="shared" si="89"/>
        <v>1.2500000000024159E-4</v>
      </c>
      <c r="E1866" s="14">
        <f t="shared" si="87"/>
        <v>6.3868891048319987E-5</v>
      </c>
      <c r="F1866">
        <v>102.85299999999999</v>
      </c>
      <c r="G1866" s="1">
        <f t="shared" si="88"/>
        <v>104.41944100000001</v>
      </c>
    </row>
    <row r="1867" spans="1:7" x14ac:dyDescent="0.3">
      <c r="A1867">
        <v>18650</v>
      </c>
      <c r="B1867">
        <v>1335.2</v>
      </c>
      <c r="C1867">
        <v>112.751</v>
      </c>
      <c r="D1867" s="15">
        <f t="shared" si="89"/>
        <v>1.2499999999988632E-4</v>
      </c>
      <c r="E1867" s="14">
        <f t="shared" si="87"/>
        <v>6.3843945135749996E-5</v>
      </c>
      <c r="F1867">
        <v>102.84</v>
      </c>
      <c r="G1867" s="1">
        <f t="shared" si="88"/>
        <v>104.418311</v>
      </c>
    </row>
    <row r="1868" spans="1:7" x14ac:dyDescent="0.3">
      <c r="A1868">
        <v>18660</v>
      </c>
      <c r="B1868">
        <v>1335.7</v>
      </c>
      <c r="C1868">
        <v>112.749</v>
      </c>
      <c r="D1868" s="15">
        <f t="shared" si="89"/>
        <v>1.2499999999988632E-4</v>
      </c>
      <c r="E1868" s="14">
        <f t="shared" si="87"/>
        <v>6.3819011906519993E-5</v>
      </c>
      <c r="F1868">
        <v>102.828</v>
      </c>
      <c r="G1868" s="1">
        <f t="shared" si="88"/>
        <v>104.417181</v>
      </c>
    </row>
    <row r="1869" spans="1:7" x14ac:dyDescent="0.3">
      <c r="A1869">
        <v>18670</v>
      </c>
      <c r="B1869">
        <v>1336.5</v>
      </c>
      <c r="C1869">
        <v>112.748</v>
      </c>
      <c r="D1869" s="15">
        <f t="shared" si="89"/>
        <v>1.2500000000024159E-4</v>
      </c>
      <c r="E1869" s="14">
        <f t="shared" si="87"/>
        <v>6.3794091360629991E-5</v>
      </c>
      <c r="F1869">
        <v>102.815</v>
      </c>
      <c r="G1869" s="1">
        <f t="shared" si="88"/>
        <v>104.41605100000001</v>
      </c>
    </row>
    <row r="1870" spans="1:7" x14ac:dyDescent="0.3">
      <c r="A1870">
        <v>18680</v>
      </c>
      <c r="B1870">
        <v>1336.8</v>
      </c>
      <c r="C1870">
        <v>112.747</v>
      </c>
      <c r="D1870" s="15">
        <f t="shared" si="89"/>
        <v>1.2499999999988632E-4</v>
      </c>
      <c r="E1870" s="14">
        <f t="shared" si="87"/>
        <v>6.3769183498079991E-5</v>
      </c>
      <c r="F1870">
        <v>102.803</v>
      </c>
      <c r="G1870" s="1">
        <f t="shared" si="88"/>
        <v>104.41492100000001</v>
      </c>
    </row>
    <row r="1871" spans="1:7" x14ac:dyDescent="0.3">
      <c r="A1871">
        <v>18690</v>
      </c>
      <c r="B1871">
        <v>1337.4</v>
      </c>
      <c r="C1871">
        <v>112.746</v>
      </c>
      <c r="D1871" s="15">
        <f t="shared" si="89"/>
        <v>1.2500000000024159E-4</v>
      </c>
      <c r="E1871" s="14">
        <f t="shared" si="87"/>
        <v>6.3744288318870004E-5</v>
      </c>
      <c r="F1871">
        <v>102.791</v>
      </c>
      <c r="G1871" s="1">
        <f t="shared" si="88"/>
        <v>104.413791</v>
      </c>
    </row>
    <row r="1872" spans="1:7" x14ac:dyDescent="0.3">
      <c r="A1872">
        <v>18700</v>
      </c>
      <c r="B1872">
        <v>1338.1</v>
      </c>
      <c r="C1872">
        <v>112.744</v>
      </c>
      <c r="D1872" s="15">
        <f t="shared" si="89"/>
        <v>1.2499999999988632E-4</v>
      </c>
      <c r="E1872" s="14">
        <f t="shared" si="87"/>
        <v>6.3719405822999992E-5</v>
      </c>
      <c r="F1872">
        <v>102.77800000000001</v>
      </c>
      <c r="G1872" s="1">
        <f t="shared" si="88"/>
        <v>104.412661</v>
      </c>
    </row>
    <row r="1873" spans="1:7" x14ac:dyDescent="0.3">
      <c r="A1873">
        <v>18710</v>
      </c>
      <c r="B1873">
        <v>1338.8</v>
      </c>
      <c r="C1873">
        <v>112.74299999999999</v>
      </c>
      <c r="D1873" s="15">
        <f t="shared" si="89"/>
        <v>1.2499999999988632E-4</v>
      </c>
      <c r="E1873" s="14">
        <f t="shared" si="87"/>
        <v>6.3694536010469995E-5</v>
      </c>
      <c r="F1873">
        <v>102.765</v>
      </c>
      <c r="G1873" s="1">
        <f t="shared" si="88"/>
        <v>104.411531</v>
      </c>
    </row>
    <row r="1874" spans="1:7" x14ac:dyDescent="0.3">
      <c r="A1874">
        <v>18720</v>
      </c>
      <c r="B1874">
        <v>1339.2</v>
      </c>
      <c r="C1874">
        <v>112.742</v>
      </c>
      <c r="D1874" s="15">
        <f t="shared" si="89"/>
        <v>1.0000000000012221E-4</v>
      </c>
      <c r="E1874" s="14">
        <f t="shared" si="87"/>
        <v>6.3669678881279985E-5</v>
      </c>
      <c r="F1874">
        <v>102.754</v>
      </c>
      <c r="G1874" s="1">
        <f t="shared" si="88"/>
        <v>104.41040100000001</v>
      </c>
    </row>
    <row r="1875" spans="1:7" x14ac:dyDescent="0.3">
      <c r="A1875">
        <v>18730</v>
      </c>
      <c r="B1875">
        <v>1339.9</v>
      </c>
      <c r="C1875">
        <v>112.741</v>
      </c>
      <c r="D1875" s="15">
        <f t="shared" si="89"/>
        <v>1.2499999999988632E-4</v>
      </c>
      <c r="E1875" s="14">
        <f t="shared" si="87"/>
        <v>6.3644834435429989E-5</v>
      </c>
      <c r="F1875">
        <v>102.741</v>
      </c>
      <c r="G1875" s="1">
        <f t="shared" si="88"/>
        <v>104.409271</v>
      </c>
    </row>
    <row r="1876" spans="1:7" x14ac:dyDescent="0.3">
      <c r="A1876">
        <v>18740</v>
      </c>
      <c r="B1876">
        <v>1340.3</v>
      </c>
      <c r="C1876">
        <v>112.74</v>
      </c>
      <c r="D1876" s="15">
        <f t="shared" si="89"/>
        <v>1.2500000000024159E-4</v>
      </c>
      <c r="E1876" s="14">
        <f t="shared" si="87"/>
        <v>6.3620002672920008E-5</v>
      </c>
      <c r="F1876">
        <v>102.729</v>
      </c>
      <c r="G1876" s="1">
        <f t="shared" si="88"/>
        <v>104.408141</v>
      </c>
    </row>
    <row r="1877" spans="1:7" x14ac:dyDescent="0.3">
      <c r="A1877">
        <v>18750</v>
      </c>
      <c r="B1877">
        <v>1341.2</v>
      </c>
      <c r="C1877">
        <v>112.738</v>
      </c>
      <c r="D1877" s="15">
        <f t="shared" si="89"/>
        <v>1.2499999999988632E-4</v>
      </c>
      <c r="E1877" s="14">
        <f t="shared" si="87"/>
        <v>6.3595183593749988E-5</v>
      </c>
      <c r="F1877">
        <v>102.71599999999999</v>
      </c>
      <c r="G1877" s="1">
        <f t="shared" si="88"/>
        <v>104.407011</v>
      </c>
    </row>
    <row r="1878" spans="1:7" x14ac:dyDescent="0.3">
      <c r="A1878">
        <v>18760</v>
      </c>
      <c r="B1878">
        <v>1341.6</v>
      </c>
      <c r="C1878">
        <v>112.73699999999999</v>
      </c>
      <c r="D1878" s="15">
        <f t="shared" si="89"/>
        <v>1.2499999999988632E-4</v>
      </c>
      <c r="E1878" s="14">
        <f t="shared" si="87"/>
        <v>6.3570377197919996E-5</v>
      </c>
      <c r="F1878">
        <v>102.70399999999999</v>
      </c>
      <c r="G1878" s="1">
        <f t="shared" si="88"/>
        <v>104.40588100000001</v>
      </c>
    </row>
    <row r="1879" spans="1:7" x14ac:dyDescent="0.3">
      <c r="A1879">
        <v>18770</v>
      </c>
      <c r="B1879">
        <v>1342.3</v>
      </c>
      <c r="C1879">
        <v>112.736</v>
      </c>
      <c r="D1879" s="15">
        <f t="shared" si="89"/>
        <v>1.0000000000012221E-4</v>
      </c>
      <c r="E1879" s="14">
        <f t="shared" si="87"/>
        <v>6.3545583485430005E-5</v>
      </c>
      <c r="F1879">
        <v>102.69199999999999</v>
      </c>
      <c r="G1879" s="1">
        <f t="shared" si="88"/>
        <v>104.404751</v>
      </c>
    </row>
    <row r="1880" spans="1:7" x14ac:dyDescent="0.3">
      <c r="A1880">
        <v>18780</v>
      </c>
      <c r="B1880">
        <v>1342.6</v>
      </c>
      <c r="C1880">
        <v>112.735</v>
      </c>
      <c r="D1880" s="15">
        <f t="shared" si="89"/>
        <v>1.2499999999988632E-4</v>
      </c>
      <c r="E1880" s="14">
        <f t="shared" si="87"/>
        <v>6.3520802456279988E-5</v>
      </c>
      <c r="F1880">
        <v>102.679</v>
      </c>
      <c r="G1880" s="1">
        <f t="shared" si="88"/>
        <v>104.403621</v>
      </c>
    </row>
    <row r="1881" spans="1:7" x14ac:dyDescent="0.3">
      <c r="A1881">
        <v>18790</v>
      </c>
      <c r="B1881">
        <v>1343.5</v>
      </c>
      <c r="C1881">
        <v>112.73399999999999</v>
      </c>
      <c r="D1881" s="15">
        <f t="shared" si="89"/>
        <v>1.2500000000024159E-4</v>
      </c>
      <c r="E1881" s="14">
        <f t="shared" si="87"/>
        <v>6.3496034110469999E-5</v>
      </c>
      <c r="F1881">
        <v>102.666</v>
      </c>
      <c r="G1881" s="1">
        <f t="shared" si="88"/>
        <v>104.402491</v>
      </c>
    </row>
    <row r="1882" spans="1:7" x14ac:dyDescent="0.3">
      <c r="A1882">
        <v>18800</v>
      </c>
      <c r="B1882">
        <v>1343.9</v>
      </c>
      <c r="C1882">
        <v>112.732</v>
      </c>
      <c r="D1882" s="15">
        <f t="shared" si="89"/>
        <v>1.2499999999988632E-4</v>
      </c>
      <c r="E1882" s="14">
        <f t="shared" si="87"/>
        <v>6.3471278447999998E-5</v>
      </c>
      <c r="F1882">
        <v>102.655</v>
      </c>
      <c r="G1882" s="1">
        <f t="shared" si="88"/>
        <v>104.40136100000001</v>
      </c>
    </row>
    <row r="1883" spans="1:7" x14ac:dyDescent="0.3">
      <c r="A1883">
        <v>18810</v>
      </c>
      <c r="B1883">
        <v>1344.5</v>
      </c>
      <c r="C1883">
        <v>112.73099999999999</v>
      </c>
      <c r="D1883" s="15">
        <f t="shared" si="89"/>
        <v>1.2499999999988632E-4</v>
      </c>
      <c r="E1883" s="14">
        <f t="shared" si="87"/>
        <v>6.3446535468869998E-5</v>
      </c>
      <c r="F1883">
        <v>102.642</v>
      </c>
      <c r="G1883" s="1">
        <f t="shared" si="88"/>
        <v>104.40023100000001</v>
      </c>
    </row>
    <row r="1884" spans="1:7" x14ac:dyDescent="0.3">
      <c r="A1884">
        <v>18820</v>
      </c>
      <c r="B1884">
        <v>1344.6</v>
      </c>
      <c r="C1884">
        <v>112.73</v>
      </c>
      <c r="D1884" s="15">
        <f t="shared" si="89"/>
        <v>1.0000000000012221E-4</v>
      </c>
      <c r="E1884" s="14">
        <f t="shared" si="87"/>
        <v>6.3421805173079999E-5</v>
      </c>
      <c r="F1884">
        <v>102.629</v>
      </c>
      <c r="G1884" s="1">
        <f t="shared" si="88"/>
        <v>104.399101</v>
      </c>
    </row>
    <row r="1885" spans="1:7" x14ac:dyDescent="0.3">
      <c r="A1885">
        <v>18830</v>
      </c>
      <c r="B1885">
        <v>1345.5</v>
      </c>
      <c r="C1885">
        <v>112.729</v>
      </c>
      <c r="D1885" s="15">
        <f t="shared" si="89"/>
        <v>1.2499999999988632E-4</v>
      </c>
      <c r="E1885" s="14">
        <f t="shared" si="87"/>
        <v>6.3397087560629987E-5</v>
      </c>
      <c r="F1885">
        <v>102.617</v>
      </c>
      <c r="G1885" s="1">
        <f t="shared" si="88"/>
        <v>104.397971</v>
      </c>
    </row>
    <row r="1886" spans="1:7" x14ac:dyDescent="0.3">
      <c r="A1886">
        <v>18840</v>
      </c>
      <c r="B1886">
        <v>1346.1</v>
      </c>
      <c r="C1886">
        <v>112.72799999999999</v>
      </c>
      <c r="D1886" s="15">
        <f t="shared" si="89"/>
        <v>1.2500000000024159E-4</v>
      </c>
      <c r="E1886" s="14">
        <f t="shared" si="87"/>
        <v>6.337238263151999E-5</v>
      </c>
      <c r="F1886">
        <v>102.605</v>
      </c>
      <c r="G1886" s="1">
        <f t="shared" si="88"/>
        <v>104.39684100000001</v>
      </c>
    </row>
    <row r="1887" spans="1:7" x14ac:dyDescent="0.3">
      <c r="A1887">
        <v>18850</v>
      </c>
      <c r="B1887">
        <v>1346.5</v>
      </c>
      <c r="C1887">
        <v>112.726</v>
      </c>
      <c r="D1887" s="15">
        <f t="shared" si="89"/>
        <v>1.2499999999988632E-4</v>
      </c>
      <c r="E1887" s="14">
        <f t="shared" si="87"/>
        <v>6.3347690385750008E-5</v>
      </c>
      <c r="F1887">
        <v>102.592</v>
      </c>
      <c r="G1887" s="1">
        <f t="shared" si="88"/>
        <v>104.39571100000001</v>
      </c>
    </row>
    <row r="1888" spans="1:7" x14ac:dyDescent="0.3">
      <c r="A1888">
        <v>18860</v>
      </c>
      <c r="B1888">
        <v>1347.2</v>
      </c>
      <c r="C1888">
        <v>112.72499999999999</v>
      </c>
      <c r="D1888" s="15">
        <f t="shared" si="89"/>
        <v>1.2499999999988632E-4</v>
      </c>
      <c r="E1888" s="14">
        <f t="shared" si="87"/>
        <v>6.3323010823319986E-5</v>
      </c>
      <c r="F1888">
        <v>102.58</v>
      </c>
      <c r="G1888" s="1">
        <f t="shared" si="88"/>
        <v>104.394581</v>
      </c>
    </row>
    <row r="1889" spans="1:7" x14ac:dyDescent="0.3">
      <c r="A1889">
        <v>18870</v>
      </c>
      <c r="B1889">
        <v>1347.6</v>
      </c>
      <c r="C1889">
        <v>112.724</v>
      </c>
      <c r="D1889" s="15">
        <f t="shared" si="89"/>
        <v>1.0000000000012221E-4</v>
      </c>
      <c r="E1889" s="14">
        <f t="shared" si="87"/>
        <v>6.3298343944229993E-5</v>
      </c>
      <c r="F1889">
        <v>102.568</v>
      </c>
      <c r="G1889" s="1">
        <f t="shared" si="88"/>
        <v>104.393451</v>
      </c>
    </row>
    <row r="1890" spans="1:7" x14ac:dyDescent="0.3">
      <c r="A1890">
        <v>18880</v>
      </c>
      <c r="B1890">
        <v>1347.8</v>
      </c>
      <c r="C1890">
        <v>112.723</v>
      </c>
      <c r="D1890" s="15">
        <f t="shared" si="89"/>
        <v>9.9999999999766942E-5</v>
      </c>
      <c r="E1890" s="14">
        <f t="shared" si="87"/>
        <v>6.327368974848E-5</v>
      </c>
      <c r="F1890">
        <v>102.55500000000001</v>
      </c>
      <c r="G1890" s="1">
        <f t="shared" si="88"/>
        <v>104.39232100000001</v>
      </c>
    </row>
    <row r="1891" spans="1:7" x14ac:dyDescent="0.3">
      <c r="A1891">
        <v>18890</v>
      </c>
      <c r="B1891">
        <v>1348.3</v>
      </c>
      <c r="C1891">
        <v>112.72199999999999</v>
      </c>
      <c r="D1891" s="15">
        <f t="shared" si="89"/>
        <v>1.0000000000012221E-4</v>
      </c>
      <c r="E1891" s="14">
        <f t="shared" si="87"/>
        <v>6.3249048236069995E-5</v>
      </c>
      <c r="F1891">
        <v>102.542</v>
      </c>
      <c r="G1891" s="1">
        <f t="shared" si="88"/>
        <v>104.39119100000001</v>
      </c>
    </row>
    <row r="1892" spans="1:7" x14ac:dyDescent="0.3">
      <c r="A1892">
        <v>18900</v>
      </c>
      <c r="B1892">
        <v>1348.9</v>
      </c>
      <c r="C1892">
        <v>112.721</v>
      </c>
      <c r="D1892" s="15">
        <f t="shared" si="89"/>
        <v>1.2499999999988632E-4</v>
      </c>
      <c r="E1892" s="14">
        <f t="shared" si="87"/>
        <v>6.3224419407000005E-5</v>
      </c>
      <c r="F1892">
        <v>102.53</v>
      </c>
      <c r="G1892" s="1">
        <f t="shared" si="88"/>
        <v>104.390061</v>
      </c>
    </row>
    <row r="1893" spans="1:7" x14ac:dyDescent="0.3">
      <c r="A1893">
        <v>18910</v>
      </c>
      <c r="B1893">
        <v>1349.2</v>
      </c>
      <c r="C1893">
        <v>112.72</v>
      </c>
      <c r="D1893" s="15">
        <f t="shared" si="89"/>
        <v>1.2499999999988632E-4</v>
      </c>
      <c r="E1893" s="14">
        <f t="shared" si="87"/>
        <v>6.3199803261269988E-5</v>
      </c>
      <c r="F1893">
        <v>102.518</v>
      </c>
      <c r="G1893" s="1">
        <f t="shared" si="88"/>
        <v>104.388931</v>
      </c>
    </row>
    <row r="1894" spans="1:7" x14ac:dyDescent="0.3">
      <c r="A1894">
        <v>18920</v>
      </c>
      <c r="B1894">
        <v>1349.8</v>
      </c>
      <c r="C1894">
        <v>112.718</v>
      </c>
      <c r="D1894" s="15">
        <f t="shared" si="89"/>
        <v>1.2500000000024159E-4</v>
      </c>
      <c r="E1894" s="14">
        <f t="shared" si="87"/>
        <v>6.317519979888E-5</v>
      </c>
      <c r="F1894">
        <v>102.505</v>
      </c>
      <c r="G1894" s="1">
        <f t="shared" si="88"/>
        <v>104.387801</v>
      </c>
    </row>
    <row r="1895" spans="1:7" x14ac:dyDescent="0.3">
      <c r="A1895">
        <v>18930</v>
      </c>
      <c r="B1895">
        <v>1417.3</v>
      </c>
      <c r="C1895">
        <v>112.717</v>
      </c>
      <c r="D1895" s="15">
        <f t="shared" si="89"/>
        <v>1.2499999999988632E-4</v>
      </c>
      <c r="E1895" s="14">
        <f t="shared" si="87"/>
        <v>6.315060901983E-5</v>
      </c>
      <c r="F1895">
        <v>102.52200000000001</v>
      </c>
      <c r="G1895" s="1">
        <f t="shared" si="88"/>
        <v>104.38667100000001</v>
      </c>
    </row>
    <row r="1896" spans="1:7" x14ac:dyDescent="0.3">
      <c r="A1896">
        <v>18940</v>
      </c>
      <c r="B1896">
        <v>1419</v>
      </c>
      <c r="C1896">
        <v>112.71599999999999</v>
      </c>
      <c r="D1896" s="15">
        <f t="shared" si="89"/>
        <v>1.0000000000012221E-4</v>
      </c>
      <c r="E1896" s="14">
        <f t="shared" si="87"/>
        <v>6.312603092412E-5</v>
      </c>
      <c r="F1896">
        <v>102.54600000000001</v>
      </c>
      <c r="G1896" s="1">
        <f t="shared" si="88"/>
        <v>104.385541</v>
      </c>
    </row>
    <row r="1897" spans="1:7" x14ac:dyDescent="0.3">
      <c r="A1897">
        <v>18950</v>
      </c>
      <c r="B1897">
        <v>1420.6</v>
      </c>
      <c r="C1897">
        <v>112.715</v>
      </c>
      <c r="D1897" s="15">
        <f t="shared" si="89"/>
        <v>1.0000000000012221E-4</v>
      </c>
      <c r="E1897" s="14">
        <f t="shared" si="87"/>
        <v>6.3101465511750002E-5</v>
      </c>
      <c r="F1897">
        <v>102.57</v>
      </c>
      <c r="G1897" s="1">
        <f t="shared" si="88"/>
        <v>104.384411</v>
      </c>
    </row>
    <row r="1898" spans="1:7" x14ac:dyDescent="0.3">
      <c r="A1898">
        <v>18960</v>
      </c>
      <c r="B1898">
        <v>1428.8</v>
      </c>
      <c r="C1898">
        <v>112.714</v>
      </c>
      <c r="D1898" s="15">
        <f t="shared" si="89"/>
        <v>1.2499999999988632E-4</v>
      </c>
      <c r="E1898" s="14">
        <f t="shared" si="87"/>
        <v>6.3076912782720004E-5</v>
      </c>
      <c r="F1898">
        <v>102.593</v>
      </c>
      <c r="G1898" s="1">
        <f t="shared" si="88"/>
        <v>104.383281</v>
      </c>
    </row>
    <row r="1899" spans="1:7" x14ac:dyDescent="0.3">
      <c r="A1899">
        <v>18970</v>
      </c>
      <c r="B1899">
        <v>1429.3</v>
      </c>
      <c r="C1899">
        <v>112.71299999999999</v>
      </c>
      <c r="D1899" s="15">
        <f t="shared" si="89"/>
        <v>1.2500000000024159E-4</v>
      </c>
      <c r="E1899" s="14">
        <f t="shared" si="87"/>
        <v>6.3052372737029994E-5</v>
      </c>
      <c r="F1899">
        <v>102.61799999999999</v>
      </c>
      <c r="G1899" s="1">
        <f t="shared" si="88"/>
        <v>104.38215100000001</v>
      </c>
    </row>
    <row r="1900" spans="1:7" x14ac:dyDescent="0.3">
      <c r="A1900">
        <v>18980</v>
      </c>
      <c r="B1900">
        <v>1430.3</v>
      </c>
      <c r="C1900">
        <v>112.711</v>
      </c>
      <c r="D1900" s="15">
        <f t="shared" si="89"/>
        <v>1.2499999999988632E-4</v>
      </c>
      <c r="E1900" s="14">
        <f t="shared" si="87"/>
        <v>6.3027845374679999E-5</v>
      </c>
      <c r="F1900">
        <v>102.64100000000001</v>
      </c>
      <c r="G1900" s="1">
        <f t="shared" si="88"/>
        <v>104.381021</v>
      </c>
    </row>
    <row r="1901" spans="1:7" x14ac:dyDescent="0.3">
      <c r="A1901">
        <v>18990</v>
      </c>
      <c r="B1901">
        <v>1430.9</v>
      </c>
      <c r="C1901">
        <v>112.71</v>
      </c>
      <c r="D1901" s="15">
        <f t="shared" si="89"/>
        <v>1.2499999999988632E-4</v>
      </c>
      <c r="E1901" s="14">
        <f t="shared" si="87"/>
        <v>6.3003330695670005E-5</v>
      </c>
      <c r="F1901">
        <v>102.66500000000001</v>
      </c>
      <c r="G1901" s="1">
        <f t="shared" si="88"/>
        <v>104.379891</v>
      </c>
    </row>
    <row r="1902" spans="1:7" x14ac:dyDescent="0.3">
      <c r="A1902">
        <v>19000</v>
      </c>
      <c r="B1902">
        <v>1432.1</v>
      </c>
      <c r="C1902">
        <v>112.709</v>
      </c>
      <c r="D1902" s="15">
        <f t="shared" si="89"/>
        <v>1.0000000000012221E-4</v>
      </c>
      <c r="E1902" s="14">
        <f t="shared" si="87"/>
        <v>6.2978828699999999E-5</v>
      </c>
      <c r="F1902">
        <v>102.688</v>
      </c>
      <c r="G1902" s="1">
        <f t="shared" si="88"/>
        <v>104.378761</v>
      </c>
    </row>
    <row r="1903" spans="1:7" x14ac:dyDescent="0.3">
      <c r="A1903">
        <v>19010</v>
      </c>
      <c r="B1903">
        <v>1432.8</v>
      </c>
      <c r="C1903">
        <v>112.708</v>
      </c>
      <c r="D1903" s="15">
        <f t="shared" si="89"/>
        <v>1.2499999999988632E-4</v>
      </c>
      <c r="E1903" s="14">
        <f t="shared" si="87"/>
        <v>6.2954339387669993E-5</v>
      </c>
      <c r="F1903">
        <v>102.71299999999999</v>
      </c>
      <c r="G1903" s="1">
        <f t="shared" si="88"/>
        <v>104.37763100000001</v>
      </c>
    </row>
    <row r="1904" spans="1:7" x14ac:dyDescent="0.3">
      <c r="A1904">
        <v>19020</v>
      </c>
      <c r="B1904">
        <v>1433.5</v>
      </c>
      <c r="C1904">
        <v>112.70699999999999</v>
      </c>
      <c r="D1904" s="15">
        <f t="shared" si="89"/>
        <v>1.2500000000024159E-4</v>
      </c>
      <c r="E1904" s="14">
        <f t="shared" si="87"/>
        <v>6.2929862758679989E-5</v>
      </c>
      <c r="F1904">
        <v>102.736</v>
      </c>
      <c r="G1904" s="1">
        <f t="shared" si="88"/>
        <v>104.376501</v>
      </c>
    </row>
    <row r="1905" spans="1:7" x14ac:dyDescent="0.3">
      <c r="A1905">
        <v>19030</v>
      </c>
      <c r="B1905">
        <v>1434.4</v>
      </c>
      <c r="C1905">
        <v>112.705</v>
      </c>
      <c r="D1905" s="15">
        <f t="shared" si="89"/>
        <v>1.2499999999988632E-4</v>
      </c>
      <c r="E1905" s="14">
        <f t="shared" si="87"/>
        <v>6.2905398813029999E-5</v>
      </c>
      <c r="F1905">
        <v>102.76</v>
      </c>
      <c r="G1905" s="1">
        <f t="shared" si="88"/>
        <v>104.375371</v>
      </c>
    </row>
    <row r="1906" spans="1:7" x14ac:dyDescent="0.3">
      <c r="A1906">
        <v>19040</v>
      </c>
      <c r="B1906">
        <v>1435.6</v>
      </c>
      <c r="C1906">
        <v>112.70399999999999</v>
      </c>
      <c r="D1906" s="15">
        <f t="shared" si="89"/>
        <v>1.5000000000000568E-4</v>
      </c>
      <c r="E1906" s="14">
        <f t="shared" si="87"/>
        <v>6.2880947550719997E-5</v>
      </c>
      <c r="F1906">
        <v>102.783</v>
      </c>
      <c r="G1906" s="1">
        <f t="shared" si="88"/>
        <v>104.374241</v>
      </c>
    </row>
    <row r="1907" spans="1:7" x14ac:dyDescent="0.3">
      <c r="A1907">
        <v>19050</v>
      </c>
      <c r="B1907">
        <v>1436.4</v>
      </c>
      <c r="C1907">
        <v>112.703</v>
      </c>
      <c r="D1907" s="15">
        <f t="shared" si="89"/>
        <v>1.2499999999988632E-4</v>
      </c>
      <c r="E1907" s="14">
        <f t="shared" si="87"/>
        <v>6.2856508971749996E-5</v>
      </c>
      <c r="F1907">
        <v>102.807</v>
      </c>
      <c r="G1907" s="1">
        <f t="shared" si="88"/>
        <v>104.37311100000001</v>
      </c>
    </row>
    <row r="1908" spans="1:7" x14ac:dyDescent="0.3">
      <c r="A1908">
        <v>19060</v>
      </c>
      <c r="B1908">
        <v>1437.4</v>
      </c>
      <c r="C1908">
        <v>112.70099999999999</v>
      </c>
      <c r="D1908" s="15">
        <f t="shared" si="89"/>
        <v>1.2499999999988632E-4</v>
      </c>
      <c r="E1908" s="14">
        <f t="shared" si="87"/>
        <v>6.2832083076119996E-5</v>
      </c>
      <c r="F1908">
        <v>102.831</v>
      </c>
      <c r="G1908" s="1">
        <f t="shared" si="88"/>
        <v>104.37198100000001</v>
      </c>
    </row>
    <row r="1909" spans="1:7" x14ac:dyDescent="0.3">
      <c r="A1909">
        <v>19070</v>
      </c>
      <c r="B1909">
        <v>1438.9</v>
      </c>
      <c r="C1909">
        <v>112.7</v>
      </c>
      <c r="D1909" s="15">
        <f t="shared" si="89"/>
        <v>1.2500000000024159E-4</v>
      </c>
      <c r="E1909" s="14">
        <f t="shared" si="87"/>
        <v>6.2807669863829997E-5</v>
      </c>
      <c r="F1909">
        <v>102.855</v>
      </c>
      <c r="G1909" s="1">
        <f t="shared" si="88"/>
        <v>104.370851</v>
      </c>
    </row>
    <row r="1910" spans="1:7" x14ac:dyDescent="0.3">
      <c r="A1910">
        <v>19080</v>
      </c>
      <c r="B1910">
        <v>1439.7</v>
      </c>
      <c r="C1910">
        <v>112.699</v>
      </c>
      <c r="D1910" s="15">
        <f t="shared" si="89"/>
        <v>1.2499999999988632E-4</v>
      </c>
      <c r="E1910" s="14">
        <f t="shared" si="87"/>
        <v>6.2783269334879986E-5</v>
      </c>
      <c r="F1910">
        <v>102.878</v>
      </c>
      <c r="G1910" s="1">
        <f t="shared" si="88"/>
        <v>104.369721</v>
      </c>
    </row>
    <row r="1911" spans="1:7" x14ac:dyDescent="0.3">
      <c r="A1911">
        <v>19090</v>
      </c>
      <c r="B1911">
        <v>1440.8</v>
      </c>
      <c r="C1911">
        <v>112.69799999999999</v>
      </c>
      <c r="D1911" s="15">
        <f t="shared" si="89"/>
        <v>1.2500000000024159E-4</v>
      </c>
      <c r="E1911" s="14">
        <f t="shared" si="87"/>
        <v>6.2758881489270003E-5</v>
      </c>
      <c r="F1911">
        <v>102.902</v>
      </c>
      <c r="G1911" s="1">
        <f t="shared" si="88"/>
        <v>104.36859100000001</v>
      </c>
    </row>
    <row r="1912" spans="1:7" x14ac:dyDescent="0.3">
      <c r="A1912">
        <v>19100</v>
      </c>
      <c r="B1912">
        <v>1442</v>
      </c>
      <c r="C1912">
        <v>112.696</v>
      </c>
      <c r="D1912" s="15">
        <f t="shared" si="89"/>
        <v>1.2499999999988632E-4</v>
      </c>
      <c r="E1912" s="14">
        <f t="shared" si="87"/>
        <v>6.2734506327000007E-5</v>
      </c>
      <c r="F1912">
        <v>102.925</v>
      </c>
      <c r="G1912" s="1">
        <f t="shared" si="88"/>
        <v>104.36746100000001</v>
      </c>
    </row>
    <row r="1913" spans="1:7" x14ac:dyDescent="0.3">
      <c r="A1913">
        <v>19110</v>
      </c>
      <c r="B1913">
        <v>1446.1</v>
      </c>
      <c r="C1913">
        <v>112.69499999999999</v>
      </c>
      <c r="D1913" s="15">
        <f t="shared" si="89"/>
        <v>1.5000000000000568E-4</v>
      </c>
      <c r="E1913" s="14">
        <f t="shared" si="87"/>
        <v>6.2710143848069985E-5</v>
      </c>
      <c r="F1913">
        <v>102.95</v>
      </c>
      <c r="G1913" s="1">
        <f t="shared" si="88"/>
        <v>104.366331</v>
      </c>
    </row>
    <row r="1914" spans="1:7" x14ac:dyDescent="0.3">
      <c r="A1914">
        <v>19120</v>
      </c>
      <c r="B1914">
        <v>1452.2</v>
      </c>
      <c r="C1914">
        <v>112.694</v>
      </c>
      <c r="D1914" s="15">
        <f t="shared" si="89"/>
        <v>1.2499999999988632E-4</v>
      </c>
      <c r="E1914" s="14">
        <f t="shared" si="87"/>
        <v>6.2685794052480006E-5</v>
      </c>
      <c r="F1914">
        <v>102.974</v>
      </c>
      <c r="G1914" s="1">
        <f t="shared" si="88"/>
        <v>104.365201</v>
      </c>
    </row>
    <row r="1915" spans="1:7" x14ac:dyDescent="0.3">
      <c r="A1915">
        <v>19130</v>
      </c>
      <c r="B1915">
        <v>1456.9</v>
      </c>
      <c r="C1915">
        <v>112.69199999999999</v>
      </c>
      <c r="D1915" s="15">
        <f t="shared" si="89"/>
        <v>1.5000000000000568E-4</v>
      </c>
      <c r="E1915" s="14">
        <f t="shared" si="87"/>
        <v>6.2661456940229986E-5</v>
      </c>
      <c r="F1915">
        <v>102.997</v>
      </c>
      <c r="G1915" s="1">
        <f t="shared" si="88"/>
        <v>104.364071</v>
      </c>
    </row>
    <row r="1916" spans="1:7" x14ac:dyDescent="0.3">
      <c r="A1916">
        <v>19140</v>
      </c>
      <c r="B1916">
        <v>1462.3</v>
      </c>
      <c r="C1916">
        <v>112.691</v>
      </c>
      <c r="D1916" s="15">
        <f t="shared" si="89"/>
        <v>1.5000000000000568E-4</v>
      </c>
      <c r="E1916" s="14">
        <f t="shared" si="87"/>
        <v>6.2637132511319995E-5</v>
      </c>
      <c r="F1916">
        <v>103.021</v>
      </c>
      <c r="G1916" s="1">
        <f t="shared" si="88"/>
        <v>104.36294100000001</v>
      </c>
    </row>
    <row r="1917" spans="1:7" x14ac:dyDescent="0.3">
      <c r="A1917">
        <v>19150</v>
      </c>
      <c r="B1917">
        <v>1466</v>
      </c>
      <c r="C1917">
        <v>112.68899999999999</v>
      </c>
      <c r="D1917" s="15">
        <f t="shared" si="89"/>
        <v>1.2499999999988632E-4</v>
      </c>
      <c r="E1917" s="14">
        <f t="shared" si="87"/>
        <v>6.2612820765750005E-5</v>
      </c>
      <c r="F1917">
        <v>103.044</v>
      </c>
      <c r="G1917" s="1">
        <f t="shared" si="88"/>
        <v>104.361811</v>
      </c>
    </row>
    <row r="1918" spans="1:7" x14ac:dyDescent="0.3">
      <c r="A1918">
        <v>19160</v>
      </c>
      <c r="B1918">
        <v>1471</v>
      </c>
      <c r="C1918">
        <v>112.688</v>
      </c>
      <c r="D1918" s="15">
        <f t="shared" si="89"/>
        <v>1.5000000000000568E-4</v>
      </c>
      <c r="E1918" s="14">
        <f t="shared" si="87"/>
        <v>6.2588521703519989E-5</v>
      </c>
      <c r="F1918">
        <v>103.068</v>
      </c>
      <c r="G1918" s="1">
        <f t="shared" si="88"/>
        <v>104.360681</v>
      </c>
    </row>
    <row r="1919" spans="1:7" x14ac:dyDescent="0.3">
      <c r="A1919">
        <v>19170</v>
      </c>
      <c r="B1919">
        <v>1474.7</v>
      </c>
      <c r="C1919">
        <v>112.687</v>
      </c>
      <c r="D1919" s="15">
        <f t="shared" si="89"/>
        <v>1.2499999999988632E-4</v>
      </c>
      <c r="E1919" s="14">
        <f t="shared" si="87"/>
        <v>6.2564235324629987E-5</v>
      </c>
      <c r="F1919">
        <v>103.092</v>
      </c>
      <c r="G1919" s="1">
        <f t="shared" si="88"/>
        <v>104.359551</v>
      </c>
    </row>
    <row r="1920" spans="1:7" x14ac:dyDescent="0.3">
      <c r="A1920">
        <v>19180</v>
      </c>
      <c r="B1920">
        <v>1480</v>
      </c>
      <c r="C1920">
        <v>112.685</v>
      </c>
      <c r="D1920" s="15">
        <f t="shared" si="89"/>
        <v>1.5000000000000568E-4</v>
      </c>
      <c r="E1920" s="14">
        <f t="shared" si="87"/>
        <v>6.253996162908E-5</v>
      </c>
      <c r="F1920">
        <v>103.116</v>
      </c>
      <c r="G1920" s="1">
        <f t="shared" si="88"/>
        <v>104.35842100000001</v>
      </c>
    </row>
    <row r="1921" spans="1:7" x14ac:dyDescent="0.3">
      <c r="A1921">
        <v>19190</v>
      </c>
      <c r="B1921">
        <v>1484.8</v>
      </c>
      <c r="C1921">
        <v>112.684</v>
      </c>
      <c r="D1921" s="15">
        <f t="shared" si="89"/>
        <v>1.5000000000000568E-4</v>
      </c>
      <c r="E1921" s="14">
        <f t="shared" si="87"/>
        <v>6.2515700616869987E-5</v>
      </c>
      <c r="F1921">
        <v>103.14</v>
      </c>
      <c r="G1921" s="1">
        <f t="shared" si="88"/>
        <v>104.357291</v>
      </c>
    </row>
    <row r="1922" spans="1:7" x14ac:dyDescent="0.3">
      <c r="A1922">
        <v>19200</v>
      </c>
      <c r="B1922">
        <v>1496.3</v>
      </c>
      <c r="C1922">
        <v>112.682</v>
      </c>
      <c r="D1922" s="15">
        <f t="shared" si="89"/>
        <v>1.5000000000000568E-4</v>
      </c>
      <c r="E1922" s="14">
        <f t="shared" ref="E1922:E1985" si="90">0.0000000000000634167*A1922*A1922 - 0.0000000048594*A1922 + 0.000132414</f>
        <v>6.2491452288000003E-5</v>
      </c>
      <c r="F1922">
        <v>103.164</v>
      </c>
      <c r="G1922" s="1">
        <f t="shared" si="88"/>
        <v>104.356161</v>
      </c>
    </row>
    <row r="1923" spans="1:7" x14ac:dyDescent="0.3">
      <c r="A1923">
        <v>19210</v>
      </c>
      <c r="B1923">
        <v>1512.2</v>
      </c>
      <c r="C1923">
        <v>112.681</v>
      </c>
      <c r="D1923" s="15">
        <f t="shared" si="89"/>
        <v>1.5000000000000568E-4</v>
      </c>
      <c r="E1923" s="14">
        <f t="shared" si="90"/>
        <v>6.2467216642469992E-5</v>
      </c>
      <c r="F1923">
        <v>103.187</v>
      </c>
      <c r="G1923" s="1">
        <f t="shared" ref="G1923:G1986" si="91">-0.000113*A1923 + 106.525761</f>
        <v>104.355031</v>
      </c>
    </row>
    <row r="1924" spans="1:7" x14ac:dyDescent="0.3">
      <c r="A1924">
        <v>19220</v>
      </c>
      <c r="B1924">
        <v>1533.9</v>
      </c>
      <c r="C1924">
        <v>112.679</v>
      </c>
      <c r="D1924" s="15">
        <f t="shared" si="89"/>
        <v>1.5000000000000568E-4</v>
      </c>
      <c r="E1924" s="14">
        <f t="shared" si="90"/>
        <v>6.2442993680279996E-5</v>
      </c>
      <c r="F1924">
        <v>103.211</v>
      </c>
      <c r="G1924" s="1">
        <f t="shared" si="91"/>
        <v>104.35390100000001</v>
      </c>
    </row>
    <row r="1925" spans="1:7" x14ac:dyDescent="0.3">
      <c r="A1925">
        <v>19230</v>
      </c>
      <c r="B1925">
        <v>1554.7</v>
      </c>
      <c r="C1925">
        <v>112.678</v>
      </c>
      <c r="D1925" s="15">
        <f t="shared" ref="D1925:D1988" si="92">(C1923-C1927)/(A1927-A1923)</f>
        <v>1.7499999999976979E-4</v>
      </c>
      <c r="E1925" s="14">
        <f t="shared" si="90"/>
        <v>6.2418783401430001E-5</v>
      </c>
      <c r="F1925">
        <v>103.235</v>
      </c>
      <c r="G1925" s="1">
        <f t="shared" si="91"/>
        <v>104.352771</v>
      </c>
    </row>
    <row r="1926" spans="1:7" x14ac:dyDescent="0.3">
      <c r="A1926">
        <v>19240</v>
      </c>
      <c r="B1926">
        <v>1570.2</v>
      </c>
      <c r="C1926">
        <v>112.676</v>
      </c>
      <c r="D1926" s="15">
        <f t="shared" si="92"/>
        <v>1.5000000000000568E-4</v>
      </c>
      <c r="E1926" s="14">
        <f t="shared" si="90"/>
        <v>6.2394585805919994E-5</v>
      </c>
      <c r="F1926">
        <v>103.259</v>
      </c>
      <c r="G1926" s="1">
        <f t="shared" si="91"/>
        <v>104.351641</v>
      </c>
    </row>
    <row r="1927" spans="1:7" x14ac:dyDescent="0.3">
      <c r="A1927">
        <v>19250</v>
      </c>
      <c r="B1927">
        <v>1571.7</v>
      </c>
      <c r="C1927">
        <v>112.67400000000001</v>
      </c>
      <c r="D1927" s="15">
        <f t="shared" si="92"/>
        <v>1.7499999999976979E-4</v>
      </c>
      <c r="E1927" s="14">
        <f t="shared" si="90"/>
        <v>6.2370400893750001E-5</v>
      </c>
      <c r="F1927">
        <v>103.283</v>
      </c>
      <c r="G1927" s="1">
        <f t="shared" si="91"/>
        <v>104.350511</v>
      </c>
    </row>
    <row r="1928" spans="1:7" x14ac:dyDescent="0.3">
      <c r="A1928">
        <v>19260</v>
      </c>
      <c r="B1928">
        <v>1572.5</v>
      </c>
      <c r="C1928">
        <v>112.673</v>
      </c>
      <c r="D1928" s="15">
        <f t="shared" si="92"/>
        <v>1.5000000000000568E-4</v>
      </c>
      <c r="E1928" s="14">
        <f t="shared" si="90"/>
        <v>6.2346228664919996E-5</v>
      </c>
      <c r="F1928">
        <v>103.306</v>
      </c>
      <c r="G1928" s="1">
        <f t="shared" si="91"/>
        <v>104.34938100000001</v>
      </c>
    </row>
    <row r="1929" spans="1:7" x14ac:dyDescent="0.3">
      <c r="A1929">
        <v>19270</v>
      </c>
      <c r="B1929">
        <v>1573</v>
      </c>
      <c r="C1929">
        <v>112.67100000000001</v>
      </c>
      <c r="D1929" s="15">
        <f t="shared" si="92"/>
        <v>1.5000000000000568E-4</v>
      </c>
      <c r="E1929" s="14">
        <f t="shared" si="90"/>
        <v>6.2322069119429992E-5</v>
      </c>
      <c r="F1929">
        <v>103.32899999999999</v>
      </c>
      <c r="G1929" s="1">
        <f t="shared" si="91"/>
        <v>104.348251</v>
      </c>
    </row>
    <row r="1930" spans="1:7" x14ac:dyDescent="0.3">
      <c r="A1930">
        <v>19280</v>
      </c>
      <c r="B1930">
        <v>1573.3</v>
      </c>
      <c r="C1930">
        <v>112.67</v>
      </c>
      <c r="D1930" s="15">
        <f t="shared" si="92"/>
        <v>1.7500000000012506E-4</v>
      </c>
      <c r="E1930" s="14">
        <f t="shared" si="90"/>
        <v>6.2297922257280002E-5</v>
      </c>
      <c r="F1930">
        <v>103.35299999999999</v>
      </c>
      <c r="G1930" s="1">
        <f t="shared" si="91"/>
        <v>104.347121</v>
      </c>
    </row>
    <row r="1931" spans="1:7" x14ac:dyDescent="0.3">
      <c r="A1931">
        <v>19290</v>
      </c>
      <c r="B1931">
        <v>1573.9</v>
      </c>
      <c r="C1931">
        <v>112.66800000000001</v>
      </c>
      <c r="D1931" s="15">
        <f t="shared" si="92"/>
        <v>1.5000000000000568E-4</v>
      </c>
      <c r="E1931" s="14">
        <f t="shared" si="90"/>
        <v>6.227378807847E-5</v>
      </c>
      <c r="F1931">
        <v>103.377</v>
      </c>
      <c r="G1931" s="1">
        <f t="shared" si="91"/>
        <v>104.345991</v>
      </c>
    </row>
    <row r="1932" spans="1:7" x14ac:dyDescent="0.3">
      <c r="A1932">
        <v>19300</v>
      </c>
      <c r="B1932">
        <v>1573.3</v>
      </c>
      <c r="C1932">
        <v>112.666</v>
      </c>
      <c r="D1932" s="15">
        <f t="shared" si="92"/>
        <v>1.7500000000012506E-4</v>
      </c>
      <c r="E1932" s="14">
        <f t="shared" si="90"/>
        <v>6.2249666582999986E-5</v>
      </c>
      <c r="F1932">
        <v>103.401</v>
      </c>
      <c r="G1932" s="1">
        <f t="shared" si="91"/>
        <v>104.34486100000001</v>
      </c>
    </row>
    <row r="1933" spans="1:7" x14ac:dyDescent="0.3">
      <c r="A1933">
        <v>19310</v>
      </c>
      <c r="B1933">
        <v>1572.3</v>
      </c>
      <c r="C1933">
        <v>112.66500000000001</v>
      </c>
      <c r="D1933" s="15">
        <f t="shared" si="92"/>
        <v>1.7500000000012506E-4</v>
      </c>
      <c r="E1933" s="14">
        <f t="shared" si="90"/>
        <v>6.2225557770869999E-5</v>
      </c>
      <c r="F1933">
        <v>103.425</v>
      </c>
      <c r="G1933" s="1">
        <f t="shared" si="91"/>
        <v>104.34373100000001</v>
      </c>
    </row>
    <row r="1934" spans="1:7" x14ac:dyDescent="0.3">
      <c r="A1934">
        <v>19320</v>
      </c>
      <c r="B1934">
        <v>1571.6</v>
      </c>
      <c r="C1934">
        <v>112.663</v>
      </c>
      <c r="D1934" s="15">
        <f t="shared" si="92"/>
        <v>1.5000000000000568E-4</v>
      </c>
      <c r="E1934" s="14">
        <f t="shared" si="90"/>
        <v>6.2201461642079987E-5</v>
      </c>
      <c r="F1934">
        <v>103.449</v>
      </c>
      <c r="G1934" s="1">
        <f t="shared" si="91"/>
        <v>104.342601</v>
      </c>
    </row>
    <row r="1935" spans="1:7" x14ac:dyDescent="0.3">
      <c r="A1935">
        <v>19330</v>
      </c>
      <c r="B1935">
        <v>1570.7</v>
      </c>
      <c r="C1935">
        <v>112.661</v>
      </c>
      <c r="D1935" s="15">
        <f t="shared" si="92"/>
        <v>1.7500000000012506E-4</v>
      </c>
      <c r="E1935" s="14">
        <f t="shared" si="90"/>
        <v>6.2177378196630003E-5</v>
      </c>
      <c r="F1935">
        <v>103.47199999999999</v>
      </c>
      <c r="G1935" s="1">
        <f t="shared" si="91"/>
        <v>104.341471</v>
      </c>
    </row>
    <row r="1936" spans="1:7" x14ac:dyDescent="0.3">
      <c r="A1936">
        <v>19340</v>
      </c>
      <c r="B1936">
        <v>1571.6</v>
      </c>
      <c r="C1936">
        <v>112.66</v>
      </c>
      <c r="D1936" s="15">
        <f t="shared" si="92"/>
        <v>1.7499999999976979E-4</v>
      </c>
      <c r="E1936" s="14">
        <f t="shared" si="90"/>
        <v>6.2153307434519993E-5</v>
      </c>
      <c r="F1936">
        <v>103.496</v>
      </c>
      <c r="G1936" s="1">
        <f t="shared" si="91"/>
        <v>104.34034100000001</v>
      </c>
    </row>
    <row r="1937" spans="1:7" x14ac:dyDescent="0.3">
      <c r="A1937">
        <v>19350</v>
      </c>
      <c r="B1937">
        <v>1572.2</v>
      </c>
      <c r="C1937">
        <v>112.658</v>
      </c>
      <c r="D1937" s="15">
        <f t="shared" si="92"/>
        <v>1.5000000000000568E-4</v>
      </c>
      <c r="E1937" s="14">
        <f t="shared" si="90"/>
        <v>6.2129249355749984E-5</v>
      </c>
      <c r="F1937">
        <v>103.52</v>
      </c>
      <c r="G1937" s="1">
        <f t="shared" si="91"/>
        <v>104.33921100000001</v>
      </c>
    </row>
    <row r="1938" spans="1:7" x14ac:dyDescent="0.3">
      <c r="A1938">
        <v>19360</v>
      </c>
      <c r="B1938">
        <v>1573</v>
      </c>
      <c r="C1938">
        <v>112.65600000000001</v>
      </c>
      <c r="D1938" s="15">
        <f t="shared" si="92"/>
        <v>1.7499999999976979E-4</v>
      </c>
      <c r="E1938" s="14">
        <f t="shared" si="90"/>
        <v>6.2105203960320004E-5</v>
      </c>
      <c r="F1938">
        <v>103.544</v>
      </c>
      <c r="G1938" s="1">
        <f t="shared" si="91"/>
        <v>104.338081</v>
      </c>
    </row>
    <row r="1939" spans="1:7" x14ac:dyDescent="0.3">
      <c r="A1939">
        <v>19370</v>
      </c>
      <c r="B1939">
        <v>1574</v>
      </c>
      <c r="C1939">
        <v>112.655</v>
      </c>
      <c r="D1939" s="15">
        <f t="shared" si="92"/>
        <v>1.7500000000012506E-4</v>
      </c>
      <c r="E1939" s="14">
        <f t="shared" si="90"/>
        <v>6.2081171248229997E-5</v>
      </c>
      <c r="F1939">
        <v>103.568</v>
      </c>
      <c r="G1939" s="1">
        <f t="shared" si="91"/>
        <v>104.336951</v>
      </c>
    </row>
    <row r="1940" spans="1:7" x14ac:dyDescent="0.3">
      <c r="A1940">
        <v>19380</v>
      </c>
      <c r="B1940">
        <v>1575.2</v>
      </c>
      <c r="C1940">
        <v>112.65300000000001</v>
      </c>
      <c r="D1940" s="15">
        <f t="shared" si="92"/>
        <v>1.5000000000000568E-4</v>
      </c>
      <c r="E1940" s="14">
        <f t="shared" si="90"/>
        <v>6.2057151219479991E-5</v>
      </c>
      <c r="F1940">
        <v>103.59099999999999</v>
      </c>
      <c r="G1940" s="1">
        <f t="shared" si="91"/>
        <v>104.33582100000001</v>
      </c>
    </row>
    <row r="1941" spans="1:7" x14ac:dyDescent="0.3">
      <c r="A1941">
        <v>19390</v>
      </c>
      <c r="B1941">
        <v>1576.8</v>
      </c>
      <c r="C1941">
        <v>112.651</v>
      </c>
      <c r="D1941" s="15">
        <f t="shared" si="92"/>
        <v>1.7500000000012506E-4</v>
      </c>
      <c r="E1941" s="14">
        <f t="shared" si="90"/>
        <v>6.203314387407E-5</v>
      </c>
      <c r="F1941">
        <v>103.61499999999999</v>
      </c>
      <c r="G1941" s="1">
        <f t="shared" si="91"/>
        <v>104.33469100000001</v>
      </c>
    </row>
    <row r="1942" spans="1:7" x14ac:dyDescent="0.3">
      <c r="A1942">
        <v>19400</v>
      </c>
      <c r="B1942">
        <v>1578.9</v>
      </c>
      <c r="C1942">
        <v>112.65</v>
      </c>
      <c r="D1942" s="15">
        <f t="shared" si="92"/>
        <v>1.7500000000012506E-4</v>
      </c>
      <c r="E1942" s="14">
        <f t="shared" si="90"/>
        <v>6.2009149211999983E-5</v>
      </c>
      <c r="F1942">
        <v>103.63800000000001</v>
      </c>
      <c r="G1942" s="1">
        <f t="shared" si="91"/>
        <v>104.333561</v>
      </c>
    </row>
    <row r="1943" spans="1:7" x14ac:dyDescent="0.3">
      <c r="A1943">
        <v>19410</v>
      </c>
      <c r="B1943">
        <v>1606.6</v>
      </c>
      <c r="C1943">
        <v>112.648</v>
      </c>
      <c r="D1943" s="15">
        <f t="shared" si="92"/>
        <v>1.7499999999976979E-4</v>
      </c>
      <c r="E1943" s="14">
        <f t="shared" si="90"/>
        <v>6.1985167233269994E-5</v>
      </c>
      <c r="F1943">
        <v>103.66200000000001</v>
      </c>
      <c r="G1943" s="1">
        <f t="shared" si="91"/>
        <v>104.332431</v>
      </c>
    </row>
    <row r="1944" spans="1:7" x14ac:dyDescent="0.3">
      <c r="A1944">
        <v>19420</v>
      </c>
      <c r="B1944">
        <v>1668.4</v>
      </c>
      <c r="C1944">
        <v>112.646</v>
      </c>
      <c r="D1944" s="15">
        <f t="shared" si="92"/>
        <v>2.0000000000024442E-4</v>
      </c>
      <c r="E1944" s="14">
        <f t="shared" si="90"/>
        <v>6.1961197937879993E-5</v>
      </c>
      <c r="F1944">
        <v>103.68600000000001</v>
      </c>
      <c r="G1944" s="1">
        <f t="shared" si="91"/>
        <v>104.331301</v>
      </c>
    </row>
    <row r="1945" spans="1:7" x14ac:dyDescent="0.3">
      <c r="A1945">
        <v>19430</v>
      </c>
      <c r="B1945">
        <v>1710.6</v>
      </c>
      <c r="C1945">
        <v>112.64400000000001</v>
      </c>
      <c r="D1945" s="15">
        <f t="shared" si="92"/>
        <v>1.9999999999988915E-4</v>
      </c>
      <c r="E1945" s="14">
        <f t="shared" si="90"/>
        <v>6.1937241325829993E-5</v>
      </c>
      <c r="F1945">
        <v>103.71</v>
      </c>
      <c r="G1945" s="1">
        <f t="shared" si="91"/>
        <v>104.33017100000001</v>
      </c>
    </row>
    <row r="1946" spans="1:7" x14ac:dyDescent="0.3">
      <c r="A1946">
        <v>19440</v>
      </c>
      <c r="B1946">
        <v>1733.3</v>
      </c>
      <c r="C1946">
        <v>112.642</v>
      </c>
      <c r="D1946" s="15">
        <f t="shared" si="92"/>
        <v>1.9999999999988915E-4</v>
      </c>
      <c r="E1946" s="14">
        <f t="shared" si="90"/>
        <v>6.1913297397119994E-5</v>
      </c>
      <c r="F1946">
        <v>103.733</v>
      </c>
      <c r="G1946" s="1">
        <f t="shared" si="91"/>
        <v>104.329041</v>
      </c>
    </row>
    <row r="1947" spans="1:7" x14ac:dyDescent="0.3">
      <c r="A1947">
        <v>19450</v>
      </c>
      <c r="B1947">
        <v>1731.1</v>
      </c>
      <c r="C1947">
        <v>112.64</v>
      </c>
      <c r="D1947" s="15">
        <f t="shared" si="92"/>
        <v>2.0000000000024442E-4</v>
      </c>
      <c r="E1947" s="14">
        <f t="shared" si="90"/>
        <v>6.1889366151749996E-5</v>
      </c>
      <c r="F1947">
        <v>103.75700000000001</v>
      </c>
      <c r="G1947" s="1">
        <f t="shared" si="91"/>
        <v>104.327911</v>
      </c>
    </row>
    <row r="1948" spans="1:7" x14ac:dyDescent="0.3">
      <c r="A1948">
        <v>19460</v>
      </c>
      <c r="B1948">
        <v>1728.9</v>
      </c>
      <c r="C1948">
        <v>112.63800000000001</v>
      </c>
      <c r="D1948" s="15">
        <f t="shared" si="92"/>
        <v>1.9999999999988915E-4</v>
      </c>
      <c r="E1948" s="14">
        <f t="shared" si="90"/>
        <v>6.1865447589719985E-5</v>
      </c>
      <c r="F1948">
        <v>103.78100000000001</v>
      </c>
      <c r="G1948" s="1">
        <f t="shared" si="91"/>
        <v>104.326781</v>
      </c>
    </row>
    <row r="1949" spans="1:7" x14ac:dyDescent="0.3">
      <c r="A1949">
        <v>19470</v>
      </c>
      <c r="B1949">
        <v>1726.7</v>
      </c>
      <c r="C1949">
        <v>112.636</v>
      </c>
      <c r="D1949" s="15">
        <f t="shared" si="92"/>
        <v>1.9999999999988915E-4</v>
      </c>
      <c r="E1949" s="14">
        <f t="shared" si="90"/>
        <v>6.1841541711029989E-5</v>
      </c>
      <c r="F1949">
        <v>103.80500000000001</v>
      </c>
      <c r="G1949" s="1">
        <f t="shared" si="91"/>
        <v>104.32565100000001</v>
      </c>
    </row>
    <row r="1950" spans="1:7" x14ac:dyDescent="0.3">
      <c r="A1950">
        <v>19480</v>
      </c>
      <c r="B1950">
        <v>1724.6</v>
      </c>
      <c r="C1950">
        <v>112.634</v>
      </c>
      <c r="D1950" s="15">
        <f t="shared" si="92"/>
        <v>1.7500000000012506E-4</v>
      </c>
      <c r="E1950" s="14">
        <f t="shared" si="90"/>
        <v>6.1817648515680008E-5</v>
      </c>
      <c r="F1950">
        <v>103.82899999999999</v>
      </c>
      <c r="G1950" s="1">
        <f t="shared" si="91"/>
        <v>104.324521</v>
      </c>
    </row>
    <row r="1951" spans="1:7" x14ac:dyDescent="0.3">
      <c r="A1951">
        <v>19490</v>
      </c>
      <c r="B1951">
        <v>1722.4</v>
      </c>
      <c r="C1951">
        <v>112.63200000000001</v>
      </c>
      <c r="D1951" s="15">
        <f t="shared" si="92"/>
        <v>1.7499999999976979E-4</v>
      </c>
      <c r="E1951" s="14">
        <f t="shared" si="90"/>
        <v>6.1793768003670001E-5</v>
      </c>
      <c r="F1951">
        <v>103.852</v>
      </c>
      <c r="G1951" s="1">
        <f t="shared" si="91"/>
        <v>104.323391</v>
      </c>
    </row>
    <row r="1952" spans="1:7" x14ac:dyDescent="0.3">
      <c r="A1952">
        <v>19500</v>
      </c>
      <c r="B1952">
        <v>1720.3</v>
      </c>
      <c r="C1952">
        <v>112.631</v>
      </c>
      <c r="D1952" s="15">
        <f t="shared" si="92"/>
        <v>1.7500000000012506E-4</v>
      </c>
      <c r="E1952" s="14">
        <f t="shared" si="90"/>
        <v>6.1769900174999995E-5</v>
      </c>
      <c r="F1952">
        <v>103.876</v>
      </c>
      <c r="G1952" s="1">
        <f t="shared" si="91"/>
        <v>104.322261</v>
      </c>
    </row>
    <row r="1953" spans="1:7" x14ac:dyDescent="0.3">
      <c r="A1953">
        <v>19510</v>
      </c>
      <c r="B1953">
        <v>1718</v>
      </c>
      <c r="C1953">
        <v>112.629</v>
      </c>
      <c r="D1953" s="15">
        <f t="shared" si="92"/>
        <v>1.7500000000012506E-4</v>
      </c>
      <c r="E1953" s="14">
        <f t="shared" si="90"/>
        <v>6.174604502966999E-5</v>
      </c>
      <c r="F1953">
        <v>103.9</v>
      </c>
      <c r="G1953" s="1">
        <f t="shared" si="91"/>
        <v>104.32113100000001</v>
      </c>
    </row>
    <row r="1954" spans="1:7" x14ac:dyDescent="0.3">
      <c r="A1954">
        <v>19520</v>
      </c>
      <c r="B1954">
        <v>1715.8</v>
      </c>
      <c r="C1954">
        <v>112.627</v>
      </c>
      <c r="D1954" s="15">
        <f t="shared" si="92"/>
        <v>1.9999999999988915E-4</v>
      </c>
      <c r="E1954" s="14">
        <f t="shared" si="90"/>
        <v>6.1722202567679999E-5</v>
      </c>
      <c r="F1954">
        <v>103.92400000000001</v>
      </c>
      <c r="G1954" s="1">
        <f t="shared" si="91"/>
        <v>104.320001</v>
      </c>
    </row>
    <row r="1955" spans="1:7" x14ac:dyDescent="0.3">
      <c r="A1955">
        <v>19530</v>
      </c>
      <c r="B1955">
        <v>1713.6</v>
      </c>
      <c r="C1955">
        <v>112.625</v>
      </c>
      <c r="D1955" s="15">
        <f t="shared" si="92"/>
        <v>2.0000000000024442E-4</v>
      </c>
      <c r="E1955" s="14">
        <f t="shared" si="90"/>
        <v>6.1698372789029997E-5</v>
      </c>
      <c r="F1955">
        <v>103.94799999999999</v>
      </c>
      <c r="G1955" s="1">
        <f t="shared" si="91"/>
        <v>104.318871</v>
      </c>
    </row>
    <row r="1956" spans="1:7" x14ac:dyDescent="0.3">
      <c r="A1956">
        <v>19540</v>
      </c>
      <c r="B1956">
        <v>1711.3</v>
      </c>
      <c r="C1956">
        <v>112.623</v>
      </c>
      <c r="D1956" s="15">
        <f t="shared" si="92"/>
        <v>1.9999999999988915E-4</v>
      </c>
      <c r="E1956" s="14">
        <f t="shared" si="90"/>
        <v>6.1674555693719995E-5</v>
      </c>
      <c r="F1956">
        <v>103.971</v>
      </c>
      <c r="G1956" s="1">
        <f t="shared" si="91"/>
        <v>104.317741</v>
      </c>
    </row>
    <row r="1957" spans="1:7" x14ac:dyDescent="0.3">
      <c r="A1957">
        <v>19550</v>
      </c>
      <c r="B1957">
        <v>1709.1</v>
      </c>
      <c r="C1957">
        <v>112.621</v>
      </c>
      <c r="D1957" s="15">
        <f t="shared" si="92"/>
        <v>1.9999999999988915E-4</v>
      </c>
      <c r="E1957" s="14">
        <f t="shared" si="90"/>
        <v>6.1650751281749994E-5</v>
      </c>
      <c r="F1957">
        <v>103.995</v>
      </c>
      <c r="G1957" s="1">
        <f t="shared" si="91"/>
        <v>104.31661100000001</v>
      </c>
    </row>
    <row r="1958" spans="1:7" x14ac:dyDescent="0.3">
      <c r="A1958">
        <v>19560</v>
      </c>
      <c r="B1958">
        <v>1706.8</v>
      </c>
      <c r="C1958">
        <v>112.619</v>
      </c>
      <c r="D1958" s="15">
        <f t="shared" si="92"/>
        <v>2.0000000000024442E-4</v>
      </c>
      <c r="E1958" s="14">
        <f t="shared" si="90"/>
        <v>6.1626959553119995E-5</v>
      </c>
      <c r="F1958">
        <v>104.01900000000001</v>
      </c>
      <c r="G1958" s="1">
        <f t="shared" si="91"/>
        <v>104.31548100000001</v>
      </c>
    </row>
    <row r="1959" spans="1:7" x14ac:dyDescent="0.3">
      <c r="A1959">
        <v>19570</v>
      </c>
      <c r="B1959">
        <v>1704.6</v>
      </c>
      <c r="C1959">
        <v>112.617</v>
      </c>
      <c r="D1959" s="15">
        <f t="shared" si="92"/>
        <v>1.9999999999988915E-4</v>
      </c>
      <c r="E1959" s="14">
        <f t="shared" si="90"/>
        <v>6.1603180507829983E-5</v>
      </c>
      <c r="F1959">
        <v>104.04300000000001</v>
      </c>
      <c r="G1959" s="1">
        <f t="shared" si="91"/>
        <v>104.314351</v>
      </c>
    </row>
    <row r="1960" spans="1:7" x14ac:dyDescent="0.3">
      <c r="A1960">
        <v>19580</v>
      </c>
      <c r="B1960">
        <v>1702.3</v>
      </c>
      <c r="C1960">
        <v>112.61499999999999</v>
      </c>
      <c r="D1960" s="15">
        <f t="shared" si="92"/>
        <v>1.9999999999988915E-4</v>
      </c>
      <c r="E1960" s="14">
        <f t="shared" si="90"/>
        <v>6.1579414145879999E-5</v>
      </c>
      <c r="F1960">
        <v>104.066</v>
      </c>
      <c r="G1960" s="1">
        <f t="shared" si="91"/>
        <v>104.313221</v>
      </c>
    </row>
    <row r="1961" spans="1:7" x14ac:dyDescent="0.3">
      <c r="A1961">
        <v>19590</v>
      </c>
      <c r="B1961">
        <v>1700.1</v>
      </c>
      <c r="C1961">
        <v>112.613</v>
      </c>
      <c r="D1961" s="15">
        <f t="shared" si="92"/>
        <v>2.0000000000024442E-4</v>
      </c>
      <c r="E1961" s="14">
        <f t="shared" si="90"/>
        <v>6.1555660467269989E-5</v>
      </c>
      <c r="F1961">
        <v>104.09</v>
      </c>
      <c r="G1961" s="1">
        <f t="shared" si="91"/>
        <v>104.31209100000001</v>
      </c>
    </row>
    <row r="1962" spans="1:7" x14ac:dyDescent="0.3">
      <c r="A1962">
        <v>19600</v>
      </c>
      <c r="B1962">
        <v>1697.8</v>
      </c>
      <c r="C1962">
        <v>112.611</v>
      </c>
      <c r="D1962" s="15">
        <f t="shared" si="92"/>
        <v>1.7499999999976979E-4</v>
      </c>
      <c r="E1962" s="14">
        <f t="shared" si="90"/>
        <v>6.1531919471999994E-5</v>
      </c>
      <c r="F1962">
        <v>104.114</v>
      </c>
      <c r="G1962" s="1">
        <f t="shared" si="91"/>
        <v>104.31096100000001</v>
      </c>
    </row>
    <row r="1963" spans="1:7" x14ac:dyDescent="0.3">
      <c r="A1963">
        <v>19610</v>
      </c>
      <c r="B1963">
        <v>1695.6</v>
      </c>
      <c r="C1963">
        <v>112.60899999999999</v>
      </c>
      <c r="D1963" s="15">
        <f t="shared" si="92"/>
        <v>1.7500000000012506E-4</v>
      </c>
      <c r="E1963" s="14">
        <f t="shared" si="90"/>
        <v>6.150819116007E-5</v>
      </c>
      <c r="F1963">
        <v>104.13800000000001</v>
      </c>
      <c r="G1963" s="1">
        <f t="shared" si="91"/>
        <v>104.309831</v>
      </c>
    </row>
    <row r="1964" spans="1:7" x14ac:dyDescent="0.3">
      <c r="A1964">
        <v>19620</v>
      </c>
      <c r="B1964">
        <v>1693.4</v>
      </c>
      <c r="C1964">
        <v>112.608</v>
      </c>
      <c r="D1964" s="15">
        <f t="shared" si="92"/>
        <v>1.7500000000012506E-4</v>
      </c>
      <c r="E1964" s="14">
        <f t="shared" si="90"/>
        <v>6.1484475531479993E-5</v>
      </c>
      <c r="F1964">
        <v>104.16200000000001</v>
      </c>
      <c r="G1964" s="1">
        <f t="shared" si="91"/>
        <v>104.308701</v>
      </c>
    </row>
    <row r="1965" spans="1:7" x14ac:dyDescent="0.3">
      <c r="A1965">
        <v>19630</v>
      </c>
      <c r="B1965">
        <v>1691.1</v>
      </c>
      <c r="C1965">
        <v>112.60599999999999</v>
      </c>
      <c r="D1965" s="15">
        <f t="shared" si="92"/>
        <v>1.7499999999976979E-4</v>
      </c>
      <c r="E1965" s="14">
        <f t="shared" si="90"/>
        <v>6.1460772586230001E-5</v>
      </c>
      <c r="F1965">
        <v>104.185</v>
      </c>
      <c r="G1965" s="1">
        <f t="shared" si="91"/>
        <v>104.307571</v>
      </c>
    </row>
    <row r="1966" spans="1:7" x14ac:dyDescent="0.3">
      <c r="A1966">
        <v>19640</v>
      </c>
      <c r="B1966">
        <v>1688.8</v>
      </c>
      <c r="C1966">
        <v>112.604</v>
      </c>
      <c r="D1966" s="15">
        <f t="shared" si="92"/>
        <v>2.0000000000024442E-4</v>
      </c>
      <c r="E1966" s="14">
        <f t="shared" si="90"/>
        <v>6.1437082324319997E-5</v>
      </c>
      <c r="F1966">
        <v>104.209</v>
      </c>
      <c r="G1966" s="1">
        <f t="shared" si="91"/>
        <v>104.30644100000001</v>
      </c>
    </row>
    <row r="1967" spans="1:7" x14ac:dyDescent="0.3">
      <c r="A1967">
        <v>19650</v>
      </c>
      <c r="B1967">
        <v>1686.6</v>
      </c>
      <c r="C1967">
        <v>112.602</v>
      </c>
      <c r="D1967" s="15">
        <f t="shared" si="92"/>
        <v>1.9999999999988915E-4</v>
      </c>
      <c r="E1967" s="14">
        <f t="shared" si="90"/>
        <v>6.1413404745749994E-5</v>
      </c>
      <c r="F1967">
        <v>104.233</v>
      </c>
      <c r="G1967" s="1">
        <f t="shared" si="91"/>
        <v>104.305311</v>
      </c>
    </row>
    <row r="1968" spans="1:7" x14ac:dyDescent="0.3">
      <c r="A1968">
        <v>19660</v>
      </c>
      <c r="B1968">
        <v>1684.3</v>
      </c>
      <c r="C1968">
        <v>112.6</v>
      </c>
      <c r="D1968" s="15">
        <f t="shared" si="92"/>
        <v>1.9999999999988915E-4</v>
      </c>
      <c r="E1968" s="14">
        <f t="shared" si="90"/>
        <v>6.1389739850519992E-5</v>
      </c>
      <c r="F1968">
        <v>104.25700000000001</v>
      </c>
      <c r="G1968" s="1">
        <f t="shared" si="91"/>
        <v>104.304181</v>
      </c>
    </row>
    <row r="1969" spans="1:7" x14ac:dyDescent="0.3">
      <c r="A1969">
        <v>19670</v>
      </c>
      <c r="B1969">
        <v>1682.1</v>
      </c>
      <c r="C1969">
        <v>112.598</v>
      </c>
      <c r="D1969" s="15">
        <f t="shared" si="92"/>
        <v>2.0000000000024442E-4</v>
      </c>
      <c r="E1969" s="14">
        <f t="shared" si="90"/>
        <v>6.1366087638630004E-5</v>
      </c>
      <c r="F1969">
        <v>104.28</v>
      </c>
      <c r="G1969" s="1">
        <f t="shared" si="91"/>
        <v>104.303051</v>
      </c>
    </row>
    <row r="1970" spans="1:7" x14ac:dyDescent="0.3">
      <c r="A1970">
        <v>19680</v>
      </c>
      <c r="B1970">
        <v>1679.9</v>
      </c>
      <c r="C1970">
        <v>112.596</v>
      </c>
      <c r="D1970" s="15">
        <f t="shared" si="92"/>
        <v>1.7499999999976979E-4</v>
      </c>
      <c r="E1970" s="14">
        <f t="shared" si="90"/>
        <v>6.1342448110079991E-5</v>
      </c>
      <c r="F1970">
        <v>104.304</v>
      </c>
      <c r="G1970" s="1">
        <f t="shared" si="91"/>
        <v>104.30192100000001</v>
      </c>
    </row>
    <row r="1971" spans="1:7" x14ac:dyDescent="0.3">
      <c r="A1971">
        <v>19690</v>
      </c>
      <c r="B1971">
        <v>1677.6</v>
      </c>
      <c r="C1971">
        <v>112.59399999999999</v>
      </c>
      <c r="D1971" s="15">
        <f t="shared" si="92"/>
        <v>1.7500000000012506E-4</v>
      </c>
      <c r="E1971" s="14">
        <f t="shared" si="90"/>
        <v>6.1318821264870005E-5</v>
      </c>
      <c r="F1971">
        <v>104.328</v>
      </c>
      <c r="G1971" s="1">
        <f t="shared" si="91"/>
        <v>104.300791</v>
      </c>
    </row>
    <row r="1972" spans="1:7" x14ac:dyDescent="0.3">
      <c r="A1972">
        <v>19700</v>
      </c>
      <c r="B1972">
        <v>1675.4</v>
      </c>
      <c r="C1972">
        <v>112.593</v>
      </c>
      <c r="D1972" s="15">
        <f t="shared" si="92"/>
        <v>1.7500000000012506E-4</v>
      </c>
      <c r="E1972" s="14">
        <f t="shared" si="90"/>
        <v>6.1295207102999994E-5</v>
      </c>
      <c r="F1972">
        <v>104.352</v>
      </c>
      <c r="G1972" s="1">
        <f t="shared" si="91"/>
        <v>104.299661</v>
      </c>
    </row>
    <row r="1973" spans="1:7" x14ac:dyDescent="0.3">
      <c r="A1973">
        <v>19710</v>
      </c>
      <c r="B1973">
        <v>1664.2</v>
      </c>
      <c r="C1973">
        <v>112.59099999999999</v>
      </c>
      <c r="D1973" s="15">
        <f t="shared" si="92"/>
        <v>1.7499999999976979E-4</v>
      </c>
      <c r="E1973" s="14">
        <f t="shared" si="90"/>
        <v>6.1271605624469997E-5</v>
      </c>
      <c r="F1973">
        <v>104.375</v>
      </c>
      <c r="G1973" s="1">
        <f t="shared" si="91"/>
        <v>104.298531</v>
      </c>
    </row>
    <row r="1974" spans="1:7" x14ac:dyDescent="0.3">
      <c r="A1974">
        <v>19720</v>
      </c>
      <c r="B1974">
        <v>1641.2</v>
      </c>
      <c r="C1974">
        <v>112.589</v>
      </c>
      <c r="D1974" s="15">
        <f t="shared" si="92"/>
        <v>2.0000000000024442E-4</v>
      </c>
      <c r="E1974" s="14">
        <f t="shared" si="90"/>
        <v>6.1248016829280002E-5</v>
      </c>
      <c r="F1974">
        <v>104.399</v>
      </c>
      <c r="G1974" s="1">
        <f t="shared" si="91"/>
        <v>104.29740100000001</v>
      </c>
    </row>
    <row r="1975" spans="1:7" x14ac:dyDescent="0.3">
      <c r="A1975">
        <v>19730</v>
      </c>
      <c r="B1975">
        <v>1624.9</v>
      </c>
      <c r="C1975">
        <v>112.587</v>
      </c>
      <c r="D1975" s="15">
        <f t="shared" si="92"/>
        <v>1.7499999999976979E-4</v>
      </c>
      <c r="E1975" s="14">
        <f t="shared" si="90"/>
        <v>6.1224440717429993E-5</v>
      </c>
      <c r="F1975">
        <v>104.423</v>
      </c>
      <c r="G1975" s="1">
        <f t="shared" si="91"/>
        <v>104.296271</v>
      </c>
    </row>
    <row r="1976" spans="1:7" x14ac:dyDescent="0.3">
      <c r="A1976">
        <v>19740</v>
      </c>
      <c r="B1976">
        <v>1610.6</v>
      </c>
      <c r="C1976">
        <v>112.58499999999999</v>
      </c>
      <c r="D1976" s="15">
        <f t="shared" si="92"/>
        <v>1.7500000000012506E-4</v>
      </c>
      <c r="E1976" s="14">
        <f t="shared" si="90"/>
        <v>6.120087728892E-5</v>
      </c>
      <c r="F1976">
        <v>104.446</v>
      </c>
      <c r="G1976" s="1">
        <f t="shared" si="91"/>
        <v>104.295141</v>
      </c>
    </row>
    <row r="1977" spans="1:7" x14ac:dyDescent="0.3">
      <c r="A1977">
        <v>19750</v>
      </c>
      <c r="B1977">
        <v>1581.7</v>
      </c>
      <c r="C1977">
        <v>112.584</v>
      </c>
      <c r="D1977" s="15">
        <f t="shared" si="92"/>
        <v>1.7500000000012506E-4</v>
      </c>
      <c r="E1977" s="14">
        <f t="shared" si="90"/>
        <v>6.1177326543750008E-5</v>
      </c>
      <c r="F1977">
        <v>104.47</v>
      </c>
      <c r="G1977" s="1">
        <f t="shared" si="91"/>
        <v>104.294011</v>
      </c>
    </row>
    <row r="1978" spans="1:7" x14ac:dyDescent="0.3">
      <c r="A1978">
        <v>19760</v>
      </c>
      <c r="B1978">
        <v>1561.5</v>
      </c>
      <c r="C1978">
        <v>112.58199999999999</v>
      </c>
      <c r="D1978" s="15">
        <f t="shared" si="92"/>
        <v>1.5000000000000568E-4</v>
      </c>
      <c r="E1978" s="14">
        <f t="shared" si="90"/>
        <v>6.1153788481919989E-5</v>
      </c>
      <c r="F1978">
        <v>104.494</v>
      </c>
      <c r="G1978" s="1">
        <f t="shared" si="91"/>
        <v>104.29288100000001</v>
      </c>
    </row>
    <row r="1979" spans="1:7" x14ac:dyDescent="0.3">
      <c r="A1979">
        <v>19770</v>
      </c>
      <c r="B1979">
        <v>1551.9</v>
      </c>
      <c r="C1979">
        <v>112.58</v>
      </c>
      <c r="D1979" s="15">
        <f t="shared" si="92"/>
        <v>1.7500000000012506E-4</v>
      </c>
      <c r="E1979" s="14">
        <f t="shared" si="90"/>
        <v>6.1130263103429999E-5</v>
      </c>
      <c r="F1979">
        <v>104.518</v>
      </c>
      <c r="G1979" s="1">
        <f t="shared" si="91"/>
        <v>104.291751</v>
      </c>
    </row>
    <row r="1980" spans="1:7" x14ac:dyDescent="0.3">
      <c r="A1980">
        <v>19780</v>
      </c>
      <c r="B1980">
        <v>1544.7</v>
      </c>
      <c r="C1980">
        <v>112.57899999999999</v>
      </c>
      <c r="D1980" s="15">
        <f t="shared" si="92"/>
        <v>1.5000000000000568E-4</v>
      </c>
      <c r="E1980" s="14">
        <f t="shared" si="90"/>
        <v>6.1106750408279983E-5</v>
      </c>
      <c r="F1980">
        <v>104.541</v>
      </c>
      <c r="G1980" s="1">
        <f t="shared" si="91"/>
        <v>104.290621</v>
      </c>
    </row>
    <row r="1981" spans="1:7" x14ac:dyDescent="0.3">
      <c r="A1981">
        <v>19790</v>
      </c>
      <c r="B1981">
        <v>1533</v>
      </c>
      <c r="C1981">
        <v>112.577</v>
      </c>
      <c r="D1981" s="15">
        <f t="shared" si="92"/>
        <v>1.5000000000000568E-4</v>
      </c>
      <c r="E1981" s="14">
        <f t="shared" si="90"/>
        <v>6.1083250396469995E-5</v>
      </c>
      <c r="F1981">
        <v>104.565</v>
      </c>
      <c r="G1981" s="1">
        <f t="shared" si="91"/>
        <v>104.289491</v>
      </c>
    </row>
    <row r="1982" spans="1:7" x14ac:dyDescent="0.3">
      <c r="A1982">
        <v>19800</v>
      </c>
      <c r="B1982">
        <v>1518.6</v>
      </c>
      <c r="C1982">
        <v>112.57599999999999</v>
      </c>
      <c r="D1982" s="15">
        <f t="shared" si="92"/>
        <v>1.5000000000000568E-4</v>
      </c>
      <c r="E1982" s="14">
        <f t="shared" si="90"/>
        <v>6.1059763067999995E-5</v>
      </c>
      <c r="F1982">
        <v>104.589</v>
      </c>
      <c r="G1982" s="1">
        <f t="shared" si="91"/>
        <v>104.28836100000001</v>
      </c>
    </row>
    <row r="1983" spans="1:7" x14ac:dyDescent="0.3">
      <c r="A1983">
        <v>19810</v>
      </c>
      <c r="B1983">
        <v>1508</v>
      </c>
      <c r="C1983">
        <v>112.574</v>
      </c>
      <c r="D1983" s="15">
        <f t="shared" si="92"/>
        <v>1.5000000000000568E-4</v>
      </c>
      <c r="E1983" s="14">
        <f t="shared" si="90"/>
        <v>6.1036288422869995E-5</v>
      </c>
      <c r="F1983">
        <v>104.61199999999999</v>
      </c>
      <c r="G1983" s="1">
        <f t="shared" si="91"/>
        <v>104.28723100000001</v>
      </c>
    </row>
    <row r="1984" spans="1:7" x14ac:dyDescent="0.3">
      <c r="A1984">
        <v>19820</v>
      </c>
      <c r="B1984">
        <v>1499.3</v>
      </c>
      <c r="C1984">
        <v>112.57299999999999</v>
      </c>
      <c r="D1984" s="15">
        <f t="shared" si="92"/>
        <v>1.5000000000000568E-4</v>
      </c>
      <c r="E1984" s="14">
        <f t="shared" si="90"/>
        <v>6.1012826461079997E-5</v>
      </c>
      <c r="F1984">
        <v>104.636</v>
      </c>
      <c r="G1984" s="1">
        <f t="shared" si="91"/>
        <v>104.286101</v>
      </c>
    </row>
    <row r="1985" spans="1:7" x14ac:dyDescent="0.3">
      <c r="A1985">
        <v>19830</v>
      </c>
      <c r="B1985">
        <v>1494.6</v>
      </c>
      <c r="C1985">
        <v>112.571</v>
      </c>
      <c r="D1985" s="15">
        <f t="shared" si="92"/>
        <v>1.5000000000000568E-4</v>
      </c>
      <c r="E1985" s="14">
        <f t="shared" si="90"/>
        <v>6.098937718263E-5</v>
      </c>
      <c r="F1985">
        <v>104.66</v>
      </c>
      <c r="G1985" s="1">
        <f t="shared" si="91"/>
        <v>104.284971</v>
      </c>
    </row>
    <row r="1986" spans="1:7" x14ac:dyDescent="0.3">
      <c r="A1986">
        <v>19840</v>
      </c>
      <c r="B1986">
        <v>1490.7</v>
      </c>
      <c r="C1986">
        <v>112.57</v>
      </c>
      <c r="D1986" s="15">
        <f t="shared" si="92"/>
        <v>1.5000000000000568E-4</v>
      </c>
      <c r="E1986" s="14">
        <f t="shared" ref="E1986:E2049" si="93">0.0000000000000634167*A1986*A1986 - 0.0000000048594*A1986 + 0.000132414</f>
        <v>6.096594058751999E-5</v>
      </c>
      <c r="F1986">
        <v>104.684</v>
      </c>
      <c r="G1986" s="1">
        <f t="shared" si="91"/>
        <v>104.28384100000001</v>
      </c>
    </row>
    <row r="1987" spans="1:7" x14ac:dyDescent="0.3">
      <c r="A1987">
        <v>19850</v>
      </c>
      <c r="B1987">
        <v>1487.3</v>
      </c>
      <c r="C1987">
        <v>112.568</v>
      </c>
      <c r="D1987" s="15">
        <f t="shared" si="92"/>
        <v>1.5000000000000568E-4</v>
      </c>
      <c r="E1987" s="14">
        <f t="shared" si="93"/>
        <v>6.0942516675749995E-5</v>
      </c>
      <c r="F1987">
        <v>104.70699999999999</v>
      </c>
      <c r="G1987" s="1">
        <f t="shared" ref="G1987:G2050" si="94">-0.000113*A1987 + 106.525761</f>
        <v>104.28271100000001</v>
      </c>
    </row>
    <row r="1988" spans="1:7" x14ac:dyDescent="0.3">
      <c r="A1988">
        <v>19860</v>
      </c>
      <c r="B1988">
        <v>1484.2</v>
      </c>
      <c r="C1988">
        <v>112.56699999999999</v>
      </c>
      <c r="D1988" s="15">
        <f t="shared" si="92"/>
        <v>1.5000000000000568E-4</v>
      </c>
      <c r="E1988" s="14">
        <f t="shared" si="93"/>
        <v>6.0919105447320001E-5</v>
      </c>
      <c r="F1988">
        <v>104.732</v>
      </c>
      <c r="G1988" s="1">
        <f t="shared" si="94"/>
        <v>104.281581</v>
      </c>
    </row>
    <row r="1989" spans="1:7" x14ac:dyDescent="0.3">
      <c r="A1989">
        <v>19870</v>
      </c>
      <c r="B1989">
        <v>1480.8</v>
      </c>
      <c r="C1989">
        <v>112.565</v>
      </c>
      <c r="D1989" s="15">
        <f t="shared" ref="D1989:D2052" si="95">(C1987-C1991)/(A1991-A1987)</f>
        <v>1.5000000000000568E-4</v>
      </c>
      <c r="E1989" s="14">
        <f t="shared" si="93"/>
        <v>6.0895706902229995E-5</v>
      </c>
      <c r="F1989">
        <v>104.756</v>
      </c>
      <c r="G1989" s="1">
        <f t="shared" si="94"/>
        <v>104.280451</v>
      </c>
    </row>
    <row r="1990" spans="1:7" x14ac:dyDescent="0.3">
      <c r="A1990">
        <v>19880</v>
      </c>
      <c r="B1990">
        <v>1477.4</v>
      </c>
      <c r="C1990">
        <v>112.56399999999999</v>
      </c>
      <c r="D1990" s="15">
        <f t="shared" si="95"/>
        <v>1.4999999999965041E-4</v>
      </c>
      <c r="E1990" s="14">
        <f t="shared" si="93"/>
        <v>6.0872321040480003E-5</v>
      </c>
      <c r="F1990">
        <v>104.779</v>
      </c>
      <c r="G1990" s="1">
        <f t="shared" si="94"/>
        <v>104.27932100000001</v>
      </c>
    </row>
    <row r="1991" spans="1:7" x14ac:dyDescent="0.3">
      <c r="A1991">
        <v>19890</v>
      </c>
      <c r="B1991">
        <v>1474.3</v>
      </c>
      <c r="C1991">
        <v>112.562</v>
      </c>
      <c r="D1991" s="15">
        <f t="shared" si="95"/>
        <v>1.5000000000000568E-4</v>
      </c>
      <c r="E1991" s="14">
        <f t="shared" si="93"/>
        <v>6.0848947862069986E-5</v>
      </c>
      <c r="F1991">
        <v>104.803</v>
      </c>
      <c r="G1991" s="1">
        <f t="shared" si="94"/>
        <v>104.27819100000001</v>
      </c>
    </row>
    <row r="1992" spans="1:7" x14ac:dyDescent="0.3">
      <c r="A1992">
        <v>19900</v>
      </c>
      <c r="B1992">
        <v>1470.3</v>
      </c>
      <c r="C1992">
        <v>112.56100000000001</v>
      </c>
      <c r="D1992" s="15">
        <f t="shared" si="95"/>
        <v>1.4999999999965041E-4</v>
      </c>
      <c r="E1992" s="14">
        <f t="shared" si="93"/>
        <v>6.0825587366999996E-5</v>
      </c>
      <c r="F1992">
        <v>104.827</v>
      </c>
      <c r="G1992" s="1">
        <f t="shared" si="94"/>
        <v>104.277061</v>
      </c>
    </row>
    <row r="1993" spans="1:7" x14ac:dyDescent="0.3">
      <c r="A1993">
        <v>19910</v>
      </c>
      <c r="B1993">
        <v>1453.1</v>
      </c>
      <c r="C1993">
        <v>112.559</v>
      </c>
      <c r="D1993" s="15">
        <f t="shared" si="95"/>
        <v>1.2499999999988632E-4</v>
      </c>
      <c r="E1993" s="14">
        <f t="shared" si="93"/>
        <v>6.0802239555269994E-5</v>
      </c>
      <c r="F1993">
        <v>104.85</v>
      </c>
      <c r="G1993" s="1">
        <f t="shared" si="94"/>
        <v>104.275931</v>
      </c>
    </row>
    <row r="1994" spans="1:7" x14ac:dyDescent="0.3">
      <c r="A1994">
        <v>19920</v>
      </c>
      <c r="B1994">
        <v>1427.2</v>
      </c>
      <c r="C1994">
        <v>112.55800000000001</v>
      </c>
      <c r="D1994" s="15">
        <f t="shared" si="95"/>
        <v>1.5000000000000568E-4</v>
      </c>
      <c r="E1994" s="14">
        <f t="shared" si="93"/>
        <v>6.0778904426879993E-5</v>
      </c>
      <c r="F1994">
        <v>104.874</v>
      </c>
      <c r="G1994" s="1">
        <f t="shared" si="94"/>
        <v>104.274801</v>
      </c>
    </row>
    <row r="1995" spans="1:7" x14ac:dyDescent="0.3">
      <c r="A1995">
        <v>19930</v>
      </c>
      <c r="B1995">
        <v>1434.1</v>
      </c>
      <c r="C1995">
        <v>112.557</v>
      </c>
      <c r="D1995" s="15">
        <f t="shared" si="95"/>
        <v>1.2499999999988632E-4</v>
      </c>
      <c r="E1995" s="14">
        <f t="shared" si="93"/>
        <v>6.0755581981829994E-5</v>
      </c>
      <c r="F1995">
        <v>104.893</v>
      </c>
      <c r="G1995" s="1">
        <f t="shared" si="94"/>
        <v>104.27367100000001</v>
      </c>
    </row>
    <row r="1996" spans="1:7" x14ac:dyDescent="0.3">
      <c r="A1996">
        <v>19940</v>
      </c>
      <c r="B1996">
        <v>1437.8</v>
      </c>
      <c r="C1996">
        <v>112.55500000000001</v>
      </c>
      <c r="D1996" s="15">
        <f t="shared" si="95"/>
        <v>1.5000000000000568E-4</v>
      </c>
      <c r="E1996" s="14">
        <f t="shared" si="93"/>
        <v>6.0732272220120008E-5</v>
      </c>
      <c r="F1996">
        <v>104.892</v>
      </c>
      <c r="G1996" s="1">
        <f t="shared" si="94"/>
        <v>104.272541</v>
      </c>
    </row>
    <row r="1997" spans="1:7" x14ac:dyDescent="0.3">
      <c r="A1997">
        <v>19950</v>
      </c>
      <c r="B1997">
        <v>1440.9</v>
      </c>
      <c r="C1997">
        <v>112.554</v>
      </c>
      <c r="D1997" s="15">
        <f t="shared" si="95"/>
        <v>1.5000000000000568E-4</v>
      </c>
      <c r="E1997" s="14">
        <f t="shared" si="93"/>
        <v>6.0708975141749984E-5</v>
      </c>
      <c r="F1997">
        <v>104.893</v>
      </c>
      <c r="G1997" s="1">
        <f t="shared" si="94"/>
        <v>104.271411</v>
      </c>
    </row>
    <row r="1998" spans="1:7" x14ac:dyDescent="0.3">
      <c r="A1998">
        <v>19960</v>
      </c>
      <c r="B1998">
        <v>1448.7</v>
      </c>
      <c r="C1998">
        <v>112.55200000000001</v>
      </c>
      <c r="D1998" s="15">
        <f t="shared" si="95"/>
        <v>1.2500000000024159E-4</v>
      </c>
      <c r="E1998" s="14">
        <f t="shared" si="93"/>
        <v>6.0685690746720001E-5</v>
      </c>
      <c r="F1998">
        <v>104.892</v>
      </c>
      <c r="G1998" s="1">
        <f t="shared" si="94"/>
        <v>104.270281</v>
      </c>
    </row>
    <row r="1999" spans="1:7" x14ac:dyDescent="0.3">
      <c r="A1999">
        <v>19970</v>
      </c>
      <c r="B1999">
        <v>1449.8</v>
      </c>
      <c r="C1999">
        <v>112.551</v>
      </c>
      <c r="D1999" s="15">
        <f t="shared" si="95"/>
        <v>1.5000000000000568E-4</v>
      </c>
      <c r="E1999" s="14">
        <f t="shared" si="93"/>
        <v>6.0662419035029992E-5</v>
      </c>
      <c r="F1999">
        <v>104.892</v>
      </c>
      <c r="G1999" s="1">
        <f t="shared" si="94"/>
        <v>104.26915100000001</v>
      </c>
    </row>
    <row r="2000" spans="1:7" x14ac:dyDescent="0.3">
      <c r="A2000">
        <v>19980</v>
      </c>
      <c r="B2000">
        <v>1450.6</v>
      </c>
      <c r="C2000">
        <v>112.55</v>
      </c>
      <c r="D2000" s="15">
        <f t="shared" si="95"/>
        <v>1.2500000000024159E-4</v>
      </c>
      <c r="E2000" s="14">
        <f t="shared" si="93"/>
        <v>6.0639160006679998E-5</v>
      </c>
      <c r="F2000">
        <v>104.892</v>
      </c>
      <c r="G2000" s="1">
        <f t="shared" si="94"/>
        <v>104.268021</v>
      </c>
    </row>
    <row r="2001" spans="1:7" x14ac:dyDescent="0.3">
      <c r="A2001">
        <v>19990</v>
      </c>
      <c r="B2001">
        <v>1451.2</v>
      </c>
      <c r="C2001">
        <v>112.548</v>
      </c>
      <c r="D2001" s="15">
        <f t="shared" si="95"/>
        <v>1.2499999999988632E-4</v>
      </c>
      <c r="E2001" s="14">
        <f t="shared" si="93"/>
        <v>6.0615913661670004E-5</v>
      </c>
      <c r="F2001">
        <v>104.89100000000001</v>
      </c>
      <c r="G2001" s="1">
        <f t="shared" si="94"/>
        <v>104.266891</v>
      </c>
    </row>
    <row r="2002" spans="1:7" x14ac:dyDescent="0.3">
      <c r="A2002">
        <v>20000</v>
      </c>
      <c r="B2002">
        <v>1452</v>
      </c>
      <c r="C2002">
        <v>112.547</v>
      </c>
      <c r="D2002" s="15">
        <f t="shared" si="95"/>
        <v>1.5000000000000568E-4</v>
      </c>
      <c r="E2002" s="14">
        <f t="shared" si="93"/>
        <v>6.0592679999999985E-5</v>
      </c>
      <c r="F2002">
        <v>104.89100000000001</v>
      </c>
      <c r="G2002" s="1">
        <f t="shared" si="94"/>
        <v>104.265761</v>
      </c>
    </row>
    <row r="2003" spans="1:7" x14ac:dyDescent="0.3">
      <c r="A2003">
        <v>20010</v>
      </c>
      <c r="B2003">
        <v>1453.8</v>
      </c>
      <c r="C2003">
        <v>112.54600000000001</v>
      </c>
      <c r="D2003" s="15">
        <f t="shared" si="95"/>
        <v>1.2499999999988632E-4</v>
      </c>
      <c r="E2003" s="14">
        <f t="shared" si="93"/>
        <v>6.0569459021669994E-5</v>
      </c>
      <c r="F2003">
        <v>104.89100000000001</v>
      </c>
      <c r="G2003" s="1">
        <f t="shared" si="94"/>
        <v>104.26463100000001</v>
      </c>
    </row>
    <row r="2004" spans="1:7" x14ac:dyDescent="0.3">
      <c r="A2004">
        <v>20020</v>
      </c>
      <c r="B2004">
        <v>1454.5</v>
      </c>
      <c r="C2004">
        <v>112.544</v>
      </c>
      <c r="D2004" s="15">
        <f t="shared" si="95"/>
        <v>1.2499999999988632E-4</v>
      </c>
      <c r="E2004" s="14">
        <f t="shared" si="93"/>
        <v>6.0546250726680004E-5</v>
      </c>
      <c r="F2004">
        <v>104.89100000000001</v>
      </c>
      <c r="G2004" s="1">
        <f t="shared" si="94"/>
        <v>104.26350100000001</v>
      </c>
    </row>
    <row r="2005" spans="1:7" x14ac:dyDescent="0.3">
      <c r="A2005">
        <v>20030</v>
      </c>
      <c r="B2005">
        <v>1455.4</v>
      </c>
      <c r="C2005">
        <v>112.54300000000001</v>
      </c>
      <c r="D2005" s="15">
        <f t="shared" si="95"/>
        <v>1.5000000000000568E-4</v>
      </c>
      <c r="E2005" s="14">
        <f t="shared" si="93"/>
        <v>6.0523055115029988E-5</v>
      </c>
      <c r="F2005">
        <v>104.89100000000001</v>
      </c>
      <c r="G2005" s="1">
        <f t="shared" si="94"/>
        <v>104.262371</v>
      </c>
    </row>
    <row r="2006" spans="1:7" x14ac:dyDescent="0.3">
      <c r="A2006">
        <v>20040</v>
      </c>
      <c r="B2006">
        <v>1455.7</v>
      </c>
      <c r="C2006">
        <v>112.542</v>
      </c>
      <c r="D2006" s="15">
        <f t="shared" si="95"/>
        <v>1.2499999999988632E-4</v>
      </c>
      <c r="E2006" s="14">
        <f t="shared" si="93"/>
        <v>6.049987218672E-5</v>
      </c>
      <c r="F2006">
        <v>104.89</v>
      </c>
      <c r="G2006" s="1">
        <f t="shared" si="94"/>
        <v>104.261241</v>
      </c>
    </row>
    <row r="2007" spans="1:7" x14ac:dyDescent="0.3">
      <c r="A2007">
        <v>20050</v>
      </c>
      <c r="B2007">
        <v>1456.1</v>
      </c>
      <c r="C2007">
        <v>112.54</v>
      </c>
      <c r="D2007" s="15">
        <f t="shared" si="95"/>
        <v>1.5000000000000568E-4</v>
      </c>
      <c r="E2007" s="14">
        <f t="shared" si="93"/>
        <v>6.047670194175E-5</v>
      </c>
      <c r="F2007">
        <v>104.89</v>
      </c>
      <c r="G2007" s="1">
        <f t="shared" si="94"/>
        <v>104.26011100000001</v>
      </c>
    </row>
    <row r="2008" spans="1:7" x14ac:dyDescent="0.3">
      <c r="A2008">
        <v>20060</v>
      </c>
      <c r="B2008">
        <v>1458.2</v>
      </c>
      <c r="C2008">
        <v>112.539</v>
      </c>
      <c r="D2008" s="15">
        <f t="shared" si="95"/>
        <v>1.5000000000000568E-4</v>
      </c>
      <c r="E2008" s="14">
        <f t="shared" si="93"/>
        <v>6.0453544380119988E-5</v>
      </c>
      <c r="F2008">
        <v>104.89</v>
      </c>
      <c r="G2008" s="1">
        <f t="shared" si="94"/>
        <v>104.25898100000001</v>
      </c>
    </row>
    <row r="2009" spans="1:7" x14ac:dyDescent="0.3">
      <c r="A2009">
        <v>20070</v>
      </c>
      <c r="B2009">
        <v>1458.2</v>
      </c>
      <c r="C2009">
        <v>112.53700000000001</v>
      </c>
      <c r="D2009" s="15">
        <f t="shared" si="95"/>
        <v>1.2500000000024159E-4</v>
      </c>
      <c r="E2009" s="14">
        <f t="shared" si="93"/>
        <v>6.043039950182999E-5</v>
      </c>
      <c r="F2009">
        <v>104.889</v>
      </c>
      <c r="G2009" s="1">
        <f t="shared" si="94"/>
        <v>104.257851</v>
      </c>
    </row>
    <row r="2010" spans="1:7" x14ac:dyDescent="0.3">
      <c r="A2010">
        <v>20080</v>
      </c>
      <c r="B2010">
        <v>1459.2</v>
      </c>
      <c r="C2010">
        <v>112.536</v>
      </c>
      <c r="D2010" s="15">
        <f t="shared" si="95"/>
        <v>1.5000000000000568E-4</v>
      </c>
      <c r="E2010" s="14">
        <f t="shared" si="93"/>
        <v>6.0407267306879993E-5</v>
      </c>
      <c r="F2010">
        <v>104.89</v>
      </c>
      <c r="G2010" s="1">
        <f t="shared" si="94"/>
        <v>104.256721</v>
      </c>
    </row>
    <row r="2011" spans="1:7" x14ac:dyDescent="0.3">
      <c r="A2011">
        <v>20090</v>
      </c>
      <c r="B2011">
        <v>1458.9</v>
      </c>
      <c r="C2011">
        <v>112.535</v>
      </c>
      <c r="D2011" s="15">
        <f t="shared" si="95"/>
        <v>1.2500000000024159E-4</v>
      </c>
      <c r="E2011" s="14">
        <f t="shared" si="93"/>
        <v>6.0384147795269997E-5</v>
      </c>
      <c r="F2011">
        <v>104.889</v>
      </c>
      <c r="G2011" s="1">
        <f t="shared" si="94"/>
        <v>104.25559100000001</v>
      </c>
    </row>
    <row r="2012" spans="1:7" x14ac:dyDescent="0.3">
      <c r="A2012">
        <v>20100</v>
      </c>
      <c r="B2012">
        <v>1458.3</v>
      </c>
      <c r="C2012">
        <v>112.533</v>
      </c>
      <c r="D2012" s="15">
        <f t="shared" si="95"/>
        <v>1.2499999999988632E-4</v>
      </c>
      <c r="E2012" s="14">
        <f t="shared" si="93"/>
        <v>6.0361040967000002E-5</v>
      </c>
      <c r="F2012">
        <v>104.889</v>
      </c>
      <c r="G2012" s="1">
        <f t="shared" si="94"/>
        <v>104.25446100000001</v>
      </c>
    </row>
    <row r="2013" spans="1:7" x14ac:dyDescent="0.3">
      <c r="A2013">
        <v>20110</v>
      </c>
      <c r="B2013">
        <v>1470.1</v>
      </c>
      <c r="C2013">
        <v>112.532</v>
      </c>
      <c r="D2013" s="15">
        <f t="shared" si="95"/>
        <v>1.5000000000000568E-4</v>
      </c>
      <c r="E2013" s="14">
        <f t="shared" si="93"/>
        <v>6.0337946822069981E-5</v>
      </c>
      <c r="F2013">
        <v>104.88800000000001</v>
      </c>
      <c r="G2013" s="1">
        <f t="shared" si="94"/>
        <v>104.253331</v>
      </c>
    </row>
    <row r="2014" spans="1:7" x14ac:dyDescent="0.3">
      <c r="A2014">
        <v>20120</v>
      </c>
      <c r="B2014">
        <v>1469</v>
      </c>
      <c r="C2014">
        <v>112.53100000000001</v>
      </c>
      <c r="D2014" s="15">
        <f t="shared" si="95"/>
        <v>1.2499999999988632E-4</v>
      </c>
      <c r="E2014" s="14">
        <f t="shared" si="93"/>
        <v>6.0314865360479989E-5</v>
      </c>
      <c r="F2014">
        <v>104.88800000000001</v>
      </c>
      <c r="G2014" s="1">
        <f t="shared" si="94"/>
        <v>104.252201</v>
      </c>
    </row>
    <row r="2015" spans="1:7" x14ac:dyDescent="0.3">
      <c r="A2015">
        <v>20130</v>
      </c>
      <c r="B2015">
        <v>1467.1</v>
      </c>
      <c r="C2015">
        <v>112.529</v>
      </c>
      <c r="D2015" s="15">
        <f t="shared" si="95"/>
        <v>1.2499999999988632E-4</v>
      </c>
      <c r="E2015" s="14">
        <f t="shared" si="93"/>
        <v>6.0291796582229997E-5</v>
      </c>
      <c r="F2015">
        <v>104.88800000000001</v>
      </c>
      <c r="G2015" s="1">
        <f t="shared" si="94"/>
        <v>104.251071</v>
      </c>
    </row>
    <row r="2016" spans="1:7" x14ac:dyDescent="0.3">
      <c r="A2016">
        <v>20140</v>
      </c>
      <c r="B2016">
        <v>1463.1</v>
      </c>
      <c r="C2016">
        <v>112.52800000000001</v>
      </c>
      <c r="D2016" s="15">
        <f t="shared" si="95"/>
        <v>1.5000000000000568E-4</v>
      </c>
      <c r="E2016" s="14">
        <f t="shared" si="93"/>
        <v>6.0268740487319993E-5</v>
      </c>
      <c r="F2016">
        <v>104.88800000000001</v>
      </c>
      <c r="G2016" s="1">
        <f t="shared" si="94"/>
        <v>104.24994100000001</v>
      </c>
    </row>
    <row r="2017" spans="1:7" x14ac:dyDescent="0.3">
      <c r="A2017">
        <v>20150</v>
      </c>
      <c r="B2017">
        <v>1460.4</v>
      </c>
      <c r="C2017">
        <v>112.527</v>
      </c>
      <c r="D2017" s="15">
        <f t="shared" si="95"/>
        <v>1.2499999999988632E-4</v>
      </c>
      <c r="E2017" s="14">
        <f t="shared" si="93"/>
        <v>6.024569707574999E-5</v>
      </c>
      <c r="F2017">
        <v>104.88800000000001</v>
      </c>
      <c r="G2017" s="1">
        <f t="shared" si="94"/>
        <v>104.248811</v>
      </c>
    </row>
    <row r="2018" spans="1:7" x14ac:dyDescent="0.3">
      <c r="A2018">
        <v>20160</v>
      </c>
      <c r="B2018">
        <v>1461.8</v>
      </c>
      <c r="C2018">
        <v>112.52500000000001</v>
      </c>
      <c r="D2018" s="15">
        <f t="shared" si="95"/>
        <v>1.2500000000024159E-4</v>
      </c>
      <c r="E2018" s="14">
        <f t="shared" si="93"/>
        <v>6.0222666347520002E-5</v>
      </c>
      <c r="F2018">
        <v>104.887</v>
      </c>
      <c r="G2018" s="1">
        <f t="shared" si="94"/>
        <v>104.247681</v>
      </c>
    </row>
    <row r="2019" spans="1:7" x14ac:dyDescent="0.3">
      <c r="A2019">
        <v>20170</v>
      </c>
      <c r="B2019">
        <v>1463</v>
      </c>
      <c r="C2019">
        <v>112.524</v>
      </c>
      <c r="D2019" s="15">
        <f t="shared" si="95"/>
        <v>1.5000000000000568E-4</v>
      </c>
      <c r="E2019" s="14">
        <f t="shared" si="93"/>
        <v>6.0199648302629988E-5</v>
      </c>
      <c r="F2019">
        <v>104.887</v>
      </c>
      <c r="G2019" s="1">
        <f t="shared" si="94"/>
        <v>104.246551</v>
      </c>
    </row>
    <row r="2020" spans="1:7" x14ac:dyDescent="0.3">
      <c r="A2020">
        <v>20180</v>
      </c>
      <c r="B2020">
        <v>1463.9</v>
      </c>
      <c r="C2020">
        <v>112.523</v>
      </c>
      <c r="D2020" s="15">
        <f t="shared" si="95"/>
        <v>1.2500000000024159E-4</v>
      </c>
      <c r="E2020" s="14">
        <f t="shared" si="93"/>
        <v>6.0176642941080002E-5</v>
      </c>
      <c r="F2020">
        <v>104.886</v>
      </c>
      <c r="G2020" s="1">
        <f t="shared" si="94"/>
        <v>104.24542100000001</v>
      </c>
    </row>
    <row r="2021" spans="1:7" x14ac:dyDescent="0.3">
      <c r="A2021">
        <v>20190</v>
      </c>
      <c r="B2021">
        <v>1464.5</v>
      </c>
      <c r="C2021">
        <v>112.521</v>
      </c>
      <c r="D2021" s="15">
        <f t="shared" si="95"/>
        <v>1.2499999999988632E-4</v>
      </c>
      <c r="E2021" s="14">
        <f t="shared" si="93"/>
        <v>6.015365026286999E-5</v>
      </c>
      <c r="F2021">
        <v>104.887</v>
      </c>
      <c r="G2021" s="1">
        <f t="shared" si="94"/>
        <v>104.244291</v>
      </c>
    </row>
    <row r="2022" spans="1:7" x14ac:dyDescent="0.3">
      <c r="A2022">
        <v>20200</v>
      </c>
      <c r="B2022">
        <v>1465.8</v>
      </c>
      <c r="C2022">
        <v>112.52</v>
      </c>
      <c r="D2022" s="15">
        <f t="shared" si="95"/>
        <v>1.5000000000000568E-4</v>
      </c>
      <c r="E2022" s="14">
        <f t="shared" si="93"/>
        <v>6.0130670267999993E-5</v>
      </c>
      <c r="F2022">
        <v>104.886</v>
      </c>
      <c r="G2022" s="1">
        <f t="shared" si="94"/>
        <v>104.243161</v>
      </c>
    </row>
    <row r="2023" spans="1:7" x14ac:dyDescent="0.3">
      <c r="A2023">
        <v>20210</v>
      </c>
      <c r="B2023">
        <v>1466.4</v>
      </c>
      <c r="C2023">
        <v>112.51900000000001</v>
      </c>
      <c r="D2023" s="15">
        <f t="shared" si="95"/>
        <v>1.2499999999988632E-4</v>
      </c>
      <c r="E2023" s="14">
        <f t="shared" si="93"/>
        <v>6.0107702956469996E-5</v>
      </c>
      <c r="F2023">
        <v>104.886</v>
      </c>
      <c r="G2023" s="1">
        <f t="shared" si="94"/>
        <v>104.242031</v>
      </c>
    </row>
    <row r="2024" spans="1:7" x14ac:dyDescent="0.3">
      <c r="A2024">
        <v>20220</v>
      </c>
      <c r="B2024">
        <v>1467.4</v>
      </c>
      <c r="C2024">
        <v>112.517</v>
      </c>
      <c r="D2024" s="15">
        <f t="shared" si="95"/>
        <v>1.2499999999988632E-4</v>
      </c>
      <c r="E2024" s="14">
        <f t="shared" si="93"/>
        <v>6.0084748328279988E-5</v>
      </c>
      <c r="F2024">
        <v>104.88500000000001</v>
      </c>
      <c r="G2024" s="1">
        <f t="shared" si="94"/>
        <v>104.24090100000001</v>
      </c>
    </row>
    <row r="2025" spans="1:7" x14ac:dyDescent="0.3">
      <c r="A2025">
        <v>20230</v>
      </c>
      <c r="B2025">
        <v>1468.6</v>
      </c>
      <c r="C2025">
        <v>112.51600000000001</v>
      </c>
      <c r="D2025" s="15">
        <f t="shared" si="95"/>
        <v>1.5000000000000568E-4</v>
      </c>
      <c r="E2025" s="14">
        <f t="shared" si="93"/>
        <v>6.0061806383429994E-5</v>
      </c>
      <c r="F2025">
        <v>104.886</v>
      </c>
      <c r="G2025" s="1">
        <f t="shared" si="94"/>
        <v>104.239771</v>
      </c>
    </row>
    <row r="2026" spans="1:7" x14ac:dyDescent="0.3">
      <c r="A2026">
        <v>20240</v>
      </c>
      <c r="B2026">
        <v>1469.4</v>
      </c>
      <c r="C2026">
        <v>112.515</v>
      </c>
      <c r="D2026" s="15">
        <f t="shared" si="95"/>
        <v>1.2499999999988632E-4</v>
      </c>
      <c r="E2026" s="14">
        <f t="shared" si="93"/>
        <v>6.0038877121920001E-5</v>
      </c>
      <c r="F2026">
        <v>104.886</v>
      </c>
      <c r="G2026" s="1">
        <f t="shared" si="94"/>
        <v>104.238641</v>
      </c>
    </row>
    <row r="2027" spans="1:7" x14ac:dyDescent="0.3">
      <c r="A2027">
        <v>20250</v>
      </c>
      <c r="B2027">
        <v>1470.2</v>
      </c>
      <c r="C2027">
        <v>112.51300000000001</v>
      </c>
      <c r="D2027" s="15">
        <f t="shared" si="95"/>
        <v>1.2500000000024159E-4</v>
      </c>
      <c r="E2027" s="14">
        <f t="shared" si="93"/>
        <v>6.0015960543749995E-5</v>
      </c>
      <c r="F2027">
        <v>104.88500000000001</v>
      </c>
      <c r="G2027" s="1">
        <f t="shared" si="94"/>
        <v>104.237511</v>
      </c>
    </row>
    <row r="2028" spans="1:7" x14ac:dyDescent="0.3">
      <c r="A2028">
        <v>20260</v>
      </c>
      <c r="B2028">
        <v>1470.9</v>
      </c>
      <c r="C2028">
        <v>112.512</v>
      </c>
      <c r="D2028" s="15">
        <f t="shared" si="95"/>
        <v>1.5000000000000568E-4</v>
      </c>
      <c r="E2028" s="14">
        <f t="shared" si="93"/>
        <v>5.9993056648920004E-5</v>
      </c>
      <c r="F2028">
        <v>104.88500000000001</v>
      </c>
      <c r="G2028" s="1">
        <f t="shared" si="94"/>
        <v>104.23638100000001</v>
      </c>
    </row>
    <row r="2029" spans="1:7" x14ac:dyDescent="0.3">
      <c r="A2029">
        <v>20270</v>
      </c>
      <c r="B2029">
        <v>1472</v>
      </c>
      <c r="C2029">
        <v>112.511</v>
      </c>
      <c r="D2029" s="15">
        <f t="shared" si="95"/>
        <v>1.2500000000024159E-4</v>
      </c>
      <c r="E2029" s="14">
        <f t="shared" si="93"/>
        <v>5.9970165437429987E-5</v>
      </c>
      <c r="F2029">
        <v>104.88500000000001</v>
      </c>
      <c r="G2029" s="1">
        <f t="shared" si="94"/>
        <v>104.23525100000001</v>
      </c>
    </row>
    <row r="2030" spans="1:7" x14ac:dyDescent="0.3">
      <c r="A2030">
        <v>20280</v>
      </c>
      <c r="B2030">
        <v>1473</v>
      </c>
      <c r="C2030">
        <v>112.509</v>
      </c>
      <c r="D2030" s="15">
        <f t="shared" si="95"/>
        <v>1.2499999999988632E-4</v>
      </c>
      <c r="E2030" s="14">
        <f t="shared" si="93"/>
        <v>5.9947286909279999E-5</v>
      </c>
      <c r="F2030">
        <v>104.88500000000001</v>
      </c>
      <c r="G2030" s="1">
        <f t="shared" si="94"/>
        <v>104.234121</v>
      </c>
    </row>
    <row r="2031" spans="1:7" x14ac:dyDescent="0.3">
      <c r="A2031">
        <v>20290</v>
      </c>
      <c r="B2031">
        <v>1473.5</v>
      </c>
      <c r="C2031">
        <v>112.508</v>
      </c>
      <c r="D2031" s="15">
        <f t="shared" si="95"/>
        <v>1.5000000000000568E-4</v>
      </c>
      <c r="E2031" s="14">
        <f t="shared" si="93"/>
        <v>5.9924421064469998E-5</v>
      </c>
      <c r="F2031">
        <v>104.884</v>
      </c>
      <c r="G2031" s="1">
        <f t="shared" si="94"/>
        <v>104.232991</v>
      </c>
    </row>
    <row r="2032" spans="1:7" x14ac:dyDescent="0.3">
      <c r="A2032">
        <v>20300</v>
      </c>
      <c r="B2032">
        <v>1477.9</v>
      </c>
      <c r="C2032">
        <v>112.50700000000001</v>
      </c>
      <c r="D2032" s="15">
        <f t="shared" si="95"/>
        <v>1.2499999999988632E-4</v>
      </c>
      <c r="E2032" s="14">
        <f t="shared" si="93"/>
        <v>5.9901567902999998E-5</v>
      </c>
      <c r="F2032">
        <v>104.884</v>
      </c>
      <c r="G2032" s="1">
        <f t="shared" si="94"/>
        <v>104.23186100000001</v>
      </c>
    </row>
    <row r="2033" spans="1:7" x14ac:dyDescent="0.3">
      <c r="A2033">
        <v>20310</v>
      </c>
      <c r="B2033">
        <v>1480.3</v>
      </c>
      <c r="C2033">
        <v>112.505</v>
      </c>
      <c r="D2033" s="15">
        <f t="shared" si="95"/>
        <v>1.2499999999988632E-4</v>
      </c>
      <c r="E2033" s="14">
        <f t="shared" si="93"/>
        <v>5.9878727424869999E-5</v>
      </c>
      <c r="F2033">
        <v>104.884</v>
      </c>
      <c r="G2033" s="1">
        <f t="shared" si="94"/>
        <v>104.23073100000001</v>
      </c>
    </row>
    <row r="2034" spans="1:7" x14ac:dyDescent="0.3">
      <c r="A2034">
        <v>20320</v>
      </c>
      <c r="B2034">
        <v>1485.5</v>
      </c>
      <c r="C2034">
        <v>112.504</v>
      </c>
      <c r="D2034" s="15">
        <f t="shared" si="95"/>
        <v>1.5000000000000568E-4</v>
      </c>
      <c r="E2034" s="14">
        <f t="shared" si="93"/>
        <v>5.9855899630080001E-5</v>
      </c>
      <c r="F2034">
        <v>104.884</v>
      </c>
      <c r="G2034" s="1">
        <f t="shared" si="94"/>
        <v>104.229601</v>
      </c>
    </row>
    <row r="2035" spans="1:7" x14ac:dyDescent="0.3">
      <c r="A2035">
        <v>20330</v>
      </c>
      <c r="B2035">
        <v>1486.7</v>
      </c>
      <c r="C2035">
        <v>112.503</v>
      </c>
      <c r="D2035" s="15">
        <f t="shared" si="95"/>
        <v>1.2499999999988632E-4</v>
      </c>
      <c r="E2035" s="14">
        <f t="shared" si="93"/>
        <v>5.9833084518629991E-5</v>
      </c>
      <c r="F2035">
        <v>104.883</v>
      </c>
      <c r="G2035" s="1">
        <f t="shared" si="94"/>
        <v>104.228471</v>
      </c>
    </row>
    <row r="2036" spans="1:7" x14ac:dyDescent="0.3">
      <c r="A2036">
        <v>20340</v>
      </c>
      <c r="B2036">
        <v>1489.2</v>
      </c>
      <c r="C2036">
        <v>112.501</v>
      </c>
      <c r="D2036" s="15">
        <f t="shared" si="95"/>
        <v>1.2500000000024159E-4</v>
      </c>
      <c r="E2036" s="14">
        <f t="shared" si="93"/>
        <v>5.9810282090519995E-5</v>
      </c>
      <c r="F2036">
        <v>104.883</v>
      </c>
      <c r="G2036" s="1">
        <f t="shared" si="94"/>
        <v>104.227341</v>
      </c>
    </row>
    <row r="2037" spans="1:7" x14ac:dyDescent="0.3">
      <c r="A2037">
        <v>20350</v>
      </c>
      <c r="B2037">
        <v>1490.5</v>
      </c>
      <c r="C2037">
        <v>112.5</v>
      </c>
      <c r="D2037" s="15">
        <f t="shared" si="95"/>
        <v>1.2499999999988632E-4</v>
      </c>
      <c r="E2037" s="14">
        <f t="shared" si="93"/>
        <v>5.978749234575E-5</v>
      </c>
      <c r="F2037">
        <v>104.883</v>
      </c>
      <c r="G2037" s="1">
        <f t="shared" si="94"/>
        <v>104.22621100000001</v>
      </c>
    </row>
    <row r="2038" spans="1:7" x14ac:dyDescent="0.3">
      <c r="A2038">
        <v>20360</v>
      </c>
      <c r="B2038">
        <v>1493.5</v>
      </c>
      <c r="C2038">
        <v>112.499</v>
      </c>
      <c r="D2038" s="15">
        <f t="shared" si="95"/>
        <v>1.2500000000024159E-4</v>
      </c>
      <c r="E2038" s="14">
        <f t="shared" si="93"/>
        <v>5.9764715284319993E-5</v>
      </c>
      <c r="F2038">
        <v>104.883</v>
      </c>
      <c r="G2038" s="1">
        <f t="shared" si="94"/>
        <v>104.225081</v>
      </c>
    </row>
    <row r="2039" spans="1:7" x14ac:dyDescent="0.3">
      <c r="A2039">
        <v>20370</v>
      </c>
      <c r="B2039">
        <v>1495.2</v>
      </c>
      <c r="C2039">
        <v>112.498</v>
      </c>
      <c r="D2039" s="15">
        <f t="shared" si="95"/>
        <v>1.2499999999988632E-4</v>
      </c>
      <c r="E2039" s="14">
        <f t="shared" si="93"/>
        <v>5.9741950906230001E-5</v>
      </c>
      <c r="F2039">
        <v>104.88200000000001</v>
      </c>
      <c r="G2039" s="1">
        <f t="shared" si="94"/>
        <v>104.223951</v>
      </c>
    </row>
    <row r="2040" spans="1:7" x14ac:dyDescent="0.3">
      <c r="A2040">
        <v>20380</v>
      </c>
      <c r="B2040">
        <v>1495.6</v>
      </c>
      <c r="C2040">
        <v>112.496</v>
      </c>
      <c r="D2040" s="15">
        <f t="shared" si="95"/>
        <v>1.2499999999988632E-4</v>
      </c>
      <c r="E2040" s="14">
        <f t="shared" si="93"/>
        <v>5.9719199211479983E-5</v>
      </c>
      <c r="F2040">
        <v>104.88200000000001</v>
      </c>
      <c r="G2040" s="1">
        <f t="shared" si="94"/>
        <v>104.222821</v>
      </c>
    </row>
    <row r="2041" spans="1:7" x14ac:dyDescent="0.3">
      <c r="A2041">
        <v>20390</v>
      </c>
      <c r="B2041">
        <v>1495.2</v>
      </c>
      <c r="C2041">
        <v>112.495</v>
      </c>
      <c r="D2041" s="15">
        <f t="shared" si="95"/>
        <v>1.5000000000000568E-4</v>
      </c>
      <c r="E2041" s="14">
        <f t="shared" si="93"/>
        <v>5.9696460200069993E-5</v>
      </c>
      <c r="F2041">
        <v>104.88200000000001</v>
      </c>
      <c r="G2041" s="1">
        <f t="shared" si="94"/>
        <v>104.22169100000001</v>
      </c>
    </row>
    <row r="2042" spans="1:7" x14ac:dyDescent="0.3">
      <c r="A2042">
        <v>20400</v>
      </c>
      <c r="B2042">
        <v>1495.6</v>
      </c>
      <c r="C2042">
        <v>112.494</v>
      </c>
      <c r="D2042" s="15">
        <f t="shared" si="95"/>
        <v>1.2499999999988632E-4</v>
      </c>
      <c r="E2042" s="14">
        <f t="shared" si="93"/>
        <v>5.9673733872000004E-5</v>
      </c>
      <c r="F2042">
        <v>104.88200000000001</v>
      </c>
      <c r="G2042" s="1">
        <f t="shared" si="94"/>
        <v>104.220561</v>
      </c>
    </row>
    <row r="2043" spans="1:7" x14ac:dyDescent="0.3">
      <c r="A2043">
        <v>20410</v>
      </c>
      <c r="B2043">
        <v>1496.4</v>
      </c>
      <c r="C2043">
        <v>112.492</v>
      </c>
      <c r="D2043" s="15">
        <f t="shared" si="95"/>
        <v>1.2500000000024159E-4</v>
      </c>
      <c r="E2043" s="14">
        <f t="shared" si="93"/>
        <v>5.9651020227269988E-5</v>
      </c>
      <c r="F2043">
        <v>104.881</v>
      </c>
      <c r="G2043" s="1">
        <f t="shared" si="94"/>
        <v>104.219431</v>
      </c>
    </row>
    <row r="2044" spans="1:7" x14ac:dyDescent="0.3">
      <c r="A2044">
        <v>20420</v>
      </c>
      <c r="B2044">
        <v>1496.8</v>
      </c>
      <c r="C2044">
        <v>112.491</v>
      </c>
      <c r="D2044" s="15">
        <f t="shared" si="95"/>
        <v>1.2499999999988632E-4</v>
      </c>
      <c r="E2044" s="14">
        <f t="shared" si="93"/>
        <v>5.9628319265880002E-5</v>
      </c>
      <c r="F2044">
        <v>104.881</v>
      </c>
      <c r="G2044" s="1">
        <f t="shared" si="94"/>
        <v>104.218301</v>
      </c>
    </row>
    <row r="2045" spans="1:7" x14ac:dyDescent="0.3">
      <c r="A2045">
        <v>20430</v>
      </c>
      <c r="B2045">
        <v>1497.8</v>
      </c>
      <c r="C2045">
        <v>112.49</v>
      </c>
      <c r="D2045" s="15">
        <f t="shared" si="95"/>
        <v>1.2500000000024159E-4</v>
      </c>
      <c r="E2045" s="14">
        <f t="shared" si="93"/>
        <v>5.9605630987830002E-5</v>
      </c>
      <c r="F2045">
        <v>104.881</v>
      </c>
      <c r="G2045" s="1">
        <f t="shared" si="94"/>
        <v>104.21717100000001</v>
      </c>
    </row>
    <row r="2046" spans="1:7" x14ac:dyDescent="0.3">
      <c r="A2046">
        <v>20440</v>
      </c>
      <c r="B2046">
        <v>1497.6</v>
      </c>
      <c r="C2046">
        <v>112.489</v>
      </c>
      <c r="D2046" s="15">
        <f t="shared" si="95"/>
        <v>1.2499999999988632E-4</v>
      </c>
      <c r="E2046" s="14">
        <f t="shared" si="93"/>
        <v>5.958295539311999E-5</v>
      </c>
      <c r="F2046">
        <v>104.881</v>
      </c>
      <c r="G2046" s="1">
        <f t="shared" si="94"/>
        <v>104.216041</v>
      </c>
    </row>
    <row r="2047" spans="1:7" x14ac:dyDescent="0.3">
      <c r="A2047">
        <v>20450</v>
      </c>
      <c r="B2047">
        <v>1497.9</v>
      </c>
      <c r="C2047">
        <v>112.48699999999999</v>
      </c>
      <c r="D2047" s="15">
        <f t="shared" si="95"/>
        <v>1.2499999999988632E-4</v>
      </c>
      <c r="E2047" s="14">
        <f t="shared" si="93"/>
        <v>5.9560292481749993E-5</v>
      </c>
      <c r="F2047">
        <v>104.88</v>
      </c>
      <c r="G2047" s="1">
        <f t="shared" si="94"/>
        <v>104.214911</v>
      </c>
    </row>
    <row r="2048" spans="1:7" x14ac:dyDescent="0.3">
      <c r="A2048">
        <v>20460</v>
      </c>
      <c r="B2048">
        <v>1498.3</v>
      </c>
      <c r="C2048">
        <v>112.486</v>
      </c>
      <c r="D2048" s="15">
        <f t="shared" si="95"/>
        <v>1.5000000000000568E-4</v>
      </c>
      <c r="E2048" s="14">
        <f t="shared" si="93"/>
        <v>5.9537642253719984E-5</v>
      </c>
      <c r="F2048">
        <v>104.88</v>
      </c>
      <c r="G2048" s="1">
        <f t="shared" si="94"/>
        <v>104.213781</v>
      </c>
    </row>
    <row r="2049" spans="1:7" x14ac:dyDescent="0.3">
      <c r="A2049">
        <v>20470</v>
      </c>
      <c r="B2049">
        <v>1498.6</v>
      </c>
      <c r="C2049">
        <v>112.485</v>
      </c>
      <c r="D2049" s="15">
        <f t="shared" si="95"/>
        <v>1.2499999999988632E-4</v>
      </c>
      <c r="E2049" s="14">
        <f t="shared" si="93"/>
        <v>5.9515004709029989E-5</v>
      </c>
      <c r="F2049">
        <v>104.88</v>
      </c>
      <c r="G2049" s="1">
        <f t="shared" si="94"/>
        <v>104.21265100000001</v>
      </c>
    </row>
    <row r="2050" spans="1:7" x14ac:dyDescent="0.3">
      <c r="A2050">
        <v>20480</v>
      </c>
      <c r="B2050">
        <v>1499.6</v>
      </c>
      <c r="C2050">
        <v>112.483</v>
      </c>
      <c r="D2050" s="15">
        <f t="shared" si="95"/>
        <v>1.2500000000024159E-4</v>
      </c>
      <c r="E2050" s="14">
        <f t="shared" ref="E2050:E2113" si="96">0.0000000000000634167*A2050*A2050 - 0.0000000048594*A2050 + 0.000132414</f>
        <v>5.9492379847679995E-5</v>
      </c>
      <c r="F2050">
        <v>104.879</v>
      </c>
      <c r="G2050" s="1">
        <f t="shared" si="94"/>
        <v>104.211521</v>
      </c>
    </row>
    <row r="2051" spans="1:7" x14ac:dyDescent="0.3">
      <c r="A2051">
        <v>20490</v>
      </c>
      <c r="B2051">
        <v>1499.8</v>
      </c>
      <c r="C2051">
        <v>112.482</v>
      </c>
      <c r="D2051" s="15">
        <f t="shared" si="95"/>
        <v>1.2499999999988632E-4</v>
      </c>
      <c r="E2051" s="14">
        <f t="shared" si="96"/>
        <v>5.9469767669669988E-5</v>
      </c>
      <c r="F2051">
        <v>104.879</v>
      </c>
      <c r="G2051" s="1">
        <f t="shared" ref="G2051:G2114" si="97">-0.000113*A2051 + 106.525761</f>
        <v>104.210391</v>
      </c>
    </row>
    <row r="2052" spans="1:7" x14ac:dyDescent="0.3">
      <c r="A2052">
        <v>20500</v>
      </c>
      <c r="B2052">
        <v>1499.5</v>
      </c>
      <c r="C2052">
        <v>112.48099999999999</v>
      </c>
      <c r="D2052" s="15">
        <f t="shared" si="95"/>
        <v>1.2500000000024159E-4</v>
      </c>
      <c r="E2052" s="14">
        <f t="shared" si="96"/>
        <v>5.9447168174999997E-5</v>
      </c>
      <c r="F2052">
        <v>104.879</v>
      </c>
      <c r="G2052" s="1">
        <f t="shared" si="97"/>
        <v>104.209261</v>
      </c>
    </row>
    <row r="2053" spans="1:7" x14ac:dyDescent="0.3">
      <c r="A2053">
        <v>20510</v>
      </c>
      <c r="B2053">
        <v>1499.8</v>
      </c>
      <c r="C2053">
        <v>112.48</v>
      </c>
      <c r="D2053" s="15">
        <f t="shared" ref="D2053:D2116" si="98">(C2051-C2055)/(A2055-A2051)</f>
        <v>1.2499999999988632E-4</v>
      </c>
      <c r="E2053" s="14">
        <f t="shared" si="96"/>
        <v>5.9424581363669993E-5</v>
      </c>
      <c r="F2053">
        <v>104.879</v>
      </c>
      <c r="G2053" s="1">
        <f t="shared" si="97"/>
        <v>104.20813100000001</v>
      </c>
    </row>
    <row r="2054" spans="1:7" x14ac:dyDescent="0.3">
      <c r="A2054">
        <v>20520</v>
      </c>
      <c r="B2054">
        <v>1499.9</v>
      </c>
      <c r="C2054">
        <v>112.47799999999999</v>
      </c>
      <c r="D2054" s="15">
        <f t="shared" si="98"/>
        <v>1.2499999999988632E-4</v>
      </c>
      <c r="E2054" s="14">
        <f t="shared" si="96"/>
        <v>5.9402007235679989E-5</v>
      </c>
      <c r="F2054">
        <v>104.878</v>
      </c>
      <c r="G2054" s="1">
        <f t="shared" si="97"/>
        <v>104.20700100000001</v>
      </c>
    </row>
    <row r="2055" spans="1:7" x14ac:dyDescent="0.3">
      <c r="A2055">
        <v>20530</v>
      </c>
      <c r="B2055">
        <v>1500.6</v>
      </c>
      <c r="C2055">
        <v>112.477</v>
      </c>
      <c r="D2055" s="15">
        <f t="shared" si="98"/>
        <v>1.2500000000024159E-4</v>
      </c>
      <c r="E2055" s="14">
        <f t="shared" si="96"/>
        <v>5.9379445791030001E-5</v>
      </c>
      <c r="F2055">
        <v>104.879</v>
      </c>
      <c r="G2055" s="1">
        <f t="shared" si="97"/>
        <v>104.205871</v>
      </c>
    </row>
    <row r="2056" spans="1:7" x14ac:dyDescent="0.3">
      <c r="A2056">
        <v>20540</v>
      </c>
      <c r="B2056">
        <v>1500.8</v>
      </c>
      <c r="C2056">
        <v>112.476</v>
      </c>
      <c r="D2056" s="15">
        <f t="shared" si="98"/>
        <v>1.2499999999988632E-4</v>
      </c>
      <c r="E2056" s="14">
        <f t="shared" si="96"/>
        <v>5.935689702972E-5</v>
      </c>
      <c r="F2056">
        <v>104.878</v>
      </c>
      <c r="G2056" s="1">
        <f t="shared" si="97"/>
        <v>104.204741</v>
      </c>
    </row>
    <row r="2057" spans="1:7" x14ac:dyDescent="0.3">
      <c r="A2057">
        <v>20550</v>
      </c>
      <c r="B2057">
        <v>1498.4</v>
      </c>
      <c r="C2057">
        <v>112.47499999999999</v>
      </c>
      <c r="D2057" s="15">
        <f t="shared" si="98"/>
        <v>1.2500000000024159E-4</v>
      </c>
      <c r="E2057" s="14">
        <f t="shared" si="96"/>
        <v>5.9334360951749987E-5</v>
      </c>
      <c r="F2057">
        <v>104.878</v>
      </c>
      <c r="G2057" s="1">
        <f t="shared" si="97"/>
        <v>104.20361100000001</v>
      </c>
    </row>
    <row r="2058" spans="1:7" x14ac:dyDescent="0.3">
      <c r="A2058">
        <v>20560</v>
      </c>
      <c r="B2058">
        <v>1497.9</v>
      </c>
      <c r="C2058">
        <v>112.473</v>
      </c>
      <c r="D2058" s="15">
        <f t="shared" si="98"/>
        <v>1.2499999999988632E-4</v>
      </c>
      <c r="E2058" s="14">
        <f t="shared" si="96"/>
        <v>5.9311837557120002E-5</v>
      </c>
      <c r="F2058">
        <v>104.878</v>
      </c>
      <c r="G2058" s="1">
        <f t="shared" si="97"/>
        <v>104.20248100000001</v>
      </c>
    </row>
    <row r="2059" spans="1:7" x14ac:dyDescent="0.3">
      <c r="A2059">
        <v>20570</v>
      </c>
      <c r="B2059">
        <v>1497.8</v>
      </c>
      <c r="C2059">
        <v>112.47199999999999</v>
      </c>
      <c r="D2059" s="15">
        <f t="shared" si="98"/>
        <v>1.2499999999988632E-4</v>
      </c>
      <c r="E2059" s="14">
        <f t="shared" si="96"/>
        <v>5.9289326845829991E-5</v>
      </c>
      <c r="F2059">
        <v>104.877</v>
      </c>
      <c r="G2059" s="1">
        <f t="shared" si="97"/>
        <v>104.201351</v>
      </c>
    </row>
    <row r="2060" spans="1:7" x14ac:dyDescent="0.3">
      <c r="A2060">
        <v>20580</v>
      </c>
      <c r="B2060">
        <v>1497.9</v>
      </c>
      <c r="C2060">
        <v>112.471</v>
      </c>
      <c r="D2060" s="15">
        <f t="shared" si="98"/>
        <v>1.0000000000012221E-4</v>
      </c>
      <c r="E2060" s="14">
        <f t="shared" si="96"/>
        <v>5.9266828817879994E-5</v>
      </c>
      <c r="F2060">
        <v>104.877</v>
      </c>
      <c r="G2060" s="1">
        <f t="shared" si="97"/>
        <v>104.200221</v>
      </c>
    </row>
    <row r="2061" spans="1:7" x14ac:dyDescent="0.3">
      <c r="A2061">
        <v>20590</v>
      </c>
      <c r="B2061">
        <v>1497.9</v>
      </c>
      <c r="C2061">
        <v>112.47</v>
      </c>
      <c r="D2061" s="15">
        <f t="shared" si="98"/>
        <v>1.2499999999988632E-4</v>
      </c>
      <c r="E2061" s="14">
        <f t="shared" si="96"/>
        <v>5.9244343473269999E-5</v>
      </c>
      <c r="F2061">
        <v>104.877</v>
      </c>
      <c r="G2061" s="1">
        <f t="shared" si="97"/>
        <v>104.19909100000001</v>
      </c>
    </row>
    <row r="2062" spans="1:7" x14ac:dyDescent="0.3">
      <c r="A2062">
        <v>20600</v>
      </c>
      <c r="B2062">
        <v>1498.1</v>
      </c>
      <c r="C2062">
        <v>112.46899999999999</v>
      </c>
      <c r="D2062" s="15">
        <f t="shared" si="98"/>
        <v>1.2500000000024159E-4</v>
      </c>
      <c r="E2062" s="14">
        <f t="shared" si="96"/>
        <v>5.9221870811999991E-5</v>
      </c>
      <c r="F2062">
        <v>104.877</v>
      </c>
      <c r="G2062" s="1">
        <f t="shared" si="97"/>
        <v>104.19796100000001</v>
      </c>
    </row>
    <row r="2063" spans="1:7" x14ac:dyDescent="0.3">
      <c r="A2063">
        <v>20610</v>
      </c>
      <c r="B2063">
        <v>1497.4</v>
      </c>
      <c r="C2063">
        <v>112.467</v>
      </c>
      <c r="D2063" s="15">
        <f t="shared" si="98"/>
        <v>1.2499999999988632E-4</v>
      </c>
      <c r="E2063" s="14">
        <f t="shared" si="96"/>
        <v>5.9199410834069997E-5</v>
      </c>
      <c r="F2063">
        <v>104.876</v>
      </c>
      <c r="G2063" s="1">
        <f t="shared" si="97"/>
        <v>104.196831</v>
      </c>
    </row>
    <row r="2064" spans="1:7" x14ac:dyDescent="0.3">
      <c r="A2064">
        <v>20620</v>
      </c>
      <c r="B2064">
        <v>1497.7</v>
      </c>
      <c r="C2064">
        <v>112.46599999999999</v>
      </c>
      <c r="D2064" s="15">
        <f t="shared" si="98"/>
        <v>1.2499999999988632E-4</v>
      </c>
      <c r="E2064" s="14">
        <f t="shared" si="96"/>
        <v>5.9176963539480005E-5</v>
      </c>
      <c r="F2064">
        <v>104.877</v>
      </c>
      <c r="G2064" s="1">
        <f t="shared" si="97"/>
        <v>104.195701</v>
      </c>
    </row>
    <row r="2065" spans="1:7" x14ac:dyDescent="0.3">
      <c r="A2065">
        <v>20630</v>
      </c>
      <c r="B2065">
        <v>1497.3</v>
      </c>
      <c r="C2065">
        <v>112.465</v>
      </c>
      <c r="D2065" s="15">
        <f t="shared" si="98"/>
        <v>1.2499999999988632E-4</v>
      </c>
      <c r="E2065" s="14">
        <f t="shared" si="96"/>
        <v>5.9154528928230001E-5</v>
      </c>
      <c r="F2065">
        <v>104.876</v>
      </c>
      <c r="G2065" s="1">
        <f t="shared" si="97"/>
        <v>104.194571</v>
      </c>
    </row>
    <row r="2066" spans="1:7" x14ac:dyDescent="0.3">
      <c r="A2066">
        <v>20640</v>
      </c>
      <c r="B2066">
        <v>1497.4</v>
      </c>
      <c r="C2066">
        <v>112.464</v>
      </c>
      <c r="D2066" s="15">
        <f t="shared" si="98"/>
        <v>1.2499999999988632E-4</v>
      </c>
      <c r="E2066" s="14">
        <f t="shared" si="96"/>
        <v>5.9132107000319997E-5</v>
      </c>
      <c r="F2066">
        <v>104.875</v>
      </c>
      <c r="G2066" s="1">
        <f t="shared" si="97"/>
        <v>104.19344100000001</v>
      </c>
    </row>
    <row r="2067" spans="1:7" x14ac:dyDescent="0.3">
      <c r="A2067">
        <v>20650</v>
      </c>
      <c r="B2067">
        <v>1497.5</v>
      </c>
      <c r="C2067">
        <v>112.462</v>
      </c>
      <c r="D2067" s="15">
        <f t="shared" si="98"/>
        <v>1.2500000000024159E-4</v>
      </c>
      <c r="E2067" s="14">
        <f t="shared" si="96"/>
        <v>5.9109697755749995E-5</v>
      </c>
      <c r="F2067">
        <v>104.876</v>
      </c>
      <c r="G2067" s="1">
        <f t="shared" si="97"/>
        <v>104.192311</v>
      </c>
    </row>
    <row r="2068" spans="1:7" x14ac:dyDescent="0.3">
      <c r="A2068">
        <v>20660</v>
      </c>
      <c r="B2068">
        <v>1497.5</v>
      </c>
      <c r="C2068">
        <v>112.461</v>
      </c>
      <c r="D2068" s="15">
        <f t="shared" si="98"/>
        <v>1.2499999999988632E-4</v>
      </c>
      <c r="E2068" s="14">
        <f t="shared" si="96"/>
        <v>5.9087301194519993E-5</v>
      </c>
      <c r="F2068">
        <v>104.875</v>
      </c>
      <c r="G2068" s="1">
        <f t="shared" si="97"/>
        <v>104.191181</v>
      </c>
    </row>
    <row r="2069" spans="1:7" x14ac:dyDescent="0.3">
      <c r="A2069">
        <v>20670</v>
      </c>
      <c r="B2069">
        <v>1496.9</v>
      </c>
      <c r="C2069">
        <v>112.46</v>
      </c>
      <c r="D2069" s="15">
        <f t="shared" si="98"/>
        <v>1.0000000000012221E-4</v>
      </c>
      <c r="E2069" s="14">
        <f t="shared" si="96"/>
        <v>5.9064917316629993E-5</v>
      </c>
      <c r="F2069">
        <v>104.875</v>
      </c>
      <c r="G2069" s="1">
        <f t="shared" si="97"/>
        <v>104.190051</v>
      </c>
    </row>
    <row r="2070" spans="1:7" x14ac:dyDescent="0.3">
      <c r="A2070">
        <v>20680</v>
      </c>
      <c r="B2070">
        <v>1496.6</v>
      </c>
      <c r="C2070">
        <v>112.459</v>
      </c>
      <c r="D2070" s="15">
        <f t="shared" si="98"/>
        <v>1.0000000000012221E-4</v>
      </c>
      <c r="E2070" s="14">
        <f t="shared" si="96"/>
        <v>5.9042546122079994E-5</v>
      </c>
      <c r="F2070">
        <v>104.875</v>
      </c>
      <c r="G2070" s="1">
        <f t="shared" si="97"/>
        <v>104.18892100000001</v>
      </c>
    </row>
    <row r="2071" spans="1:7" x14ac:dyDescent="0.3">
      <c r="A2071">
        <v>20690</v>
      </c>
      <c r="B2071">
        <v>1496.7</v>
      </c>
      <c r="C2071">
        <v>112.458</v>
      </c>
      <c r="D2071" s="15">
        <f t="shared" si="98"/>
        <v>1.2499999999988632E-4</v>
      </c>
      <c r="E2071" s="14">
        <f t="shared" si="96"/>
        <v>5.9020187610869996E-5</v>
      </c>
      <c r="F2071">
        <v>104.875</v>
      </c>
      <c r="G2071" s="1">
        <f t="shared" si="97"/>
        <v>104.187791</v>
      </c>
    </row>
    <row r="2072" spans="1:7" x14ac:dyDescent="0.3">
      <c r="A2072">
        <v>20700</v>
      </c>
      <c r="B2072">
        <v>1496.6</v>
      </c>
      <c r="C2072">
        <v>112.45699999999999</v>
      </c>
      <c r="D2072" s="15">
        <f t="shared" si="98"/>
        <v>1.2500000000024159E-4</v>
      </c>
      <c r="E2072" s="14">
        <f t="shared" si="96"/>
        <v>5.8997841782999999E-5</v>
      </c>
      <c r="F2072">
        <v>104.874</v>
      </c>
      <c r="G2072" s="1">
        <f t="shared" si="97"/>
        <v>104.186661</v>
      </c>
    </row>
    <row r="2073" spans="1:7" x14ac:dyDescent="0.3">
      <c r="A2073">
        <v>20710</v>
      </c>
      <c r="B2073">
        <v>1496.5</v>
      </c>
      <c r="C2073">
        <v>112.455</v>
      </c>
      <c r="D2073" s="15">
        <f t="shared" si="98"/>
        <v>1.2499999999988632E-4</v>
      </c>
      <c r="E2073" s="14">
        <f t="shared" si="96"/>
        <v>5.897550863846999E-5</v>
      </c>
      <c r="F2073">
        <v>104.874</v>
      </c>
      <c r="G2073" s="1">
        <f t="shared" si="97"/>
        <v>104.185531</v>
      </c>
    </row>
    <row r="2074" spans="1:7" x14ac:dyDescent="0.3">
      <c r="A2074">
        <v>20720</v>
      </c>
      <c r="B2074">
        <v>1494.6</v>
      </c>
      <c r="C2074">
        <v>112.45399999999999</v>
      </c>
      <c r="D2074" s="15">
        <f t="shared" si="98"/>
        <v>1.2499999999988632E-4</v>
      </c>
      <c r="E2074" s="14">
        <f t="shared" si="96"/>
        <v>5.8953188177279995E-5</v>
      </c>
      <c r="F2074">
        <v>104.874</v>
      </c>
      <c r="G2074" s="1">
        <f t="shared" si="97"/>
        <v>104.18440100000001</v>
      </c>
    </row>
    <row r="2075" spans="1:7" x14ac:dyDescent="0.3">
      <c r="A2075">
        <v>20730</v>
      </c>
      <c r="B2075">
        <v>1490</v>
      </c>
      <c r="C2075">
        <v>112.453</v>
      </c>
      <c r="D2075" s="15">
        <f t="shared" si="98"/>
        <v>1.0000000000012221E-4</v>
      </c>
      <c r="E2075" s="14">
        <f t="shared" si="96"/>
        <v>5.8930880399430001E-5</v>
      </c>
      <c r="F2075">
        <v>104.873</v>
      </c>
      <c r="G2075" s="1">
        <f t="shared" si="97"/>
        <v>104.183271</v>
      </c>
    </row>
    <row r="2076" spans="1:7" x14ac:dyDescent="0.3">
      <c r="A2076">
        <v>20740</v>
      </c>
      <c r="B2076">
        <v>1484.6</v>
      </c>
      <c r="C2076">
        <v>112.452</v>
      </c>
      <c r="D2076" s="15">
        <f t="shared" si="98"/>
        <v>9.9999999999766942E-5</v>
      </c>
      <c r="E2076" s="14">
        <f t="shared" si="96"/>
        <v>5.8908585304919995E-5</v>
      </c>
      <c r="F2076">
        <v>104.874</v>
      </c>
      <c r="G2076" s="1">
        <f t="shared" si="97"/>
        <v>104.182141</v>
      </c>
    </row>
    <row r="2077" spans="1:7" x14ac:dyDescent="0.3">
      <c r="A2077">
        <v>20750</v>
      </c>
      <c r="B2077">
        <v>1480.5</v>
      </c>
      <c r="C2077">
        <v>112.45099999999999</v>
      </c>
      <c r="D2077" s="15">
        <f t="shared" si="98"/>
        <v>1.2500000000024159E-4</v>
      </c>
      <c r="E2077" s="14">
        <f t="shared" si="96"/>
        <v>5.8886302893750004E-5</v>
      </c>
      <c r="F2077">
        <v>104.873</v>
      </c>
      <c r="G2077" s="1">
        <f t="shared" si="97"/>
        <v>104.181011</v>
      </c>
    </row>
    <row r="2078" spans="1:7" x14ac:dyDescent="0.3">
      <c r="A2078">
        <v>20760</v>
      </c>
      <c r="B2078">
        <v>1477.1</v>
      </c>
      <c r="C2078">
        <v>112.45</v>
      </c>
      <c r="D2078" s="15">
        <f t="shared" si="98"/>
        <v>1.2499999999988632E-4</v>
      </c>
      <c r="E2078" s="14">
        <f t="shared" si="96"/>
        <v>5.8864033165919986E-5</v>
      </c>
      <c r="F2078">
        <v>104.872</v>
      </c>
      <c r="G2078" s="1">
        <f t="shared" si="97"/>
        <v>104.17988100000001</v>
      </c>
    </row>
    <row r="2079" spans="1:7" x14ac:dyDescent="0.3">
      <c r="A2079">
        <v>20770</v>
      </c>
      <c r="B2079">
        <v>1470.4</v>
      </c>
      <c r="C2079">
        <v>112.44799999999999</v>
      </c>
      <c r="D2079" s="15">
        <f t="shared" si="98"/>
        <v>1.2499999999988632E-4</v>
      </c>
      <c r="E2079" s="14">
        <f t="shared" si="96"/>
        <v>5.8841776121429997E-5</v>
      </c>
      <c r="F2079">
        <v>104.873</v>
      </c>
      <c r="G2079" s="1">
        <f t="shared" si="97"/>
        <v>104.17875100000001</v>
      </c>
    </row>
    <row r="2080" spans="1:7" x14ac:dyDescent="0.3">
      <c r="A2080">
        <v>20780</v>
      </c>
      <c r="B2080">
        <v>1464.9</v>
      </c>
      <c r="C2080">
        <v>112.447</v>
      </c>
      <c r="D2080" s="15">
        <f t="shared" si="98"/>
        <v>1.2500000000024159E-4</v>
      </c>
      <c r="E2080" s="14">
        <f t="shared" si="96"/>
        <v>5.8819531760279995E-5</v>
      </c>
      <c r="F2080">
        <v>104.872</v>
      </c>
      <c r="G2080" s="1">
        <f t="shared" si="97"/>
        <v>104.177621</v>
      </c>
    </row>
    <row r="2081" spans="1:7" x14ac:dyDescent="0.3">
      <c r="A2081">
        <v>20790</v>
      </c>
      <c r="B2081">
        <v>1462.9</v>
      </c>
      <c r="C2081">
        <v>112.446</v>
      </c>
      <c r="D2081" s="15">
        <f t="shared" si="98"/>
        <v>9.9999999999766942E-5</v>
      </c>
      <c r="E2081" s="14">
        <f t="shared" si="96"/>
        <v>5.8797300082469994E-5</v>
      </c>
      <c r="F2081">
        <v>104.873</v>
      </c>
      <c r="G2081" s="1">
        <f t="shared" si="97"/>
        <v>104.176491</v>
      </c>
    </row>
    <row r="2082" spans="1:7" x14ac:dyDescent="0.3">
      <c r="A2082">
        <v>20800</v>
      </c>
      <c r="B2082">
        <v>1461.4</v>
      </c>
      <c r="C2082">
        <v>112.44499999999999</v>
      </c>
      <c r="D2082" s="15">
        <f t="shared" si="98"/>
        <v>1.0000000000012221E-4</v>
      </c>
      <c r="E2082" s="14">
        <f t="shared" si="96"/>
        <v>5.8775081087999995E-5</v>
      </c>
      <c r="F2082">
        <v>104.872</v>
      </c>
      <c r="G2082" s="1">
        <f t="shared" si="97"/>
        <v>104.17536100000001</v>
      </c>
    </row>
    <row r="2083" spans="1:7" x14ac:dyDescent="0.3">
      <c r="A2083">
        <v>20810</v>
      </c>
      <c r="B2083">
        <v>1460.2</v>
      </c>
      <c r="C2083">
        <v>112.444</v>
      </c>
      <c r="D2083" s="15">
        <f t="shared" si="98"/>
        <v>1.0000000000012221E-4</v>
      </c>
      <c r="E2083" s="14">
        <f t="shared" si="96"/>
        <v>5.8752874776869996E-5</v>
      </c>
      <c r="F2083">
        <v>104.871</v>
      </c>
      <c r="G2083" s="1">
        <f t="shared" si="97"/>
        <v>104.17423100000001</v>
      </c>
    </row>
    <row r="2084" spans="1:7" x14ac:dyDescent="0.3">
      <c r="A2084">
        <v>20820</v>
      </c>
      <c r="B2084">
        <v>1459</v>
      </c>
      <c r="C2084">
        <v>112.443</v>
      </c>
      <c r="D2084" s="15">
        <f t="shared" si="98"/>
        <v>9.9999999999766942E-5</v>
      </c>
      <c r="E2084" s="14">
        <f t="shared" si="96"/>
        <v>5.8730681149079985E-5</v>
      </c>
      <c r="F2084">
        <v>104.872</v>
      </c>
      <c r="G2084" s="1">
        <f t="shared" si="97"/>
        <v>104.173101</v>
      </c>
    </row>
    <row r="2085" spans="1:7" x14ac:dyDescent="0.3">
      <c r="A2085">
        <v>20830</v>
      </c>
      <c r="B2085">
        <v>1457.7</v>
      </c>
      <c r="C2085">
        <v>112.44199999999999</v>
      </c>
      <c r="D2085" s="15">
        <f t="shared" si="98"/>
        <v>1.0000000000012221E-4</v>
      </c>
      <c r="E2085" s="14">
        <f t="shared" si="96"/>
        <v>5.8708500204630003E-5</v>
      </c>
      <c r="F2085">
        <v>104.871</v>
      </c>
      <c r="G2085" s="1">
        <f t="shared" si="97"/>
        <v>104.171971</v>
      </c>
    </row>
    <row r="2086" spans="1:7" x14ac:dyDescent="0.3">
      <c r="A2086">
        <v>20840</v>
      </c>
      <c r="B2086">
        <v>1455.5</v>
      </c>
      <c r="C2086">
        <v>112.441</v>
      </c>
      <c r="D2086" s="15">
        <f t="shared" si="98"/>
        <v>1.0000000000012221E-4</v>
      </c>
      <c r="E2086" s="14">
        <f t="shared" si="96"/>
        <v>5.8686331943519994E-5</v>
      </c>
      <c r="F2086">
        <v>104.87</v>
      </c>
      <c r="G2086" s="1">
        <f t="shared" si="97"/>
        <v>104.170841</v>
      </c>
    </row>
    <row r="2087" spans="1:7" x14ac:dyDescent="0.3">
      <c r="A2087">
        <v>20850</v>
      </c>
      <c r="B2087">
        <v>1454</v>
      </c>
      <c r="C2087">
        <v>112.44</v>
      </c>
      <c r="D2087" s="15">
        <f t="shared" si="98"/>
        <v>9.9999999999766942E-5</v>
      </c>
      <c r="E2087" s="14">
        <f t="shared" si="96"/>
        <v>5.8664176365749986E-5</v>
      </c>
      <c r="F2087">
        <v>104.871</v>
      </c>
      <c r="G2087" s="1">
        <f t="shared" si="97"/>
        <v>104.16971100000001</v>
      </c>
    </row>
    <row r="2088" spans="1:7" x14ac:dyDescent="0.3">
      <c r="A2088">
        <v>20860</v>
      </c>
      <c r="B2088">
        <v>1452.9</v>
      </c>
      <c r="C2088">
        <v>112.43899999999999</v>
      </c>
      <c r="D2088" s="15">
        <f t="shared" si="98"/>
        <v>1.0000000000012221E-4</v>
      </c>
      <c r="E2088" s="14">
        <f t="shared" si="96"/>
        <v>5.8642033471319993E-5</v>
      </c>
      <c r="F2088">
        <v>104.87</v>
      </c>
      <c r="G2088" s="1">
        <f t="shared" si="97"/>
        <v>104.168581</v>
      </c>
    </row>
    <row r="2089" spans="1:7" x14ac:dyDescent="0.3">
      <c r="A2089">
        <v>20870</v>
      </c>
      <c r="B2089">
        <v>1452.1</v>
      </c>
      <c r="C2089">
        <v>112.438</v>
      </c>
      <c r="D2089" s="15">
        <f t="shared" si="98"/>
        <v>9.9999999999766942E-5</v>
      </c>
      <c r="E2089" s="14">
        <f t="shared" si="96"/>
        <v>5.8619903260229988E-5</v>
      </c>
      <c r="F2089">
        <v>104.87</v>
      </c>
      <c r="G2089" s="1">
        <f t="shared" si="97"/>
        <v>104.167451</v>
      </c>
    </row>
    <row r="2090" spans="1:7" x14ac:dyDescent="0.3">
      <c r="A2090">
        <v>20880</v>
      </c>
      <c r="B2090">
        <v>1451</v>
      </c>
      <c r="C2090">
        <v>112.437</v>
      </c>
      <c r="D2090" s="15">
        <f t="shared" si="98"/>
        <v>9.9999999999766942E-5</v>
      </c>
      <c r="E2090" s="14">
        <f t="shared" si="96"/>
        <v>5.8597785732479997E-5</v>
      </c>
      <c r="F2090">
        <v>104.87</v>
      </c>
      <c r="G2090" s="1">
        <f t="shared" si="97"/>
        <v>104.166321</v>
      </c>
    </row>
    <row r="2091" spans="1:7" x14ac:dyDescent="0.3">
      <c r="A2091">
        <v>20890</v>
      </c>
      <c r="B2091">
        <v>1450.2</v>
      </c>
      <c r="C2091">
        <v>112.43600000000001</v>
      </c>
      <c r="D2091" s="15">
        <f t="shared" si="98"/>
        <v>1.2499999999988632E-4</v>
      </c>
      <c r="E2091" s="14">
        <f t="shared" si="96"/>
        <v>5.8575680888069994E-5</v>
      </c>
      <c r="F2091">
        <v>104.869</v>
      </c>
      <c r="G2091" s="1">
        <f t="shared" si="97"/>
        <v>104.16519100000001</v>
      </c>
    </row>
    <row r="2092" spans="1:7" x14ac:dyDescent="0.3">
      <c r="A2092">
        <v>20900</v>
      </c>
      <c r="B2092">
        <v>1448.3</v>
      </c>
      <c r="C2092">
        <v>112.435</v>
      </c>
      <c r="D2092" s="15">
        <f t="shared" si="98"/>
        <v>1.2499999999988632E-4</v>
      </c>
      <c r="E2092" s="14">
        <f t="shared" si="96"/>
        <v>5.8553588726999991E-5</v>
      </c>
      <c r="F2092">
        <v>104.87</v>
      </c>
      <c r="G2092" s="1">
        <f t="shared" si="97"/>
        <v>104.164061</v>
      </c>
    </row>
    <row r="2093" spans="1:7" x14ac:dyDescent="0.3">
      <c r="A2093">
        <v>20910</v>
      </c>
      <c r="B2093">
        <v>1445.8</v>
      </c>
      <c r="C2093">
        <v>112.43300000000001</v>
      </c>
      <c r="D2093" s="15">
        <f t="shared" si="98"/>
        <v>1.2500000000024159E-4</v>
      </c>
      <c r="E2093" s="14">
        <f t="shared" si="96"/>
        <v>5.853150924926999E-5</v>
      </c>
      <c r="F2093">
        <v>104.869</v>
      </c>
      <c r="G2093" s="1">
        <f t="shared" si="97"/>
        <v>104.162931</v>
      </c>
    </row>
    <row r="2094" spans="1:7" x14ac:dyDescent="0.3">
      <c r="A2094">
        <v>20920</v>
      </c>
      <c r="B2094">
        <v>1444.1</v>
      </c>
      <c r="C2094">
        <v>112.432</v>
      </c>
      <c r="D2094" s="15">
        <f t="shared" si="98"/>
        <v>1.2499999999988632E-4</v>
      </c>
      <c r="E2094" s="14">
        <f t="shared" si="96"/>
        <v>5.8509442454880004E-5</v>
      </c>
      <c r="F2094">
        <v>104.869</v>
      </c>
      <c r="G2094" s="1">
        <f t="shared" si="97"/>
        <v>104.161801</v>
      </c>
    </row>
    <row r="2095" spans="1:7" x14ac:dyDescent="0.3">
      <c r="A2095">
        <v>20930</v>
      </c>
      <c r="B2095">
        <v>1442.1</v>
      </c>
      <c r="C2095">
        <v>112.431</v>
      </c>
      <c r="D2095" s="15">
        <f t="shared" si="98"/>
        <v>1.0000000000012221E-4</v>
      </c>
      <c r="E2095" s="14">
        <f t="shared" si="96"/>
        <v>5.8487388343829991E-5</v>
      </c>
      <c r="F2095">
        <v>104.869</v>
      </c>
      <c r="G2095" s="1">
        <f t="shared" si="97"/>
        <v>104.16067100000001</v>
      </c>
    </row>
    <row r="2096" spans="1:7" x14ac:dyDescent="0.3">
      <c r="A2096">
        <v>20940</v>
      </c>
      <c r="B2096">
        <v>1440.4</v>
      </c>
      <c r="C2096">
        <v>112.43</v>
      </c>
      <c r="D2096" s="15">
        <f t="shared" si="98"/>
        <v>1.0000000000012221E-4</v>
      </c>
      <c r="E2096" s="14">
        <f t="shared" si="96"/>
        <v>5.8465346916119994E-5</v>
      </c>
      <c r="F2096">
        <v>104.86799999999999</v>
      </c>
      <c r="G2096" s="1">
        <f t="shared" si="97"/>
        <v>104.159541</v>
      </c>
    </row>
    <row r="2097" spans="1:7" x14ac:dyDescent="0.3">
      <c r="A2097">
        <v>20950</v>
      </c>
      <c r="B2097">
        <v>1437.7</v>
      </c>
      <c r="C2097">
        <v>112.429</v>
      </c>
      <c r="D2097" s="15">
        <f t="shared" si="98"/>
        <v>9.9999999999766942E-5</v>
      </c>
      <c r="E2097" s="14">
        <f t="shared" si="96"/>
        <v>5.8443318171749983E-5</v>
      </c>
      <c r="F2097">
        <v>104.86799999999999</v>
      </c>
      <c r="G2097" s="1">
        <f t="shared" si="97"/>
        <v>104.158411</v>
      </c>
    </row>
    <row r="2098" spans="1:7" x14ac:dyDescent="0.3">
      <c r="A2098">
        <v>20960</v>
      </c>
      <c r="B2098">
        <v>1436.2</v>
      </c>
      <c r="C2098">
        <v>112.428</v>
      </c>
      <c r="D2098" s="15">
        <f t="shared" si="98"/>
        <v>1.0000000000012221E-4</v>
      </c>
      <c r="E2098" s="14">
        <f t="shared" si="96"/>
        <v>5.8421302110719988E-5</v>
      </c>
      <c r="F2098">
        <v>104.86799999999999</v>
      </c>
      <c r="G2098" s="1">
        <f t="shared" si="97"/>
        <v>104.157281</v>
      </c>
    </row>
    <row r="2099" spans="1:7" x14ac:dyDescent="0.3">
      <c r="A2099">
        <v>20970</v>
      </c>
      <c r="B2099">
        <v>1434.3</v>
      </c>
      <c r="C2099">
        <v>112.42700000000001</v>
      </c>
      <c r="D2099" s="15">
        <f t="shared" si="98"/>
        <v>1.0000000000012221E-4</v>
      </c>
      <c r="E2099" s="14">
        <f t="shared" si="96"/>
        <v>5.8399298733030007E-5</v>
      </c>
      <c r="F2099">
        <v>104.86799999999999</v>
      </c>
      <c r="G2099" s="1">
        <f t="shared" si="97"/>
        <v>104.15615100000001</v>
      </c>
    </row>
    <row r="2100" spans="1:7" x14ac:dyDescent="0.3">
      <c r="A2100">
        <v>20980</v>
      </c>
      <c r="B2100">
        <v>1432.3</v>
      </c>
      <c r="C2100">
        <v>112.426</v>
      </c>
      <c r="D2100" s="15">
        <f t="shared" si="98"/>
        <v>7.5000000000002839E-5</v>
      </c>
      <c r="E2100" s="14">
        <f t="shared" si="96"/>
        <v>5.8377308038679986E-5</v>
      </c>
      <c r="F2100">
        <v>104.867</v>
      </c>
      <c r="G2100" s="1">
        <f t="shared" si="97"/>
        <v>104.155021</v>
      </c>
    </row>
    <row r="2101" spans="1:7" x14ac:dyDescent="0.3">
      <c r="A2101">
        <v>20990</v>
      </c>
      <c r="B2101">
        <v>1430.6</v>
      </c>
      <c r="C2101">
        <v>112.425</v>
      </c>
      <c r="D2101" s="15">
        <f t="shared" si="98"/>
        <v>7.5000000000002839E-5</v>
      </c>
      <c r="E2101" s="14">
        <f t="shared" si="96"/>
        <v>5.8355330027669994E-5</v>
      </c>
      <c r="F2101">
        <v>104.86799999999999</v>
      </c>
      <c r="G2101" s="1">
        <f t="shared" si="97"/>
        <v>104.153891</v>
      </c>
    </row>
    <row r="2102" spans="1:7" x14ac:dyDescent="0.3">
      <c r="A2102">
        <v>21000</v>
      </c>
      <c r="B2102">
        <v>1429</v>
      </c>
      <c r="C2102">
        <v>112.425</v>
      </c>
      <c r="D2102" s="15">
        <f t="shared" si="98"/>
        <v>7.5000000000002839E-5</v>
      </c>
      <c r="E2102" s="14">
        <f t="shared" si="96"/>
        <v>5.8333364700000002E-5</v>
      </c>
      <c r="F2102">
        <v>104.867</v>
      </c>
      <c r="G2102" s="1">
        <f t="shared" si="97"/>
        <v>104.152761</v>
      </c>
    </row>
    <row r="2103" spans="1:7" x14ac:dyDescent="0.3">
      <c r="A2103">
        <v>21010</v>
      </c>
      <c r="B2103">
        <v>1427.6</v>
      </c>
      <c r="C2103">
        <v>112.42400000000001</v>
      </c>
      <c r="D2103" s="15">
        <f t="shared" si="98"/>
        <v>7.5000000000002839E-5</v>
      </c>
      <c r="E2103" s="14">
        <f t="shared" si="96"/>
        <v>5.8311412055669985E-5</v>
      </c>
      <c r="F2103">
        <v>104.866</v>
      </c>
      <c r="G2103" s="1">
        <f t="shared" si="97"/>
        <v>104.15163100000001</v>
      </c>
    </row>
    <row r="2104" spans="1:7" x14ac:dyDescent="0.3">
      <c r="A2104">
        <v>21020</v>
      </c>
      <c r="B2104">
        <v>1425.6</v>
      </c>
      <c r="C2104">
        <v>112.423</v>
      </c>
      <c r="D2104" s="15">
        <f t="shared" si="98"/>
        <v>9.9999999999766942E-5</v>
      </c>
      <c r="E2104" s="14">
        <f t="shared" si="96"/>
        <v>5.8289472094679996E-5</v>
      </c>
      <c r="F2104">
        <v>104.867</v>
      </c>
      <c r="G2104" s="1">
        <f t="shared" si="97"/>
        <v>104.15050100000001</v>
      </c>
    </row>
    <row r="2105" spans="1:7" x14ac:dyDescent="0.3">
      <c r="A2105">
        <v>21030</v>
      </c>
      <c r="B2105">
        <v>1423.8</v>
      </c>
      <c r="C2105">
        <v>112.422</v>
      </c>
      <c r="D2105" s="15">
        <f t="shared" si="98"/>
        <v>1.0000000000012221E-4</v>
      </c>
      <c r="E2105" s="14">
        <f t="shared" si="96"/>
        <v>5.8267544817030008E-5</v>
      </c>
      <c r="F2105">
        <v>104.866</v>
      </c>
      <c r="G2105" s="1">
        <f t="shared" si="97"/>
        <v>104.149371</v>
      </c>
    </row>
    <row r="2106" spans="1:7" x14ac:dyDescent="0.3">
      <c r="A2106">
        <v>21040</v>
      </c>
      <c r="B2106">
        <v>1424.3</v>
      </c>
      <c r="C2106">
        <v>112.42100000000001</v>
      </c>
      <c r="D2106" s="15">
        <f t="shared" si="98"/>
        <v>1.0000000000012221E-4</v>
      </c>
      <c r="E2106" s="14">
        <f t="shared" si="96"/>
        <v>5.8245630222719994E-5</v>
      </c>
      <c r="F2106">
        <v>104.866</v>
      </c>
      <c r="G2106" s="1">
        <f t="shared" si="97"/>
        <v>104.148241</v>
      </c>
    </row>
    <row r="2107" spans="1:7" x14ac:dyDescent="0.3">
      <c r="A2107">
        <v>21050</v>
      </c>
      <c r="B2107">
        <v>1423.9</v>
      </c>
      <c r="C2107">
        <v>112.42</v>
      </c>
      <c r="D2107" s="15">
        <f t="shared" si="98"/>
        <v>9.9999999999766942E-5</v>
      </c>
      <c r="E2107" s="14">
        <f t="shared" si="96"/>
        <v>5.8223728311749995E-5</v>
      </c>
      <c r="F2107">
        <v>104.86499999999999</v>
      </c>
      <c r="G2107" s="1">
        <f t="shared" si="97"/>
        <v>104.14711100000001</v>
      </c>
    </row>
    <row r="2108" spans="1:7" x14ac:dyDescent="0.3">
      <c r="A2108">
        <v>21060</v>
      </c>
      <c r="B2108">
        <v>1424</v>
      </c>
      <c r="C2108">
        <v>112.419</v>
      </c>
      <c r="D2108" s="15">
        <f t="shared" si="98"/>
        <v>1.0000000000012221E-4</v>
      </c>
      <c r="E2108" s="14">
        <f t="shared" si="96"/>
        <v>5.8201839084119983E-5</v>
      </c>
      <c r="F2108">
        <v>104.866</v>
      </c>
      <c r="G2108" s="1">
        <f t="shared" si="97"/>
        <v>104.14598100000001</v>
      </c>
    </row>
    <row r="2109" spans="1:7" x14ac:dyDescent="0.3">
      <c r="A2109">
        <v>21070</v>
      </c>
      <c r="B2109">
        <v>1423.8</v>
      </c>
      <c r="C2109">
        <v>112.41800000000001</v>
      </c>
      <c r="D2109" s="15">
        <f t="shared" si="98"/>
        <v>1.0000000000012221E-4</v>
      </c>
      <c r="E2109" s="14">
        <f t="shared" si="96"/>
        <v>5.8179962539829999E-5</v>
      </c>
      <c r="F2109">
        <v>104.86499999999999</v>
      </c>
      <c r="G2109" s="1">
        <f t="shared" si="97"/>
        <v>104.144851</v>
      </c>
    </row>
    <row r="2110" spans="1:7" x14ac:dyDescent="0.3">
      <c r="A2110">
        <v>21080</v>
      </c>
      <c r="B2110">
        <v>1424.3</v>
      </c>
      <c r="C2110">
        <v>112.417</v>
      </c>
      <c r="D2110" s="15">
        <f t="shared" si="98"/>
        <v>9.9999999999766942E-5</v>
      </c>
      <c r="E2110" s="14">
        <f t="shared" si="96"/>
        <v>5.8158098678880003E-5</v>
      </c>
      <c r="F2110">
        <v>104.86499999999999</v>
      </c>
      <c r="G2110" s="1">
        <f t="shared" si="97"/>
        <v>104.143721</v>
      </c>
    </row>
    <row r="2111" spans="1:7" x14ac:dyDescent="0.3">
      <c r="A2111">
        <v>21090</v>
      </c>
      <c r="B2111">
        <v>1424.4</v>
      </c>
      <c r="C2111">
        <v>112.416</v>
      </c>
      <c r="D2111" s="15">
        <f t="shared" si="98"/>
        <v>1.0000000000012221E-4</v>
      </c>
      <c r="E2111" s="14">
        <f t="shared" si="96"/>
        <v>5.8136247501269995E-5</v>
      </c>
      <c r="F2111">
        <v>104.86499999999999</v>
      </c>
      <c r="G2111" s="1">
        <f t="shared" si="97"/>
        <v>104.14259100000001</v>
      </c>
    </row>
    <row r="2112" spans="1:7" x14ac:dyDescent="0.3">
      <c r="A2112">
        <v>21100</v>
      </c>
      <c r="B2112">
        <v>1424.2</v>
      </c>
      <c r="C2112">
        <v>112.41500000000001</v>
      </c>
      <c r="D2112" s="15">
        <f t="shared" si="98"/>
        <v>1.0000000000012221E-4</v>
      </c>
      <c r="E2112" s="14">
        <f t="shared" si="96"/>
        <v>5.8114409006999987E-5</v>
      </c>
      <c r="F2112">
        <v>104.86499999999999</v>
      </c>
      <c r="G2112" s="1">
        <f t="shared" si="97"/>
        <v>104.14146100000001</v>
      </c>
    </row>
    <row r="2113" spans="1:7" x14ac:dyDescent="0.3">
      <c r="A2113">
        <v>21110</v>
      </c>
      <c r="B2113">
        <v>1424.2</v>
      </c>
      <c r="C2113">
        <v>112.414</v>
      </c>
      <c r="D2113" s="15">
        <f t="shared" si="98"/>
        <v>9.9999999999766942E-5</v>
      </c>
      <c r="E2113" s="14">
        <f t="shared" si="96"/>
        <v>5.8092583196069994E-5</v>
      </c>
      <c r="F2113">
        <v>104.864</v>
      </c>
      <c r="G2113" s="1">
        <f t="shared" si="97"/>
        <v>104.140331</v>
      </c>
    </row>
    <row r="2114" spans="1:7" x14ac:dyDescent="0.3">
      <c r="A2114">
        <v>21120</v>
      </c>
      <c r="B2114">
        <v>1424.8</v>
      </c>
      <c r="C2114">
        <v>112.413</v>
      </c>
      <c r="D2114" s="15">
        <f t="shared" si="98"/>
        <v>7.5000000000002839E-5</v>
      </c>
      <c r="E2114" s="14">
        <f t="shared" ref="E2114:E2177" si="99">0.0000000000000634167*A2114*A2114 - 0.0000000048594*A2114 + 0.000132414</f>
        <v>5.8070770068479989E-5</v>
      </c>
      <c r="F2114">
        <v>104.864</v>
      </c>
      <c r="G2114" s="1">
        <f t="shared" si="97"/>
        <v>104.139201</v>
      </c>
    </row>
    <row r="2115" spans="1:7" x14ac:dyDescent="0.3">
      <c r="A2115">
        <v>21130</v>
      </c>
      <c r="B2115">
        <v>1424.6</v>
      </c>
      <c r="C2115">
        <v>112.41200000000001</v>
      </c>
      <c r="D2115" s="15">
        <f t="shared" si="98"/>
        <v>7.5000000000002839E-5</v>
      </c>
      <c r="E2115" s="14">
        <f t="shared" si="99"/>
        <v>5.8048969624229998E-5</v>
      </c>
      <c r="F2115">
        <v>104.864</v>
      </c>
      <c r="G2115" s="1">
        <f t="shared" ref="G2115:G2178" si="100">-0.000113*A2115 + 106.525761</f>
        <v>104.138071</v>
      </c>
    </row>
    <row r="2116" spans="1:7" x14ac:dyDescent="0.3">
      <c r="A2116">
        <v>21140</v>
      </c>
      <c r="B2116">
        <v>1424.9</v>
      </c>
      <c r="C2116">
        <v>112.41200000000001</v>
      </c>
      <c r="D2116" s="15">
        <f t="shared" si="98"/>
        <v>7.5000000000002839E-5</v>
      </c>
      <c r="E2116" s="14">
        <f t="shared" si="99"/>
        <v>5.8027181863319995E-5</v>
      </c>
      <c r="F2116">
        <v>104.864</v>
      </c>
      <c r="G2116" s="1">
        <f t="shared" si="100"/>
        <v>104.13694100000001</v>
      </c>
    </row>
    <row r="2117" spans="1:7" x14ac:dyDescent="0.3">
      <c r="A2117">
        <v>21150</v>
      </c>
      <c r="B2117">
        <v>1425.4</v>
      </c>
      <c r="C2117">
        <v>112.411</v>
      </c>
      <c r="D2117" s="15">
        <f t="shared" ref="D2117:D2180" si="101">(C2115-C2119)/(A2119-A2115)</f>
        <v>7.5000000000002839E-5</v>
      </c>
      <c r="E2117" s="14">
        <f t="shared" si="99"/>
        <v>5.8005406785749993E-5</v>
      </c>
      <c r="F2117">
        <v>104.863</v>
      </c>
      <c r="G2117" s="1">
        <f t="shared" si="100"/>
        <v>104.135811</v>
      </c>
    </row>
    <row r="2118" spans="1:7" x14ac:dyDescent="0.3">
      <c r="A2118">
        <v>21160</v>
      </c>
      <c r="B2118">
        <v>1425.8</v>
      </c>
      <c r="C2118">
        <v>112.41</v>
      </c>
      <c r="D2118" s="15">
        <f t="shared" si="101"/>
        <v>1.0000000000012221E-4</v>
      </c>
      <c r="E2118" s="14">
        <f t="shared" si="99"/>
        <v>5.7983644391519992E-5</v>
      </c>
      <c r="F2118">
        <v>104.863</v>
      </c>
      <c r="G2118" s="1">
        <f t="shared" si="100"/>
        <v>104.134681</v>
      </c>
    </row>
    <row r="2119" spans="1:7" x14ac:dyDescent="0.3">
      <c r="A2119">
        <v>21170</v>
      </c>
      <c r="B2119">
        <v>1427.8</v>
      </c>
      <c r="C2119">
        <v>112.40900000000001</v>
      </c>
      <c r="D2119" s="15">
        <f t="shared" si="101"/>
        <v>1.0000000000012221E-4</v>
      </c>
      <c r="E2119" s="14">
        <f t="shared" si="99"/>
        <v>5.7961894680629993E-5</v>
      </c>
      <c r="F2119">
        <v>104.858</v>
      </c>
      <c r="G2119" s="1">
        <f t="shared" si="100"/>
        <v>104.133551</v>
      </c>
    </row>
    <row r="2120" spans="1:7" x14ac:dyDescent="0.3">
      <c r="A2120">
        <v>21180</v>
      </c>
      <c r="B2120">
        <v>1430.2</v>
      </c>
      <c r="C2120">
        <v>112.408</v>
      </c>
      <c r="D2120" s="15">
        <f t="shared" si="101"/>
        <v>9.9999999999766942E-5</v>
      </c>
      <c r="E2120" s="14">
        <f t="shared" si="99"/>
        <v>5.7940157653079994E-5</v>
      </c>
      <c r="F2120">
        <v>104.852</v>
      </c>
      <c r="G2120" s="1">
        <f t="shared" si="100"/>
        <v>104.13242100000001</v>
      </c>
    </row>
    <row r="2121" spans="1:7" x14ac:dyDescent="0.3">
      <c r="A2121">
        <v>21190</v>
      </c>
      <c r="B2121">
        <v>1432.7</v>
      </c>
      <c r="C2121">
        <v>112.407</v>
      </c>
      <c r="D2121" s="15">
        <f t="shared" si="101"/>
        <v>1.0000000000012221E-4</v>
      </c>
      <c r="E2121" s="14">
        <f t="shared" si="99"/>
        <v>5.7918433308869996E-5</v>
      </c>
      <c r="F2121">
        <v>104.845</v>
      </c>
      <c r="G2121" s="1">
        <f t="shared" si="100"/>
        <v>104.131291</v>
      </c>
    </row>
    <row r="2122" spans="1:7" x14ac:dyDescent="0.3">
      <c r="A2122">
        <v>21200</v>
      </c>
      <c r="B2122">
        <v>1434.9</v>
      </c>
      <c r="C2122">
        <v>112.40600000000001</v>
      </c>
      <c r="D2122" s="15">
        <f t="shared" si="101"/>
        <v>1.0000000000012221E-4</v>
      </c>
      <c r="E2122" s="14">
        <f t="shared" si="99"/>
        <v>5.7896721647999986E-5</v>
      </c>
      <c r="F2122">
        <v>104.839</v>
      </c>
      <c r="G2122" s="1">
        <f t="shared" si="100"/>
        <v>104.130161</v>
      </c>
    </row>
    <row r="2123" spans="1:7" x14ac:dyDescent="0.3">
      <c r="A2123">
        <v>21210</v>
      </c>
      <c r="B2123">
        <v>1438.2</v>
      </c>
      <c r="C2123">
        <v>112.405</v>
      </c>
      <c r="D2123" s="15">
        <f t="shared" si="101"/>
        <v>9.9999999999766942E-5</v>
      </c>
      <c r="E2123" s="14">
        <f t="shared" si="99"/>
        <v>5.7875022670469991E-5</v>
      </c>
      <c r="F2123">
        <v>104.833</v>
      </c>
      <c r="G2123" s="1">
        <f t="shared" si="100"/>
        <v>104.129031</v>
      </c>
    </row>
    <row r="2124" spans="1:7" x14ac:dyDescent="0.3">
      <c r="A2124">
        <v>21220</v>
      </c>
      <c r="B2124">
        <v>1441.8</v>
      </c>
      <c r="C2124">
        <v>112.404</v>
      </c>
      <c r="D2124" s="15">
        <f t="shared" si="101"/>
        <v>1.0000000000012221E-4</v>
      </c>
      <c r="E2124" s="14">
        <f t="shared" si="99"/>
        <v>5.785333637628001E-5</v>
      </c>
      <c r="F2124">
        <v>104.827</v>
      </c>
      <c r="G2124" s="1">
        <f t="shared" si="100"/>
        <v>104.12790100000001</v>
      </c>
    </row>
    <row r="2125" spans="1:7" x14ac:dyDescent="0.3">
      <c r="A2125">
        <v>21230</v>
      </c>
      <c r="B2125">
        <v>1444.8</v>
      </c>
      <c r="C2125">
        <v>112.40300000000001</v>
      </c>
      <c r="D2125" s="15">
        <f t="shared" si="101"/>
        <v>1.0000000000012221E-4</v>
      </c>
      <c r="E2125" s="14">
        <f t="shared" si="99"/>
        <v>5.783166276542999E-5</v>
      </c>
      <c r="F2125">
        <v>104.821</v>
      </c>
      <c r="G2125" s="1">
        <f t="shared" si="100"/>
        <v>104.12677100000001</v>
      </c>
    </row>
    <row r="2126" spans="1:7" x14ac:dyDescent="0.3">
      <c r="A2126">
        <v>21240</v>
      </c>
      <c r="B2126">
        <v>1451.3</v>
      </c>
      <c r="C2126">
        <v>112.402</v>
      </c>
      <c r="D2126" s="15">
        <f t="shared" si="101"/>
        <v>9.9999999999766942E-5</v>
      </c>
      <c r="E2126" s="14">
        <f t="shared" si="99"/>
        <v>5.7810001837919997E-5</v>
      </c>
      <c r="F2126">
        <v>104.815</v>
      </c>
      <c r="G2126" s="1">
        <f t="shared" si="100"/>
        <v>104.125641</v>
      </c>
    </row>
    <row r="2127" spans="1:7" x14ac:dyDescent="0.3">
      <c r="A2127">
        <v>21250</v>
      </c>
      <c r="B2127">
        <v>1459.3</v>
      </c>
      <c r="C2127">
        <v>112.401</v>
      </c>
      <c r="D2127" s="15">
        <f t="shared" si="101"/>
        <v>1.0000000000012221E-4</v>
      </c>
      <c r="E2127" s="14">
        <f t="shared" si="99"/>
        <v>5.7788353593749993E-5</v>
      </c>
      <c r="F2127">
        <v>104.809</v>
      </c>
      <c r="G2127" s="1">
        <f t="shared" si="100"/>
        <v>104.124511</v>
      </c>
    </row>
    <row r="2128" spans="1:7" x14ac:dyDescent="0.3">
      <c r="A2128">
        <v>21260</v>
      </c>
      <c r="B2128">
        <v>1469</v>
      </c>
      <c r="C2128">
        <v>112.4</v>
      </c>
      <c r="D2128" s="15">
        <f t="shared" si="101"/>
        <v>1.0000000000012221E-4</v>
      </c>
      <c r="E2128" s="14">
        <f t="shared" si="99"/>
        <v>5.7766718032919989E-5</v>
      </c>
      <c r="F2128">
        <v>104.803</v>
      </c>
      <c r="G2128" s="1">
        <f t="shared" si="100"/>
        <v>104.12338100000001</v>
      </c>
    </row>
    <row r="2129" spans="1:7" x14ac:dyDescent="0.3">
      <c r="A2129">
        <v>21270</v>
      </c>
      <c r="B2129">
        <v>1482.4</v>
      </c>
      <c r="C2129">
        <v>112.399</v>
      </c>
      <c r="D2129" s="15">
        <f t="shared" si="101"/>
        <v>9.9999999999766942E-5</v>
      </c>
      <c r="E2129" s="14">
        <f t="shared" si="99"/>
        <v>5.774509515543E-5</v>
      </c>
      <c r="F2129">
        <v>104.798</v>
      </c>
      <c r="G2129" s="1">
        <f t="shared" si="100"/>
        <v>104.12225100000001</v>
      </c>
    </row>
    <row r="2130" spans="1:7" x14ac:dyDescent="0.3">
      <c r="A2130">
        <v>21280</v>
      </c>
      <c r="B2130">
        <v>1498.2</v>
      </c>
      <c r="C2130">
        <v>112.398</v>
      </c>
      <c r="D2130" s="15">
        <f t="shared" si="101"/>
        <v>1.0000000000012221E-4</v>
      </c>
      <c r="E2130" s="14">
        <f t="shared" si="99"/>
        <v>5.7723484961279986E-5</v>
      </c>
      <c r="F2130">
        <v>104.791</v>
      </c>
      <c r="G2130" s="1">
        <f t="shared" si="100"/>
        <v>104.121121</v>
      </c>
    </row>
    <row r="2131" spans="1:7" x14ac:dyDescent="0.3">
      <c r="A2131">
        <v>21290</v>
      </c>
      <c r="B2131">
        <v>1511.3</v>
      </c>
      <c r="C2131">
        <v>112.39700000000001</v>
      </c>
      <c r="D2131" s="15">
        <f t="shared" si="101"/>
        <v>1.0000000000012221E-4</v>
      </c>
      <c r="E2131" s="14">
        <f t="shared" si="99"/>
        <v>5.7701887450469999E-5</v>
      </c>
      <c r="F2131">
        <v>104.785</v>
      </c>
      <c r="G2131" s="1">
        <f t="shared" si="100"/>
        <v>104.119991</v>
      </c>
    </row>
    <row r="2132" spans="1:7" x14ac:dyDescent="0.3">
      <c r="A2132">
        <v>21300</v>
      </c>
      <c r="B2132">
        <v>1532.4</v>
      </c>
      <c r="C2132">
        <v>112.396</v>
      </c>
      <c r="D2132" s="15">
        <f t="shared" si="101"/>
        <v>9.9999999999766942E-5</v>
      </c>
      <c r="E2132" s="14">
        <f t="shared" si="99"/>
        <v>5.7680302623E-5</v>
      </c>
      <c r="F2132">
        <v>104.779</v>
      </c>
      <c r="G2132" s="1">
        <f t="shared" si="100"/>
        <v>104.11886100000001</v>
      </c>
    </row>
    <row r="2133" spans="1:7" x14ac:dyDescent="0.3">
      <c r="A2133">
        <v>21310</v>
      </c>
      <c r="B2133">
        <v>1552.2</v>
      </c>
      <c r="C2133">
        <v>112.395</v>
      </c>
      <c r="D2133" s="15">
        <f t="shared" si="101"/>
        <v>1.0000000000012221E-4</v>
      </c>
      <c r="E2133" s="14">
        <f t="shared" si="99"/>
        <v>5.7658730478870002E-5</v>
      </c>
      <c r="F2133">
        <v>104.773</v>
      </c>
      <c r="G2133" s="1">
        <f t="shared" si="100"/>
        <v>104.11773100000001</v>
      </c>
    </row>
    <row r="2134" spans="1:7" x14ac:dyDescent="0.3">
      <c r="A2134">
        <v>21320</v>
      </c>
      <c r="B2134">
        <v>1570.1</v>
      </c>
      <c r="C2134">
        <v>112.39400000000001</v>
      </c>
      <c r="D2134" s="15">
        <f t="shared" si="101"/>
        <v>1.2499999999988632E-4</v>
      </c>
      <c r="E2134" s="14">
        <f t="shared" si="99"/>
        <v>5.7637171018079991E-5</v>
      </c>
      <c r="F2134">
        <v>104.76600000000001</v>
      </c>
      <c r="G2134" s="1">
        <f t="shared" si="100"/>
        <v>104.116601</v>
      </c>
    </row>
    <row r="2135" spans="1:7" x14ac:dyDescent="0.3">
      <c r="A2135">
        <v>21330</v>
      </c>
      <c r="B2135">
        <v>1582.1</v>
      </c>
      <c r="C2135">
        <v>112.393</v>
      </c>
      <c r="D2135" s="15">
        <f t="shared" si="101"/>
        <v>1.2499999999988632E-4</v>
      </c>
      <c r="E2135" s="14">
        <f t="shared" si="99"/>
        <v>5.7615624240629982E-5</v>
      </c>
      <c r="F2135">
        <v>104.761</v>
      </c>
      <c r="G2135" s="1">
        <f t="shared" si="100"/>
        <v>104.115471</v>
      </c>
    </row>
    <row r="2136" spans="1:7" x14ac:dyDescent="0.3">
      <c r="A2136">
        <v>21340</v>
      </c>
      <c r="B2136">
        <v>1595.1</v>
      </c>
      <c r="C2136">
        <v>112.39100000000001</v>
      </c>
      <c r="D2136" s="15">
        <f t="shared" si="101"/>
        <v>1.2500000000024159E-4</v>
      </c>
      <c r="E2136" s="14">
        <f t="shared" si="99"/>
        <v>5.759409014652E-5</v>
      </c>
      <c r="F2136">
        <v>104.755</v>
      </c>
      <c r="G2136" s="1">
        <f t="shared" si="100"/>
        <v>104.114341</v>
      </c>
    </row>
    <row r="2137" spans="1:7" x14ac:dyDescent="0.3">
      <c r="A2137">
        <v>21350</v>
      </c>
      <c r="B2137">
        <v>1607.6</v>
      </c>
      <c r="C2137">
        <v>112.39</v>
      </c>
      <c r="D2137" s="15">
        <f t="shared" si="101"/>
        <v>1.2499999999988632E-4</v>
      </c>
      <c r="E2137" s="14">
        <f t="shared" si="99"/>
        <v>5.7572568735749993E-5</v>
      </c>
      <c r="F2137">
        <v>104.748</v>
      </c>
      <c r="G2137" s="1">
        <f t="shared" si="100"/>
        <v>104.11321100000001</v>
      </c>
    </row>
    <row r="2138" spans="1:7" x14ac:dyDescent="0.3">
      <c r="A2138">
        <v>21360</v>
      </c>
      <c r="B2138">
        <v>1628.4</v>
      </c>
      <c r="C2138">
        <v>112.389</v>
      </c>
      <c r="D2138" s="15">
        <f t="shared" si="101"/>
        <v>1.0000000000012221E-4</v>
      </c>
      <c r="E2138" s="14">
        <f t="shared" si="99"/>
        <v>5.7551060008319987E-5</v>
      </c>
      <c r="F2138">
        <v>104.74299999999999</v>
      </c>
      <c r="G2138" s="1">
        <f t="shared" si="100"/>
        <v>104.112081</v>
      </c>
    </row>
    <row r="2139" spans="1:7" x14ac:dyDescent="0.3">
      <c r="A2139">
        <v>21370</v>
      </c>
      <c r="B2139">
        <v>1649.6</v>
      </c>
      <c r="C2139">
        <v>112.38800000000001</v>
      </c>
      <c r="D2139" s="15">
        <f t="shared" si="101"/>
        <v>1.2499999999988632E-4</v>
      </c>
      <c r="E2139" s="14">
        <f t="shared" si="99"/>
        <v>5.7529563964229996E-5</v>
      </c>
      <c r="F2139">
        <v>104.736</v>
      </c>
      <c r="G2139" s="1">
        <f t="shared" si="100"/>
        <v>104.110951</v>
      </c>
    </row>
    <row r="2140" spans="1:7" x14ac:dyDescent="0.3">
      <c r="A2140">
        <v>21380</v>
      </c>
      <c r="B2140">
        <v>1667.5</v>
      </c>
      <c r="C2140">
        <v>112.387</v>
      </c>
      <c r="D2140" s="15">
        <f t="shared" si="101"/>
        <v>1.2499999999988632E-4</v>
      </c>
      <c r="E2140" s="14">
        <f t="shared" si="99"/>
        <v>5.7508080603480005E-5</v>
      </c>
      <c r="F2140">
        <v>104.73099999999999</v>
      </c>
      <c r="G2140" s="1">
        <f t="shared" si="100"/>
        <v>104.109821</v>
      </c>
    </row>
    <row r="2141" spans="1:7" x14ac:dyDescent="0.3">
      <c r="A2141">
        <v>21390</v>
      </c>
      <c r="B2141">
        <v>1680.2</v>
      </c>
      <c r="C2141">
        <v>112.38500000000001</v>
      </c>
      <c r="D2141" s="15">
        <f t="shared" si="101"/>
        <v>1.2500000000024159E-4</v>
      </c>
      <c r="E2141" s="14">
        <f t="shared" si="99"/>
        <v>5.7486609926069989E-5</v>
      </c>
      <c r="F2141">
        <v>104.72499999999999</v>
      </c>
      <c r="G2141" s="1">
        <f t="shared" si="100"/>
        <v>104.10869100000001</v>
      </c>
    </row>
    <row r="2142" spans="1:7" x14ac:dyDescent="0.3">
      <c r="A2142">
        <v>21400</v>
      </c>
      <c r="B2142">
        <v>1687.2</v>
      </c>
      <c r="C2142">
        <v>112.384</v>
      </c>
      <c r="D2142" s="15">
        <f t="shared" si="101"/>
        <v>1.5000000000000568E-4</v>
      </c>
      <c r="E2142" s="14">
        <f t="shared" si="99"/>
        <v>5.7465151932000001E-5</v>
      </c>
      <c r="F2142">
        <v>104.718</v>
      </c>
      <c r="G2142" s="1">
        <f t="shared" si="100"/>
        <v>104.107561</v>
      </c>
    </row>
    <row r="2143" spans="1:7" x14ac:dyDescent="0.3">
      <c r="A2143">
        <v>21410</v>
      </c>
      <c r="B2143">
        <v>1687</v>
      </c>
      <c r="C2143">
        <v>112.383</v>
      </c>
      <c r="D2143" s="15">
        <f t="shared" si="101"/>
        <v>1.2500000000024159E-4</v>
      </c>
      <c r="E2143" s="14">
        <f t="shared" si="99"/>
        <v>5.744370662127E-5</v>
      </c>
      <c r="F2143">
        <v>104.71299999999999</v>
      </c>
      <c r="G2143" s="1">
        <f t="shared" si="100"/>
        <v>104.106431</v>
      </c>
    </row>
    <row r="2144" spans="1:7" x14ac:dyDescent="0.3">
      <c r="A2144">
        <v>21420</v>
      </c>
      <c r="B2144">
        <v>1685.6</v>
      </c>
      <c r="C2144">
        <v>112.381</v>
      </c>
      <c r="D2144" s="15">
        <f t="shared" si="101"/>
        <v>1.2499999999988632E-4</v>
      </c>
      <c r="E2144" s="14">
        <f t="shared" si="99"/>
        <v>5.742227399388E-5</v>
      </c>
      <c r="F2144">
        <v>104.706</v>
      </c>
      <c r="G2144" s="1">
        <f t="shared" si="100"/>
        <v>104.105301</v>
      </c>
    </row>
    <row r="2145" spans="1:7" x14ac:dyDescent="0.3">
      <c r="A2145">
        <v>21430</v>
      </c>
      <c r="B2145">
        <v>1684.9</v>
      </c>
      <c r="C2145">
        <v>112.38</v>
      </c>
      <c r="D2145" s="15">
        <f t="shared" si="101"/>
        <v>1.2499999999988632E-4</v>
      </c>
      <c r="E2145" s="14">
        <f t="shared" si="99"/>
        <v>5.7400854049830002E-5</v>
      </c>
      <c r="F2145">
        <v>104.7</v>
      </c>
      <c r="G2145" s="1">
        <f t="shared" si="100"/>
        <v>104.10417100000001</v>
      </c>
    </row>
    <row r="2146" spans="1:7" x14ac:dyDescent="0.3">
      <c r="A2146">
        <v>21440</v>
      </c>
      <c r="B2146">
        <v>1684.5</v>
      </c>
      <c r="C2146">
        <v>112.379</v>
      </c>
      <c r="D2146" s="15">
        <f t="shared" si="101"/>
        <v>1.2499999999988632E-4</v>
      </c>
      <c r="E2146" s="14">
        <f t="shared" si="99"/>
        <v>5.7379446789119991E-5</v>
      </c>
      <c r="F2146">
        <v>104.69499999999999</v>
      </c>
      <c r="G2146" s="1">
        <f t="shared" si="100"/>
        <v>104.103041</v>
      </c>
    </row>
    <row r="2147" spans="1:7" x14ac:dyDescent="0.3">
      <c r="A2147">
        <v>21450</v>
      </c>
      <c r="B2147">
        <v>1684.8</v>
      </c>
      <c r="C2147">
        <v>112.378</v>
      </c>
      <c r="D2147" s="15">
        <f t="shared" si="101"/>
        <v>1.2499999999988632E-4</v>
      </c>
      <c r="E2147" s="14">
        <f t="shared" si="99"/>
        <v>5.7358052211749994E-5</v>
      </c>
      <c r="F2147">
        <v>104.688</v>
      </c>
      <c r="G2147" s="1">
        <f t="shared" si="100"/>
        <v>104.101911</v>
      </c>
    </row>
    <row r="2148" spans="1:7" x14ac:dyDescent="0.3">
      <c r="A2148">
        <v>21460</v>
      </c>
      <c r="B2148">
        <v>1686.1</v>
      </c>
      <c r="C2148">
        <v>112.376</v>
      </c>
      <c r="D2148" s="15">
        <f t="shared" si="101"/>
        <v>1.2500000000024159E-4</v>
      </c>
      <c r="E2148" s="14">
        <f t="shared" si="99"/>
        <v>5.7336670317719999E-5</v>
      </c>
      <c r="F2148">
        <v>104.68300000000001</v>
      </c>
      <c r="G2148" s="1">
        <f t="shared" si="100"/>
        <v>104.100781</v>
      </c>
    </row>
    <row r="2149" spans="1:7" x14ac:dyDescent="0.3">
      <c r="A2149">
        <v>21470</v>
      </c>
      <c r="B2149">
        <v>1685.9</v>
      </c>
      <c r="C2149">
        <v>112.375</v>
      </c>
      <c r="D2149" s="15">
        <f t="shared" si="101"/>
        <v>1.2499999999988632E-4</v>
      </c>
      <c r="E2149" s="14">
        <f t="shared" si="99"/>
        <v>5.7315301107029992E-5</v>
      </c>
      <c r="F2149">
        <v>104.676</v>
      </c>
      <c r="G2149" s="1">
        <f t="shared" si="100"/>
        <v>104.09965100000001</v>
      </c>
    </row>
    <row r="2150" spans="1:7" x14ac:dyDescent="0.3">
      <c r="A2150">
        <v>21480</v>
      </c>
      <c r="B2150">
        <v>1684.2</v>
      </c>
      <c r="C2150">
        <v>112.374</v>
      </c>
      <c r="D2150" s="15">
        <f t="shared" si="101"/>
        <v>1.2500000000024159E-4</v>
      </c>
      <c r="E2150" s="14">
        <f t="shared" si="99"/>
        <v>5.7293944579679999E-5</v>
      </c>
      <c r="F2150">
        <v>104.67</v>
      </c>
      <c r="G2150" s="1">
        <f t="shared" si="100"/>
        <v>104.09852100000001</v>
      </c>
    </row>
    <row r="2151" spans="1:7" x14ac:dyDescent="0.3">
      <c r="A2151">
        <v>21490</v>
      </c>
      <c r="B2151">
        <v>1682.4</v>
      </c>
      <c r="C2151">
        <v>112.373</v>
      </c>
      <c r="D2151" s="15">
        <f t="shared" si="101"/>
        <v>1.2499999999988632E-4</v>
      </c>
      <c r="E2151" s="14">
        <f t="shared" si="99"/>
        <v>5.7272600735670007E-5</v>
      </c>
      <c r="F2151">
        <v>104.664</v>
      </c>
      <c r="G2151" s="1">
        <f t="shared" si="100"/>
        <v>104.097391</v>
      </c>
    </row>
    <row r="2152" spans="1:7" x14ac:dyDescent="0.3">
      <c r="A2152">
        <v>21500</v>
      </c>
      <c r="B2152">
        <v>1680.9</v>
      </c>
      <c r="C2152">
        <v>112.371</v>
      </c>
      <c r="D2152" s="15">
        <f t="shared" si="101"/>
        <v>1.2499999999988632E-4</v>
      </c>
      <c r="E2152" s="14">
        <f t="shared" si="99"/>
        <v>5.7251269574999989E-5</v>
      </c>
      <c r="F2152">
        <v>104.658</v>
      </c>
      <c r="G2152" s="1">
        <f t="shared" si="100"/>
        <v>104.096261</v>
      </c>
    </row>
    <row r="2153" spans="1:7" x14ac:dyDescent="0.3">
      <c r="A2153">
        <v>21510</v>
      </c>
      <c r="B2153">
        <v>1679.5</v>
      </c>
      <c r="C2153">
        <v>112.37</v>
      </c>
      <c r="D2153" s="15">
        <f t="shared" si="101"/>
        <v>1.2500000000024159E-4</v>
      </c>
      <c r="E2153" s="14">
        <f t="shared" si="99"/>
        <v>5.7229951097669999E-5</v>
      </c>
      <c r="F2153">
        <v>104.65300000000001</v>
      </c>
      <c r="G2153" s="1">
        <f t="shared" si="100"/>
        <v>104.09513100000001</v>
      </c>
    </row>
    <row r="2154" spans="1:7" x14ac:dyDescent="0.3">
      <c r="A2154">
        <v>21520</v>
      </c>
      <c r="B2154">
        <v>1678.2</v>
      </c>
      <c r="C2154">
        <v>112.369</v>
      </c>
      <c r="D2154" s="15">
        <f t="shared" si="101"/>
        <v>9.9999999999766942E-5</v>
      </c>
      <c r="E2154" s="14">
        <f t="shared" si="99"/>
        <v>5.7208645303679983E-5</v>
      </c>
      <c r="F2154">
        <v>104.646</v>
      </c>
      <c r="G2154" s="1">
        <f t="shared" si="100"/>
        <v>104.09400100000001</v>
      </c>
    </row>
    <row r="2155" spans="1:7" x14ac:dyDescent="0.3">
      <c r="A2155">
        <v>21530</v>
      </c>
      <c r="B2155">
        <v>1677</v>
      </c>
      <c r="C2155">
        <v>112.36799999999999</v>
      </c>
      <c r="D2155" s="15">
        <f t="shared" si="101"/>
        <v>1.2500000000024159E-4</v>
      </c>
      <c r="E2155" s="14">
        <f t="shared" si="99"/>
        <v>5.7187352193029996E-5</v>
      </c>
      <c r="F2155">
        <v>104.64</v>
      </c>
      <c r="G2155" s="1">
        <f t="shared" si="100"/>
        <v>104.092871</v>
      </c>
    </row>
    <row r="2156" spans="1:7" x14ac:dyDescent="0.3">
      <c r="A2156">
        <v>21540</v>
      </c>
      <c r="B2156">
        <v>1675</v>
      </c>
      <c r="C2156">
        <v>112.367</v>
      </c>
      <c r="D2156" s="15">
        <f t="shared" si="101"/>
        <v>1.2499999999988632E-4</v>
      </c>
      <c r="E2156" s="14">
        <f t="shared" si="99"/>
        <v>5.7166071765719995E-5</v>
      </c>
      <c r="F2156">
        <v>104.634</v>
      </c>
      <c r="G2156" s="1">
        <f t="shared" si="100"/>
        <v>104.091741</v>
      </c>
    </row>
    <row r="2157" spans="1:7" x14ac:dyDescent="0.3">
      <c r="A2157">
        <v>21550</v>
      </c>
      <c r="B2157">
        <v>1673</v>
      </c>
      <c r="C2157">
        <v>112.36499999999999</v>
      </c>
      <c r="D2157" s="15">
        <f t="shared" si="101"/>
        <v>1.2499999999988632E-4</v>
      </c>
      <c r="E2157" s="14">
        <f t="shared" si="99"/>
        <v>5.7144804021749997E-5</v>
      </c>
      <c r="F2157">
        <v>104.628</v>
      </c>
      <c r="G2157" s="1">
        <f t="shared" si="100"/>
        <v>104.09061100000001</v>
      </c>
    </row>
    <row r="2158" spans="1:7" x14ac:dyDescent="0.3">
      <c r="A2158">
        <v>21560</v>
      </c>
      <c r="B2158">
        <v>1671</v>
      </c>
      <c r="C2158">
        <v>112.364</v>
      </c>
      <c r="D2158" s="15">
        <f t="shared" si="101"/>
        <v>1.2500000000024159E-4</v>
      </c>
      <c r="E2158" s="14">
        <f t="shared" si="99"/>
        <v>5.7123548961119999E-5</v>
      </c>
      <c r="F2158">
        <v>104.622</v>
      </c>
      <c r="G2158" s="1">
        <f t="shared" si="100"/>
        <v>104.08948100000001</v>
      </c>
    </row>
    <row r="2159" spans="1:7" x14ac:dyDescent="0.3">
      <c r="A2159">
        <v>21570</v>
      </c>
      <c r="B2159">
        <v>1669</v>
      </c>
      <c r="C2159">
        <v>112.363</v>
      </c>
      <c r="D2159" s="15">
        <f t="shared" si="101"/>
        <v>9.9999999999766942E-5</v>
      </c>
      <c r="E2159" s="14">
        <f t="shared" si="99"/>
        <v>5.7102306583830002E-5</v>
      </c>
      <c r="F2159">
        <v>104.616</v>
      </c>
      <c r="G2159" s="1">
        <f t="shared" si="100"/>
        <v>104.088351</v>
      </c>
    </row>
    <row r="2160" spans="1:7" x14ac:dyDescent="0.3">
      <c r="A2160">
        <v>21580</v>
      </c>
      <c r="B2160">
        <v>1667.1</v>
      </c>
      <c r="C2160">
        <v>112.36199999999999</v>
      </c>
      <c r="D2160" s="15">
        <f t="shared" si="101"/>
        <v>1.2500000000024159E-4</v>
      </c>
      <c r="E2160" s="14">
        <f t="shared" si="99"/>
        <v>5.7081076889879993E-5</v>
      </c>
      <c r="F2160">
        <v>104.60899999999999</v>
      </c>
      <c r="G2160" s="1">
        <f t="shared" si="100"/>
        <v>104.087221</v>
      </c>
    </row>
    <row r="2161" spans="1:7" x14ac:dyDescent="0.3">
      <c r="A2161">
        <v>21590</v>
      </c>
      <c r="B2161">
        <v>1665.1</v>
      </c>
      <c r="C2161">
        <v>112.361</v>
      </c>
      <c r="D2161" s="15">
        <f t="shared" si="101"/>
        <v>1.2499999999988632E-4</v>
      </c>
      <c r="E2161" s="14">
        <f t="shared" si="99"/>
        <v>5.7059859879269998E-5</v>
      </c>
      <c r="F2161">
        <v>104.604</v>
      </c>
      <c r="G2161" s="1">
        <f t="shared" si="100"/>
        <v>104.086091</v>
      </c>
    </row>
    <row r="2162" spans="1:7" x14ac:dyDescent="0.3">
      <c r="A2162">
        <v>21600</v>
      </c>
      <c r="B2162">
        <v>1663.2</v>
      </c>
      <c r="C2162">
        <v>112.35899999999999</v>
      </c>
      <c r="D2162" s="15">
        <f t="shared" si="101"/>
        <v>1.2499999999988632E-4</v>
      </c>
      <c r="E2162" s="14">
        <f t="shared" si="99"/>
        <v>5.7038655552000005E-5</v>
      </c>
      <c r="F2162">
        <v>104.59699999999999</v>
      </c>
      <c r="G2162" s="1">
        <f t="shared" si="100"/>
        <v>104.08496100000001</v>
      </c>
    </row>
    <row r="2163" spans="1:7" x14ac:dyDescent="0.3">
      <c r="A2163">
        <v>21610</v>
      </c>
      <c r="B2163">
        <v>1661.3</v>
      </c>
      <c r="C2163">
        <v>112.358</v>
      </c>
      <c r="D2163" s="15">
        <f t="shared" si="101"/>
        <v>1.2500000000024159E-4</v>
      </c>
      <c r="E2163" s="14">
        <f t="shared" si="99"/>
        <v>5.7017463908069999E-5</v>
      </c>
      <c r="F2163">
        <v>104.592</v>
      </c>
      <c r="G2163" s="1">
        <f t="shared" si="100"/>
        <v>104.083831</v>
      </c>
    </row>
    <row r="2164" spans="1:7" x14ac:dyDescent="0.3">
      <c r="A2164">
        <v>21620</v>
      </c>
      <c r="B2164">
        <v>1659.5</v>
      </c>
      <c r="C2164">
        <v>112.357</v>
      </c>
      <c r="D2164" s="15">
        <f t="shared" si="101"/>
        <v>9.9999999999766942E-5</v>
      </c>
      <c r="E2164" s="14">
        <f t="shared" si="99"/>
        <v>5.6996284947479994E-5</v>
      </c>
      <c r="F2164">
        <v>104.58499999999999</v>
      </c>
      <c r="G2164" s="1">
        <f t="shared" si="100"/>
        <v>104.082701</v>
      </c>
    </row>
    <row r="2165" spans="1:7" x14ac:dyDescent="0.3">
      <c r="A2165">
        <v>21630</v>
      </c>
      <c r="B2165">
        <v>1657.6</v>
      </c>
      <c r="C2165">
        <v>112.35599999999999</v>
      </c>
      <c r="D2165" s="15">
        <f t="shared" si="101"/>
        <v>1.0000000000012221E-4</v>
      </c>
      <c r="E2165" s="14">
        <f t="shared" si="99"/>
        <v>5.697511867022999E-5</v>
      </c>
      <c r="F2165">
        <v>104.58</v>
      </c>
      <c r="G2165" s="1">
        <f t="shared" si="100"/>
        <v>104.081571</v>
      </c>
    </row>
    <row r="2166" spans="1:7" x14ac:dyDescent="0.3">
      <c r="A2166">
        <v>21640</v>
      </c>
      <c r="B2166">
        <v>1655.8</v>
      </c>
      <c r="C2166">
        <v>112.355</v>
      </c>
      <c r="D2166" s="15">
        <f t="shared" si="101"/>
        <v>1.0000000000012221E-4</v>
      </c>
      <c r="E2166" s="14">
        <f t="shared" si="99"/>
        <v>5.6953965076319987E-5</v>
      </c>
      <c r="F2166">
        <v>104.57299999999999</v>
      </c>
      <c r="G2166" s="1">
        <f t="shared" si="100"/>
        <v>104.08044100000001</v>
      </c>
    </row>
    <row r="2167" spans="1:7" x14ac:dyDescent="0.3">
      <c r="A2167">
        <v>21650</v>
      </c>
      <c r="B2167">
        <v>1654</v>
      </c>
      <c r="C2167">
        <v>112.354</v>
      </c>
      <c r="D2167" s="15">
        <f t="shared" si="101"/>
        <v>9.9999999999766942E-5</v>
      </c>
      <c r="E2167" s="14">
        <f t="shared" si="99"/>
        <v>5.6932824165749999E-5</v>
      </c>
      <c r="F2167">
        <v>104.56699999999999</v>
      </c>
      <c r="G2167" s="1">
        <f t="shared" si="100"/>
        <v>104.079311</v>
      </c>
    </row>
    <row r="2168" spans="1:7" x14ac:dyDescent="0.3">
      <c r="A2168">
        <v>21660</v>
      </c>
      <c r="B2168">
        <v>1652.3</v>
      </c>
      <c r="C2168">
        <v>112.35299999999999</v>
      </c>
      <c r="D2168" s="15">
        <f t="shared" si="101"/>
        <v>1.2500000000024159E-4</v>
      </c>
      <c r="E2168" s="14">
        <f t="shared" si="99"/>
        <v>5.6911695938519985E-5</v>
      </c>
      <c r="F2168">
        <v>104.56100000000001</v>
      </c>
      <c r="G2168" s="1">
        <f t="shared" si="100"/>
        <v>104.078181</v>
      </c>
    </row>
    <row r="2169" spans="1:7" x14ac:dyDescent="0.3">
      <c r="A2169">
        <v>21670</v>
      </c>
      <c r="B2169">
        <v>1650.4</v>
      </c>
      <c r="C2169">
        <v>112.352</v>
      </c>
      <c r="D2169" s="15">
        <f t="shared" si="101"/>
        <v>1.2499999999988632E-4</v>
      </c>
      <c r="E2169" s="14">
        <f t="shared" si="99"/>
        <v>5.689058039463E-5</v>
      </c>
      <c r="F2169">
        <v>104.55500000000001</v>
      </c>
      <c r="G2169" s="1">
        <f t="shared" si="100"/>
        <v>104.077051</v>
      </c>
    </row>
    <row r="2170" spans="1:7" x14ac:dyDescent="0.3">
      <c r="A2170">
        <v>21680</v>
      </c>
      <c r="B2170">
        <v>1648.7</v>
      </c>
      <c r="C2170">
        <v>112.35</v>
      </c>
      <c r="D2170" s="15">
        <f t="shared" si="101"/>
        <v>1.2499999999988632E-4</v>
      </c>
      <c r="E2170" s="14">
        <f t="shared" si="99"/>
        <v>5.6869477534080001E-5</v>
      </c>
      <c r="F2170">
        <v>104.54900000000001</v>
      </c>
      <c r="G2170" s="1">
        <f t="shared" si="100"/>
        <v>104.07592100000001</v>
      </c>
    </row>
    <row r="2171" spans="1:7" x14ac:dyDescent="0.3">
      <c r="A2171">
        <v>21690</v>
      </c>
      <c r="B2171">
        <v>1647</v>
      </c>
      <c r="C2171">
        <v>112.349</v>
      </c>
      <c r="D2171" s="15">
        <f t="shared" si="101"/>
        <v>1.2500000000024159E-4</v>
      </c>
      <c r="E2171" s="14">
        <f t="shared" si="99"/>
        <v>5.6848387356869991E-5</v>
      </c>
      <c r="F2171">
        <v>104.54300000000001</v>
      </c>
      <c r="G2171" s="1">
        <f t="shared" si="100"/>
        <v>104.074791</v>
      </c>
    </row>
    <row r="2172" spans="1:7" x14ac:dyDescent="0.3">
      <c r="A2172">
        <v>21700</v>
      </c>
      <c r="B2172">
        <v>1645.2</v>
      </c>
      <c r="C2172">
        <v>112.348</v>
      </c>
      <c r="D2172" s="15">
        <f t="shared" si="101"/>
        <v>9.9999999999766942E-5</v>
      </c>
      <c r="E2172" s="14">
        <f t="shared" si="99"/>
        <v>5.6827309862999994E-5</v>
      </c>
      <c r="F2172">
        <v>104.53700000000001</v>
      </c>
      <c r="G2172" s="1">
        <f t="shared" si="100"/>
        <v>104.073661</v>
      </c>
    </row>
    <row r="2173" spans="1:7" x14ac:dyDescent="0.3">
      <c r="A2173">
        <v>21710</v>
      </c>
      <c r="B2173">
        <v>1643.4</v>
      </c>
      <c r="C2173">
        <v>112.34699999999999</v>
      </c>
      <c r="D2173" s="15">
        <f t="shared" si="101"/>
        <v>1.0000000000012221E-4</v>
      </c>
      <c r="E2173" s="14">
        <f t="shared" si="99"/>
        <v>5.6806245052469999E-5</v>
      </c>
      <c r="F2173">
        <v>104.53100000000001</v>
      </c>
      <c r="G2173" s="1">
        <f t="shared" si="100"/>
        <v>104.072531</v>
      </c>
    </row>
    <row r="2174" spans="1:7" x14ac:dyDescent="0.3">
      <c r="A2174">
        <v>21720</v>
      </c>
      <c r="B2174">
        <v>1641.7</v>
      </c>
      <c r="C2174">
        <v>112.346</v>
      </c>
      <c r="D2174" s="15">
        <f t="shared" si="101"/>
        <v>1.0000000000012221E-4</v>
      </c>
      <c r="E2174" s="14">
        <f t="shared" si="99"/>
        <v>5.6785192925279992E-5</v>
      </c>
      <c r="F2174">
        <v>104.52500000000001</v>
      </c>
      <c r="G2174" s="1">
        <f t="shared" si="100"/>
        <v>104.07140100000001</v>
      </c>
    </row>
    <row r="2175" spans="1:7" x14ac:dyDescent="0.3">
      <c r="A2175">
        <v>21730</v>
      </c>
      <c r="B2175">
        <v>1640</v>
      </c>
      <c r="C2175">
        <v>112.345</v>
      </c>
      <c r="D2175" s="15">
        <f t="shared" si="101"/>
        <v>9.9999999999766942E-5</v>
      </c>
      <c r="E2175" s="14">
        <f t="shared" si="99"/>
        <v>5.6764153481429999E-5</v>
      </c>
      <c r="F2175">
        <v>104.51900000000001</v>
      </c>
      <c r="G2175" s="1">
        <f t="shared" si="100"/>
        <v>104.07027100000001</v>
      </c>
    </row>
    <row r="2176" spans="1:7" x14ac:dyDescent="0.3">
      <c r="A2176">
        <v>21740</v>
      </c>
      <c r="B2176">
        <v>1638.3</v>
      </c>
      <c r="C2176">
        <v>112.34399999999999</v>
      </c>
      <c r="D2176" s="15">
        <f t="shared" si="101"/>
        <v>1.0000000000012221E-4</v>
      </c>
      <c r="E2176" s="14">
        <f t="shared" si="99"/>
        <v>5.6743126720919994E-5</v>
      </c>
      <c r="F2176">
        <v>104.51300000000001</v>
      </c>
      <c r="G2176" s="1">
        <f t="shared" si="100"/>
        <v>104.069141</v>
      </c>
    </row>
    <row r="2177" spans="1:7" x14ac:dyDescent="0.3">
      <c r="A2177">
        <v>21750</v>
      </c>
      <c r="B2177">
        <v>1636.5</v>
      </c>
      <c r="C2177">
        <v>112.343</v>
      </c>
      <c r="D2177" s="15">
        <f t="shared" si="101"/>
        <v>1.0000000000012221E-4</v>
      </c>
      <c r="E2177" s="14">
        <f t="shared" si="99"/>
        <v>5.672211264374999E-5</v>
      </c>
      <c r="F2177">
        <v>104.50700000000001</v>
      </c>
      <c r="G2177" s="1">
        <f t="shared" si="100"/>
        <v>104.068011</v>
      </c>
    </row>
    <row r="2178" spans="1:7" x14ac:dyDescent="0.3">
      <c r="A2178">
        <v>21760</v>
      </c>
      <c r="B2178">
        <v>1634.9</v>
      </c>
      <c r="C2178">
        <v>112.342</v>
      </c>
      <c r="D2178" s="15">
        <f t="shared" si="101"/>
        <v>9.9999999999766942E-5</v>
      </c>
      <c r="E2178" s="14">
        <f t="shared" ref="E2178:E2241" si="102">0.0000000000000634167*A2178*A2178 - 0.0000000048594*A2178 + 0.000132414</f>
        <v>5.670111124992E-5</v>
      </c>
      <c r="F2178">
        <v>104.501</v>
      </c>
      <c r="G2178" s="1">
        <f t="shared" si="100"/>
        <v>104.06688100000001</v>
      </c>
    </row>
    <row r="2179" spans="1:7" x14ac:dyDescent="0.3">
      <c r="A2179">
        <v>21770</v>
      </c>
      <c r="B2179">
        <v>1633.2</v>
      </c>
      <c r="C2179">
        <v>112.34099999999999</v>
      </c>
      <c r="D2179" s="15">
        <f t="shared" si="101"/>
        <v>1.0000000000012221E-4</v>
      </c>
      <c r="E2179" s="14">
        <f t="shared" si="102"/>
        <v>5.6680122539429998E-5</v>
      </c>
      <c r="F2179">
        <v>104.495</v>
      </c>
      <c r="G2179" s="1">
        <f t="shared" ref="G2179:G2242" si="103">-0.000113*A2179 + 106.525761</f>
        <v>104.06575100000001</v>
      </c>
    </row>
    <row r="2180" spans="1:7" x14ac:dyDescent="0.3">
      <c r="A2180">
        <v>21780</v>
      </c>
      <c r="B2180">
        <v>1631.6</v>
      </c>
      <c r="C2180">
        <v>112.34</v>
      </c>
      <c r="D2180" s="15">
        <f t="shared" si="101"/>
        <v>1.0000000000012221E-4</v>
      </c>
      <c r="E2180" s="14">
        <f t="shared" si="102"/>
        <v>5.6659146512279997E-5</v>
      </c>
      <c r="F2180">
        <v>104.489</v>
      </c>
      <c r="G2180" s="1">
        <f t="shared" si="103"/>
        <v>104.064621</v>
      </c>
    </row>
    <row r="2181" spans="1:7" x14ac:dyDescent="0.3">
      <c r="A2181">
        <v>21790</v>
      </c>
      <c r="B2181">
        <v>1630</v>
      </c>
      <c r="C2181">
        <v>112.339</v>
      </c>
      <c r="D2181" s="15">
        <f t="shared" ref="D2181:D2244" si="104">(C2179-C2183)/(A2183-A2179)</f>
        <v>9.9999999999766942E-5</v>
      </c>
      <c r="E2181" s="14">
        <f t="shared" si="102"/>
        <v>5.6638183168469997E-5</v>
      </c>
      <c r="F2181">
        <v>104.483</v>
      </c>
      <c r="G2181" s="1">
        <f t="shared" si="103"/>
        <v>104.063491</v>
      </c>
    </row>
    <row r="2182" spans="1:7" x14ac:dyDescent="0.3">
      <c r="A2182">
        <v>21800</v>
      </c>
      <c r="B2182">
        <v>1628.4</v>
      </c>
      <c r="C2182">
        <v>112.33799999999999</v>
      </c>
      <c r="D2182" s="15">
        <f t="shared" si="104"/>
        <v>1.0000000000012221E-4</v>
      </c>
      <c r="E2182" s="14">
        <f t="shared" si="102"/>
        <v>5.6617232507999985E-5</v>
      </c>
      <c r="F2182">
        <v>104.477</v>
      </c>
      <c r="G2182" s="1">
        <f t="shared" si="103"/>
        <v>104.06236100000001</v>
      </c>
    </row>
    <row r="2183" spans="1:7" x14ac:dyDescent="0.3">
      <c r="A2183">
        <v>21810</v>
      </c>
      <c r="B2183">
        <v>1626.8</v>
      </c>
      <c r="C2183">
        <v>112.337</v>
      </c>
      <c r="D2183" s="15">
        <f t="shared" si="104"/>
        <v>1.0000000000012221E-4</v>
      </c>
      <c r="E2183" s="14">
        <f t="shared" si="102"/>
        <v>5.6596294530870001E-5</v>
      </c>
      <c r="F2183">
        <v>104.47</v>
      </c>
      <c r="G2183" s="1">
        <f t="shared" si="103"/>
        <v>104.06123100000001</v>
      </c>
    </row>
    <row r="2184" spans="1:7" x14ac:dyDescent="0.3">
      <c r="A2184">
        <v>21820</v>
      </c>
      <c r="B2184">
        <v>1625.3</v>
      </c>
      <c r="C2184">
        <v>112.336</v>
      </c>
      <c r="D2184" s="15">
        <f t="shared" si="104"/>
        <v>9.9999999999766942E-5</v>
      </c>
      <c r="E2184" s="14">
        <f t="shared" si="102"/>
        <v>5.6575369237079991E-5</v>
      </c>
      <c r="F2184">
        <v>104.465</v>
      </c>
      <c r="G2184" s="1">
        <f t="shared" si="103"/>
        <v>104.060101</v>
      </c>
    </row>
    <row r="2185" spans="1:7" x14ac:dyDescent="0.3">
      <c r="A2185">
        <v>21830</v>
      </c>
      <c r="B2185">
        <v>1623.7</v>
      </c>
      <c r="C2185">
        <v>112.33499999999999</v>
      </c>
      <c r="D2185" s="15">
        <f t="shared" si="104"/>
        <v>1.0000000000012221E-4</v>
      </c>
      <c r="E2185" s="14">
        <f t="shared" si="102"/>
        <v>5.6554456626629996E-5</v>
      </c>
      <c r="F2185">
        <v>104.458</v>
      </c>
      <c r="G2185" s="1">
        <f t="shared" si="103"/>
        <v>104.058971</v>
      </c>
    </row>
    <row r="2186" spans="1:7" x14ac:dyDescent="0.3">
      <c r="A2186">
        <v>21840</v>
      </c>
      <c r="B2186">
        <v>1622.2</v>
      </c>
      <c r="C2186">
        <v>112.334</v>
      </c>
      <c r="D2186" s="15">
        <f t="shared" si="104"/>
        <v>1.0000000000012221E-4</v>
      </c>
      <c r="E2186" s="14">
        <f t="shared" si="102"/>
        <v>5.6533556699520001E-5</v>
      </c>
      <c r="F2186">
        <v>104.453</v>
      </c>
      <c r="G2186" s="1">
        <f t="shared" si="103"/>
        <v>104.057841</v>
      </c>
    </row>
    <row r="2187" spans="1:7" x14ac:dyDescent="0.3">
      <c r="A2187">
        <v>21850</v>
      </c>
      <c r="B2187">
        <v>1620.7</v>
      </c>
      <c r="C2187">
        <v>112.333</v>
      </c>
      <c r="D2187" s="15">
        <f t="shared" si="104"/>
        <v>9.9999999999766942E-5</v>
      </c>
      <c r="E2187" s="14">
        <f t="shared" si="102"/>
        <v>5.6512669455749994E-5</v>
      </c>
      <c r="F2187">
        <v>104.446</v>
      </c>
      <c r="G2187" s="1">
        <f t="shared" si="103"/>
        <v>104.05671100000001</v>
      </c>
    </row>
    <row r="2188" spans="1:7" x14ac:dyDescent="0.3">
      <c r="A2188">
        <v>21860</v>
      </c>
      <c r="B2188">
        <v>1619.1</v>
      </c>
      <c r="C2188">
        <v>112.33199999999999</v>
      </c>
      <c r="D2188" s="15">
        <f t="shared" si="104"/>
        <v>7.5000000000002839E-5</v>
      </c>
      <c r="E2188" s="14">
        <f t="shared" si="102"/>
        <v>5.6491794895319989E-5</v>
      </c>
      <c r="F2188">
        <v>104.441</v>
      </c>
      <c r="G2188" s="1">
        <f t="shared" si="103"/>
        <v>104.055581</v>
      </c>
    </row>
    <row r="2189" spans="1:7" x14ac:dyDescent="0.3">
      <c r="A2189">
        <v>21870</v>
      </c>
      <c r="B2189">
        <v>1617.7</v>
      </c>
      <c r="C2189">
        <v>112.331</v>
      </c>
      <c r="D2189" s="15">
        <f t="shared" si="104"/>
        <v>7.5000000000002839E-5</v>
      </c>
      <c r="E2189" s="14">
        <f t="shared" si="102"/>
        <v>5.6470933018229998E-5</v>
      </c>
      <c r="F2189">
        <v>104.434</v>
      </c>
      <c r="G2189" s="1">
        <f t="shared" si="103"/>
        <v>104.054451</v>
      </c>
    </row>
    <row r="2190" spans="1:7" x14ac:dyDescent="0.3">
      <c r="A2190">
        <v>21880</v>
      </c>
      <c r="B2190">
        <v>1616.2</v>
      </c>
      <c r="C2190">
        <v>112.331</v>
      </c>
      <c r="D2190" s="15">
        <f t="shared" si="104"/>
        <v>7.5000000000002839E-5</v>
      </c>
      <c r="E2190" s="14">
        <f t="shared" si="102"/>
        <v>5.6450083824479994E-5</v>
      </c>
      <c r="F2190">
        <v>104.428</v>
      </c>
      <c r="G2190" s="1">
        <f t="shared" si="103"/>
        <v>104.053321</v>
      </c>
    </row>
    <row r="2191" spans="1:7" x14ac:dyDescent="0.3">
      <c r="A2191">
        <v>21890</v>
      </c>
      <c r="B2191">
        <v>1614.8</v>
      </c>
      <c r="C2191">
        <v>112.33</v>
      </c>
      <c r="D2191" s="15">
        <f t="shared" si="104"/>
        <v>7.5000000000002839E-5</v>
      </c>
      <c r="E2191" s="14">
        <f t="shared" si="102"/>
        <v>5.6429247314069992E-5</v>
      </c>
      <c r="F2191">
        <v>104.422</v>
      </c>
      <c r="G2191" s="1">
        <f t="shared" si="103"/>
        <v>104.05219100000001</v>
      </c>
    </row>
    <row r="2192" spans="1:7" x14ac:dyDescent="0.3">
      <c r="A2192">
        <v>21900</v>
      </c>
      <c r="B2192">
        <v>1613.3</v>
      </c>
      <c r="C2192">
        <v>112.32899999999999</v>
      </c>
      <c r="D2192" s="15">
        <f t="shared" si="104"/>
        <v>1.0000000000012221E-4</v>
      </c>
      <c r="E2192" s="14">
        <f t="shared" si="102"/>
        <v>5.6408423487000004E-5</v>
      </c>
      <c r="F2192">
        <v>104.416</v>
      </c>
      <c r="G2192" s="1">
        <f t="shared" si="103"/>
        <v>104.051061</v>
      </c>
    </row>
    <row r="2193" spans="1:7" x14ac:dyDescent="0.3">
      <c r="A2193">
        <v>21910</v>
      </c>
      <c r="B2193">
        <v>1611.9</v>
      </c>
      <c r="C2193">
        <v>112.328</v>
      </c>
      <c r="D2193" s="15">
        <f t="shared" si="104"/>
        <v>1.0000000000012221E-4</v>
      </c>
      <c r="E2193" s="14">
        <f t="shared" si="102"/>
        <v>5.638761234326999E-5</v>
      </c>
      <c r="F2193">
        <v>104.411</v>
      </c>
      <c r="G2193" s="1">
        <f t="shared" si="103"/>
        <v>104.049931</v>
      </c>
    </row>
    <row r="2194" spans="1:7" x14ac:dyDescent="0.3">
      <c r="A2194">
        <v>21920</v>
      </c>
      <c r="B2194">
        <v>1610.5</v>
      </c>
      <c r="C2194">
        <v>112.327</v>
      </c>
      <c r="D2194" s="15">
        <f t="shared" si="104"/>
        <v>9.9999999999766942E-5</v>
      </c>
      <c r="E2194" s="14">
        <f t="shared" si="102"/>
        <v>5.6366813882880004E-5</v>
      </c>
      <c r="F2194">
        <v>104.404</v>
      </c>
      <c r="G2194" s="1">
        <f t="shared" si="103"/>
        <v>104.048801</v>
      </c>
    </row>
    <row r="2195" spans="1:7" x14ac:dyDescent="0.3">
      <c r="A2195">
        <v>21930</v>
      </c>
      <c r="B2195">
        <v>1609.1</v>
      </c>
      <c r="C2195">
        <v>112.32599999999999</v>
      </c>
      <c r="D2195" s="15">
        <f t="shared" si="104"/>
        <v>1.0000000000012221E-4</v>
      </c>
      <c r="E2195" s="14">
        <f t="shared" si="102"/>
        <v>5.6346028105829993E-5</v>
      </c>
      <c r="F2195">
        <v>104.399</v>
      </c>
      <c r="G2195" s="1">
        <f t="shared" si="103"/>
        <v>104.04767100000001</v>
      </c>
    </row>
    <row r="2196" spans="1:7" x14ac:dyDescent="0.3">
      <c r="A2196">
        <v>21940</v>
      </c>
      <c r="B2196">
        <v>1607.7</v>
      </c>
      <c r="C2196">
        <v>112.325</v>
      </c>
      <c r="D2196" s="15">
        <f t="shared" si="104"/>
        <v>7.5000000000002839E-5</v>
      </c>
      <c r="E2196" s="14">
        <f t="shared" si="102"/>
        <v>5.6325255012119996E-5</v>
      </c>
      <c r="F2196">
        <v>104.392</v>
      </c>
      <c r="G2196" s="1">
        <f t="shared" si="103"/>
        <v>104.046541</v>
      </c>
    </row>
    <row r="2197" spans="1:7" x14ac:dyDescent="0.3">
      <c r="A2197">
        <v>21950</v>
      </c>
      <c r="B2197">
        <v>1606.3</v>
      </c>
      <c r="C2197">
        <v>112.324</v>
      </c>
      <c r="D2197" s="15">
        <f t="shared" si="104"/>
        <v>7.5000000000002839E-5</v>
      </c>
      <c r="E2197" s="14">
        <f t="shared" si="102"/>
        <v>5.630449460175E-5</v>
      </c>
      <c r="F2197">
        <v>104.386</v>
      </c>
      <c r="G2197" s="1">
        <f t="shared" si="103"/>
        <v>104.045411</v>
      </c>
    </row>
    <row r="2198" spans="1:7" x14ac:dyDescent="0.3">
      <c r="A2198">
        <v>21960</v>
      </c>
      <c r="B2198">
        <v>1604.8</v>
      </c>
      <c r="C2198">
        <v>112.324</v>
      </c>
      <c r="D2198" s="15">
        <f t="shared" si="104"/>
        <v>7.5000000000002839E-5</v>
      </c>
      <c r="E2198" s="14">
        <f t="shared" si="102"/>
        <v>5.6283746874719991E-5</v>
      </c>
      <c r="F2198">
        <v>104.38</v>
      </c>
      <c r="G2198" s="1">
        <f t="shared" si="103"/>
        <v>104.044281</v>
      </c>
    </row>
    <row r="2199" spans="1:7" x14ac:dyDescent="0.3">
      <c r="A2199">
        <v>21970</v>
      </c>
      <c r="B2199">
        <v>1603.4</v>
      </c>
      <c r="C2199">
        <v>112.32299999999999</v>
      </c>
      <c r="D2199" s="15">
        <f t="shared" si="104"/>
        <v>7.5000000000002839E-5</v>
      </c>
      <c r="E2199" s="14">
        <f t="shared" si="102"/>
        <v>5.6263011831029998E-5</v>
      </c>
      <c r="F2199">
        <v>104.374</v>
      </c>
      <c r="G2199" s="1">
        <f t="shared" si="103"/>
        <v>104.04315100000001</v>
      </c>
    </row>
    <row r="2200" spans="1:7" x14ac:dyDescent="0.3">
      <c r="A2200">
        <v>21980</v>
      </c>
      <c r="B2200">
        <v>1602</v>
      </c>
      <c r="C2200">
        <v>112.322</v>
      </c>
      <c r="D2200" s="15">
        <f t="shared" si="104"/>
        <v>1.0000000000012221E-4</v>
      </c>
      <c r="E2200" s="14">
        <f t="shared" si="102"/>
        <v>5.6242289470680005E-5</v>
      </c>
      <c r="F2200">
        <v>104.367</v>
      </c>
      <c r="G2200" s="1">
        <f t="shared" si="103"/>
        <v>104.04202100000001</v>
      </c>
    </row>
    <row r="2201" spans="1:7" x14ac:dyDescent="0.3">
      <c r="A2201">
        <v>21990</v>
      </c>
      <c r="B2201">
        <v>1600.6</v>
      </c>
      <c r="C2201">
        <v>112.321</v>
      </c>
      <c r="D2201" s="15">
        <f t="shared" si="104"/>
        <v>9.9999999999766942E-5</v>
      </c>
      <c r="E2201" s="14">
        <f t="shared" si="102"/>
        <v>5.6221579793669987E-5</v>
      </c>
      <c r="F2201">
        <v>104.36199999999999</v>
      </c>
      <c r="G2201" s="1">
        <f t="shared" si="103"/>
        <v>104.040891</v>
      </c>
    </row>
    <row r="2202" spans="1:7" x14ac:dyDescent="0.3">
      <c r="A2202">
        <v>22000</v>
      </c>
      <c r="B2202">
        <v>1599.3</v>
      </c>
      <c r="C2202">
        <v>112.32</v>
      </c>
      <c r="D2202" s="15">
        <f t="shared" si="104"/>
        <v>7.5000000000002839E-5</v>
      </c>
      <c r="E2202" s="14">
        <f t="shared" si="102"/>
        <v>5.6200882799999996E-5</v>
      </c>
      <c r="F2202">
        <v>104.35599999999999</v>
      </c>
      <c r="G2202" s="1">
        <f t="shared" si="103"/>
        <v>104.039761</v>
      </c>
    </row>
    <row r="2203" spans="1:7" x14ac:dyDescent="0.3">
      <c r="A2203">
        <v>22010</v>
      </c>
      <c r="B2203">
        <v>1598</v>
      </c>
      <c r="C2203">
        <v>112.319</v>
      </c>
      <c r="D2203" s="15">
        <f t="shared" si="104"/>
        <v>7.5000000000002839E-5</v>
      </c>
      <c r="E2203" s="14">
        <f t="shared" si="102"/>
        <v>5.6180198489669993E-5</v>
      </c>
      <c r="F2203">
        <v>104.35</v>
      </c>
      <c r="G2203" s="1">
        <f t="shared" si="103"/>
        <v>104.03863100000001</v>
      </c>
    </row>
    <row r="2204" spans="1:7" x14ac:dyDescent="0.3">
      <c r="A2204">
        <v>22020</v>
      </c>
      <c r="B2204">
        <v>1596.7</v>
      </c>
      <c r="C2204">
        <v>112.319</v>
      </c>
      <c r="D2204" s="15">
        <f t="shared" si="104"/>
        <v>7.5000000000002839E-5</v>
      </c>
      <c r="E2204" s="14">
        <f t="shared" si="102"/>
        <v>5.6159526862679991E-5</v>
      </c>
      <c r="F2204">
        <v>104.34399999999999</v>
      </c>
      <c r="G2204" s="1">
        <f t="shared" si="103"/>
        <v>104.03750100000001</v>
      </c>
    </row>
    <row r="2205" spans="1:7" x14ac:dyDescent="0.3">
      <c r="A2205">
        <v>22030</v>
      </c>
      <c r="B2205">
        <v>1595.4</v>
      </c>
      <c r="C2205">
        <v>112.318</v>
      </c>
      <c r="D2205" s="15">
        <f t="shared" si="104"/>
        <v>7.5000000000002839E-5</v>
      </c>
      <c r="E2205" s="14">
        <f t="shared" si="102"/>
        <v>5.6138867919030004E-5</v>
      </c>
      <c r="F2205">
        <v>104.337</v>
      </c>
      <c r="G2205" s="1">
        <f t="shared" si="103"/>
        <v>104.036371</v>
      </c>
    </row>
    <row r="2206" spans="1:7" x14ac:dyDescent="0.3">
      <c r="A2206">
        <v>22040</v>
      </c>
      <c r="B2206">
        <v>1594.1</v>
      </c>
      <c r="C2206">
        <v>112.31699999999999</v>
      </c>
      <c r="D2206" s="15">
        <f t="shared" si="104"/>
        <v>7.5000000000002839E-5</v>
      </c>
      <c r="E2206" s="14">
        <f t="shared" si="102"/>
        <v>5.6118221658719991E-5</v>
      </c>
      <c r="F2206">
        <v>104.33199999999999</v>
      </c>
      <c r="G2206" s="1">
        <f t="shared" si="103"/>
        <v>104.035241</v>
      </c>
    </row>
    <row r="2207" spans="1:7" x14ac:dyDescent="0.3">
      <c r="A2207">
        <v>22050</v>
      </c>
      <c r="B2207">
        <v>1592.9</v>
      </c>
      <c r="C2207">
        <v>112.316</v>
      </c>
      <c r="D2207" s="15">
        <f t="shared" si="104"/>
        <v>7.5000000000002839E-5</v>
      </c>
      <c r="E2207" s="14">
        <f t="shared" si="102"/>
        <v>5.6097588081749993E-5</v>
      </c>
      <c r="F2207">
        <v>104.32599999999999</v>
      </c>
      <c r="G2207" s="1">
        <f t="shared" si="103"/>
        <v>104.034111</v>
      </c>
    </row>
    <row r="2208" spans="1:7" x14ac:dyDescent="0.3">
      <c r="A2208">
        <v>22060</v>
      </c>
      <c r="B2208">
        <v>1591.6</v>
      </c>
      <c r="C2208">
        <v>112.316</v>
      </c>
      <c r="D2208" s="15">
        <f t="shared" si="104"/>
        <v>7.5000000000002839E-5</v>
      </c>
      <c r="E2208" s="14">
        <f t="shared" si="102"/>
        <v>5.6076967188119995E-5</v>
      </c>
      <c r="F2208">
        <v>104.319</v>
      </c>
      <c r="G2208" s="1">
        <f t="shared" si="103"/>
        <v>104.03298100000001</v>
      </c>
    </row>
    <row r="2209" spans="1:7" x14ac:dyDescent="0.3">
      <c r="A2209">
        <v>22070</v>
      </c>
      <c r="B2209">
        <v>1590.4</v>
      </c>
      <c r="C2209">
        <v>112.315</v>
      </c>
      <c r="D2209" s="15">
        <f t="shared" si="104"/>
        <v>7.5000000000002839E-5</v>
      </c>
      <c r="E2209" s="14">
        <f t="shared" si="102"/>
        <v>5.6056358977829985E-5</v>
      </c>
      <c r="F2209">
        <v>104.31399999999999</v>
      </c>
      <c r="G2209" s="1">
        <f t="shared" si="103"/>
        <v>104.031851</v>
      </c>
    </row>
    <row r="2210" spans="1:7" x14ac:dyDescent="0.3">
      <c r="A2210">
        <v>22080</v>
      </c>
      <c r="B2210">
        <v>1589.2</v>
      </c>
      <c r="C2210">
        <v>112.31399999999999</v>
      </c>
      <c r="D2210" s="15">
        <f t="shared" si="104"/>
        <v>7.5000000000002839E-5</v>
      </c>
      <c r="E2210" s="14">
        <f t="shared" si="102"/>
        <v>5.6035763450880004E-5</v>
      </c>
      <c r="F2210">
        <v>104.307</v>
      </c>
      <c r="G2210" s="1">
        <f t="shared" si="103"/>
        <v>104.030721</v>
      </c>
    </row>
    <row r="2211" spans="1:7" x14ac:dyDescent="0.3">
      <c r="A2211">
        <v>22090</v>
      </c>
      <c r="B2211">
        <v>1588</v>
      </c>
      <c r="C2211">
        <v>112.313</v>
      </c>
      <c r="D2211" s="15">
        <f t="shared" si="104"/>
        <v>7.5000000000002839E-5</v>
      </c>
      <c r="E2211" s="14">
        <f t="shared" si="102"/>
        <v>5.6015180607269996E-5</v>
      </c>
      <c r="F2211">
        <v>104.301</v>
      </c>
      <c r="G2211" s="1">
        <f t="shared" si="103"/>
        <v>104.029591</v>
      </c>
    </row>
    <row r="2212" spans="1:7" x14ac:dyDescent="0.3">
      <c r="A2212">
        <v>22100</v>
      </c>
      <c r="B2212">
        <v>1586.6</v>
      </c>
      <c r="C2212">
        <v>112.313</v>
      </c>
      <c r="D2212" s="15">
        <f t="shared" si="104"/>
        <v>7.4999999999647574E-5</v>
      </c>
      <c r="E2212" s="14">
        <f t="shared" si="102"/>
        <v>5.5994610446999989E-5</v>
      </c>
      <c r="F2212">
        <v>104.29600000000001</v>
      </c>
      <c r="G2212" s="1">
        <f t="shared" si="103"/>
        <v>104.02846100000001</v>
      </c>
    </row>
    <row r="2213" spans="1:7" x14ac:dyDescent="0.3">
      <c r="A2213">
        <v>22110</v>
      </c>
      <c r="B2213">
        <v>1585.5</v>
      </c>
      <c r="C2213">
        <v>112.312</v>
      </c>
      <c r="D2213" s="15">
        <f t="shared" si="104"/>
        <v>7.5000000000002839E-5</v>
      </c>
      <c r="E2213" s="14">
        <f t="shared" si="102"/>
        <v>5.5974052970069997E-5</v>
      </c>
      <c r="F2213">
        <v>104.289</v>
      </c>
      <c r="G2213" s="1">
        <f t="shared" si="103"/>
        <v>104.027331</v>
      </c>
    </row>
    <row r="2214" spans="1:7" x14ac:dyDescent="0.3">
      <c r="A2214">
        <v>22120</v>
      </c>
      <c r="B2214">
        <v>1584.2</v>
      </c>
      <c r="C2214">
        <v>112.31100000000001</v>
      </c>
      <c r="D2214" s="15">
        <f t="shared" si="104"/>
        <v>7.5000000000002839E-5</v>
      </c>
      <c r="E2214" s="14">
        <f t="shared" si="102"/>
        <v>5.5953508176479993E-5</v>
      </c>
      <c r="F2214">
        <v>104.283</v>
      </c>
      <c r="G2214" s="1">
        <f t="shared" si="103"/>
        <v>104.026201</v>
      </c>
    </row>
    <row r="2215" spans="1:7" x14ac:dyDescent="0.3">
      <c r="A2215">
        <v>22130</v>
      </c>
      <c r="B2215">
        <v>1583.1</v>
      </c>
      <c r="C2215">
        <v>112.31</v>
      </c>
      <c r="D2215" s="15">
        <f t="shared" si="104"/>
        <v>7.5000000000002839E-5</v>
      </c>
      <c r="E2215" s="14">
        <f t="shared" si="102"/>
        <v>5.5932976066230003E-5</v>
      </c>
      <c r="F2215">
        <v>104.27800000000001</v>
      </c>
      <c r="G2215" s="1">
        <f t="shared" si="103"/>
        <v>104.025071</v>
      </c>
    </row>
    <row r="2216" spans="1:7" x14ac:dyDescent="0.3">
      <c r="A2216">
        <v>22140</v>
      </c>
      <c r="B2216">
        <v>1581.9</v>
      </c>
      <c r="C2216">
        <v>112.31</v>
      </c>
      <c r="D2216" s="15">
        <f t="shared" si="104"/>
        <v>7.5000000000002839E-5</v>
      </c>
      <c r="E2216" s="14">
        <f t="shared" si="102"/>
        <v>5.5912456639320001E-5</v>
      </c>
      <c r="F2216">
        <v>104.271</v>
      </c>
      <c r="G2216" s="1">
        <f t="shared" si="103"/>
        <v>104.02394100000001</v>
      </c>
    </row>
    <row r="2217" spans="1:7" x14ac:dyDescent="0.3">
      <c r="A2217">
        <v>22150</v>
      </c>
      <c r="B2217">
        <v>1580.7</v>
      </c>
      <c r="C2217">
        <v>112.309</v>
      </c>
      <c r="D2217" s="15">
        <f t="shared" si="104"/>
        <v>4.9999999999883471E-5</v>
      </c>
      <c r="E2217" s="14">
        <f t="shared" si="102"/>
        <v>5.5891949895749986E-5</v>
      </c>
      <c r="F2217">
        <v>104.265</v>
      </c>
      <c r="G2217" s="1">
        <f t="shared" si="103"/>
        <v>104.022811</v>
      </c>
    </row>
    <row r="2218" spans="1:7" x14ac:dyDescent="0.3">
      <c r="A2218">
        <v>22160</v>
      </c>
      <c r="B2218">
        <v>1579.6</v>
      </c>
      <c r="C2218">
        <v>112.30800000000001</v>
      </c>
      <c r="D2218" s="15">
        <f t="shared" si="104"/>
        <v>7.5000000000002839E-5</v>
      </c>
      <c r="E2218" s="14">
        <f t="shared" si="102"/>
        <v>5.587145583552E-5</v>
      </c>
      <c r="F2218">
        <v>104.26</v>
      </c>
      <c r="G2218" s="1">
        <f t="shared" si="103"/>
        <v>104.021681</v>
      </c>
    </row>
    <row r="2219" spans="1:7" x14ac:dyDescent="0.3">
      <c r="A2219">
        <v>22170</v>
      </c>
      <c r="B2219">
        <v>1578.4</v>
      </c>
      <c r="C2219">
        <v>112.30800000000001</v>
      </c>
      <c r="D2219" s="15">
        <f t="shared" si="104"/>
        <v>7.5000000000002839E-5</v>
      </c>
      <c r="E2219" s="14">
        <f t="shared" si="102"/>
        <v>5.5850974458630001E-5</v>
      </c>
      <c r="F2219">
        <v>104.253</v>
      </c>
      <c r="G2219" s="1">
        <f t="shared" si="103"/>
        <v>104.020551</v>
      </c>
    </row>
    <row r="2220" spans="1:7" x14ac:dyDescent="0.3">
      <c r="A2220">
        <v>22180</v>
      </c>
      <c r="B2220">
        <v>1577.3</v>
      </c>
      <c r="C2220">
        <v>112.307</v>
      </c>
      <c r="D2220" s="15">
        <f t="shared" si="104"/>
        <v>5.0000000000238744E-5</v>
      </c>
      <c r="E2220" s="14">
        <f t="shared" si="102"/>
        <v>5.5830505765079989E-5</v>
      </c>
      <c r="F2220">
        <v>104.247</v>
      </c>
      <c r="G2220" s="1">
        <f t="shared" si="103"/>
        <v>104.01942100000001</v>
      </c>
    </row>
    <row r="2221" spans="1:7" x14ac:dyDescent="0.3">
      <c r="A2221">
        <v>22190</v>
      </c>
      <c r="B2221">
        <v>1576.1</v>
      </c>
      <c r="C2221">
        <v>112.306</v>
      </c>
      <c r="D2221" s="15">
        <f t="shared" si="104"/>
        <v>7.5000000000002839E-5</v>
      </c>
      <c r="E2221" s="14">
        <f t="shared" si="102"/>
        <v>5.5810049754869993E-5</v>
      </c>
      <c r="F2221">
        <v>104.241</v>
      </c>
      <c r="G2221" s="1">
        <f t="shared" si="103"/>
        <v>104.018291</v>
      </c>
    </row>
    <row r="2222" spans="1:7" x14ac:dyDescent="0.3">
      <c r="A2222">
        <v>22200</v>
      </c>
      <c r="B2222">
        <v>1575</v>
      </c>
      <c r="C2222">
        <v>112.306</v>
      </c>
      <c r="D2222" s="15">
        <f t="shared" si="104"/>
        <v>7.5000000000002839E-5</v>
      </c>
      <c r="E2222" s="14">
        <f t="shared" si="102"/>
        <v>5.5789606427999983E-5</v>
      </c>
      <c r="F2222">
        <v>104.235</v>
      </c>
      <c r="G2222" s="1">
        <f t="shared" si="103"/>
        <v>104.017161</v>
      </c>
    </row>
    <row r="2223" spans="1:7" x14ac:dyDescent="0.3">
      <c r="A2223">
        <v>22210</v>
      </c>
      <c r="B2223">
        <v>1573.9</v>
      </c>
      <c r="C2223">
        <v>112.30500000000001</v>
      </c>
      <c r="D2223" s="15">
        <f t="shared" si="104"/>
        <v>4.9999999999883471E-5</v>
      </c>
      <c r="E2223" s="14">
        <f t="shared" si="102"/>
        <v>5.5769175784469989E-5</v>
      </c>
      <c r="F2223">
        <v>104.229</v>
      </c>
      <c r="G2223" s="1">
        <f t="shared" si="103"/>
        <v>104.016031</v>
      </c>
    </row>
    <row r="2224" spans="1:7" x14ac:dyDescent="0.3">
      <c r="A2224">
        <v>22220</v>
      </c>
      <c r="B2224">
        <v>1572.7</v>
      </c>
      <c r="C2224">
        <v>112.304</v>
      </c>
      <c r="D2224" s="15">
        <f t="shared" si="104"/>
        <v>7.5000000000002839E-5</v>
      </c>
      <c r="E2224" s="14">
        <f t="shared" si="102"/>
        <v>5.5748757824279995E-5</v>
      </c>
      <c r="F2224">
        <v>104.22199999999999</v>
      </c>
      <c r="G2224" s="1">
        <f t="shared" si="103"/>
        <v>104.01490100000001</v>
      </c>
    </row>
    <row r="2225" spans="1:7" x14ac:dyDescent="0.3">
      <c r="A2225">
        <v>22230</v>
      </c>
      <c r="B2225">
        <v>1571.5</v>
      </c>
      <c r="C2225">
        <v>112.304</v>
      </c>
      <c r="D2225" s="15">
        <f t="shared" si="104"/>
        <v>7.5000000000002839E-5</v>
      </c>
      <c r="E2225" s="14">
        <f t="shared" si="102"/>
        <v>5.5728352547429989E-5</v>
      </c>
      <c r="F2225">
        <v>104.217</v>
      </c>
      <c r="G2225" s="1">
        <f t="shared" si="103"/>
        <v>104.01377100000001</v>
      </c>
    </row>
    <row r="2226" spans="1:7" x14ac:dyDescent="0.3">
      <c r="A2226">
        <v>22240</v>
      </c>
      <c r="B2226">
        <v>1570.4</v>
      </c>
      <c r="C2226">
        <v>112.303</v>
      </c>
      <c r="D2226" s="15">
        <f t="shared" si="104"/>
        <v>4.9999999999883471E-5</v>
      </c>
      <c r="E2226" s="14">
        <f t="shared" si="102"/>
        <v>5.5707959953919984E-5</v>
      </c>
      <c r="F2226">
        <v>104.211</v>
      </c>
      <c r="G2226" s="1">
        <f t="shared" si="103"/>
        <v>104.012641</v>
      </c>
    </row>
    <row r="2227" spans="1:7" x14ac:dyDescent="0.3">
      <c r="A2227">
        <v>22250</v>
      </c>
      <c r="B2227">
        <v>1569.3</v>
      </c>
      <c r="C2227">
        <v>112.30200000000001</v>
      </c>
      <c r="D2227" s="15">
        <f t="shared" si="104"/>
        <v>7.5000000000002839E-5</v>
      </c>
      <c r="E2227" s="14">
        <f t="shared" si="102"/>
        <v>5.5687580043749994E-5</v>
      </c>
      <c r="F2227">
        <v>104.20399999999999</v>
      </c>
      <c r="G2227" s="1">
        <f t="shared" si="103"/>
        <v>104.011511</v>
      </c>
    </row>
    <row r="2228" spans="1:7" x14ac:dyDescent="0.3">
      <c r="A2228">
        <v>22260</v>
      </c>
      <c r="B2228">
        <v>1568.2</v>
      </c>
      <c r="C2228">
        <v>112.30200000000001</v>
      </c>
      <c r="D2228" s="15">
        <f t="shared" si="104"/>
        <v>4.9999999999883471E-5</v>
      </c>
      <c r="E2228" s="14">
        <f t="shared" si="102"/>
        <v>5.5667212816919992E-5</v>
      </c>
      <c r="F2228">
        <v>104.199</v>
      </c>
      <c r="G2228" s="1">
        <f t="shared" si="103"/>
        <v>104.01038100000001</v>
      </c>
    </row>
    <row r="2229" spans="1:7" x14ac:dyDescent="0.3">
      <c r="A2229">
        <v>22270</v>
      </c>
      <c r="B2229">
        <v>1567.1</v>
      </c>
      <c r="C2229">
        <v>112.301</v>
      </c>
      <c r="D2229" s="15">
        <f t="shared" si="104"/>
        <v>5.0000000000238744E-5</v>
      </c>
      <c r="E2229" s="14">
        <f t="shared" si="102"/>
        <v>5.564685827342999E-5</v>
      </c>
      <c r="F2229">
        <v>104.193</v>
      </c>
      <c r="G2229" s="1">
        <f t="shared" si="103"/>
        <v>104.00925100000001</v>
      </c>
    </row>
    <row r="2230" spans="1:7" x14ac:dyDescent="0.3">
      <c r="A2230">
        <v>22280</v>
      </c>
      <c r="B2230">
        <v>1566</v>
      </c>
      <c r="C2230">
        <v>112.301</v>
      </c>
      <c r="D2230" s="15">
        <f t="shared" si="104"/>
        <v>7.5000000000002839E-5</v>
      </c>
      <c r="E2230" s="14">
        <f t="shared" si="102"/>
        <v>5.5626516413280003E-5</v>
      </c>
      <c r="F2230">
        <v>104.18600000000001</v>
      </c>
      <c r="G2230" s="1">
        <f t="shared" si="103"/>
        <v>104.008121</v>
      </c>
    </row>
    <row r="2231" spans="1:7" x14ac:dyDescent="0.3">
      <c r="A2231">
        <v>22290</v>
      </c>
      <c r="B2231">
        <v>1564.9</v>
      </c>
      <c r="C2231">
        <v>112.3</v>
      </c>
      <c r="D2231" s="15">
        <f t="shared" si="104"/>
        <v>4.9999999999883471E-5</v>
      </c>
      <c r="E2231" s="14">
        <f t="shared" si="102"/>
        <v>5.560618723646999E-5</v>
      </c>
      <c r="F2231">
        <v>104.18</v>
      </c>
      <c r="G2231" s="1">
        <f t="shared" si="103"/>
        <v>104.006991</v>
      </c>
    </row>
    <row r="2232" spans="1:7" x14ac:dyDescent="0.3">
      <c r="A2232">
        <v>22300</v>
      </c>
      <c r="B2232">
        <v>1563.4</v>
      </c>
      <c r="C2232">
        <v>112.29900000000001</v>
      </c>
      <c r="D2232" s="15">
        <f t="shared" si="104"/>
        <v>7.5000000000002839E-5</v>
      </c>
      <c r="E2232" s="14">
        <f t="shared" si="102"/>
        <v>5.5585870743000005E-5</v>
      </c>
      <c r="F2232">
        <v>104.175</v>
      </c>
      <c r="G2232" s="1">
        <f t="shared" si="103"/>
        <v>104.00586100000001</v>
      </c>
    </row>
    <row r="2233" spans="1:7" x14ac:dyDescent="0.3">
      <c r="A2233">
        <v>22310</v>
      </c>
      <c r="B2233">
        <v>1562</v>
      </c>
      <c r="C2233">
        <v>112.29900000000001</v>
      </c>
      <c r="D2233" s="15">
        <f t="shared" si="104"/>
        <v>4.9999999999883471E-5</v>
      </c>
      <c r="E2233" s="14">
        <f t="shared" si="102"/>
        <v>5.5565566932869995E-5</v>
      </c>
      <c r="F2233">
        <v>104.169</v>
      </c>
      <c r="G2233" s="1">
        <f t="shared" si="103"/>
        <v>104.00473100000001</v>
      </c>
    </row>
    <row r="2234" spans="1:7" x14ac:dyDescent="0.3">
      <c r="A2234">
        <v>22320</v>
      </c>
      <c r="B2234">
        <v>1558.9</v>
      </c>
      <c r="C2234">
        <v>112.298</v>
      </c>
      <c r="D2234" s="15">
        <f t="shared" si="104"/>
        <v>5.0000000000238744E-5</v>
      </c>
      <c r="E2234" s="14">
        <f t="shared" si="102"/>
        <v>5.5545275806079985E-5</v>
      </c>
      <c r="F2234">
        <v>104.161</v>
      </c>
      <c r="G2234" s="1">
        <f t="shared" si="103"/>
        <v>104.003601</v>
      </c>
    </row>
    <row r="2235" spans="1:7" x14ac:dyDescent="0.3">
      <c r="A2235">
        <v>22330</v>
      </c>
      <c r="B2235">
        <v>1560</v>
      </c>
      <c r="C2235">
        <v>112.298</v>
      </c>
      <c r="D2235" s="15">
        <f t="shared" si="104"/>
        <v>5.0000000000238744E-5</v>
      </c>
      <c r="E2235" s="14">
        <f t="shared" si="102"/>
        <v>5.5524997362630003E-5</v>
      </c>
      <c r="F2235">
        <v>104.14100000000001</v>
      </c>
      <c r="G2235" s="1">
        <f t="shared" si="103"/>
        <v>104.002471</v>
      </c>
    </row>
    <row r="2236" spans="1:7" x14ac:dyDescent="0.3">
      <c r="A2236">
        <v>22340</v>
      </c>
      <c r="B2236">
        <v>1560.6</v>
      </c>
      <c r="C2236">
        <v>112.297</v>
      </c>
      <c r="D2236" s="15">
        <f t="shared" si="104"/>
        <v>4.9999999999883471E-5</v>
      </c>
      <c r="E2236" s="14">
        <f t="shared" si="102"/>
        <v>5.5504731602519996E-5</v>
      </c>
      <c r="F2236">
        <v>104.121</v>
      </c>
      <c r="G2236" s="1">
        <f t="shared" si="103"/>
        <v>104.001341</v>
      </c>
    </row>
    <row r="2237" spans="1:7" x14ac:dyDescent="0.3">
      <c r="A2237">
        <v>22350</v>
      </c>
      <c r="B2237">
        <v>1560.7</v>
      </c>
      <c r="C2237">
        <v>112.297</v>
      </c>
      <c r="D2237" s="15">
        <f t="shared" si="104"/>
        <v>7.5000000000002839E-5</v>
      </c>
      <c r="E2237" s="14">
        <f t="shared" si="102"/>
        <v>5.548447852574999E-5</v>
      </c>
      <c r="F2237">
        <v>104.099</v>
      </c>
      <c r="G2237" s="1">
        <f t="shared" si="103"/>
        <v>104.00021100000001</v>
      </c>
    </row>
    <row r="2238" spans="1:7" x14ac:dyDescent="0.3">
      <c r="A2238">
        <v>22360</v>
      </c>
      <c r="B2238">
        <v>1560.8</v>
      </c>
      <c r="C2238">
        <v>112.29600000000001</v>
      </c>
      <c r="D2238" s="15">
        <f t="shared" si="104"/>
        <v>4.9999999999883471E-5</v>
      </c>
      <c r="E2238" s="14">
        <f t="shared" si="102"/>
        <v>5.5464238132320011E-5</v>
      </c>
      <c r="F2238">
        <v>104.07899999999999</v>
      </c>
      <c r="G2238" s="1">
        <f t="shared" si="103"/>
        <v>103.999081</v>
      </c>
    </row>
    <row r="2239" spans="1:7" x14ac:dyDescent="0.3">
      <c r="A2239">
        <v>22370</v>
      </c>
      <c r="B2239">
        <v>1560.9</v>
      </c>
      <c r="C2239">
        <v>112.295</v>
      </c>
      <c r="D2239" s="15">
        <f t="shared" si="104"/>
        <v>7.5000000000002839E-5</v>
      </c>
      <c r="E2239" s="14">
        <f t="shared" si="102"/>
        <v>5.5444010422229994E-5</v>
      </c>
      <c r="F2239">
        <v>104.059</v>
      </c>
      <c r="G2239" s="1">
        <f t="shared" si="103"/>
        <v>103.997951</v>
      </c>
    </row>
    <row r="2240" spans="1:7" x14ac:dyDescent="0.3">
      <c r="A2240">
        <v>22380</v>
      </c>
      <c r="B2240">
        <v>1561</v>
      </c>
      <c r="C2240">
        <v>112.295</v>
      </c>
      <c r="D2240" s="15">
        <f t="shared" si="104"/>
        <v>5.0000000000238744E-5</v>
      </c>
      <c r="E2240" s="14">
        <f t="shared" si="102"/>
        <v>5.5423795395480004E-5</v>
      </c>
      <c r="F2240">
        <v>104.038</v>
      </c>
      <c r="G2240" s="1">
        <f t="shared" si="103"/>
        <v>103.996821</v>
      </c>
    </row>
    <row r="2241" spans="1:7" x14ac:dyDescent="0.3">
      <c r="A2241">
        <v>22390</v>
      </c>
      <c r="B2241">
        <v>1561.1</v>
      </c>
      <c r="C2241">
        <v>112.294</v>
      </c>
      <c r="D2241" s="15">
        <f t="shared" si="104"/>
        <v>4.9999999999883471E-5</v>
      </c>
      <c r="E2241" s="14">
        <f t="shared" si="102"/>
        <v>5.5403593052070002E-5</v>
      </c>
      <c r="F2241">
        <v>104.018</v>
      </c>
      <c r="G2241" s="1">
        <f t="shared" si="103"/>
        <v>103.99569100000001</v>
      </c>
    </row>
    <row r="2242" spans="1:7" x14ac:dyDescent="0.3">
      <c r="A2242">
        <v>22400</v>
      </c>
      <c r="B2242">
        <v>1561.2</v>
      </c>
      <c r="C2242">
        <v>112.294</v>
      </c>
      <c r="D2242" s="15">
        <f t="shared" si="104"/>
        <v>4.9999999999883471E-5</v>
      </c>
      <c r="E2242" s="14">
        <f t="shared" ref="E2242:E2305" si="105">0.0000000000000634167*A2242*A2242 - 0.0000000048594*A2242 + 0.000132414</f>
        <v>5.5383403392000001E-5</v>
      </c>
      <c r="F2242">
        <v>103.998</v>
      </c>
      <c r="G2242" s="1">
        <f t="shared" si="103"/>
        <v>103.994561</v>
      </c>
    </row>
    <row r="2243" spans="1:7" x14ac:dyDescent="0.3">
      <c r="A2243">
        <v>22410</v>
      </c>
      <c r="B2243">
        <v>1561.3</v>
      </c>
      <c r="C2243">
        <v>112.29300000000001</v>
      </c>
      <c r="D2243" s="15">
        <f t="shared" si="104"/>
        <v>4.9999999999883471E-5</v>
      </c>
      <c r="E2243" s="14">
        <f t="shared" si="105"/>
        <v>5.5363226415270001E-5</v>
      </c>
      <c r="F2243">
        <v>103.97799999999999</v>
      </c>
      <c r="G2243" s="1">
        <f t="shared" ref="G2243:G2306" si="106">-0.000113*A2243 + 106.525761</f>
        <v>103.993431</v>
      </c>
    </row>
    <row r="2244" spans="1:7" x14ac:dyDescent="0.3">
      <c r="A2244">
        <v>22420</v>
      </c>
      <c r="B2244">
        <v>1561.4</v>
      </c>
      <c r="C2244">
        <v>112.29300000000001</v>
      </c>
      <c r="D2244" s="15">
        <f t="shared" si="104"/>
        <v>7.5000000000002839E-5</v>
      </c>
      <c r="E2244" s="14">
        <f t="shared" si="105"/>
        <v>5.5343062121879989E-5</v>
      </c>
      <c r="F2244">
        <v>103.95699999999999</v>
      </c>
      <c r="G2244" s="1">
        <f t="shared" si="106"/>
        <v>103.992301</v>
      </c>
    </row>
    <row r="2245" spans="1:7" x14ac:dyDescent="0.3">
      <c r="A2245">
        <v>22430</v>
      </c>
      <c r="B2245">
        <v>1561.4</v>
      </c>
      <c r="C2245">
        <v>112.292</v>
      </c>
      <c r="D2245" s="15">
        <f t="shared" ref="D2245:D2308" si="107">(C2243-C2247)/(A2247-A2243)</f>
        <v>5.0000000000238744E-5</v>
      </c>
      <c r="E2245" s="14">
        <f t="shared" si="105"/>
        <v>5.5322910511829991E-5</v>
      </c>
      <c r="F2245">
        <v>103.937</v>
      </c>
      <c r="G2245" s="1">
        <f t="shared" si="106"/>
        <v>103.99117100000001</v>
      </c>
    </row>
    <row r="2246" spans="1:7" x14ac:dyDescent="0.3">
      <c r="A2246">
        <v>22440</v>
      </c>
      <c r="B2246">
        <v>1561.6</v>
      </c>
      <c r="C2246">
        <v>112.291</v>
      </c>
      <c r="D2246" s="15">
        <f t="shared" si="107"/>
        <v>7.5000000000002839E-5</v>
      </c>
      <c r="E2246" s="14">
        <f t="shared" si="105"/>
        <v>5.5302771585119995E-5</v>
      </c>
      <c r="F2246">
        <v>103.917</v>
      </c>
      <c r="G2246" s="1">
        <f t="shared" si="106"/>
        <v>103.99004100000001</v>
      </c>
    </row>
    <row r="2247" spans="1:7" x14ac:dyDescent="0.3">
      <c r="A2247">
        <v>22450</v>
      </c>
      <c r="B2247">
        <v>1561.7</v>
      </c>
      <c r="C2247">
        <v>112.291</v>
      </c>
      <c r="D2247" s="15">
        <f t="shared" si="107"/>
        <v>4.9999999999883471E-5</v>
      </c>
      <c r="E2247" s="14">
        <f t="shared" si="105"/>
        <v>5.5282645341749986E-5</v>
      </c>
      <c r="F2247">
        <v>103.896</v>
      </c>
      <c r="G2247" s="1">
        <f t="shared" si="106"/>
        <v>103.988911</v>
      </c>
    </row>
    <row r="2248" spans="1:7" x14ac:dyDescent="0.3">
      <c r="A2248">
        <v>22460</v>
      </c>
      <c r="B2248">
        <v>1561.8</v>
      </c>
      <c r="C2248">
        <v>112.29</v>
      </c>
      <c r="D2248" s="15">
        <f t="shared" si="107"/>
        <v>4.9999999999883471E-5</v>
      </c>
      <c r="E2248" s="14">
        <f t="shared" si="105"/>
        <v>5.5262531781719991E-5</v>
      </c>
      <c r="F2248">
        <v>103.876</v>
      </c>
      <c r="G2248" s="1">
        <f t="shared" si="106"/>
        <v>103.987781</v>
      </c>
    </row>
    <row r="2249" spans="1:7" x14ac:dyDescent="0.3">
      <c r="A2249">
        <v>22470</v>
      </c>
      <c r="B2249">
        <v>1561.9</v>
      </c>
      <c r="C2249">
        <v>112.29</v>
      </c>
      <c r="D2249" s="15">
        <f t="shared" si="107"/>
        <v>7.5000000000002839E-5</v>
      </c>
      <c r="E2249" s="14">
        <f t="shared" si="105"/>
        <v>5.5242430905029998E-5</v>
      </c>
      <c r="F2249">
        <v>103.85599999999999</v>
      </c>
      <c r="G2249" s="1">
        <f t="shared" si="106"/>
        <v>103.98665100000001</v>
      </c>
    </row>
    <row r="2250" spans="1:7" x14ac:dyDescent="0.3">
      <c r="A2250">
        <v>22480</v>
      </c>
      <c r="B2250">
        <v>1562</v>
      </c>
      <c r="C2250">
        <v>112.289</v>
      </c>
      <c r="D2250" s="15">
        <f t="shared" si="107"/>
        <v>5.0000000000238744E-5</v>
      </c>
      <c r="E2250" s="14">
        <f t="shared" si="105"/>
        <v>5.5222342711679992E-5</v>
      </c>
      <c r="F2250">
        <v>103.83499999999999</v>
      </c>
      <c r="G2250" s="1">
        <f t="shared" si="106"/>
        <v>103.98552100000001</v>
      </c>
    </row>
    <row r="2251" spans="1:7" x14ac:dyDescent="0.3">
      <c r="A2251">
        <v>22490</v>
      </c>
      <c r="B2251">
        <v>1562.1</v>
      </c>
      <c r="C2251">
        <v>112.288</v>
      </c>
      <c r="D2251" s="15">
        <f t="shared" si="107"/>
        <v>7.5000000000002839E-5</v>
      </c>
      <c r="E2251" s="14">
        <f t="shared" si="105"/>
        <v>5.5202267201669988E-5</v>
      </c>
      <c r="F2251">
        <v>103.815</v>
      </c>
      <c r="G2251" s="1">
        <f t="shared" si="106"/>
        <v>103.984391</v>
      </c>
    </row>
    <row r="2252" spans="1:7" x14ac:dyDescent="0.3">
      <c r="A2252">
        <v>22500</v>
      </c>
      <c r="B2252">
        <v>1562.2</v>
      </c>
      <c r="C2252">
        <v>112.288</v>
      </c>
      <c r="D2252" s="15">
        <f t="shared" si="107"/>
        <v>4.9999999999883471E-5</v>
      </c>
      <c r="E2252" s="14">
        <f t="shared" si="105"/>
        <v>5.5182204374999998E-5</v>
      </c>
      <c r="F2252">
        <v>103.795</v>
      </c>
      <c r="G2252" s="1">
        <f t="shared" si="106"/>
        <v>103.983261</v>
      </c>
    </row>
    <row r="2253" spans="1:7" x14ac:dyDescent="0.3">
      <c r="A2253">
        <v>22510</v>
      </c>
      <c r="B2253">
        <v>1562.3</v>
      </c>
      <c r="C2253">
        <v>112.28700000000001</v>
      </c>
      <c r="D2253" s="15">
        <f t="shared" si="107"/>
        <v>4.9999999999883471E-5</v>
      </c>
      <c r="E2253" s="14">
        <f t="shared" si="105"/>
        <v>5.5162154231669995E-5</v>
      </c>
      <c r="F2253">
        <v>103.773</v>
      </c>
      <c r="G2253" s="1">
        <f t="shared" si="106"/>
        <v>103.98213100000001</v>
      </c>
    </row>
    <row r="2254" spans="1:7" x14ac:dyDescent="0.3">
      <c r="A2254">
        <v>22520</v>
      </c>
      <c r="B2254">
        <v>1562.4</v>
      </c>
      <c r="C2254">
        <v>112.28700000000001</v>
      </c>
      <c r="D2254" s="15">
        <f t="shared" si="107"/>
        <v>7.5000000000002839E-5</v>
      </c>
      <c r="E2254" s="14">
        <f t="shared" si="105"/>
        <v>5.5142116771679994E-5</v>
      </c>
      <c r="F2254">
        <v>103.753</v>
      </c>
      <c r="G2254" s="1">
        <f t="shared" si="106"/>
        <v>103.98100100000001</v>
      </c>
    </row>
    <row r="2255" spans="1:7" x14ac:dyDescent="0.3">
      <c r="A2255">
        <v>22530</v>
      </c>
      <c r="B2255">
        <v>1562.5</v>
      </c>
      <c r="C2255">
        <v>112.286</v>
      </c>
      <c r="D2255" s="15">
        <f t="shared" si="107"/>
        <v>5.0000000000238744E-5</v>
      </c>
      <c r="E2255" s="14">
        <f t="shared" si="105"/>
        <v>5.512209199502998E-5</v>
      </c>
      <c r="F2255">
        <v>103.733</v>
      </c>
      <c r="G2255" s="1">
        <f t="shared" si="106"/>
        <v>103.979871</v>
      </c>
    </row>
    <row r="2256" spans="1:7" x14ac:dyDescent="0.3">
      <c r="A2256">
        <v>22540</v>
      </c>
      <c r="B2256">
        <v>1562.6</v>
      </c>
      <c r="C2256">
        <v>112.285</v>
      </c>
      <c r="D2256" s="15">
        <f t="shared" si="107"/>
        <v>7.5000000000002839E-5</v>
      </c>
      <c r="E2256" s="14">
        <f t="shared" si="105"/>
        <v>5.5102079901719994E-5</v>
      </c>
      <c r="F2256">
        <v>103.712</v>
      </c>
      <c r="G2256" s="1">
        <f t="shared" si="106"/>
        <v>103.978741</v>
      </c>
    </row>
    <row r="2257" spans="1:7" x14ac:dyDescent="0.3">
      <c r="A2257">
        <v>22550</v>
      </c>
      <c r="B2257">
        <v>1562.7</v>
      </c>
      <c r="C2257">
        <v>112.285</v>
      </c>
      <c r="D2257" s="15">
        <f t="shared" si="107"/>
        <v>4.9999999999883471E-5</v>
      </c>
      <c r="E2257" s="14">
        <f t="shared" si="105"/>
        <v>5.508208049175001E-5</v>
      </c>
      <c r="F2257">
        <v>103.69199999999999</v>
      </c>
      <c r="G2257" s="1">
        <f t="shared" si="106"/>
        <v>103.977611</v>
      </c>
    </row>
    <row r="2258" spans="1:7" x14ac:dyDescent="0.3">
      <c r="A2258">
        <v>22560</v>
      </c>
      <c r="B2258">
        <v>1562.8</v>
      </c>
      <c r="C2258">
        <v>112.28400000000001</v>
      </c>
      <c r="D2258" s="15">
        <f t="shared" si="107"/>
        <v>4.9999999999883471E-5</v>
      </c>
      <c r="E2258" s="14">
        <f t="shared" si="105"/>
        <v>5.5062093765119999E-5</v>
      </c>
      <c r="F2258">
        <v>103.672</v>
      </c>
      <c r="G2258" s="1">
        <f t="shared" si="106"/>
        <v>103.97648100000001</v>
      </c>
    </row>
    <row r="2259" spans="1:7" x14ac:dyDescent="0.3">
      <c r="A2259">
        <v>22570</v>
      </c>
      <c r="B2259">
        <v>1562.9</v>
      </c>
      <c r="C2259">
        <v>112.28400000000001</v>
      </c>
      <c r="D2259" s="15">
        <f t="shared" si="107"/>
        <v>7.5000000000002839E-5</v>
      </c>
      <c r="E2259" s="14">
        <f t="shared" si="105"/>
        <v>5.504211972182999E-5</v>
      </c>
      <c r="F2259">
        <v>103.652</v>
      </c>
      <c r="G2259" s="1">
        <f t="shared" si="106"/>
        <v>103.975351</v>
      </c>
    </row>
    <row r="2260" spans="1:7" x14ac:dyDescent="0.3">
      <c r="A2260">
        <v>22580</v>
      </c>
      <c r="B2260">
        <v>1563</v>
      </c>
      <c r="C2260">
        <v>112.283</v>
      </c>
      <c r="D2260" s="15">
        <f t="shared" si="107"/>
        <v>5.0000000000238744E-5</v>
      </c>
      <c r="E2260" s="14">
        <f t="shared" si="105"/>
        <v>5.5022158361880009E-5</v>
      </c>
      <c r="F2260">
        <v>103.631</v>
      </c>
      <c r="G2260" s="1">
        <f t="shared" si="106"/>
        <v>103.974221</v>
      </c>
    </row>
    <row r="2261" spans="1:7" x14ac:dyDescent="0.3">
      <c r="A2261">
        <v>22590</v>
      </c>
      <c r="B2261">
        <v>1563.2</v>
      </c>
      <c r="C2261">
        <v>112.282</v>
      </c>
      <c r="D2261" s="15">
        <f t="shared" si="107"/>
        <v>7.5000000000002839E-5</v>
      </c>
      <c r="E2261" s="14">
        <f t="shared" si="105"/>
        <v>5.5002209685270001E-5</v>
      </c>
      <c r="F2261">
        <v>103.611</v>
      </c>
      <c r="G2261" s="1">
        <f t="shared" si="106"/>
        <v>103.973091</v>
      </c>
    </row>
    <row r="2262" spans="1:7" x14ac:dyDescent="0.3">
      <c r="A2262">
        <v>22600</v>
      </c>
      <c r="B2262">
        <v>1563.3</v>
      </c>
      <c r="C2262">
        <v>112.282</v>
      </c>
      <c r="D2262" s="15">
        <f t="shared" si="107"/>
        <v>4.9999999999883471E-5</v>
      </c>
      <c r="E2262" s="14">
        <f t="shared" si="105"/>
        <v>5.4982273691999995E-5</v>
      </c>
      <c r="F2262">
        <v>103.59099999999999</v>
      </c>
      <c r="G2262" s="1">
        <f t="shared" si="106"/>
        <v>103.97196100000001</v>
      </c>
    </row>
    <row r="2263" spans="1:7" x14ac:dyDescent="0.3">
      <c r="A2263">
        <v>22610</v>
      </c>
      <c r="B2263">
        <v>1563.3</v>
      </c>
      <c r="C2263">
        <v>112.28100000000001</v>
      </c>
      <c r="D2263" s="15">
        <f t="shared" si="107"/>
        <v>4.9999999999883471E-5</v>
      </c>
      <c r="E2263" s="14">
        <f t="shared" si="105"/>
        <v>5.496235038206999E-5</v>
      </c>
      <c r="F2263">
        <v>103.57</v>
      </c>
      <c r="G2263" s="1">
        <f t="shared" si="106"/>
        <v>103.970831</v>
      </c>
    </row>
    <row r="2264" spans="1:7" x14ac:dyDescent="0.3">
      <c r="A2264">
        <v>22620</v>
      </c>
      <c r="B2264">
        <v>1563.5</v>
      </c>
      <c r="C2264">
        <v>112.28100000000001</v>
      </c>
      <c r="D2264" s="15">
        <f t="shared" si="107"/>
        <v>4.9999999999883471E-5</v>
      </c>
      <c r="E2264" s="14">
        <f t="shared" si="105"/>
        <v>5.4942439755479986E-5</v>
      </c>
      <c r="F2264">
        <v>103.55</v>
      </c>
      <c r="G2264" s="1">
        <f t="shared" si="106"/>
        <v>103.969701</v>
      </c>
    </row>
    <row r="2265" spans="1:7" x14ac:dyDescent="0.3">
      <c r="A2265">
        <v>22630</v>
      </c>
      <c r="B2265">
        <v>1563.6</v>
      </c>
      <c r="C2265">
        <v>112.28</v>
      </c>
      <c r="D2265" s="15">
        <f t="shared" si="107"/>
        <v>5.0000000000238744E-5</v>
      </c>
      <c r="E2265" s="14">
        <f t="shared" si="105"/>
        <v>5.4922541812229997E-5</v>
      </c>
      <c r="F2265">
        <v>103.53</v>
      </c>
      <c r="G2265" s="1">
        <f t="shared" si="106"/>
        <v>103.968571</v>
      </c>
    </row>
    <row r="2266" spans="1:7" x14ac:dyDescent="0.3">
      <c r="A2266">
        <v>22640</v>
      </c>
      <c r="B2266">
        <v>1563.7</v>
      </c>
      <c r="C2266">
        <v>112.28</v>
      </c>
      <c r="D2266" s="15">
        <f t="shared" si="107"/>
        <v>7.5000000000002839E-5</v>
      </c>
      <c r="E2266" s="14">
        <f t="shared" si="105"/>
        <v>5.4902656552319981E-5</v>
      </c>
      <c r="F2266">
        <v>103.509</v>
      </c>
      <c r="G2266" s="1">
        <f t="shared" si="106"/>
        <v>103.96744100000001</v>
      </c>
    </row>
    <row r="2267" spans="1:7" x14ac:dyDescent="0.3">
      <c r="A2267">
        <v>22650</v>
      </c>
      <c r="B2267">
        <v>1563.9</v>
      </c>
      <c r="C2267">
        <v>112.279</v>
      </c>
      <c r="D2267" s="15">
        <f t="shared" si="107"/>
        <v>4.9999999999883471E-5</v>
      </c>
      <c r="E2267" s="14">
        <f t="shared" si="105"/>
        <v>5.4882783975750008E-5</v>
      </c>
      <c r="F2267">
        <v>103.489</v>
      </c>
      <c r="G2267" s="1">
        <f t="shared" si="106"/>
        <v>103.966311</v>
      </c>
    </row>
    <row r="2268" spans="1:7" x14ac:dyDescent="0.3">
      <c r="A2268">
        <v>22660</v>
      </c>
      <c r="B2268">
        <v>1563.9</v>
      </c>
      <c r="C2268">
        <v>112.27800000000001</v>
      </c>
      <c r="D2268" s="15">
        <f t="shared" si="107"/>
        <v>7.5000000000002839E-5</v>
      </c>
      <c r="E2268" s="14">
        <f t="shared" si="105"/>
        <v>5.4862924082520008E-5</v>
      </c>
      <c r="F2268">
        <v>103.46899999999999</v>
      </c>
      <c r="G2268" s="1">
        <f t="shared" si="106"/>
        <v>103.965181</v>
      </c>
    </row>
    <row r="2269" spans="1:7" x14ac:dyDescent="0.3">
      <c r="A2269">
        <v>22670</v>
      </c>
      <c r="B2269">
        <v>1564.1</v>
      </c>
      <c r="C2269">
        <v>112.27800000000001</v>
      </c>
      <c r="D2269" s="15">
        <f t="shared" si="107"/>
        <v>4.9999999999883471E-5</v>
      </c>
      <c r="E2269" s="14">
        <f t="shared" si="105"/>
        <v>5.4843076872629983E-5</v>
      </c>
      <c r="F2269">
        <v>103.44799999999999</v>
      </c>
      <c r="G2269" s="1">
        <f t="shared" si="106"/>
        <v>103.964051</v>
      </c>
    </row>
    <row r="2270" spans="1:7" x14ac:dyDescent="0.3">
      <c r="A2270">
        <v>22680</v>
      </c>
      <c r="B2270">
        <v>1564.2</v>
      </c>
      <c r="C2270">
        <v>112.277</v>
      </c>
      <c r="D2270" s="15">
        <f t="shared" si="107"/>
        <v>5.0000000000238744E-5</v>
      </c>
      <c r="E2270" s="14">
        <f t="shared" si="105"/>
        <v>5.4823242346079999E-5</v>
      </c>
      <c r="F2270">
        <v>103.428</v>
      </c>
      <c r="G2270" s="1">
        <f t="shared" si="106"/>
        <v>103.96292100000001</v>
      </c>
    </row>
    <row r="2271" spans="1:7" x14ac:dyDescent="0.3">
      <c r="A2271">
        <v>22690</v>
      </c>
      <c r="B2271">
        <v>1564.3</v>
      </c>
      <c r="C2271">
        <v>112.277</v>
      </c>
      <c r="D2271" s="15">
        <f t="shared" si="107"/>
        <v>7.5000000000002839E-5</v>
      </c>
      <c r="E2271" s="14">
        <f t="shared" si="105"/>
        <v>5.4803420502869989E-5</v>
      </c>
      <c r="F2271">
        <v>103.407</v>
      </c>
      <c r="G2271" s="1">
        <f t="shared" si="106"/>
        <v>103.96179100000001</v>
      </c>
    </row>
    <row r="2272" spans="1:7" x14ac:dyDescent="0.3">
      <c r="A2272">
        <v>22700</v>
      </c>
      <c r="B2272">
        <v>1564.4</v>
      </c>
      <c r="C2272">
        <v>112.276</v>
      </c>
      <c r="D2272" s="15">
        <f t="shared" si="107"/>
        <v>4.9999999999883471E-5</v>
      </c>
      <c r="E2272" s="14">
        <f t="shared" si="105"/>
        <v>5.4783611342999993E-5</v>
      </c>
      <c r="F2272">
        <v>103.386</v>
      </c>
      <c r="G2272" s="1">
        <f t="shared" si="106"/>
        <v>103.960661</v>
      </c>
    </row>
    <row r="2273" spans="1:7" x14ac:dyDescent="0.3">
      <c r="A2273">
        <v>22710</v>
      </c>
      <c r="B2273">
        <v>1564.5</v>
      </c>
      <c r="C2273">
        <v>112.27500000000001</v>
      </c>
      <c r="D2273" s="15">
        <f t="shared" si="107"/>
        <v>7.5000000000002839E-5</v>
      </c>
      <c r="E2273" s="14">
        <f t="shared" si="105"/>
        <v>5.4763814866469999E-5</v>
      </c>
      <c r="F2273">
        <v>103.366</v>
      </c>
      <c r="G2273" s="1">
        <f t="shared" si="106"/>
        <v>103.959531</v>
      </c>
    </row>
    <row r="2274" spans="1:7" x14ac:dyDescent="0.3">
      <c r="A2274">
        <v>22720</v>
      </c>
      <c r="B2274">
        <v>1564.7</v>
      </c>
      <c r="C2274">
        <v>112.27500000000001</v>
      </c>
      <c r="D2274" s="15">
        <f t="shared" si="107"/>
        <v>4.9999999999883471E-5</v>
      </c>
      <c r="E2274" s="14">
        <f t="shared" si="105"/>
        <v>5.4744031073279993E-5</v>
      </c>
      <c r="F2274">
        <v>103.346</v>
      </c>
      <c r="G2274" s="1">
        <f t="shared" si="106"/>
        <v>103.95840100000001</v>
      </c>
    </row>
    <row r="2275" spans="1:7" x14ac:dyDescent="0.3">
      <c r="A2275">
        <v>22730</v>
      </c>
      <c r="B2275">
        <v>1564.8</v>
      </c>
      <c r="C2275">
        <v>112.274</v>
      </c>
      <c r="D2275" s="15">
        <f t="shared" si="107"/>
        <v>5.0000000000238744E-5</v>
      </c>
      <c r="E2275" s="14">
        <f t="shared" si="105"/>
        <v>5.4724259963429987E-5</v>
      </c>
      <c r="F2275">
        <v>103.325</v>
      </c>
      <c r="G2275" s="1">
        <f t="shared" si="106"/>
        <v>103.95727100000001</v>
      </c>
    </row>
    <row r="2276" spans="1:7" x14ac:dyDescent="0.3">
      <c r="A2276">
        <v>22740</v>
      </c>
      <c r="B2276">
        <v>1564.9</v>
      </c>
      <c r="C2276">
        <v>112.274</v>
      </c>
      <c r="D2276" s="15">
        <f t="shared" si="107"/>
        <v>7.5000000000002839E-5</v>
      </c>
      <c r="E2276" s="14">
        <f t="shared" si="105"/>
        <v>5.4704501536919996E-5</v>
      </c>
      <c r="F2276">
        <v>103.30500000000001</v>
      </c>
      <c r="G2276" s="1">
        <f t="shared" si="106"/>
        <v>103.956141</v>
      </c>
    </row>
    <row r="2277" spans="1:7" x14ac:dyDescent="0.3">
      <c r="A2277">
        <v>22750</v>
      </c>
      <c r="B2277">
        <v>1565</v>
      </c>
      <c r="C2277">
        <v>112.273</v>
      </c>
      <c r="D2277" s="15">
        <f t="shared" si="107"/>
        <v>4.9999999999883471E-5</v>
      </c>
      <c r="E2277" s="14">
        <f t="shared" si="105"/>
        <v>5.4684755793749993E-5</v>
      </c>
      <c r="F2277">
        <v>103.285</v>
      </c>
      <c r="G2277" s="1">
        <f t="shared" si="106"/>
        <v>103.955011</v>
      </c>
    </row>
    <row r="2278" spans="1:7" x14ac:dyDescent="0.3">
      <c r="A2278">
        <v>22760</v>
      </c>
      <c r="B2278">
        <v>1565.1</v>
      </c>
      <c r="C2278">
        <v>112.27200000000001</v>
      </c>
      <c r="D2278" s="15">
        <f t="shared" si="107"/>
        <v>7.5000000000002839E-5</v>
      </c>
      <c r="E2278" s="14">
        <f t="shared" si="105"/>
        <v>5.4665022733919991E-5</v>
      </c>
      <c r="F2278">
        <v>103.265</v>
      </c>
      <c r="G2278" s="1">
        <f t="shared" si="106"/>
        <v>103.95388100000001</v>
      </c>
    </row>
    <row r="2279" spans="1:7" x14ac:dyDescent="0.3">
      <c r="A2279">
        <v>22770</v>
      </c>
      <c r="B2279">
        <v>1565.3</v>
      </c>
      <c r="C2279">
        <v>112.27200000000001</v>
      </c>
      <c r="D2279" s="15">
        <f t="shared" si="107"/>
        <v>4.9999999999883471E-5</v>
      </c>
      <c r="E2279" s="14">
        <f t="shared" si="105"/>
        <v>5.4645302357430003E-5</v>
      </c>
      <c r="F2279">
        <v>103.244</v>
      </c>
      <c r="G2279" s="1">
        <f t="shared" si="106"/>
        <v>103.95275100000001</v>
      </c>
    </row>
    <row r="2280" spans="1:7" x14ac:dyDescent="0.3">
      <c r="A2280">
        <v>22780</v>
      </c>
      <c r="B2280">
        <v>1565.4</v>
      </c>
      <c r="C2280">
        <v>112.271</v>
      </c>
      <c r="D2280" s="15">
        <f t="shared" si="107"/>
        <v>5.0000000000238744E-5</v>
      </c>
      <c r="E2280" s="14">
        <f t="shared" si="105"/>
        <v>5.4625594664279989E-5</v>
      </c>
      <c r="F2280">
        <v>103.224</v>
      </c>
      <c r="G2280" s="1">
        <f t="shared" si="106"/>
        <v>103.951621</v>
      </c>
    </row>
    <row r="2281" spans="1:7" x14ac:dyDescent="0.3">
      <c r="A2281">
        <v>22790</v>
      </c>
      <c r="B2281">
        <v>1565.5</v>
      </c>
      <c r="C2281">
        <v>112.271</v>
      </c>
      <c r="D2281" s="15">
        <f t="shared" si="107"/>
        <v>7.5000000000002839E-5</v>
      </c>
      <c r="E2281" s="14">
        <f t="shared" si="105"/>
        <v>5.4605899654470004E-5</v>
      </c>
      <c r="F2281">
        <v>103.20399999999999</v>
      </c>
      <c r="G2281" s="1">
        <f t="shared" si="106"/>
        <v>103.950491</v>
      </c>
    </row>
    <row r="2282" spans="1:7" x14ac:dyDescent="0.3">
      <c r="A2282">
        <v>22800</v>
      </c>
      <c r="B2282">
        <v>1565.6</v>
      </c>
      <c r="C2282">
        <v>112.27</v>
      </c>
      <c r="D2282" s="15">
        <f t="shared" si="107"/>
        <v>4.9999999999883471E-5</v>
      </c>
      <c r="E2282" s="14">
        <f t="shared" si="105"/>
        <v>5.4586217327999993E-5</v>
      </c>
      <c r="F2282">
        <v>103.18300000000001</v>
      </c>
      <c r="G2282" s="1">
        <f t="shared" si="106"/>
        <v>103.949361</v>
      </c>
    </row>
    <row r="2283" spans="1:7" x14ac:dyDescent="0.3">
      <c r="A2283">
        <v>22810</v>
      </c>
      <c r="B2283">
        <v>1565.8</v>
      </c>
      <c r="C2283">
        <v>112.26900000000001</v>
      </c>
      <c r="D2283" s="15">
        <f t="shared" si="107"/>
        <v>7.5000000000002839E-5</v>
      </c>
      <c r="E2283" s="14">
        <f t="shared" si="105"/>
        <v>5.4566547684869996E-5</v>
      </c>
      <c r="F2283">
        <v>103.163</v>
      </c>
      <c r="G2283" s="1">
        <f t="shared" si="106"/>
        <v>103.94823100000001</v>
      </c>
    </row>
    <row r="2284" spans="1:7" x14ac:dyDescent="0.3">
      <c r="A2284">
        <v>22820</v>
      </c>
      <c r="B2284">
        <v>1565.9</v>
      </c>
      <c r="C2284">
        <v>112.26900000000001</v>
      </c>
      <c r="D2284" s="15">
        <f t="shared" si="107"/>
        <v>4.9999999999883471E-5</v>
      </c>
      <c r="E2284" s="14">
        <f t="shared" si="105"/>
        <v>5.454689072508E-5</v>
      </c>
      <c r="F2284">
        <v>103.143</v>
      </c>
      <c r="G2284" s="1">
        <f t="shared" si="106"/>
        <v>103.947101</v>
      </c>
    </row>
    <row r="2285" spans="1:7" x14ac:dyDescent="0.3">
      <c r="A2285">
        <v>22830</v>
      </c>
      <c r="B2285">
        <v>1566.1</v>
      </c>
      <c r="C2285">
        <v>112.268</v>
      </c>
      <c r="D2285" s="15">
        <f t="shared" si="107"/>
        <v>5.0000000000238744E-5</v>
      </c>
      <c r="E2285" s="14">
        <f t="shared" si="105"/>
        <v>5.4527246448629992E-5</v>
      </c>
      <c r="F2285">
        <v>103.122</v>
      </c>
      <c r="G2285" s="1">
        <f t="shared" si="106"/>
        <v>103.945971</v>
      </c>
    </row>
    <row r="2286" spans="1:7" x14ac:dyDescent="0.3">
      <c r="A2286">
        <v>22840</v>
      </c>
      <c r="B2286">
        <v>1566.1</v>
      </c>
      <c r="C2286">
        <v>112.268</v>
      </c>
      <c r="D2286" s="15">
        <f t="shared" si="107"/>
        <v>7.5000000000002839E-5</v>
      </c>
      <c r="E2286" s="14">
        <f t="shared" si="105"/>
        <v>5.4507614855519985E-5</v>
      </c>
      <c r="F2286">
        <v>103.102</v>
      </c>
      <c r="G2286" s="1">
        <f t="shared" si="106"/>
        <v>103.944841</v>
      </c>
    </row>
    <row r="2287" spans="1:7" x14ac:dyDescent="0.3">
      <c r="A2287">
        <v>22850</v>
      </c>
      <c r="B2287">
        <v>1566.3</v>
      </c>
      <c r="C2287">
        <v>112.267</v>
      </c>
      <c r="D2287" s="15">
        <f t="shared" si="107"/>
        <v>4.9999999999883471E-5</v>
      </c>
      <c r="E2287" s="14">
        <f t="shared" si="105"/>
        <v>5.4487995945750006E-5</v>
      </c>
      <c r="F2287">
        <v>103.08199999999999</v>
      </c>
      <c r="G2287" s="1">
        <f t="shared" si="106"/>
        <v>103.94371100000001</v>
      </c>
    </row>
    <row r="2288" spans="1:7" x14ac:dyDescent="0.3">
      <c r="A2288">
        <v>22860</v>
      </c>
      <c r="B2288">
        <v>1566.5</v>
      </c>
      <c r="C2288">
        <v>112.26600000000001</v>
      </c>
      <c r="D2288" s="15">
        <f t="shared" si="107"/>
        <v>7.5000000000002839E-5</v>
      </c>
      <c r="E2288" s="14">
        <f t="shared" si="105"/>
        <v>5.4468389719320001E-5</v>
      </c>
      <c r="F2288">
        <v>103.06100000000001</v>
      </c>
      <c r="G2288" s="1">
        <f t="shared" si="106"/>
        <v>103.942581</v>
      </c>
    </row>
    <row r="2289" spans="1:7" x14ac:dyDescent="0.3">
      <c r="A2289">
        <v>22870</v>
      </c>
      <c r="B2289">
        <v>1566.6</v>
      </c>
      <c r="C2289">
        <v>112.26600000000001</v>
      </c>
      <c r="D2289" s="15">
        <f t="shared" si="107"/>
        <v>7.5000000000002839E-5</v>
      </c>
      <c r="E2289" s="14">
        <f t="shared" si="105"/>
        <v>5.4448796176229997E-5</v>
      </c>
      <c r="F2289">
        <v>103.041</v>
      </c>
      <c r="G2289" s="1">
        <f t="shared" si="106"/>
        <v>103.941451</v>
      </c>
    </row>
    <row r="2290" spans="1:7" x14ac:dyDescent="0.3">
      <c r="A2290">
        <v>22880</v>
      </c>
      <c r="B2290">
        <v>1566.7</v>
      </c>
      <c r="C2290">
        <v>112.265</v>
      </c>
      <c r="D2290" s="15">
        <f t="shared" si="107"/>
        <v>5.0000000000238744E-5</v>
      </c>
      <c r="E2290" s="14">
        <f t="shared" si="105"/>
        <v>5.4429215316479995E-5</v>
      </c>
      <c r="F2290">
        <v>103.021</v>
      </c>
      <c r="G2290" s="1">
        <f t="shared" si="106"/>
        <v>103.940321</v>
      </c>
    </row>
    <row r="2291" spans="1:7" x14ac:dyDescent="0.3">
      <c r="A2291">
        <v>22890</v>
      </c>
      <c r="B2291">
        <v>1566.8</v>
      </c>
      <c r="C2291">
        <v>112.264</v>
      </c>
      <c r="D2291" s="15">
        <f t="shared" si="107"/>
        <v>7.5000000000002839E-5</v>
      </c>
      <c r="E2291" s="14">
        <f t="shared" si="105"/>
        <v>5.4409647140069993E-5</v>
      </c>
      <c r="F2291">
        <v>102.999</v>
      </c>
      <c r="G2291" s="1">
        <f t="shared" si="106"/>
        <v>103.93919100000001</v>
      </c>
    </row>
    <row r="2292" spans="1:7" x14ac:dyDescent="0.3">
      <c r="A2292">
        <v>22900</v>
      </c>
      <c r="B2292">
        <v>1567</v>
      </c>
      <c r="C2292">
        <v>112.264</v>
      </c>
      <c r="D2292" s="15">
        <f t="shared" si="107"/>
        <v>4.9999999999883471E-5</v>
      </c>
      <c r="E2292" s="14">
        <f t="shared" si="105"/>
        <v>5.4390091646999993E-5</v>
      </c>
      <c r="F2292">
        <v>102.979</v>
      </c>
      <c r="G2292" s="1">
        <f t="shared" si="106"/>
        <v>103.938061</v>
      </c>
    </row>
    <row r="2293" spans="1:7" x14ac:dyDescent="0.3">
      <c r="A2293">
        <v>22910</v>
      </c>
      <c r="B2293">
        <v>1567.2</v>
      </c>
      <c r="C2293">
        <v>112.26300000000001</v>
      </c>
      <c r="D2293" s="15">
        <f t="shared" si="107"/>
        <v>4.9999999999883471E-5</v>
      </c>
      <c r="E2293" s="14">
        <f t="shared" si="105"/>
        <v>5.4370548837269993E-5</v>
      </c>
      <c r="F2293">
        <v>102.959</v>
      </c>
      <c r="G2293" s="1">
        <f t="shared" si="106"/>
        <v>103.936931</v>
      </c>
    </row>
    <row r="2294" spans="1:7" x14ac:dyDescent="0.3">
      <c r="A2294">
        <v>22920</v>
      </c>
      <c r="B2294">
        <v>1567.3</v>
      </c>
      <c r="C2294">
        <v>112.26300000000001</v>
      </c>
      <c r="D2294" s="15">
        <f t="shared" si="107"/>
        <v>7.5000000000002839E-5</v>
      </c>
      <c r="E2294" s="14">
        <f t="shared" si="105"/>
        <v>5.4351018710879995E-5</v>
      </c>
      <c r="F2294">
        <v>102.938</v>
      </c>
      <c r="G2294" s="1">
        <f t="shared" si="106"/>
        <v>103.935801</v>
      </c>
    </row>
    <row r="2295" spans="1:7" x14ac:dyDescent="0.3">
      <c r="A2295">
        <v>22930</v>
      </c>
      <c r="B2295">
        <v>1567.4</v>
      </c>
      <c r="C2295">
        <v>112.262</v>
      </c>
      <c r="D2295" s="15">
        <f t="shared" si="107"/>
        <v>5.0000000000238744E-5</v>
      </c>
      <c r="E2295" s="14">
        <f t="shared" si="105"/>
        <v>5.4331501267829998E-5</v>
      </c>
      <c r="F2295">
        <v>102.91800000000001</v>
      </c>
      <c r="G2295" s="1">
        <f t="shared" si="106"/>
        <v>103.93467100000001</v>
      </c>
    </row>
    <row r="2296" spans="1:7" x14ac:dyDescent="0.3">
      <c r="A2296">
        <v>22940</v>
      </c>
      <c r="B2296">
        <v>1567.6</v>
      </c>
      <c r="C2296">
        <v>112.261</v>
      </c>
      <c r="D2296" s="15">
        <f t="shared" si="107"/>
        <v>7.5000000000002839E-5</v>
      </c>
      <c r="E2296" s="14">
        <f t="shared" si="105"/>
        <v>5.4311996508119988E-5</v>
      </c>
      <c r="F2296">
        <v>102.898</v>
      </c>
      <c r="G2296" s="1">
        <f t="shared" si="106"/>
        <v>103.93354100000001</v>
      </c>
    </row>
    <row r="2297" spans="1:7" x14ac:dyDescent="0.3">
      <c r="A2297">
        <v>22950</v>
      </c>
      <c r="B2297">
        <v>1567.8</v>
      </c>
      <c r="C2297">
        <v>112.261</v>
      </c>
      <c r="D2297" s="15">
        <f t="shared" si="107"/>
        <v>4.9999999999883471E-5</v>
      </c>
      <c r="E2297" s="14">
        <f t="shared" si="105"/>
        <v>5.4292504431750007E-5</v>
      </c>
      <c r="F2297">
        <v>102.877</v>
      </c>
      <c r="G2297" s="1">
        <f t="shared" si="106"/>
        <v>103.932411</v>
      </c>
    </row>
    <row r="2298" spans="1:7" x14ac:dyDescent="0.3">
      <c r="A2298">
        <v>22960</v>
      </c>
      <c r="B2298">
        <v>1568</v>
      </c>
      <c r="C2298">
        <v>112.26</v>
      </c>
      <c r="D2298" s="15">
        <f t="shared" si="107"/>
        <v>4.9999999999883471E-5</v>
      </c>
      <c r="E2298" s="14">
        <f t="shared" si="105"/>
        <v>5.4273025038719999E-5</v>
      </c>
      <c r="F2298">
        <v>102.857</v>
      </c>
      <c r="G2298" s="1">
        <f t="shared" si="106"/>
        <v>103.931281</v>
      </c>
    </row>
    <row r="2299" spans="1:7" x14ac:dyDescent="0.3">
      <c r="A2299">
        <v>22970</v>
      </c>
      <c r="B2299">
        <v>1568</v>
      </c>
      <c r="C2299">
        <v>112.26</v>
      </c>
      <c r="D2299" s="15">
        <f t="shared" si="107"/>
        <v>7.5000000000002839E-5</v>
      </c>
      <c r="E2299" s="14">
        <f t="shared" si="105"/>
        <v>5.4253558329029993E-5</v>
      </c>
      <c r="F2299">
        <v>102.837</v>
      </c>
      <c r="G2299" s="1">
        <f t="shared" si="106"/>
        <v>103.93015100000001</v>
      </c>
    </row>
    <row r="2300" spans="1:7" x14ac:dyDescent="0.3">
      <c r="A2300">
        <v>22980</v>
      </c>
      <c r="B2300">
        <v>1568.2</v>
      </c>
      <c r="C2300">
        <v>112.259</v>
      </c>
      <c r="D2300" s="15">
        <f t="shared" si="107"/>
        <v>5.0000000000238744E-5</v>
      </c>
      <c r="E2300" s="14">
        <f t="shared" si="105"/>
        <v>5.4234104302680001E-5</v>
      </c>
      <c r="F2300">
        <v>102.816</v>
      </c>
      <c r="G2300" s="1">
        <f t="shared" si="106"/>
        <v>103.92902100000001</v>
      </c>
    </row>
    <row r="2301" spans="1:7" x14ac:dyDescent="0.3">
      <c r="A2301">
        <v>22990</v>
      </c>
      <c r="B2301">
        <v>1568.4</v>
      </c>
      <c r="C2301">
        <v>112.258</v>
      </c>
      <c r="D2301" s="15">
        <f t="shared" si="107"/>
        <v>7.5000000000002839E-5</v>
      </c>
      <c r="E2301" s="14">
        <f t="shared" si="105"/>
        <v>5.4214662959669983E-5</v>
      </c>
      <c r="F2301">
        <v>102.79600000000001</v>
      </c>
      <c r="G2301" s="1">
        <f t="shared" si="106"/>
        <v>103.927891</v>
      </c>
    </row>
    <row r="2302" spans="1:7" x14ac:dyDescent="0.3">
      <c r="A2302">
        <v>23000</v>
      </c>
      <c r="B2302">
        <v>1568.6</v>
      </c>
      <c r="C2302">
        <v>112.258</v>
      </c>
      <c r="D2302" s="15">
        <f t="shared" si="107"/>
        <v>4.9999999999883471E-5</v>
      </c>
      <c r="E2302" s="14">
        <f t="shared" si="105"/>
        <v>5.4195234299999993E-5</v>
      </c>
      <c r="F2302">
        <v>102.776</v>
      </c>
      <c r="G2302" s="1">
        <f t="shared" si="106"/>
        <v>103.926761</v>
      </c>
    </row>
    <row r="2303" spans="1:7" x14ac:dyDescent="0.3">
      <c r="A2303">
        <v>23010</v>
      </c>
      <c r="B2303">
        <v>1568.8</v>
      </c>
      <c r="C2303">
        <v>112.25700000000001</v>
      </c>
      <c r="D2303" s="15">
        <f t="shared" si="107"/>
        <v>4.9999999999883471E-5</v>
      </c>
      <c r="E2303" s="14">
        <f t="shared" si="105"/>
        <v>5.4175818323670005E-5</v>
      </c>
      <c r="F2303">
        <v>102.755</v>
      </c>
      <c r="G2303" s="1">
        <f t="shared" si="106"/>
        <v>103.92563100000001</v>
      </c>
    </row>
    <row r="2304" spans="1:7" x14ac:dyDescent="0.3">
      <c r="A2304">
        <v>23020</v>
      </c>
      <c r="B2304">
        <v>1568.9</v>
      </c>
      <c r="C2304">
        <v>112.25700000000001</v>
      </c>
      <c r="D2304" s="15">
        <f t="shared" si="107"/>
        <v>7.5000000000002839E-5</v>
      </c>
      <c r="E2304" s="14">
        <f t="shared" si="105"/>
        <v>5.4156415030679991E-5</v>
      </c>
      <c r="F2304">
        <v>102.735</v>
      </c>
      <c r="G2304" s="1">
        <f t="shared" si="106"/>
        <v>103.92450100000001</v>
      </c>
    </row>
    <row r="2305" spans="1:7" x14ac:dyDescent="0.3">
      <c r="A2305">
        <v>23030</v>
      </c>
      <c r="B2305">
        <v>1569</v>
      </c>
      <c r="C2305">
        <v>112.256</v>
      </c>
      <c r="D2305" s="15">
        <f t="shared" si="107"/>
        <v>5.0000000000238744E-5</v>
      </c>
      <c r="E2305" s="14">
        <f t="shared" si="105"/>
        <v>5.4137024421030004E-5</v>
      </c>
      <c r="F2305">
        <v>102.715</v>
      </c>
      <c r="G2305" s="1">
        <f t="shared" si="106"/>
        <v>103.923371</v>
      </c>
    </row>
    <row r="2306" spans="1:7" x14ac:dyDescent="0.3">
      <c r="A2306">
        <v>23040</v>
      </c>
      <c r="B2306">
        <v>1569.2</v>
      </c>
      <c r="C2306">
        <v>112.255</v>
      </c>
      <c r="D2306" s="15">
        <f t="shared" si="107"/>
        <v>7.5000000000002839E-5</v>
      </c>
      <c r="E2306" s="14">
        <f t="shared" ref="E2306:E2369" si="108">0.0000000000000634167*A2306*A2306 - 0.0000000048594*A2306 + 0.000132414</f>
        <v>5.4117646494719992E-5</v>
      </c>
      <c r="F2306">
        <v>102.694</v>
      </c>
      <c r="G2306" s="1">
        <f t="shared" si="106"/>
        <v>103.922241</v>
      </c>
    </row>
    <row r="2307" spans="1:7" x14ac:dyDescent="0.3">
      <c r="A2307">
        <v>23050</v>
      </c>
      <c r="B2307">
        <v>1569.5</v>
      </c>
      <c r="C2307">
        <v>112.255</v>
      </c>
      <c r="D2307" s="15">
        <f t="shared" si="107"/>
        <v>7.5000000000002839E-5</v>
      </c>
      <c r="E2307" s="14">
        <f t="shared" si="108"/>
        <v>5.4098281251749994E-5</v>
      </c>
      <c r="F2307">
        <v>102.67400000000001</v>
      </c>
      <c r="G2307" s="1">
        <f t="shared" ref="G2307:G2370" si="109">-0.000113*A2307 + 106.525761</f>
        <v>103.921111</v>
      </c>
    </row>
    <row r="2308" spans="1:7" x14ac:dyDescent="0.3">
      <c r="A2308">
        <v>23060</v>
      </c>
      <c r="B2308">
        <v>1569.5</v>
      </c>
      <c r="C2308">
        <v>112.254</v>
      </c>
      <c r="D2308" s="15">
        <f t="shared" si="107"/>
        <v>4.9999999999883471E-5</v>
      </c>
      <c r="E2308" s="14">
        <f t="shared" si="108"/>
        <v>5.4078928692119998E-5</v>
      </c>
      <c r="F2308">
        <v>102.654</v>
      </c>
      <c r="G2308" s="1">
        <f t="shared" si="109"/>
        <v>103.91998100000001</v>
      </c>
    </row>
    <row r="2309" spans="1:7" x14ac:dyDescent="0.3">
      <c r="A2309">
        <v>23070</v>
      </c>
      <c r="B2309">
        <v>1569.7</v>
      </c>
      <c r="C2309">
        <v>112.253</v>
      </c>
      <c r="D2309" s="15">
        <f t="shared" ref="D2309:D2372" si="110">(C2307-C2311)/(A2311-A2307)</f>
        <v>7.5000000000002839E-5</v>
      </c>
      <c r="E2309" s="14">
        <f t="shared" si="108"/>
        <v>5.4059588815829989E-5</v>
      </c>
      <c r="F2309">
        <v>102.633</v>
      </c>
      <c r="G2309" s="1">
        <f t="shared" si="109"/>
        <v>103.918851</v>
      </c>
    </row>
    <row r="2310" spans="1:7" x14ac:dyDescent="0.3">
      <c r="A2310">
        <v>23080</v>
      </c>
      <c r="B2310">
        <v>1570</v>
      </c>
      <c r="C2310">
        <v>112.253</v>
      </c>
      <c r="D2310" s="15">
        <f t="shared" si="110"/>
        <v>5.0000000000238744E-5</v>
      </c>
      <c r="E2310" s="14">
        <f t="shared" si="108"/>
        <v>5.4040261622879994E-5</v>
      </c>
      <c r="F2310">
        <v>102.613</v>
      </c>
      <c r="G2310" s="1">
        <f t="shared" si="109"/>
        <v>103.917721</v>
      </c>
    </row>
    <row r="2311" spans="1:7" x14ac:dyDescent="0.3">
      <c r="A2311">
        <v>23090</v>
      </c>
      <c r="B2311">
        <v>1570.1</v>
      </c>
      <c r="C2311">
        <v>112.252</v>
      </c>
      <c r="D2311" s="15">
        <f t="shared" si="110"/>
        <v>4.9999999999883471E-5</v>
      </c>
      <c r="E2311" s="14">
        <f t="shared" si="108"/>
        <v>5.4020947113270001E-5</v>
      </c>
      <c r="F2311">
        <v>102.593</v>
      </c>
      <c r="G2311" s="1">
        <f t="shared" si="109"/>
        <v>103.916591</v>
      </c>
    </row>
    <row r="2312" spans="1:7" x14ac:dyDescent="0.3">
      <c r="A2312">
        <v>23100</v>
      </c>
      <c r="B2312">
        <v>1570.4</v>
      </c>
      <c r="C2312">
        <v>112.252</v>
      </c>
      <c r="D2312" s="15">
        <f t="shared" si="110"/>
        <v>7.5000000000002839E-5</v>
      </c>
      <c r="E2312" s="14">
        <f t="shared" si="108"/>
        <v>5.4001645286999995E-5</v>
      </c>
      <c r="F2312">
        <v>102.572</v>
      </c>
      <c r="G2312" s="1">
        <f t="shared" si="109"/>
        <v>103.91546100000001</v>
      </c>
    </row>
    <row r="2313" spans="1:7" x14ac:dyDescent="0.3">
      <c r="A2313">
        <v>23110</v>
      </c>
      <c r="B2313">
        <v>1570.5</v>
      </c>
      <c r="C2313">
        <v>112.251</v>
      </c>
      <c r="D2313" s="15">
        <f t="shared" si="110"/>
        <v>4.9999999999883471E-5</v>
      </c>
      <c r="E2313" s="14">
        <f t="shared" si="108"/>
        <v>5.3982356144069991E-5</v>
      </c>
      <c r="F2313">
        <v>102.551</v>
      </c>
      <c r="G2313" s="1">
        <f t="shared" si="109"/>
        <v>103.914331</v>
      </c>
    </row>
    <row r="2314" spans="1:7" x14ac:dyDescent="0.3">
      <c r="A2314">
        <v>23120</v>
      </c>
      <c r="B2314">
        <v>1570.7</v>
      </c>
      <c r="C2314">
        <v>112.25</v>
      </c>
      <c r="D2314" s="15">
        <f t="shared" si="110"/>
        <v>7.5000000000002839E-5</v>
      </c>
      <c r="E2314" s="14">
        <f t="shared" si="108"/>
        <v>5.3963079684480001E-5</v>
      </c>
      <c r="F2314">
        <v>102.53100000000001</v>
      </c>
      <c r="G2314" s="1">
        <f t="shared" si="109"/>
        <v>103.913201</v>
      </c>
    </row>
    <row r="2315" spans="1:7" x14ac:dyDescent="0.3">
      <c r="A2315">
        <v>23130</v>
      </c>
      <c r="B2315">
        <v>1570.9</v>
      </c>
      <c r="C2315">
        <v>112.25</v>
      </c>
      <c r="D2315" s="15">
        <f t="shared" si="110"/>
        <v>5.0000000000238744E-5</v>
      </c>
      <c r="E2315" s="14">
        <f t="shared" si="108"/>
        <v>5.3943815908229984E-5</v>
      </c>
      <c r="F2315">
        <v>102.51</v>
      </c>
      <c r="G2315" s="1">
        <f t="shared" si="109"/>
        <v>103.912071</v>
      </c>
    </row>
    <row r="2316" spans="1:7" x14ac:dyDescent="0.3">
      <c r="A2316">
        <v>23140</v>
      </c>
      <c r="B2316">
        <v>1571.1</v>
      </c>
      <c r="C2316">
        <v>112.249</v>
      </c>
      <c r="D2316" s="15">
        <f t="shared" si="110"/>
        <v>4.9999999999883471E-5</v>
      </c>
      <c r="E2316" s="14">
        <f t="shared" si="108"/>
        <v>5.3924564815319997E-5</v>
      </c>
      <c r="F2316">
        <v>102.49</v>
      </c>
      <c r="G2316" s="1">
        <f t="shared" si="109"/>
        <v>103.91094100000001</v>
      </c>
    </row>
    <row r="2317" spans="1:7" x14ac:dyDescent="0.3">
      <c r="A2317">
        <v>23150</v>
      </c>
      <c r="B2317">
        <v>1571.4</v>
      </c>
      <c r="C2317">
        <v>112.249</v>
      </c>
      <c r="D2317" s="15">
        <f t="shared" si="110"/>
        <v>7.5000000000002839E-5</v>
      </c>
      <c r="E2317" s="14">
        <f t="shared" si="108"/>
        <v>5.390532640575001E-5</v>
      </c>
      <c r="F2317">
        <v>102.47</v>
      </c>
      <c r="G2317" s="1">
        <f t="shared" si="109"/>
        <v>103.909811</v>
      </c>
    </row>
    <row r="2318" spans="1:7" x14ac:dyDescent="0.3">
      <c r="A2318">
        <v>23160</v>
      </c>
      <c r="B2318">
        <v>1571.5</v>
      </c>
      <c r="C2318">
        <v>112.248</v>
      </c>
      <c r="D2318" s="15">
        <f t="shared" si="110"/>
        <v>4.9999999999883471E-5</v>
      </c>
      <c r="E2318" s="14">
        <f t="shared" si="108"/>
        <v>5.3886100679519984E-5</v>
      </c>
      <c r="F2318">
        <v>102.449</v>
      </c>
      <c r="G2318" s="1">
        <f t="shared" si="109"/>
        <v>103.908681</v>
      </c>
    </row>
    <row r="2319" spans="1:7" x14ac:dyDescent="0.3">
      <c r="A2319">
        <v>23170</v>
      </c>
      <c r="B2319">
        <v>1571.7</v>
      </c>
      <c r="C2319">
        <v>112.247</v>
      </c>
      <c r="D2319" s="15">
        <f t="shared" si="110"/>
        <v>7.5000000000002839E-5</v>
      </c>
      <c r="E2319" s="14">
        <f t="shared" si="108"/>
        <v>5.3866887636629999E-5</v>
      </c>
      <c r="F2319">
        <v>102.429</v>
      </c>
      <c r="G2319" s="1">
        <f t="shared" si="109"/>
        <v>103.907551</v>
      </c>
    </row>
    <row r="2320" spans="1:7" x14ac:dyDescent="0.3">
      <c r="A2320">
        <v>23180</v>
      </c>
      <c r="B2320">
        <v>1572</v>
      </c>
      <c r="C2320">
        <v>112.247</v>
      </c>
      <c r="D2320" s="15">
        <f t="shared" si="110"/>
        <v>7.5000000000002839E-5</v>
      </c>
      <c r="E2320" s="14">
        <f t="shared" si="108"/>
        <v>5.3847687277079988E-5</v>
      </c>
      <c r="F2320">
        <v>102.40900000000001</v>
      </c>
      <c r="G2320" s="1">
        <f t="shared" si="109"/>
        <v>103.90642100000001</v>
      </c>
    </row>
    <row r="2321" spans="1:7" x14ac:dyDescent="0.3">
      <c r="A2321">
        <v>23190</v>
      </c>
      <c r="B2321">
        <v>1572.3</v>
      </c>
      <c r="C2321">
        <v>112.246</v>
      </c>
      <c r="D2321" s="15">
        <f t="shared" si="110"/>
        <v>4.9999999999883471E-5</v>
      </c>
      <c r="E2321" s="14">
        <f t="shared" si="108"/>
        <v>5.3828499600869993E-5</v>
      </c>
      <c r="F2321">
        <v>102.38800000000001</v>
      </c>
      <c r="G2321" s="1">
        <f t="shared" si="109"/>
        <v>103.90529100000001</v>
      </c>
    </row>
    <row r="2322" spans="1:7" x14ac:dyDescent="0.3">
      <c r="A2322">
        <v>23200</v>
      </c>
      <c r="B2322">
        <v>1572.4</v>
      </c>
      <c r="C2322">
        <v>112.245</v>
      </c>
      <c r="D2322" s="15">
        <f t="shared" si="110"/>
        <v>7.5000000000002839E-5</v>
      </c>
      <c r="E2322" s="14">
        <f t="shared" si="108"/>
        <v>5.3809324607999998E-5</v>
      </c>
      <c r="F2322">
        <v>102.36799999999999</v>
      </c>
      <c r="G2322" s="1">
        <f t="shared" si="109"/>
        <v>103.904161</v>
      </c>
    </row>
    <row r="2323" spans="1:7" x14ac:dyDescent="0.3">
      <c r="A2323">
        <v>23210</v>
      </c>
      <c r="B2323">
        <v>1572.6</v>
      </c>
      <c r="C2323">
        <v>112.245</v>
      </c>
      <c r="D2323" s="15">
        <f t="shared" si="110"/>
        <v>4.9999999999883471E-5</v>
      </c>
      <c r="E2323" s="14">
        <f t="shared" si="108"/>
        <v>5.379016229846999E-5</v>
      </c>
      <c r="F2323">
        <v>102.348</v>
      </c>
      <c r="G2323" s="1">
        <f t="shared" si="109"/>
        <v>103.903031</v>
      </c>
    </row>
    <row r="2324" spans="1:7" x14ac:dyDescent="0.3">
      <c r="A2324">
        <v>23220</v>
      </c>
      <c r="B2324">
        <v>1572.9</v>
      </c>
      <c r="C2324">
        <v>112.244</v>
      </c>
      <c r="D2324" s="15">
        <f t="shared" si="110"/>
        <v>5.0000000000238744E-5</v>
      </c>
      <c r="E2324" s="14">
        <f t="shared" si="108"/>
        <v>5.3771012672279998E-5</v>
      </c>
      <c r="F2324">
        <v>102.327</v>
      </c>
      <c r="G2324" s="1">
        <f t="shared" si="109"/>
        <v>103.90190100000001</v>
      </c>
    </row>
    <row r="2325" spans="1:7" x14ac:dyDescent="0.3">
      <c r="A2325">
        <v>23230</v>
      </c>
      <c r="B2325">
        <v>1573.2</v>
      </c>
      <c r="C2325">
        <v>112.244</v>
      </c>
      <c r="D2325" s="15">
        <f t="shared" si="110"/>
        <v>7.5000000000002839E-5</v>
      </c>
      <c r="E2325" s="14">
        <f t="shared" si="108"/>
        <v>5.3751875729429993E-5</v>
      </c>
      <c r="F2325">
        <v>102.307</v>
      </c>
      <c r="G2325" s="1">
        <f t="shared" si="109"/>
        <v>103.90077100000001</v>
      </c>
    </row>
    <row r="2326" spans="1:7" x14ac:dyDescent="0.3">
      <c r="A2326">
        <v>23240</v>
      </c>
      <c r="B2326">
        <v>1573.4</v>
      </c>
      <c r="C2326">
        <v>112.24299999999999</v>
      </c>
      <c r="D2326" s="15">
        <f t="shared" si="110"/>
        <v>4.9999999999883471E-5</v>
      </c>
      <c r="E2326" s="14">
        <f t="shared" si="108"/>
        <v>5.3732751469920002E-5</v>
      </c>
      <c r="F2326">
        <v>102.28700000000001</v>
      </c>
      <c r="G2326" s="1">
        <f t="shared" si="109"/>
        <v>103.899641</v>
      </c>
    </row>
    <row r="2327" spans="1:7" x14ac:dyDescent="0.3">
      <c r="A2327">
        <v>23250</v>
      </c>
      <c r="B2327">
        <v>1573.6</v>
      </c>
      <c r="C2327">
        <v>112.242</v>
      </c>
      <c r="D2327" s="15">
        <f t="shared" si="110"/>
        <v>7.5000000000002839E-5</v>
      </c>
      <c r="E2327" s="14">
        <f t="shared" si="108"/>
        <v>5.3713639893749999E-5</v>
      </c>
      <c r="F2327">
        <v>102.26600000000001</v>
      </c>
      <c r="G2327" s="1">
        <f t="shared" si="109"/>
        <v>103.898511</v>
      </c>
    </row>
    <row r="2328" spans="1:7" x14ac:dyDescent="0.3">
      <c r="A2328">
        <v>23260</v>
      </c>
      <c r="B2328">
        <v>1573.9</v>
      </c>
      <c r="C2328">
        <v>112.242</v>
      </c>
      <c r="D2328" s="15">
        <f t="shared" si="110"/>
        <v>7.5000000000002839E-5</v>
      </c>
      <c r="E2328" s="14">
        <f t="shared" si="108"/>
        <v>5.3694541000919998E-5</v>
      </c>
      <c r="F2328">
        <v>102.246</v>
      </c>
      <c r="G2328" s="1">
        <f t="shared" si="109"/>
        <v>103.897381</v>
      </c>
    </row>
    <row r="2329" spans="1:7" x14ac:dyDescent="0.3">
      <c r="A2329">
        <v>23270</v>
      </c>
      <c r="B2329">
        <v>1574.2</v>
      </c>
      <c r="C2329">
        <v>112.241</v>
      </c>
      <c r="D2329" s="15">
        <f t="shared" si="110"/>
        <v>5.0000000000238744E-5</v>
      </c>
      <c r="E2329" s="14">
        <f t="shared" si="108"/>
        <v>5.3675454791429983E-5</v>
      </c>
      <c r="F2329">
        <v>102.226</v>
      </c>
      <c r="G2329" s="1">
        <f t="shared" si="109"/>
        <v>103.89625100000001</v>
      </c>
    </row>
    <row r="2330" spans="1:7" x14ac:dyDescent="0.3">
      <c r="A2330">
        <v>23280</v>
      </c>
      <c r="B2330">
        <v>1574.5</v>
      </c>
      <c r="C2330">
        <v>112.24</v>
      </c>
      <c r="D2330" s="15">
        <f t="shared" si="110"/>
        <v>7.5000000000002839E-5</v>
      </c>
      <c r="E2330" s="14">
        <f t="shared" si="108"/>
        <v>5.3656381265279997E-5</v>
      </c>
      <c r="F2330">
        <v>102.205</v>
      </c>
      <c r="G2330" s="1">
        <f t="shared" si="109"/>
        <v>103.895121</v>
      </c>
    </row>
    <row r="2331" spans="1:7" x14ac:dyDescent="0.3">
      <c r="A2331">
        <v>23290</v>
      </c>
      <c r="B2331">
        <v>1574.7</v>
      </c>
      <c r="C2331">
        <v>112.24</v>
      </c>
      <c r="D2331" s="15">
        <f t="shared" si="110"/>
        <v>4.9999999999883471E-5</v>
      </c>
      <c r="E2331" s="14">
        <f t="shared" si="108"/>
        <v>5.3637320422469985E-5</v>
      </c>
      <c r="F2331">
        <v>102.185</v>
      </c>
      <c r="G2331" s="1">
        <f t="shared" si="109"/>
        <v>103.893991</v>
      </c>
    </row>
    <row r="2332" spans="1:7" x14ac:dyDescent="0.3">
      <c r="A2332">
        <v>23300</v>
      </c>
      <c r="B2332">
        <v>1575</v>
      </c>
      <c r="C2332">
        <v>112.239</v>
      </c>
      <c r="D2332" s="15">
        <f t="shared" si="110"/>
        <v>4.9999999999883471E-5</v>
      </c>
      <c r="E2332" s="14">
        <f t="shared" si="108"/>
        <v>5.3618272263000001E-5</v>
      </c>
      <c r="F2332">
        <v>102.16500000000001</v>
      </c>
      <c r="G2332" s="1">
        <f t="shared" si="109"/>
        <v>103.892861</v>
      </c>
    </row>
    <row r="2333" spans="1:7" x14ac:dyDescent="0.3">
      <c r="A2333">
        <v>23310</v>
      </c>
      <c r="B2333">
        <v>1575.3</v>
      </c>
      <c r="C2333">
        <v>112.239</v>
      </c>
      <c r="D2333" s="15">
        <f t="shared" si="110"/>
        <v>7.5000000000002839E-5</v>
      </c>
      <c r="E2333" s="14">
        <f t="shared" si="108"/>
        <v>5.3599236786869991E-5</v>
      </c>
      <c r="F2333">
        <v>102.14400000000001</v>
      </c>
      <c r="G2333" s="1">
        <f t="shared" si="109"/>
        <v>103.89173100000001</v>
      </c>
    </row>
    <row r="2334" spans="1:7" x14ac:dyDescent="0.3">
      <c r="A2334">
        <v>23320</v>
      </c>
      <c r="B2334">
        <v>1575.6</v>
      </c>
      <c r="C2334">
        <v>112.238</v>
      </c>
      <c r="D2334" s="15">
        <f t="shared" si="110"/>
        <v>5.0000000000238744E-5</v>
      </c>
      <c r="E2334" s="14">
        <f t="shared" si="108"/>
        <v>5.3580213994079982E-5</v>
      </c>
      <c r="F2334">
        <v>102.124</v>
      </c>
      <c r="G2334" s="1">
        <f t="shared" si="109"/>
        <v>103.890601</v>
      </c>
    </row>
    <row r="2335" spans="1:7" x14ac:dyDescent="0.3">
      <c r="A2335">
        <v>23330</v>
      </c>
      <c r="B2335">
        <v>1575.8</v>
      </c>
      <c r="C2335">
        <v>112.23699999999999</v>
      </c>
      <c r="D2335" s="15">
        <f t="shared" si="110"/>
        <v>7.5000000000002839E-5</v>
      </c>
      <c r="E2335" s="14">
        <f t="shared" si="108"/>
        <v>5.3561203884630002E-5</v>
      </c>
      <c r="F2335">
        <v>102.104</v>
      </c>
      <c r="G2335" s="1">
        <f t="shared" si="109"/>
        <v>103.889471</v>
      </c>
    </row>
    <row r="2336" spans="1:7" x14ac:dyDescent="0.3">
      <c r="A2336">
        <v>23340</v>
      </c>
      <c r="B2336">
        <v>1576</v>
      </c>
      <c r="C2336">
        <v>112.23699999999999</v>
      </c>
      <c r="D2336" s="15">
        <f t="shared" si="110"/>
        <v>7.5000000000002839E-5</v>
      </c>
      <c r="E2336" s="14">
        <f t="shared" si="108"/>
        <v>5.3542206458519995E-5</v>
      </c>
      <c r="F2336">
        <v>102.083</v>
      </c>
      <c r="G2336" s="1">
        <f t="shared" si="109"/>
        <v>103.888341</v>
      </c>
    </row>
    <row r="2337" spans="1:7" x14ac:dyDescent="0.3">
      <c r="A2337">
        <v>23350</v>
      </c>
      <c r="B2337">
        <v>1576.2</v>
      </c>
      <c r="C2337">
        <v>112.236</v>
      </c>
      <c r="D2337" s="15">
        <f t="shared" si="110"/>
        <v>4.9999999999883471E-5</v>
      </c>
      <c r="E2337" s="14">
        <f t="shared" si="108"/>
        <v>5.352322171574999E-5</v>
      </c>
      <c r="F2337">
        <v>102.063</v>
      </c>
      <c r="G2337" s="1">
        <f t="shared" si="109"/>
        <v>103.88721100000001</v>
      </c>
    </row>
    <row r="2338" spans="1:7" x14ac:dyDescent="0.3">
      <c r="A2338">
        <v>23360</v>
      </c>
      <c r="B2338">
        <v>1576.4</v>
      </c>
      <c r="C2338">
        <v>112.235</v>
      </c>
      <c r="D2338" s="15">
        <f t="shared" si="110"/>
        <v>7.5000000000002839E-5</v>
      </c>
      <c r="E2338" s="14">
        <f t="shared" si="108"/>
        <v>5.3504249656319999E-5</v>
      </c>
      <c r="F2338">
        <v>102.04300000000001</v>
      </c>
      <c r="G2338" s="1">
        <f t="shared" si="109"/>
        <v>103.886081</v>
      </c>
    </row>
    <row r="2339" spans="1:7" x14ac:dyDescent="0.3">
      <c r="A2339">
        <v>23370</v>
      </c>
      <c r="B2339">
        <v>1576.7</v>
      </c>
      <c r="C2339">
        <v>112.235</v>
      </c>
      <c r="D2339" s="15">
        <f t="shared" si="110"/>
        <v>5.0000000000238744E-5</v>
      </c>
      <c r="E2339" s="14">
        <f t="shared" si="108"/>
        <v>5.3485290280229982E-5</v>
      </c>
      <c r="F2339">
        <v>102.021</v>
      </c>
      <c r="G2339" s="1">
        <f t="shared" si="109"/>
        <v>103.884951</v>
      </c>
    </row>
    <row r="2340" spans="1:7" x14ac:dyDescent="0.3">
      <c r="A2340">
        <v>23380</v>
      </c>
      <c r="B2340">
        <v>1576.8</v>
      </c>
      <c r="C2340">
        <v>112.23399999999999</v>
      </c>
      <c r="D2340" s="15">
        <f t="shared" si="110"/>
        <v>4.9999999999883471E-5</v>
      </c>
      <c r="E2340" s="14">
        <f t="shared" si="108"/>
        <v>5.3466343587479993E-5</v>
      </c>
      <c r="F2340">
        <v>102.001</v>
      </c>
      <c r="G2340" s="1">
        <f t="shared" si="109"/>
        <v>103.883821</v>
      </c>
    </row>
    <row r="2341" spans="1:7" x14ac:dyDescent="0.3">
      <c r="A2341">
        <v>23390</v>
      </c>
      <c r="B2341">
        <v>1577.1</v>
      </c>
      <c r="C2341">
        <v>112.23399999999999</v>
      </c>
      <c r="D2341" s="15">
        <f t="shared" si="110"/>
        <v>7.5000000000002839E-5</v>
      </c>
      <c r="E2341" s="14">
        <f t="shared" si="108"/>
        <v>5.3447409578070005E-5</v>
      </c>
      <c r="F2341">
        <v>101.98099999999999</v>
      </c>
      <c r="G2341" s="1">
        <f t="shared" si="109"/>
        <v>103.88269100000001</v>
      </c>
    </row>
    <row r="2342" spans="1:7" x14ac:dyDescent="0.3">
      <c r="A2342">
        <v>23400</v>
      </c>
      <c r="B2342">
        <v>1577.3</v>
      </c>
      <c r="C2342">
        <v>112.233</v>
      </c>
      <c r="D2342" s="15">
        <f t="shared" si="110"/>
        <v>4.9999999999883471E-5</v>
      </c>
      <c r="E2342" s="14">
        <f t="shared" si="108"/>
        <v>5.3428488251999992E-5</v>
      </c>
      <c r="F2342">
        <v>101.96</v>
      </c>
      <c r="G2342" s="1">
        <f t="shared" si="109"/>
        <v>103.881561</v>
      </c>
    </row>
    <row r="2343" spans="1:7" x14ac:dyDescent="0.3">
      <c r="A2343">
        <v>23410</v>
      </c>
      <c r="B2343">
        <v>1577.6</v>
      </c>
      <c r="C2343">
        <v>112.232</v>
      </c>
      <c r="D2343" s="15">
        <f t="shared" si="110"/>
        <v>7.5000000000002839E-5</v>
      </c>
      <c r="E2343" s="14">
        <f t="shared" si="108"/>
        <v>5.3409579609269993E-5</v>
      </c>
      <c r="F2343">
        <v>101.94</v>
      </c>
      <c r="G2343" s="1">
        <f t="shared" si="109"/>
        <v>103.880431</v>
      </c>
    </row>
    <row r="2344" spans="1:7" x14ac:dyDescent="0.3">
      <c r="A2344">
        <v>23420</v>
      </c>
      <c r="B2344">
        <v>1577.8</v>
      </c>
      <c r="C2344">
        <v>112.232</v>
      </c>
      <c r="D2344" s="15">
        <f t="shared" si="110"/>
        <v>7.5000000000002839E-5</v>
      </c>
      <c r="E2344" s="14">
        <f t="shared" si="108"/>
        <v>5.3390683649880009E-5</v>
      </c>
      <c r="F2344">
        <v>101.92</v>
      </c>
      <c r="G2344" s="1">
        <f t="shared" si="109"/>
        <v>103.879301</v>
      </c>
    </row>
    <row r="2345" spans="1:7" x14ac:dyDescent="0.3">
      <c r="A2345">
        <v>23430</v>
      </c>
      <c r="B2345">
        <v>1578</v>
      </c>
      <c r="C2345">
        <v>112.23099999999999</v>
      </c>
      <c r="D2345" s="15">
        <f t="shared" si="110"/>
        <v>4.9999999999883471E-5</v>
      </c>
      <c r="E2345" s="14">
        <f t="shared" si="108"/>
        <v>5.3371800373829985E-5</v>
      </c>
      <c r="F2345">
        <v>101.899</v>
      </c>
      <c r="G2345" s="1">
        <f t="shared" si="109"/>
        <v>103.87817100000001</v>
      </c>
    </row>
    <row r="2346" spans="1:7" x14ac:dyDescent="0.3">
      <c r="A2346">
        <v>23440</v>
      </c>
      <c r="B2346">
        <v>1578.3</v>
      </c>
      <c r="C2346">
        <v>112.23</v>
      </c>
      <c r="D2346" s="15">
        <f t="shared" si="110"/>
        <v>7.5000000000002839E-5</v>
      </c>
      <c r="E2346" s="14">
        <f t="shared" si="108"/>
        <v>5.3352929781119989E-5</v>
      </c>
      <c r="F2346">
        <v>101.879</v>
      </c>
      <c r="G2346" s="1">
        <f t="shared" si="109"/>
        <v>103.87704100000001</v>
      </c>
    </row>
    <row r="2347" spans="1:7" x14ac:dyDescent="0.3">
      <c r="A2347">
        <v>23450</v>
      </c>
      <c r="B2347">
        <v>1578.5</v>
      </c>
      <c r="C2347">
        <v>112.23</v>
      </c>
      <c r="D2347" s="15">
        <f t="shared" si="110"/>
        <v>4.9999999999883471E-5</v>
      </c>
      <c r="E2347" s="14">
        <f t="shared" si="108"/>
        <v>5.3334071871749994E-5</v>
      </c>
      <c r="F2347">
        <v>101.85899999999999</v>
      </c>
      <c r="G2347" s="1">
        <f t="shared" si="109"/>
        <v>103.875911</v>
      </c>
    </row>
    <row r="2348" spans="1:7" x14ac:dyDescent="0.3">
      <c r="A2348">
        <v>23460</v>
      </c>
      <c r="B2348">
        <v>1578.8</v>
      </c>
      <c r="C2348">
        <v>112.229</v>
      </c>
      <c r="D2348" s="15">
        <f t="shared" si="110"/>
        <v>5.0000000000238744E-5</v>
      </c>
      <c r="E2348" s="14">
        <f t="shared" si="108"/>
        <v>5.3315226645720001E-5</v>
      </c>
      <c r="F2348">
        <v>101.83799999999999</v>
      </c>
      <c r="G2348" s="1">
        <f t="shared" si="109"/>
        <v>103.874781</v>
      </c>
    </row>
    <row r="2349" spans="1:7" x14ac:dyDescent="0.3">
      <c r="A2349">
        <v>23470</v>
      </c>
      <c r="B2349">
        <v>1579.1</v>
      </c>
      <c r="C2349">
        <v>112.229</v>
      </c>
      <c r="D2349" s="15">
        <f t="shared" si="110"/>
        <v>7.5000000000002839E-5</v>
      </c>
      <c r="E2349" s="14">
        <f t="shared" si="108"/>
        <v>5.3296394103029995E-5</v>
      </c>
      <c r="F2349">
        <v>101.818</v>
      </c>
      <c r="G2349" s="1">
        <f t="shared" si="109"/>
        <v>103.87365100000001</v>
      </c>
    </row>
    <row r="2350" spans="1:7" x14ac:dyDescent="0.3">
      <c r="A2350">
        <v>23480</v>
      </c>
      <c r="B2350">
        <v>1579.4</v>
      </c>
      <c r="C2350">
        <v>112.22799999999999</v>
      </c>
      <c r="D2350" s="15">
        <f t="shared" si="110"/>
        <v>4.9999999999883471E-5</v>
      </c>
      <c r="E2350" s="14">
        <f t="shared" si="108"/>
        <v>5.327757424367999E-5</v>
      </c>
      <c r="F2350">
        <v>101.798</v>
      </c>
      <c r="G2350" s="1">
        <f t="shared" si="109"/>
        <v>103.87252100000001</v>
      </c>
    </row>
    <row r="2351" spans="1:7" x14ac:dyDescent="0.3">
      <c r="A2351">
        <v>23490</v>
      </c>
      <c r="B2351">
        <v>1579.6</v>
      </c>
      <c r="C2351">
        <v>112.227</v>
      </c>
      <c r="D2351" s="15">
        <f t="shared" si="110"/>
        <v>7.5000000000002839E-5</v>
      </c>
      <c r="E2351" s="14">
        <f t="shared" si="108"/>
        <v>5.325876706767E-5</v>
      </c>
      <c r="F2351">
        <v>101.777</v>
      </c>
      <c r="G2351" s="1">
        <f t="shared" si="109"/>
        <v>103.871391</v>
      </c>
    </row>
    <row r="2352" spans="1:7" x14ac:dyDescent="0.3">
      <c r="A2352">
        <v>23500</v>
      </c>
      <c r="B2352">
        <v>1579.9</v>
      </c>
      <c r="C2352">
        <v>112.227</v>
      </c>
      <c r="D2352" s="15">
        <f t="shared" si="110"/>
        <v>7.5000000000002839E-5</v>
      </c>
      <c r="E2352" s="14">
        <f t="shared" si="108"/>
        <v>5.323997257500001E-5</v>
      </c>
      <c r="F2352">
        <v>101.75700000000001</v>
      </c>
      <c r="G2352" s="1">
        <f t="shared" si="109"/>
        <v>103.870261</v>
      </c>
    </row>
    <row r="2353" spans="1:7" x14ac:dyDescent="0.3">
      <c r="A2353">
        <v>23510</v>
      </c>
      <c r="B2353">
        <v>1580.2</v>
      </c>
      <c r="C2353">
        <v>112.226</v>
      </c>
      <c r="D2353" s="15">
        <f t="shared" si="110"/>
        <v>5.0000000000238744E-5</v>
      </c>
      <c r="E2353" s="14">
        <f t="shared" si="108"/>
        <v>5.3221190765669995E-5</v>
      </c>
      <c r="F2353">
        <v>101.73699999999999</v>
      </c>
      <c r="G2353" s="1">
        <f t="shared" si="109"/>
        <v>103.86913100000001</v>
      </c>
    </row>
    <row r="2354" spans="1:7" x14ac:dyDescent="0.3">
      <c r="A2354">
        <v>23520</v>
      </c>
      <c r="B2354">
        <v>1580.4</v>
      </c>
      <c r="C2354">
        <v>112.22499999999999</v>
      </c>
      <c r="D2354" s="15">
        <f t="shared" si="110"/>
        <v>7.5000000000002839E-5</v>
      </c>
      <c r="E2354" s="14">
        <f t="shared" si="108"/>
        <v>5.3202421639679995E-5</v>
      </c>
      <c r="F2354">
        <v>101.71599999999999</v>
      </c>
      <c r="G2354" s="1">
        <f t="shared" si="109"/>
        <v>103.86800100000001</v>
      </c>
    </row>
    <row r="2355" spans="1:7" x14ac:dyDescent="0.3">
      <c r="A2355">
        <v>23530</v>
      </c>
      <c r="B2355">
        <v>1580.6</v>
      </c>
      <c r="C2355">
        <v>112.22499999999999</v>
      </c>
      <c r="D2355" s="15">
        <f t="shared" si="110"/>
        <v>4.9999999999883471E-5</v>
      </c>
      <c r="E2355" s="14">
        <f t="shared" si="108"/>
        <v>5.3183665197029995E-5</v>
      </c>
      <c r="F2355">
        <v>101.696</v>
      </c>
      <c r="G2355" s="1">
        <f t="shared" si="109"/>
        <v>103.866871</v>
      </c>
    </row>
    <row r="2356" spans="1:7" x14ac:dyDescent="0.3">
      <c r="A2356">
        <v>23540</v>
      </c>
      <c r="B2356">
        <v>1580.9</v>
      </c>
      <c r="C2356">
        <v>112.224</v>
      </c>
      <c r="D2356" s="15">
        <f t="shared" si="110"/>
        <v>4.9999999999883471E-5</v>
      </c>
      <c r="E2356" s="14">
        <f t="shared" si="108"/>
        <v>5.3164921437719997E-5</v>
      </c>
      <c r="F2356">
        <v>101.676</v>
      </c>
      <c r="G2356" s="1">
        <f t="shared" si="109"/>
        <v>103.865741</v>
      </c>
    </row>
    <row r="2357" spans="1:7" x14ac:dyDescent="0.3">
      <c r="A2357">
        <v>23550</v>
      </c>
      <c r="B2357">
        <v>1581.2</v>
      </c>
      <c r="C2357">
        <v>112.224</v>
      </c>
      <c r="D2357" s="15">
        <f t="shared" si="110"/>
        <v>7.5000000000002839E-5</v>
      </c>
      <c r="E2357" s="14">
        <f t="shared" si="108"/>
        <v>5.314619036175E-5</v>
      </c>
      <c r="F2357">
        <v>101.655</v>
      </c>
      <c r="G2357" s="1">
        <f t="shared" si="109"/>
        <v>103.864611</v>
      </c>
    </row>
    <row r="2358" spans="1:7" x14ac:dyDescent="0.3">
      <c r="A2358">
        <v>23560</v>
      </c>
      <c r="B2358">
        <v>1581.4</v>
      </c>
      <c r="C2358">
        <v>112.223</v>
      </c>
      <c r="D2358" s="15">
        <f t="shared" si="110"/>
        <v>5.0000000000238744E-5</v>
      </c>
      <c r="E2358" s="14">
        <f t="shared" si="108"/>
        <v>5.312747196911999E-5</v>
      </c>
      <c r="F2358">
        <v>101.63500000000001</v>
      </c>
      <c r="G2358" s="1">
        <f t="shared" si="109"/>
        <v>103.86348100000001</v>
      </c>
    </row>
    <row r="2359" spans="1:7" x14ac:dyDescent="0.3">
      <c r="A2359">
        <v>23570</v>
      </c>
      <c r="B2359">
        <v>1581.7</v>
      </c>
      <c r="C2359">
        <v>112.22199999999999</v>
      </c>
      <c r="D2359" s="15">
        <f t="shared" si="110"/>
        <v>7.5000000000002839E-5</v>
      </c>
      <c r="E2359" s="14">
        <f t="shared" si="108"/>
        <v>5.3108766259829995E-5</v>
      </c>
      <c r="F2359">
        <v>101.61499999999999</v>
      </c>
      <c r="G2359" s="1">
        <f t="shared" si="109"/>
        <v>103.862351</v>
      </c>
    </row>
    <row r="2360" spans="1:7" x14ac:dyDescent="0.3">
      <c r="A2360">
        <v>23580</v>
      </c>
      <c r="B2360">
        <v>1581.9</v>
      </c>
      <c r="C2360">
        <v>112.22199999999999</v>
      </c>
      <c r="D2360" s="15">
        <f t="shared" si="110"/>
        <v>7.5000000000002839E-5</v>
      </c>
      <c r="E2360" s="14">
        <f t="shared" si="108"/>
        <v>5.3090073233880001E-5</v>
      </c>
      <c r="F2360">
        <v>101.59399999999999</v>
      </c>
      <c r="G2360" s="1">
        <f t="shared" si="109"/>
        <v>103.861221</v>
      </c>
    </row>
    <row r="2361" spans="1:7" x14ac:dyDescent="0.3">
      <c r="A2361">
        <v>23590</v>
      </c>
      <c r="B2361">
        <v>1582.2</v>
      </c>
      <c r="C2361">
        <v>112.221</v>
      </c>
      <c r="D2361" s="15">
        <f t="shared" si="110"/>
        <v>4.9999999999883471E-5</v>
      </c>
      <c r="E2361" s="14">
        <f t="shared" si="108"/>
        <v>5.3071392891269995E-5</v>
      </c>
      <c r="F2361">
        <v>101.574</v>
      </c>
      <c r="G2361" s="1">
        <f t="shared" si="109"/>
        <v>103.860091</v>
      </c>
    </row>
    <row r="2362" spans="1:7" x14ac:dyDescent="0.3">
      <c r="A2362">
        <v>23600</v>
      </c>
      <c r="B2362">
        <v>1582.5</v>
      </c>
      <c r="C2362">
        <v>112.22</v>
      </c>
      <c r="D2362" s="15">
        <f t="shared" si="110"/>
        <v>7.5000000000002839E-5</v>
      </c>
      <c r="E2362" s="14">
        <f t="shared" si="108"/>
        <v>5.3052725231999989E-5</v>
      </c>
      <c r="F2362">
        <v>101.554</v>
      </c>
      <c r="G2362" s="1">
        <f t="shared" si="109"/>
        <v>103.85896100000001</v>
      </c>
    </row>
    <row r="2363" spans="1:7" x14ac:dyDescent="0.3">
      <c r="A2363">
        <v>23610</v>
      </c>
      <c r="B2363">
        <v>1582.7</v>
      </c>
      <c r="C2363">
        <v>112.22</v>
      </c>
      <c r="D2363" s="15">
        <f t="shared" si="110"/>
        <v>7.5000000000002839E-5</v>
      </c>
      <c r="E2363" s="14">
        <f t="shared" si="108"/>
        <v>5.3034070256069999E-5</v>
      </c>
      <c r="F2363">
        <v>101.533</v>
      </c>
      <c r="G2363" s="1">
        <f t="shared" si="109"/>
        <v>103.857831</v>
      </c>
    </row>
    <row r="2364" spans="1:7" x14ac:dyDescent="0.3">
      <c r="A2364">
        <v>23620</v>
      </c>
      <c r="B2364">
        <v>1583</v>
      </c>
      <c r="C2364">
        <v>112.21899999999999</v>
      </c>
      <c r="D2364" s="15">
        <f t="shared" si="110"/>
        <v>4.9999999999883471E-5</v>
      </c>
      <c r="E2364" s="14">
        <f t="shared" si="108"/>
        <v>5.3015427963479982E-5</v>
      </c>
      <c r="F2364">
        <v>101.51300000000001</v>
      </c>
      <c r="G2364" s="1">
        <f t="shared" si="109"/>
        <v>103.856701</v>
      </c>
    </row>
    <row r="2365" spans="1:7" x14ac:dyDescent="0.3">
      <c r="A2365">
        <v>23630</v>
      </c>
      <c r="B2365">
        <v>1583.3</v>
      </c>
      <c r="C2365">
        <v>112.218</v>
      </c>
      <c r="D2365" s="15">
        <f t="shared" si="110"/>
        <v>7.5000000000002839E-5</v>
      </c>
      <c r="E2365" s="14">
        <f t="shared" si="108"/>
        <v>5.2996798354229993E-5</v>
      </c>
      <c r="F2365">
        <v>101.49299999999999</v>
      </c>
      <c r="G2365" s="1">
        <f t="shared" si="109"/>
        <v>103.855571</v>
      </c>
    </row>
    <row r="2366" spans="1:7" x14ac:dyDescent="0.3">
      <c r="A2366">
        <v>23640</v>
      </c>
      <c r="B2366">
        <v>1583.6</v>
      </c>
      <c r="C2366">
        <v>112.218</v>
      </c>
      <c r="D2366" s="15">
        <f t="shared" si="110"/>
        <v>4.9999999999883471E-5</v>
      </c>
      <c r="E2366" s="14">
        <f t="shared" si="108"/>
        <v>5.2978181428320006E-5</v>
      </c>
      <c r="F2366">
        <v>101.47199999999999</v>
      </c>
      <c r="G2366" s="1">
        <f t="shared" si="109"/>
        <v>103.85444100000001</v>
      </c>
    </row>
    <row r="2367" spans="1:7" x14ac:dyDescent="0.3">
      <c r="A2367">
        <v>23650</v>
      </c>
      <c r="B2367">
        <v>1583.9</v>
      </c>
      <c r="C2367">
        <v>112.217</v>
      </c>
      <c r="D2367" s="15">
        <f t="shared" si="110"/>
        <v>5.0000000000238744E-5</v>
      </c>
      <c r="E2367" s="14">
        <f t="shared" si="108"/>
        <v>5.2959577185749993E-5</v>
      </c>
      <c r="F2367">
        <v>101.45099999999999</v>
      </c>
      <c r="G2367" s="1">
        <f t="shared" si="109"/>
        <v>103.85331100000001</v>
      </c>
    </row>
    <row r="2368" spans="1:7" x14ac:dyDescent="0.3">
      <c r="A2368">
        <v>23660</v>
      </c>
      <c r="B2368">
        <v>1584.2</v>
      </c>
      <c r="C2368">
        <v>112.217</v>
      </c>
      <c r="D2368" s="15">
        <f t="shared" si="110"/>
        <v>7.5000000000002839E-5</v>
      </c>
      <c r="E2368" s="14">
        <f t="shared" si="108"/>
        <v>5.2940985626520007E-5</v>
      </c>
      <c r="F2368">
        <v>101.431</v>
      </c>
      <c r="G2368" s="1">
        <f t="shared" si="109"/>
        <v>103.852181</v>
      </c>
    </row>
    <row r="2369" spans="1:7" x14ac:dyDescent="0.3">
      <c r="A2369">
        <v>23670</v>
      </c>
      <c r="B2369">
        <v>1593.8</v>
      </c>
      <c r="C2369">
        <v>112.21599999999999</v>
      </c>
      <c r="D2369" s="15">
        <f t="shared" si="110"/>
        <v>4.9999999999883471E-5</v>
      </c>
      <c r="E2369" s="14">
        <f t="shared" si="108"/>
        <v>5.2922406750629983E-5</v>
      </c>
      <c r="F2369">
        <v>101.431</v>
      </c>
      <c r="G2369" s="1">
        <f t="shared" si="109"/>
        <v>103.851051</v>
      </c>
    </row>
    <row r="2370" spans="1:7" x14ac:dyDescent="0.3">
      <c r="A2370">
        <v>23680</v>
      </c>
      <c r="B2370">
        <v>1595.6</v>
      </c>
      <c r="C2370">
        <v>112.215</v>
      </c>
      <c r="D2370" s="15">
        <f t="shared" si="110"/>
        <v>7.5000000000002839E-5</v>
      </c>
      <c r="E2370" s="14">
        <f t="shared" ref="E2370:E2433" si="111">0.0000000000000634167*A2370*A2370 - 0.0000000048594*A2370 + 0.000132414</f>
        <v>5.2903840558079986E-5</v>
      </c>
      <c r="F2370">
        <v>101.446</v>
      </c>
      <c r="G2370" s="1">
        <f t="shared" si="109"/>
        <v>103.84992100000001</v>
      </c>
    </row>
    <row r="2371" spans="1:7" x14ac:dyDescent="0.3">
      <c r="A2371">
        <v>23690</v>
      </c>
      <c r="B2371">
        <v>1597.3</v>
      </c>
      <c r="C2371">
        <v>112.215</v>
      </c>
      <c r="D2371" s="15">
        <f t="shared" si="110"/>
        <v>7.5000000000002839E-5</v>
      </c>
      <c r="E2371" s="14">
        <f t="shared" si="111"/>
        <v>5.2885287048870004E-5</v>
      </c>
      <c r="F2371">
        <v>101.461</v>
      </c>
      <c r="G2371" s="1">
        <f t="shared" ref="G2371:G2434" si="112">-0.000113*A2371 + 106.525761</f>
        <v>103.84879100000001</v>
      </c>
    </row>
    <row r="2372" spans="1:7" x14ac:dyDescent="0.3">
      <c r="A2372">
        <v>23700</v>
      </c>
      <c r="B2372">
        <v>1599</v>
      </c>
      <c r="C2372">
        <v>112.214</v>
      </c>
      <c r="D2372" s="15">
        <f t="shared" si="110"/>
        <v>5.0000000000238744E-5</v>
      </c>
      <c r="E2372" s="14">
        <f t="shared" si="111"/>
        <v>5.2866746222999996E-5</v>
      </c>
      <c r="F2372">
        <v>101.47499999999999</v>
      </c>
      <c r="G2372" s="1">
        <f t="shared" si="112"/>
        <v>103.847661</v>
      </c>
    </row>
    <row r="2373" spans="1:7" x14ac:dyDescent="0.3">
      <c r="A2373">
        <v>23710</v>
      </c>
      <c r="B2373">
        <v>1600.7</v>
      </c>
      <c r="C2373">
        <v>112.21299999999999</v>
      </c>
      <c r="D2373" s="15">
        <f t="shared" ref="D2373:D2436" si="113">(C2371-C2375)/(A2375-A2371)</f>
        <v>7.5000000000002839E-5</v>
      </c>
      <c r="E2373" s="14">
        <f t="shared" si="111"/>
        <v>5.2848218080470003E-5</v>
      </c>
      <c r="F2373">
        <v>101.49</v>
      </c>
      <c r="G2373" s="1">
        <f t="shared" si="112"/>
        <v>103.846531</v>
      </c>
    </row>
    <row r="2374" spans="1:7" x14ac:dyDescent="0.3">
      <c r="A2374">
        <v>23720</v>
      </c>
      <c r="B2374">
        <v>1602.5</v>
      </c>
      <c r="C2374">
        <v>112.21299999999999</v>
      </c>
      <c r="D2374" s="15">
        <f t="shared" si="113"/>
        <v>7.5000000000002839E-5</v>
      </c>
      <c r="E2374" s="14">
        <f t="shared" si="111"/>
        <v>5.2829702621279997E-5</v>
      </c>
      <c r="F2374">
        <v>101.505</v>
      </c>
      <c r="G2374" s="1">
        <f t="shared" si="112"/>
        <v>103.84540100000001</v>
      </c>
    </row>
    <row r="2375" spans="1:7" x14ac:dyDescent="0.3">
      <c r="A2375">
        <v>23730</v>
      </c>
      <c r="B2375">
        <v>1604.2</v>
      </c>
      <c r="C2375">
        <v>112.212</v>
      </c>
      <c r="D2375" s="15">
        <f t="shared" si="113"/>
        <v>4.9999999999883471E-5</v>
      </c>
      <c r="E2375" s="14">
        <f t="shared" si="111"/>
        <v>5.2811199845429992E-5</v>
      </c>
      <c r="F2375">
        <v>101.51900000000001</v>
      </c>
      <c r="G2375" s="1">
        <f t="shared" si="112"/>
        <v>103.84427100000001</v>
      </c>
    </row>
    <row r="2376" spans="1:7" x14ac:dyDescent="0.3">
      <c r="A2376">
        <v>23740</v>
      </c>
      <c r="B2376">
        <v>1605.9</v>
      </c>
      <c r="C2376">
        <v>112.211</v>
      </c>
      <c r="D2376" s="15">
        <f t="shared" si="113"/>
        <v>7.5000000000002839E-5</v>
      </c>
      <c r="E2376" s="14">
        <f t="shared" si="111"/>
        <v>5.2792709752920002E-5</v>
      </c>
      <c r="F2376">
        <v>101.53400000000001</v>
      </c>
      <c r="G2376" s="1">
        <f t="shared" si="112"/>
        <v>103.843141</v>
      </c>
    </row>
    <row r="2377" spans="1:7" x14ac:dyDescent="0.3">
      <c r="A2377">
        <v>23750</v>
      </c>
      <c r="B2377">
        <v>1607.7</v>
      </c>
      <c r="C2377">
        <v>112.211</v>
      </c>
      <c r="D2377" s="15">
        <f t="shared" si="113"/>
        <v>7.5000000000002839E-5</v>
      </c>
      <c r="E2377" s="14">
        <f t="shared" si="111"/>
        <v>5.2774232343749986E-5</v>
      </c>
      <c r="F2377">
        <v>101.54900000000001</v>
      </c>
      <c r="G2377" s="1">
        <f t="shared" si="112"/>
        <v>103.842011</v>
      </c>
    </row>
    <row r="2378" spans="1:7" x14ac:dyDescent="0.3">
      <c r="A2378">
        <v>23760</v>
      </c>
      <c r="B2378">
        <v>1609.5</v>
      </c>
      <c r="C2378">
        <v>112.21</v>
      </c>
      <c r="D2378" s="15">
        <f t="shared" si="113"/>
        <v>4.9999999999883471E-5</v>
      </c>
      <c r="E2378" s="14">
        <f t="shared" si="111"/>
        <v>5.2755767617919998E-5</v>
      </c>
      <c r="F2378">
        <v>101.563</v>
      </c>
      <c r="G2378" s="1">
        <f t="shared" si="112"/>
        <v>103.840881</v>
      </c>
    </row>
    <row r="2379" spans="1:7" x14ac:dyDescent="0.3">
      <c r="A2379">
        <v>23770</v>
      </c>
      <c r="B2379">
        <v>1611.2</v>
      </c>
      <c r="C2379">
        <v>112.209</v>
      </c>
      <c r="D2379" s="15">
        <f t="shared" si="113"/>
        <v>7.5000000000002839E-5</v>
      </c>
      <c r="E2379" s="14">
        <f t="shared" si="111"/>
        <v>5.2737315575429998E-5</v>
      </c>
      <c r="F2379">
        <v>101.578</v>
      </c>
      <c r="G2379" s="1">
        <f t="shared" si="112"/>
        <v>103.83975100000001</v>
      </c>
    </row>
    <row r="2380" spans="1:7" x14ac:dyDescent="0.3">
      <c r="A2380">
        <v>23780</v>
      </c>
      <c r="B2380">
        <v>1612.8</v>
      </c>
      <c r="C2380">
        <v>112.209</v>
      </c>
      <c r="D2380" s="15">
        <f t="shared" si="113"/>
        <v>7.5000000000002839E-5</v>
      </c>
      <c r="E2380" s="14">
        <f t="shared" si="111"/>
        <v>5.2718876216279985E-5</v>
      </c>
      <c r="F2380">
        <v>101.593</v>
      </c>
      <c r="G2380" s="1">
        <f t="shared" si="112"/>
        <v>103.838621</v>
      </c>
    </row>
    <row r="2381" spans="1:7" x14ac:dyDescent="0.3">
      <c r="A2381">
        <v>23790</v>
      </c>
      <c r="B2381">
        <v>1614.6</v>
      </c>
      <c r="C2381">
        <v>112.208</v>
      </c>
      <c r="D2381" s="15">
        <f t="shared" si="113"/>
        <v>5.0000000000238744E-5</v>
      </c>
      <c r="E2381" s="14">
        <f t="shared" si="111"/>
        <v>5.2700449540469987E-5</v>
      </c>
      <c r="F2381">
        <v>101.607</v>
      </c>
      <c r="G2381" s="1">
        <f t="shared" si="112"/>
        <v>103.837491</v>
      </c>
    </row>
    <row r="2382" spans="1:7" x14ac:dyDescent="0.3">
      <c r="A2382">
        <v>23800</v>
      </c>
      <c r="B2382">
        <v>1616.3</v>
      </c>
      <c r="C2382">
        <v>112.20699999999999</v>
      </c>
      <c r="D2382" s="15">
        <f t="shared" si="113"/>
        <v>7.5000000000002839E-5</v>
      </c>
      <c r="E2382" s="14">
        <f t="shared" si="111"/>
        <v>5.2682035548000004E-5</v>
      </c>
      <c r="F2382">
        <v>101.622</v>
      </c>
      <c r="G2382" s="1">
        <f t="shared" si="112"/>
        <v>103.836361</v>
      </c>
    </row>
    <row r="2383" spans="1:7" x14ac:dyDescent="0.3">
      <c r="A2383">
        <v>23810</v>
      </c>
      <c r="B2383">
        <v>1618</v>
      </c>
      <c r="C2383">
        <v>112.20699999999999</v>
      </c>
      <c r="D2383" s="15">
        <f t="shared" si="113"/>
        <v>7.5000000000002839E-5</v>
      </c>
      <c r="E2383" s="14">
        <f t="shared" si="111"/>
        <v>5.2663634238869994E-5</v>
      </c>
      <c r="F2383">
        <v>101.636</v>
      </c>
      <c r="G2383" s="1">
        <f t="shared" si="112"/>
        <v>103.83523100000001</v>
      </c>
    </row>
    <row r="2384" spans="1:7" x14ac:dyDescent="0.3">
      <c r="A2384">
        <v>23820</v>
      </c>
      <c r="B2384">
        <v>1619.8</v>
      </c>
      <c r="C2384">
        <v>112.206</v>
      </c>
      <c r="D2384" s="15">
        <f t="shared" si="113"/>
        <v>4.9999999999883471E-5</v>
      </c>
      <c r="E2384" s="14">
        <f t="shared" si="111"/>
        <v>5.2645245613079986E-5</v>
      </c>
      <c r="F2384">
        <v>101.651</v>
      </c>
      <c r="G2384" s="1">
        <f t="shared" si="112"/>
        <v>103.834101</v>
      </c>
    </row>
    <row r="2385" spans="1:7" x14ac:dyDescent="0.3">
      <c r="A2385">
        <v>23830</v>
      </c>
      <c r="B2385">
        <v>1621.5</v>
      </c>
      <c r="C2385">
        <v>112.205</v>
      </c>
      <c r="D2385" s="15">
        <f t="shared" si="113"/>
        <v>7.5000000000002839E-5</v>
      </c>
      <c r="E2385" s="14">
        <f t="shared" si="111"/>
        <v>5.2626869670630006E-5</v>
      </c>
      <c r="F2385">
        <v>101.666</v>
      </c>
      <c r="G2385" s="1">
        <f t="shared" si="112"/>
        <v>103.832971</v>
      </c>
    </row>
    <row r="2386" spans="1:7" x14ac:dyDescent="0.3">
      <c r="A2386">
        <v>23840</v>
      </c>
      <c r="B2386">
        <v>1623.2</v>
      </c>
      <c r="C2386">
        <v>112.205</v>
      </c>
      <c r="D2386" s="15">
        <f t="shared" si="113"/>
        <v>7.5000000000002839E-5</v>
      </c>
      <c r="E2386" s="14">
        <f t="shared" si="111"/>
        <v>5.2608506411519999E-5</v>
      </c>
      <c r="F2386">
        <v>101.68</v>
      </c>
      <c r="G2386" s="1">
        <f t="shared" si="112"/>
        <v>103.831841</v>
      </c>
    </row>
    <row r="2387" spans="1:7" x14ac:dyDescent="0.3">
      <c r="A2387">
        <v>23850</v>
      </c>
      <c r="B2387">
        <v>1624.9</v>
      </c>
      <c r="C2387">
        <v>112.20399999999999</v>
      </c>
      <c r="D2387" s="15">
        <f t="shared" si="113"/>
        <v>4.9999999999883471E-5</v>
      </c>
      <c r="E2387" s="14">
        <f t="shared" si="111"/>
        <v>5.2590155835749994E-5</v>
      </c>
      <c r="F2387">
        <v>101.69499999999999</v>
      </c>
      <c r="G2387" s="1">
        <f t="shared" si="112"/>
        <v>103.83071100000001</v>
      </c>
    </row>
    <row r="2388" spans="1:7" x14ac:dyDescent="0.3">
      <c r="A2388">
        <v>23860</v>
      </c>
      <c r="B2388">
        <v>1626.7</v>
      </c>
      <c r="C2388">
        <v>112.203</v>
      </c>
      <c r="D2388" s="15">
        <f t="shared" si="113"/>
        <v>7.5000000000002839E-5</v>
      </c>
      <c r="E2388" s="14">
        <f t="shared" si="111"/>
        <v>5.257181794331999E-5</v>
      </c>
      <c r="F2388">
        <v>101.71</v>
      </c>
      <c r="G2388" s="1">
        <f t="shared" si="112"/>
        <v>103.829581</v>
      </c>
    </row>
    <row r="2389" spans="1:7" x14ac:dyDescent="0.3">
      <c r="A2389">
        <v>23870</v>
      </c>
      <c r="B2389">
        <v>1628.4</v>
      </c>
      <c r="C2389">
        <v>112.203</v>
      </c>
      <c r="D2389" s="15">
        <f t="shared" si="113"/>
        <v>7.5000000000002839E-5</v>
      </c>
      <c r="E2389" s="14">
        <f t="shared" si="111"/>
        <v>5.2553492734229987E-5</v>
      </c>
      <c r="F2389">
        <v>101.724</v>
      </c>
      <c r="G2389" s="1">
        <f t="shared" si="112"/>
        <v>103.828451</v>
      </c>
    </row>
    <row r="2390" spans="1:7" x14ac:dyDescent="0.3">
      <c r="A2390">
        <v>23880</v>
      </c>
      <c r="B2390">
        <v>1630.2</v>
      </c>
      <c r="C2390">
        <v>112.202</v>
      </c>
      <c r="D2390" s="15">
        <f t="shared" si="113"/>
        <v>7.5000000000002839E-5</v>
      </c>
      <c r="E2390" s="14">
        <f t="shared" si="111"/>
        <v>5.2535180208479999E-5</v>
      </c>
      <c r="F2390">
        <v>101.739</v>
      </c>
      <c r="G2390" s="1">
        <f t="shared" si="112"/>
        <v>103.827321</v>
      </c>
    </row>
    <row r="2391" spans="1:7" x14ac:dyDescent="0.3">
      <c r="A2391">
        <v>23890</v>
      </c>
      <c r="B2391">
        <v>1631.8</v>
      </c>
      <c r="C2391">
        <v>112.20099999999999</v>
      </c>
      <c r="D2391" s="15">
        <f t="shared" si="113"/>
        <v>7.5000000000002839E-5</v>
      </c>
      <c r="E2391" s="14">
        <f t="shared" si="111"/>
        <v>5.2516880366069985E-5</v>
      </c>
      <c r="F2391">
        <v>101.753</v>
      </c>
      <c r="G2391" s="1">
        <f t="shared" si="112"/>
        <v>103.82619100000001</v>
      </c>
    </row>
    <row r="2392" spans="1:7" x14ac:dyDescent="0.3">
      <c r="A2392">
        <v>23900</v>
      </c>
      <c r="B2392">
        <v>1633.6</v>
      </c>
      <c r="C2392">
        <v>112.2</v>
      </c>
      <c r="D2392" s="15">
        <f t="shared" si="113"/>
        <v>7.5000000000002839E-5</v>
      </c>
      <c r="E2392" s="14">
        <f t="shared" si="111"/>
        <v>5.2498593206999999E-5</v>
      </c>
      <c r="F2392">
        <v>101.768</v>
      </c>
      <c r="G2392" s="1">
        <f t="shared" si="112"/>
        <v>103.82506100000001</v>
      </c>
    </row>
    <row r="2393" spans="1:7" x14ac:dyDescent="0.3">
      <c r="A2393">
        <v>23910</v>
      </c>
      <c r="B2393">
        <v>1635.4</v>
      </c>
      <c r="C2393">
        <v>112.2</v>
      </c>
      <c r="D2393" s="15">
        <f t="shared" si="113"/>
        <v>7.5000000000002839E-5</v>
      </c>
      <c r="E2393" s="14">
        <f t="shared" si="111"/>
        <v>5.248031873127E-5</v>
      </c>
      <c r="F2393">
        <v>101.783</v>
      </c>
      <c r="G2393" s="1">
        <f t="shared" si="112"/>
        <v>103.823931</v>
      </c>
    </row>
    <row r="2394" spans="1:7" x14ac:dyDescent="0.3">
      <c r="A2394">
        <v>23920</v>
      </c>
      <c r="B2394">
        <v>1637.1</v>
      </c>
      <c r="C2394">
        <v>112.199</v>
      </c>
      <c r="D2394" s="15">
        <f t="shared" si="113"/>
        <v>5.0000000000238744E-5</v>
      </c>
      <c r="E2394" s="14">
        <f t="shared" si="111"/>
        <v>5.2462056938879989E-5</v>
      </c>
      <c r="F2394">
        <v>101.797</v>
      </c>
      <c r="G2394" s="1">
        <f t="shared" si="112"/>
        <v>103.822801</v>
      </c>
    </row>
    <row r="2395" spans="1:7" x14ac:dyDescent="0.3">
      <c r="A2395">
        <v>23930</v>
      </c>
      <c r="B2395">
        <v>1638.8</v>
      </c>
      <c r="C2395">
        <v>112.19799999999999</v>
      </c>
      <c r="D2395" s="15">
        <f t="shared" si="113"/>
        <v>7.5000000000002839E-5</v>
      </c>
      <c r="E2395" s="14">
        <f t="shared" si="111"/>
        <v>5.2443807829829993E-5</v>
      </c>
      <c r="F2395">
        <v>101.812</v>
      </c>
      <c r="G2395" s="1">
        <f t="shared" si="112"/>
        <v>103.82167100000001</v>
      </c>
    </row>
    <row r="2396" spans="1:7" x14ac:dyDescent="0.3">
      <c r="A2396">
        <v>23940</v>
      </c>
      <c r="B2396">
        <v>1640.6</v>
      </c>
      <c r="C2396">
        <v>112.19799999999999</v>
      </c>
      <c r="D2396" s="15">
        <f t="shared" si="113"/>
        <v>7.5000000000002839E-5</v>
      </c>
      <c r="E2396" s="14">
        <f t="shared" si="111"/>
        <v>5.2425571404119997E-5</v>
      </c>
      <c r="F2396">
        <v>101.827</v>
      </c>
      <c r="G2396" s="1">
        <f t="shared" si="112"/>
        <v>103.82054100000001</v>
      </c>
    </row>
    <row r="2397" spans="1:7" x14ac:dyDescent="0.3">
      <c r="A2397">
        <v>23950</v>
      </c>
      <c r="B2397">
        <v>1642.3</v>
      </c>
      <c r="C2397">
        <v>112.197</v>
      </c>
      <c r="D2397" s="15">
        <f t="shared" si="113"/>
        <v>7.5000000000002839E-5</v>
      </c>
      <c r="E2397" s="14">
        <f t="shared" si="111"/>
        <v>5.2407347661750003E-5</v>
      </c>
      <c r="F2397">
        <v>101.84099999999999</v>
      </c>
      <c r="G2397" s="1">
        <f t="shared" si="112"/>
        <v>103.819411</v>
      </c>
    </row>
    <row r="2398" spans="1:7" x14ac:dyDescent="0.3">
      <c r="A2398">
        <v>23960</v>
      </c>
      <c r="B2398">
        <v>1644.1</v>
      </c>
      <c r="C2398">
        <v>112.196</v>
      </c>
      <c r="D2398" s="15">
        <f t="shared" si="113"/>
        <v>7.5000000000002839E-5</v>
      </c>
      <c r="E2398" s="14">
        <f t="shared" si="111"/>
        <v>5.2389136602719997E-5</v>
      </c>
      <c r="F2398">
        <v>101.85599999999999</v>
      </c>
      <c r="G2398" s="1">
        <f t="shared" si="112"/>
        <v>103.818281</v>
      </c>
    </row>
    <row r="2399" spans="1:7" x14ac:dyDescent="0.3">
      <c r="A2399">
        <v>23970</v>
      </c>
      <c r="B2399">
        <v>1645.8</v>
      </c>
      <c r="C2399">
        <v>112.19499999999999</v>
      </c>
      <c r="D2399" s="15">
        <f t="shared" si="113"/>
        <v>7.5000000000002839E-5</v>
      </c>
      <c r="E2399" s="14">
        <f t="shared" si="111"/>
        <v>5.2370938227029991E-5</v>
      </c>
      <c r="F2399">
        <v>101.87</v>
      </c>
      <c r="G2399" s="1">
        <f t="shared" si="112"/>
        <v>103.81715100000001</v>
      </c>
    </row>
    <row r="2400" spans="1:7" x14ac:dyDescent="0.3">
      <c r="A2400">
        <v>23980</v>
      </c>
      <c r="B2400">
        <v>1647.6</v>
      </c>
      <c r="C2400">
        <v>112.19499999999999</v>
      </c>
      <c r="D2400" s="15">
        <f t="shared" si="113"/>
        <v>7.5000000000002839E-5</v>
      </c>
      <c r="E2400" s="14">
        <f t="shared" si="111"/>
        <v>5.235275253468E-5</v>
      </c>
      <c r="F2400">
        <v>101.88500000000001</v>
      </c>
      <c r="G2400" s="1">
        <f t="shared" si="112"/>
        <v>103.81602100000001</v>
      </c>
    </row>
    <row r="2401" spans="1:7" x14ac:dyDescent="0.3">
      <c r="A2401">
        <v>23990</v>
      </c>
      <c r="B2401">
        <v>1649.3</v>
      </c>
      <c r="C2401">
        <v>112.194</v>
      </c>
      <c r="D2401" s="15">
        <f t="shared" si="113"/>
        <v>7.5000000000002839E-5</v>
      </c>
      <c r="E2401" s="14">
        <f t="shared" si="111"/>
        <v>5.233457952567001E-5</v>
      </c>
      <c r="F2401">
        <v>101.9</v>
      </c>
      <c r="G2401" s="1">
        <f t="shared" si="112"/>
        <v>103.814891</v>
      </c>
    </row>
    <row r="2402" spans="1:7" x14ac:dyDescent="0.3">
      <c r="A2402">
        <v>24000</v>
      </c>
      <c r="B2402">
        <v>1651</v>
      </c>
      <c r="C2402">
        <v>112.193</v>
      </c>
      <c r="D2402" s="15">
        <f t="shared" si="113"/>
        <v>9.9999999999766942E-5</v>
      </c>
      <c r="E2402" s="14">
        <f t="shared" si="111"/>
        <v>5.2316419199999995E-5</v>
      </c>
      <c r="F2402">
        <v>101.914</v>
      </c>
      <c r="G2402" s="1">
        <f t="shared" si="112"/>
        <v>103.813761</v>
      </c>
    </row>
    <row r="2403" spans="1:7" x14ac:dyDescent="0.3">
      <c r="A2403">
        <v>24010</v>
      </c>
      <c r="B2403">
        <v>1652.8</v>
      </c>
      <c r="C2403">
        <v>112.19199999999999</v>
      </c>
      <c r="D2403" s="15">
        <f t="shared" si="113"/>
        <v>7.5000000000002839E-5</v>
      </c>
      <c r="E2403" s="14">
        <f t="shared" si="111"/>
        <v>5.2298271557669993E-5</v>
      </c>
      <c r="F2403">
        <v>101.929</v>
      </c>
      <c r="G2403" s="1">
        <f t="shared" si="112"/>
        <v>103.812631</v>
      </c>
    </row>
    <row r="2404" spans="1:7" x14ac:dyDescent="0.3">
      <c r="A2404">
        <v>24020</v>
      </c>
      <c r="B2404">
        <v>1654.5</v>
      </c>
      <c r="C2404">
        <v>112.191</v>
      </c>
      <c r="D2404" s="15">
        <f t="shared" si="113"/>
        <v>7.5000000000002839E-5</v>
      </c>
      <c r="E2404" s="14">
        <f t="shared" si="111"/>
        <v>5.2280136598679993E-5</v>
      </c>
      <c r="F2404">
        <v>101.943</v>
      </c>
      <c r="G2404" s="1">
        <f t="shared" si="112"/>
        <v>103.81150100000001</v>
      </c>
    </row>
    <row r="2405" spans="1:7" x14ac:dyDescent="0.3">
      <c r="A2405">
        <v>24030</v>
      </c>
      <c r="B2405">
        <v>1656.3</v>
      </c>
      <c r="C2405">
        <v>112.191</v>
      </c>
      <c r="D2405" s="15">
        <f t="shared" si="113"/>
        <v>7.5000000000002839E-5</v>
      </c>
      <c r="E2405" s="14">
        <f t="shared" si="111"/>
        <v>5.2262014323029981E-5</v>
      </c>
      <c r="F2405">
        <v>101.958</v>
      </c>
      <c r="G2405" s="1">
        <f t="shared" si="112"/>
        <v>103.810371</v>
      </c>
    </row>
    <row r="2406" spans="1:7" x14ac:dyDescent="0.3">
      <c r="A2406">
        <v>24040</v>
      </c>
      <c r="B2406">
        <v>1657.9</v>
      </c>
      <c r="C2406">
        <v>112.19</v>
      </c>
      <c r="D2406" s="15">
        <f t="shared" si="113"/>
        <v>7.5000000000002839E-5</v>
      </c>
      <c r="E2406" s="14">
        <f t="shared" si="111"/>
        <v>5.2243904730719996E-5</v>
      </c>
      <c r="F2406">
        <v>101.973</v>
      </c>
      <c r="G2406" s="1">
        <f t="shared" si="112"/>
        <v>103.809241</v>
      </c>
    </row>
    <row r="2407" spans="1:7" x14ac:dyDescent="0.3">
      <c r="A2407">
        <v>24050</v>
      </c>
      <c r="B2407">
        <v>1659.8</v>
      </c>
      <c r="C2407">
        <v>112.18899999999999</v>
      </c>
      <c r="D2407" s="15">
        <f t="shared" si="113"/>
        <v>7.5000000000002839E-5</v>
      </c>
      <c r="E2407" s="14">
        <f t="shared" si="111"/>
        <v>5.2225807821749986E-5</v>
      </c>
      <c r="F2407">
        <v>101.98699999999999</v>
      </c>
      <c r="G2407" s="1">
        <f t="shared" si="112"/>
        <v>103.808111</v>
      </c>
    </row>
    <row r="2408" spans="1:7" x14ac:dyDescent="0.3">
      <c r="A2408">
        <v>24060</v>
      </c>
      <c r="B2408">
        <v>1661.3</v>
      </c>
      <c r="C2408">
        <v>112.188</v>
      </c>
      <c r="D2408" s="15">
        <f t="shared" si="113"/>
        <v>7.5000000000002839E-5</v>
      </c>
      <c r="E2408" s="14">
        <f t="shared" si="111"/>
        <v>5.220772359611999E-5</v>
      </c>
      <c r="F2408">
        <v>102.002</v>
      </c>
      <c r="G2408" s="1">
        <f t="shared" si="112"/>
        <v>103.80698100000001</v>
      </c>
    </row>
    <row r="2409" spans="1:7" x14ac:dyDescent="0.3">
      <c r="A2409">
        <v>24070</v>
      </c>
      <c r="B2409">
        <v>1662.4</v>
      </c>
      <c r="C2409">
        <v>112.188</v>
      </c>
      <c r="D2409" s="15">
        <f t="shared" si="113"/>
        <v>7.4999999999647574E-5</v>
      </c>
      <c r="E2409" s="14">
        <f t="shared" si="111"/>
        <v>5.2189652053829996E-5</v>
      </c>
      <c r="F2409">
        <v>102.01600000000001</v>
      </c>
      <c r="G2409" s="1">
        <f t="shared" si="112"/>
        <v>103.805851</v>
      </c>
    </row>
    <row r="2410" spans="1:7" x14ac:dyDescent="0.3">
      <c r="A2410">
        <v>24080</v>
      </c>
      <c r="B2410">
        <v>1663.5</v>
      </c>
      <c r="C2410">
        <v>112.187</v>
      </c>
      <c r="D2410" s="15">
        <f t="shared" si="113"/>
        <v>7.5000000000002839E-5</v>
      </c>
      <c r="E2410" s="14">
        <f t="shared" si="111"/>
        <v>5.2171593194879988E-5</v>
      </c>
      <c r="F2410">
        <v>102.03100000000001</v>
      </c>
      <c r="G2410" s="1">
        <f t="shared" si="112"/>
        <v>103.804721</v>
      </c>
    </row>
    <row r="2411" spans="1:7" x14ac:dyDescent="0.3">
      <c r="A2411">
        <v>24090</v>
      </c>
      <c r="B2411">
        <v>1664.9</v>
      </c>
      <c r="C2411">
        <v>112.18600000000001</v>
      </c>
      <c r="D2411" s="15">
        <f t="shared" si="113"/>
        <v>1.0000000000012221E-4</v>
      </c>
      <c r="E2411" s="14">
        <f t="shared" si="111"/>
        <v>5.2153547019269996E-5</v>
      </c>
      <c r="F2411">
        <v>102.04600000000001</v>
      </c>
      <c r="G2411" s="1">
        <f t="shared" si="112"/>
        <v>103.803591</v>
      </c>
    </row>
    <row r="2412" spans="1:7" x14ac:dyDescent="0.3">
      <c r="A2412">
        <v>24100</v>
      </c>
      <c r="B2412">
        <v>1666.1</v>
      </c>
      <c r="C2412">
        <v>112.185</v>
      </c>
      <c r="D2412" s="15">
        <f t="shared" si="113"/>
        <v>7.5000000000002839E-5</v>
      </c>
      <c r="E2412" s="14">
        <f t="shared" si="111"/>
        <v>5.2135513527000005E-5</v>
      </c>
      <c r="F2412">
        <v>102.06</v>
      </c>
      <c r="G2412" s="1">
        <f t="shared" si="112"/>
        <v>103.80246100000001</v>
      </c>
    </row>
    <row r="2413" spans="1:7" x14ac:dyDescent="0.3">
      <c r="A2413">
        <v>24110</v>
      </c>
      <c r="B2413">
        <v>1667.4</v>
      </c>
      <c r="C2413">
        <v>112.184</v>
      </c>
      <c r="D2413" s="15">
        <f t="shared" si="113"/>
        <v>7.5000000000002839E-5</v>
      </c>
      <c r="E2413" s="14">
        <f t="shared" si="111"/>
        <v>5.2117492718070001E-5</v>
      </c>
      <c r="F2413">
        <v>102.075</v>
      </c>
      <c r="G2413" s="1">
        <f t="shared" si="112"/>
        <v>103.801331</v>
      </c>
    </row>
    <row r="2414" spans="1:7" x14ac:dyDescent="0.3">
      <c r="A2414">
        <v>24120</v>
      </c>
      <c r="B2414">
        <v>1668.7</v>
      </c>
      <c r="C2414">
        <v>112.184</v>
      </c>
      <c r="D2414" s="15">
        <f t="shared" si="113"/>
        <v>7.5000000000002839E-5</v>
      </c>
      <c r="E2414" s="14">
        <f t="shared" si="111"/>
        <v>5.2099484592479998E-5</v>
      </c>
      <c r="F2414">
        <v>102.089</v>
      </c>
      <c r="G2414" s="1">
        <f t="shared" si="112"/>
        <v>103.800201</v>
      </c>
    </row>
    <row r="2415" spans="1:7" x14ac:dyDescent="0.3">
      <c r="A2415">
        <v>24130</v>
      </c>
      <c r="B2415">
        <v>1670.4</v>
      </c>
      <c r="C2415">
        <v>112.18300000000001</v>
      </c>
      <c r="D2415" s="15">
        <f t="shared" si="113"/>
        <v>7.5000000000002839E-5</v>
      </c>
      <c r="E2415" s="14">
        <f t="shared" si="111"/>
        <v>5.2081489150229997E-5</v>
      </c>
      <c r="F2415">
        <v>102.104</v>
      </c>
      <c r="G2415" s="1">
        <f t="shared" si="112"/>
        <v>103.799071</v>
      </c>
    </row>
    <row r="2416" spans="1:7" x14ac:dyDescent="0.3">
      <c r="A2416">
        <v>24140</v>
      </c>
      <c r="B2416">
        <v>1672.1</v>
      </c>
      <c r="C2416">
        <v>112.182</v>
      </c>
      <c r="D2416" s="15">
        <f t="shared" si="113"/>
        <v>9.9999999999766942E-5</v>
      </c>
      <c r="E2416" s="14">
        <f t="shared" si="111"/>
        <v>5.2063506391319996E-5</v>
      </c>
      <c r="F2416">
        <v>102.119</v>
      </c>
      <c r="G2416" s="1">
        <f t="shared" si="112"/>
        <v>103.79794100000001</v>
      </c>
    </row>
    <row r="2417" spans="1:7" x14ac:dyDescent="0.3">
      <c r="A2417">
        <v>24150</v>
      </c>
      <c r="B2417">
        <v>1673.8</v>
      </c>
      <c r="C2417">
        <v>112.181</v>
      </c>
      <c r="D2417" s="15">
        <f t="shared" si="113"/>
        <v>7.5000000000002839E-5</v>
      </c>
      <c r="E2417" s="14">
        <f t="shared" si="111"/>
        <v>5.2045536315749997E-5</v>
      </c>
      <c r="F2417">
        <v>102.134</v>
      </c>
      <c r="G2417" s="1">
        <f t="shared" si="112"/>
        <v>103.79681100000001</v>
      </c>
    </row>
    <row r="2418" spans="1:7" x14ac:dyDescent="0.3">
      <c r="A2418">
        <v>24160</v>
      </c>
      <c r="B2418">
        <v>1675.3</v>
      </c>
      <c r="C2418">
        <v>112.18</v>
      </c>
      <c r="D2418" s="15">
        <f t="shared" si="113"/>
        <v>7.5000000000002839E-5</v>
      </c>
      <c r="E2418" s="14">
        <f t="shared" si="111"/>
        <v>5.2027578923519998E-5</v>
      </c>
      <c r="F2418">
        <v>102.149</v>
      </c>
      <c r="G2418" s="1">
        <f t="shared" si="112"/>
        <v>103.795681</v>
      </c>
    </row>
    <row r="2419" spans="1:7" x14ac:dyDescent="0.3">
      <c r="A2419">
        <v>24170</v>
      </c>
      <c r="B2419">
        <v>1676.1</v>
      </c>
      <c r="C2419">
        <v>112.18</v>
      </c>
      <c r="D2419" s="15">
        <f t="shared" si="113"/>
        <v>7.5000000000002839E-5</v>
      </c>
      <c r="E2419" s="14">
        <f t="shared" si="111"/>
        <v>5.2009634214630001E-5</v>
      </c>
      <c r="F2419">
        <v>102.163</v>
      </c>
      <c r="G2419" s="1">
        <f t="shared" si="112"/>
        <v>103.794551</v>
      </c>
    </row>
    <row r="2420" spans="1:7" x14ac:dyDescent="0.3">
      <c r="A2420">
        <v>24180</v>
      </c>
      <c r="B2420">
        <v>1676.4</v>
      </c>
      <c r="C2420">
        <v>112.179</v>
      </c>
      <c r="D2420" s="15">
        <f t="shared" si="113"/>
        <v>7.5000000000002839E-5</v>
      </c>
      <c r="E2420" s="14">
        <f t="shared" si="111"/>
        <v>5.1991702189080005E-5</v>
      </c>
      <c r="F2420">
        <v>102.178</v>
      </c>
      <c r="G2420" s="1">
        <f t="shared" si="112"/>
        <v>103.79342100000001</v>
      </c>
    </row>
    <row r="2421" spans="1:7" x14ac:dyDescent="0.3">
      <c r="A2421">
        <v>24190</v>
      </c>
      <c r="B2421">
        <v>1677</v>
      </c>
      <c r="C2421">
        <v>112.178</v>
      </c>
      <c r="D2421" s="15">
        <f t="shared" si="113"/>
        <v>1.0000000000012221E-4</v>
      </c>
      <c r="E2421" s="14">
        <f t="shared" si="111"/>
        <v>5.1973782846869983E-5</v>
      </c>
      <c r="F2421">
        <v>102.19199999999999</v>
      </c>
      <c r="G2421" s="1">
        <f t="shared" si="112"/>
        <v>103.79229100000001</v>
      </c>
    </row>
    <row r="2422" spans="1:7" x14ac:dyDescent="0.3">
      <c r="A2422">
        <v>24200</v>
      </c>
      <c r="B2422">
        <v>1677.6</v>
      </c>
      <c r="C2422">
        <v>112.17700000000001</v>
      </c>
      <c r="D2422" s="15">
        <f t="shared" si="113"/>
        <v>1.0000000000012221E-4</v>
      </c>
      <c r="E2422" s="14">
        <f t="shared" si="111"/>
        <v>5.1955876187999989E-5</v>
      </c>
      <c r="F2422">
        <v>102.20699999999999</v>
      </c>
      <c r="G2422" s="1">
        <f t="shared" si="112"/>
        <v>103.791161</v>
      </c>
    </row>
    <row r="2423" spans="1:7" x14ac:dyDescent="0.3">
      <c r="A2423">
        <v>24210</v>
      </c>
      <c r="B2423">
        <v>1678.5</v>
      </c>
      <c r="C2423">
        <v>112.176</v>
      </c>
      <c r="D2423" s="15">
        <f t="shared" si="113"/>
        <v>9.9999999999766942E-5</v>
      </c>
      <c r="E2423" s="14">
        <f t="shared" si="111"/>
        <v>5.1937982212469996E-5</v>
      </c>
      <c r="F2423">
        <v>102.221</v>
      </c>
      <c r="G2423" s="1">
        <f t="shared" si="112"/>
        <v>103.790031</v>
      </c>
    </row>
    <row r="2424" spans="1:7" x14ac:dyDescent="0.3">
      <c r="A2424">
        <v>24220</v>
      </c>
      <c r="B2424">
        <v>1679.3</v>
      </c>
      <c r="C2424">
        <v>112.175</v>
      </c>
      <c r="D2424" s="15">
        <f t="shared" si="113"/>
        <v>7.5000000000002839E-5</v>
      </c>
      <c r="E2424" s="14">
        <f t="shared" si="111"/>
        <v>5.192010092027999E-5</v>
      </c>
      <c r="F2424">
        <v>102.236</v>
      </c>
      <c r="G2424" s="1">
        <f t="shared" si="112"/>
        <v>103.78890100000001</v>
      </c>
    </row>
    <row r="2425" spans="1:7" x14ac:dyDescent="0.3">
      <c r="A2425">
        <v>24230</v>
      </c>
      <c r="B2425">
        <v>1680.1</v>
      </c>
      <c r="C2425">
        <v>112.17400000000001</v>
      </c>
      <c r="D2425" s="15">
        <f t="shared" si="113"/>
        <v>7.5000000000002839E-5</v>
      </c>
      <c r="E2425" s="14">
        <f t="shared" si="111"/>
        <v>5.190223231143E-5</v>
      </c>
      <c r="F2425">
        <v>102.251</v>
      </c>
      <c r="G2425" s="1">
        <f t="shared" si="112"/>
        <v>103.78777100000001</v>
      </c>
    </row>
    <row r="2426" spans="1:7" x14ac:dyDescent="0.3">
      <c r="A2426">
        <v>24240</v>
      </c>
      <c r="B2426">
        <v>1681</v>
      </c>
      <c r="C2426">
        <v>112.17400000000001</v>
      </c>
      <c r="D2426" s="15">
        <f t="shared" si="113"/>
        <v>7.5000000000002839E-5</v>
      </c>
      <c r="E2426" s="14">
        <f t="shared" si="111"/>
        <v>5.1884376385919997E-5</v>
      </c>
      <c r="F2426">
        <v>102.265</v>
      </c>
      <c r="G2426" s="1">
        <f t="shared" si="112"/>
        <v>103.786641</v>
      </c>
    </row>
    <row r="2427" spans="1:7" x14ac:dyDescent="0.3">
      <c r="A2427">
        <v>24250</v>
      </c>
      <c r="B2427">
        <v>1682.6</v>
      </c>
      <c r="C2427">
        <v>112.173</v>
      </c>
      <c r="D2427" s="15">
        <f t="shared" si="113"/>
        <v>7.5000000000002839E-5</v>
      </c>
      <c r="E2427" s="14">
        <f t="shared" si="111"/>
        <v>5.1866533143749994E-5</v>
      </c>
      <c r="F2427">
        <v>102.28</v>
      </c>
      <c r="G2427" s="1">
        <f t="shared" si="112"/>
        <v>103.785511</v>
      </c>
    </row>
    <row r="2428" spans="1:7" x14ac:dyDescent="0.3">
      <c r="A2428">
        <v>24260</v>
      </c>
      <c r="B2428">
        <v>1684.2</v>
      </c>
      <c r="C2428">
        <v>112.172</v>
      </c>
      <c r="D2428" s="15">
        <f t="shared" si="113"/>
        <v>1.0000000000012221E-4</v>
      </c>
      <c r="E2428" s="14">
        <f t="shared" si="111"/>
        <v>5.1848702584919994E-5</v>
      </c>
      <c r="F2428">
        <v>102.294</v>
      </c>
      <c r="G2428" s="1">
        <f t="shared" si="112"/>
        <v>103.784381</v>
      </c>
    </row>
    <row r="2429" spans="1:7" x14ac:dyDescent="0.3">
      <c r="A2429">
        <v>24270</v>
      </c>
      <c r="B2429">
        <v>1685.9</v>
      </c>
      <c r="C2429">
        <v>112.17100000000001</v>
      </c>
      <c r="D2429" s="15">
        <f t="shared" si="113"/>
        <v>1.0000000000012221E-4</v>
      </c>
      <c r="E2429" s="14">
        <f t="shared" si="111"/>
        <v>5.183088470942998E-5</v>
      </c>
      <c r="F2429">
        <v>102.309</v>
      </c>
      <c r="G2429" s="1">
        <f t="shared" si="112"/>
        <v>103.78325100000001</v>
      </c>
    </row>
    <row r="2430" spans="1:7" x14ac:dyDescent="0.3">
      <c r="A2430">
        <v>24280</v>
      </c>
      <c r="B2430">
        <v>1687.6</v>
      </c>
      <c r="C2430">
        <v>112.17</v>
      </c>
      <c r="D2430" s="15">
        <f t="shared" si="113"/>
        <v>9.9999999999766942E-5</v>
      </c>
      <c r="E2430" s="14">
        <f t="shared" si="111"/>
        <v>5.1813079517279995E-5</v>
      </c>
      <c r="F2430">
        <v>102.32299999999999</v>
      </c>
      <c r="G2430" s="1">
        <f t="shared" si="112"/>
        <v>103.782121</v>
      </c>
    </row>
    <row r="2431" spans="1:7" x14ac:dyDescent="0.3">
      <c r="A2431">
        <v>24290</v>
      </c>
      <c r="B2431">
        <v>1689.2</v>
      </c>
      <c r="C2431">
        <v>112.169</v>
      </c>
      <c r="D2431" s="15">
        <f t="shared" si="113"/>
        <v>7.5000000000002839E-5</v>
      </c>
      <c r="E2431" s="14">
        <f t="shared" si="111"/>
        <v>5.1795287008470011E-5</v>
      </c>
      <c r="F2431">
        <v>102.33799999999999</v>
      </c>
      <c r="G2431" s="1">
        <f t="shared" si="112"/>
        <v>103.780991</v>
      </c>
    </row>
    <row r="2432" spans="1:7" x14ac:dyDescent="0.3">
      <c r="A2432">
        <v>24300</v>
      </c>
      <c r="B2432">
        <v>1690.8</v>
      </c>
      <c r="C2432">
        <v>112.16800000000001</v>
      </c>
      <c r="D2432" s="15">
        <f t="shared" si="113"/>
        <v>7.5000000000002839E-5</v>
      </c>
      <c r="E2432" s="14">
        <f t="shared" si="111"/>
        <v>5.1777507183000001E-5</v>
      </c>
      <c r="F2432">
        <v>102.35299999999999</v>
      </c>
      <c r="G2432" s="1">
        <f t="shared" si="112"/>
        <v>103.779861</v>
      </c>
    </row>
    <row r="2433" spans="1:7" x14ac:dyDescent="0.3">
      <c r="A2433">
        <v>24310</v>
      </c>
      <c r="B2433">
        <v>1692.5</v>
      </c>
      <c r="C2433">
        <v>112.16800000000001</v>
      </c>
      <c r="D2433" s="15">
        <f t="shared" si="113"/>
        <v>7.5000000000002839E-5</v>
      </c>
      <c r="E2433" s="14">
        <f t="shared" si="111"/>
        <v>5.1759740040869991E-5</v>
      </c>
      <c r="F2433">
        <v>102.367</v>
      </c>
      <c r="G2433" s="1">
        <f t="shared" si="112"/>
        <v>103.77873100000001</v>
      </c>
    </row>
    <row r="2434" spans="1:7" x14ac:dyDescent="0.3">
      <c r="A2434">
        <v>24320</v>
      </c>
      <c r="B2434">
        <v>1694</v>
      </c>
      <c r="C2434">
        <v>112.167</v>
      </c>
      <c r="D2434" s="15">
        <f t="shared" si="113"/>
        <v>7.5000000000002839E-5</v>
      </c>
      <c r="E2434" s="14">
        <f t="shared" ref="E2434:E2497" si="114">0.0000000000000634167*A2434*A2434 - 0.0000000048594*A2434 + 0.000132414</f>
        <v>5.1741985582079997E-5</v>
      </c>
      <c r="F2434">
        <v>102.383</v>
      </c>
      <c r="G2434" s="1">
        <f t="shared" si="112"/>
        <v>103.777601</v>
      </c>
    </row>
    <row r="2435" spans="1:7" x14ac:dyDescent="0.3">
      <c r="A2435">
        <v>24330</v>
      </c>
      <c r="B2435">
        <v>1695.1</v>
      </c>
      <c r="C2435">
        <v>112.166</v>
      </c>
      <c r="D2435" s="15">
        <f t="shared" si="113"/>
        <v>1.0000000000012221E-4</v>
      </c>
      <c r="E2435" s="14">
        <f t="shared" si="114"/>
        <v>5.1724243806630004E-5</v>
      </c>
      <c r="F2435">
        <v>102.39700000000001</v>
      </c>
      <c r="G2435" s="1">
        <f t="shared" ref="G2435:G2498" si="115">-0.000113*A2435 + 106.525761</f>
        <v>103.776471</v>
      </c>
    </row>
    <row r="2436" spans="1:7" x14ac:dyDescent="0.3">
      <c r="A2436">
        <v>24340</v>
      </c>
      <c r="B2436">
        <v>1696.5</v>
      </c>
      <c r="C2436">
        <v>112.16500000000001</v>
      </c>
      <c r="D2436" s="15">
        <f t="shared" si="113"/>
        <v>1.0000000000012221E-4</v>
      </c>
      <c r="E2436" s="14">
        <f t="shared" si="114"/>
        <v>5.1706514714519998E-5</v>
      </c>
      <c r="F2436">
        <v>102.41200000000001</v>
      </c>
      <c r="G2436" s="1">
        <f t="shared" si="115"/>
        <v>103.775341</v>
      </c>
    </row>
    <row r="2437" spans="1:7" x14ac:dyDescent="0.3">
      <c r="A2437">
        <v>24350</v>
      </c>
      <c r="B2437">
        <v>1695.6</v>
      </c>
      <c r="C2437">
        <v>112.164</v>
      </c>
      <c r="D2437" s="15">
        <f t="shared" ref="D2437:D2500" si="116">(C2435-C2439)/(A2439-A2435)</f>
        <v>9.9999999999766942E-5</v>
      </c>
      <c r="E2437" s="14">
        <f t="shared" si="114"/>
        <v>5.1688798305749993E-5</v>
      </c>
      <c r="F2437">
        <v>102.426</v>
      </c>
      <c r="G2437" s="1">
        <f t="shared" si="115"/>
        <v>103.77421100000001</v>
      </c>
    </row>
    <row r="2438" spans="1:7" x14ac:dyDescent="0.3">
      <c r="A2438">
        <v>24360</v>
      </c>
      <c r="B2438">
        <v>1693.6</v>
      </c>
      <c r="C2438">
        <v>112.163</v>
      </c>
      <c r="D2438" s="15">
        <f t="shared" si="116"/>
        <v>1.0000000000012221E-4</v>
      </c>
      <c r="E2438" s="14">
        <f t="shared" si="114"/>
        <v>5.167109458031999E-5</v>
      </c>
      <c r="F2438">
        <v>102.441</v>
      </c>
      <c r="G2438" s="1">
        <f t="shared" si="115"/>
        <v>103.773081</v>
      </c>
    </row>
    <row r="2439" spans="1:7" x14ac:dyDescent="0.3">
      <c r="A2439">
        <v>24370</v>
      </c>
      <c r="B2439">
        <v>1692.4</v>
      </c>
      <c r="C2439">
        <v>112.16200000000001</v>
      </c>
      <c r="D2439" s="15">
        <f t="shared" si="116"/>
        <v>1.0000000000012221E-4</v>
      </c>
      <c r="E2439" s="14">
        <f t="shared" si="114"/>
        <v>5.1653403538230001E-5</v>
      </c>
      <c r="F2439">
        <v>102.455</v>
      </c>
      <c r="G2439" s="1">
        <f t="shared" si="115"/>
        <v>103.771951</v>
      </c>
    </row>
    <row r="2440" spans="1:7" x14ac:dyDescent="0.3">
      <c r="A2440">
        <v>24380</v>
      </c>
      <c r="B2440">
        <v>1688</v>
      </c>
      <c r="C2440">
        <v>112.161</v>
      </c>
      <c r="D2440" s="15">
        <f t="shared" si="116"/>
        <v>7.5000000000002839E-5</v>
      </c>
      <c r="E2440" s="14">
        <f t="shared" si="114"/>
        <v>5.1635725179479986E-5</v>
      </c>
      <c r="F2440">
        <v>102.47</v>
      </c>
      <c r="G2440" s="1">
        <f t="shared" si="115"/>
        <v>103.770821</v>
      </c>
    </row>
    <row r="2441" spans="1:7" x14ac:dyDescent="0.3">
      <c r="A2441">
        <v>24390</v>
      </c>
      <c r="B2441">
        <v>1685.9</v>
      </c>
      <c r="C2441">
        <v>112.16</v>
      </c>
      <c r="D2441" s="15">
        <f t="shared" si="116"/>
        <v>7.5000000000002839E-5</v>
      </c>
      <c r="E2441" s="14">
        <f t="shared" si="114"/>
        <v>5.1618059504069999E-5</v>
      </c>
      <c r="F2441">
        <v>102.48399999999999</v>
      </c>
      <c r="G2441" s="1">
        <f t="shared" si="115"/>
        <v>103.76969100000001</v>
      </c>
    </row>
    <row r="2442" spans="1:7" x14ac:dyDescent="0.3">
      <c r="A2442">
        <v>24400</v>
      </c>
      <c r="B2442">
        <v>1684.5</v>
      </c>
      <c r="C2442">
        <v>112.16</v>
      </c>
      <c r="D2442" s="15">
        <f t="shared" si="116"/>
        <v>7.5000000000002839E-5</v>
      </c>
      <c r="E2442" s="14">
        <f t="shared" si="114"/>
        <v>5.1600406512E-5</v>
      </c>
      <c r="F2442">
        <v>102.499</v>
      </c>
      <c r="G2442" s="1">
        <f t="shared" si="115"/>
        <v>103.76856100000001</v>
      </c>
    </row>
    <row r="2443" spans="1:7" x14ac:dyDescent="0.3">
      <c r="A2443">
        <v>24410</v>
      </c>
      <c r="B2443">
        <v>1683.6</v>
      </c>
      <c r="C2443">
        <v>112.15900000000001</v>
      </c>
      <c r="D2443" s="15">
        <f t="shared" si="116"/>
        <v>7.5000000000002839E-5</v>
      </c>
      <c r="E2443" s="14">
        <f t="shared" si="114"/>
        <v>5.1582766203269988E-5</v>
      </c>
      <c r="F2443">
        <v>102.514</v>
      </c>
      <c r="G2443" s="1">
        <f t="shared" si="115"/>
        <v>103.767431</v>
      </c>
    </row>
    <row r="2444" spans="1:7" x14ac:dyDescent="0.3">
      <c r="A2444">
        <v>24420</v>
      </c>
      <c r="B2444">
        <v>1682.4</v>
      </c>
      <c r="C2444">
        <v>112.158</v>
      </c>
      <c r="D2444" s="15">
        <f t="shared" si="116"/>
        <v>9.9999999999766942E-5</v>
      </c>
      <c r="E2444" s="14">
        <f t="shared" si="114"/>
        <v>5.1565138577879991E-5</v>
      </c>
      <c r="F2444">
        <v>102.52800000000001</v>
      </c>
      <c r="G2444" s="1">
        <f t="shared" si="115"/>
        <v>103.766301</v>
      </c>
    </row>
    <row r="2445" spans="1:7" x14ac:dyDescent="0.3">
      <c r="A2445">
        <v>24430</v>
      </c>
      <c r="B2445">
        <v>1681.2</v>
      </c>
      <c r="C2445">
        <v>112.157</v>
      </c>
      <c r="D2445" s="15">
        <f t="shared" si="116"/>
        <v>1.0000000000012221E-4</v>
      </c>
      <c r="E2445" s="14">
        <f t="shared" si="114"/>
        <v>5.1547523635829995E-5</v>
      </c>
      <c r="F2445">
        <v>102.54300000000001</v>
      </c>
      <c r="G2445" s="1">
        <f t="shared" si="115"/>
        <v>103.76517100000001</v>
      </c>
    </row>
    <row r="2446" spans="1:7" x14ac:dyDescent="0.3">
      <c r="A2446">
        <v>24440</v>
      </c>
      <c r="B2446">
        <v>1679.6</v>
      </c>
      <c r="C2446">
        <v>112.15600000000001</v>
      </c>
      <c r="D2446" s="15">
        <f t="shared" si="116"/>
        <v>1.0000000000012221E-4</v>
      </c>
      <c r="E2446" s="14">
        <f t="shared" si="114"/>
        <v>5.152992137712E-5</v>
      </c>
      <c r="F2446">
        <v>102.55800000000001</v>
      </c>
      <c r="G2446" s="1">
        <f t="shared" si="115"/>
        <v>103.76404100000001</v>
      </c>
    </row>
    <row r="2447" spans="1:7" x14ac:dyDescent="0.3">
      <c r="A2447">
        <v>24450</v>
      </c>
      <c r="B2447">
        <v>1677.9</v>
      </c>
      <c r="C2447">
        <v>112.155</v>
      </c>
      <c r="D2447" s="15">
        <f t="shared" si="116"/>
        <v>9.9999999999766942E-5</v>
      </c>
      <c r="E2447" s="14">
        <f t="shared" si="114"/>
        <v>5.1512331801750006E-5</v>
      </c>
      <c r="F2447">
        <v>102.57299999999999</v>
      </c>
      <c r="G2447" s="1">
        <f t="shared" si="115"/>
        <v>103.762911</v>
      </c>
    </row>
    <row r="2448" spans="1:7" x14ac:dyDescent="0.3">
      <c r="A2448">
        <v>24460</v>
      </c>
      <c r="B2448">
        <v>1676.5</v>
      </c>
      <c r="C2448">
        <v>112.154</v>
      </c>
      <c r="D2448" s="15">
        <f t="shared" si="116"/>
        <v>1.0000000000012221E-4</v>
      </c>
      <c r="E2448" s="14">
        <f t="shared" si="114"/>
        <v>5.1494754909719987E-5</v>
      </c>
      <c r="F2448">
        <v>102.587</v>
      </c>
      <c r="G2448" s="1">
        <f t="shared" si="115"/>
        <v>103.761781</v>
      </c>
    </row>
    <row r="2449" spans="1:7" x14ac:dyDescent="0.3">
      <c r="A2449">
        <v>24470</v>
      </c>
      <c r="B2449">
        <v>1676.1</v>
      </c>
      <c r="C2449">
        <v>112.15300000000001</v>
      </c>
      <c r="D2449" s="15">
        <f t="shared" si="116"/>
        <v>1.0000000000012221E-4</v>
      </c>
      <c r="E2449" s="14">
        <f t="shared" si="114"/>
        <v>5.1477190701029995E-5</v>
      </c>
      <c r="F2449">
        <v>102.602</v>
      </c>
      <c r="G2449" s="1">
        <f t="shared" si="115"/>
        <v>103.760651</v>
      </c>
    </row>
    <row r="2450" spans="1:7" x14ac:dyDescent="0.3">
      <c r="A2450">
        <v>24480</v>
      </c>
      <c r="B2450">
        <v>1675.6</v>
      </c>
      <c r="C2450">
        <v>112.152</v>
      </c>
      <c r="D2450" s="15">
        <f t="shared" si="116"/>
        <v>7.5000000000002839E-5</v>
      </c>
      <c r="E2450" s="14">
        <f t="shared" si="114"/>
        <v>5.1459639175680005E-5</v>
      </c>
      <c r="F2450">
        <v>102.616</v>
      </c>
      <c r="G2450" s="1">
        <f t="shared" si="115"/>
        <v>103.75952100000001</v>
      </c>
    </row>
    <row r="2451" spans="1:7" x14ac:dyDescent="0.3">
      <c r="A2451">
        <v>24490</v>
      </c>
      <c r="B2451">
        <v>1675.2</v>
      </c>
      <c r="C2451">
        <v>112.151</v>
      </c>
      <c r="D2451" s="15">
        <f t="shared" si="116"/>
        <v>7.5000000000002839E-5</v>
      </c>
      <c r="E2451" s="14">
        <f t="shared" si="114"/>
        <v>5.1442100333669988E-5</v>
      </c>
      <c r="F2451">
        <v>102.631</v>
      </c>
      <c r="G2451" s="1">
        <f t="shared" si="115"/>
        <v>103.758391</v>
      </c>
    </row>
    <row r="2452" spans="1:7" x14ac:dyDescent="0.3">
      <c r="A2452">
        <v>24500</v>
      </c>
      <c r="B2452">
        <v>1669.9</v>
      </c>
      <c r="C2452">
        <v>112.151</v>
      </c>
      <c r="D2452" s="15">
        <f t="shared" si="116"/>
        <v>7.5000000000002839E-5</v>
      </c>
      <c r="E2452" s="14">
        <f t="shared" si="114"/>
        <v>5.1424574175E-5</v>
      </c>
      <c r="F2452">
        <v>102.645</v>
      </c>
      <c r="G2452" s="1">
        <f t="shared" si="115"/>
        <v>103.757261</v>
      </c>
    </row>
    <row r="2453" spans="1:7" x14ac:dyDescent="0.3">
      <c r="A2453">
        <v>24510</v>
      </c>
      <c r="B2453">
        <v>1662.1</v>
      </c>
      <c r="C2453">
        <v>112.15</v>
      </c>
      <c r="D2453" s="15">
        <f t="shared" si="116"/>
        <v>7.5000000000002839E-5</v>
      </c>
      <c r="E2453" s="14">
        <f t="shared" si="114"/>
        <v>5.1407060699669999E-5</v>
      </c>
      <c r="F2453">
        <v>102.66</v>
      </c>
      <c r="G2453" s="1">
        <f t="shared" si="115"/>
        <v>103.756131</v>
      </c>
    </row>
    <row r="2454" spans="1:7" x14ac:dyDescent="0.3">
      <c r="A2454">
        <v>24520</v>
      </c>
      <c r="B2454">
        <v>1656.3</v>
      </c>
      <c r="C2454">
        <v>112.149</v>
      </c>
      <c r="D2454" s="15">
        <f t="shared" si="116"/>
        <v>9.9999999999766942E-5</v>
      </c>
      <c r="E2454" s="14">
        <f t="shared" si="114"/>
        <v>5.1389559907679999E-5</v>
      </c>
      <c r="F2454">
        <v>102.67400000000001</v>
      </c>
      <c r="G2454" s="1">
        <f t="shared" si="115"/>
        <v>103.75500100000001</v>
      </c>
    </row>
    <row r="2455" spans="1:7" x14ac:dyDescent="0.3">
      <c r="A2455">
        <v>24530</v>
      </c>
      <c r="B2455">
        <v>1647.8</v>
      </c>
      <c r="C2455">
        <v>112.148</v>
      </c>
      <c r="D2455" s="15">
        <f t="shared" si="116"/>
        <v>1.0000000000012221E-4</v>
      </c>
      <c r="E2455" s="14">
        <f t="shared" si="114"/>
        <v>5.1372071799030001E-5</v>
      </c>
      <c r="F2455">
        <v>102.68899999999999</v>
      </c>
      <c r="G2455" s="1">
        <f t="shared" si="115"/>
        <v>103.753871</v>
      </c>
    </row>
    <row r="2456" spans="1:7" x14ac:dyDescent="0.3">
      <c r="A2456">
        <v>24540</v>
      </c>
      <c r="B2456">
        <v>1637.8</v>
      </c>
      <c r="C2456">
        <v>112.14700000000001</v>
      </c>
      <c r="D2456" s="15">
        <f t="shared" si="116"/>
        <v>1.0000000000012221E-4</v>
      </c>
      <c r="E2456" s="14">
        <f t="shared" si="114"/>
        <v>5.135459637371999E-5</v>
      </c>
      <c r="F2456">
        <v>102.70399999999999</v>
      </c>
      <c r="G2456" s="1">
        <f t="shared" si="115"/>
        <v>103.752741</v>
      </c>
    </row>
    <row r="2457" spans="1:7" x14ac:dyDescent="0.3">
      <c r="A2457">
        <v>24550</v>
      </c>
      <c r="B2457">
        <v>1633.2</v>
      </c>
      <c r="C2457">
        <v>112.146</v>
      </c>
      <c r="D2457" s="15">
        <f t="shared" si="116"/>
        <v>9.9999999999766942E-5</v>
      </c>
      <c r="E2457" s="14">
        <f t="shared" si="114"/>
        <v>5.1337133631749993E-5</v>
      </c>
      <c r="F2457">
        <v>102.71899999999999</v>
      </c>
      <c r="G2457" s="1">
        <f t="shared" si="115"/>
        <v>103.751611</v>
      </c>
    </row>
    <row r="2458" spans="1:7" x14ac:dyDescent="0.3">
      <c r="A2458">
        <v>24560</v>
      </c>
      <c r="B2458">
        <v>1628.7</v>
      </c>
      <c r="C2458">
        <v>112.145</v>
      </c>
      <c r="D2458" s="15">
        <f t="shared" si="116"/>
        <v>1.0000000000012221E-4</v>
      </c>
      <c r="E2458" s="14">
        <f t="shared" si="114"/>
        <v>5.1319683573119998E-5</v>
      </c>
      <c r="F2458">
        <v>102.733</v>
      </c>
      <c r="G2458" s="1">
        <f t="shared" si="115"/>
        <v>103.75048100000001</v>
      </c>
    </row>
    <row r="2459" spans="1:7" x14ac:dyDescent="0.3">
      <c r="A2459">
        <v>24570</v>
      </c>
      <c r="B2459">
        <v>1624.4</v>
      </c>
      <c r="C2459">
        <v>112.14400000000001</v>
      </c>
      <c r="D2459" s="15">
        <f t="shared" si="116"/>
        <v>1.0000000000012221E-4</v>
      </c>
      <c r="E2459" s="14">
        <f t="shared" si="114"/>
        <v>5.130224619782999E-5</v>
      </c>
      <c r="F2459">
        <v>102.748</v>
      </c>
      <c r="G2459" s="1">
        <f t="shared" si="115"/>
        <v>103.749351</v>
      </c>
    </row>
    <row r="2460" spans="1:7" x14ac:dyDescent="0.3">
      <c r="A2460">
        <v>24580</v>
      </c>
      <c r="B2460">
        <v>1618.7</v>
      </c>
      <c r="C2460">
        <v>112.143</v>
      </c>
      <c r="D2460" s="15">
        <f t="shared" si="116"/>
        <v>7.5000000000002839E-5</v>
      </c>
      <c r="E2460" s="14">
        <f t="shared" si="114"/>
        <v>5.1284821505879997E-5</v>
      </c>
      <c r="F2460">
        <v>102.762</v>
      </c>
      <c r="G2460" s="1">
        <f t="shared" si="115"/>
        <v>103.748221</v>
      </c>
    </row>
    <row r="2461" spans="1:7" x14ac:dyDescent="0.3">
      <c r="A2461">
        <v>24590</v>
      </c>
      <c r="B2461">
        <v>1614.4</v>
      </c>
      <c r="C2461">
        <v>112.142</v>
      </c>
      <c r="D2461" s="15">
        <f t="shared" si="116"/>
        <v>7.5000000000002839E-5</v>
      </c>
      <c r="E2461" s="14">
        <f t="shared" si="114"/>
        <v>5.1267409497269992E-5</v>
      </c>
      <c r="F2461">
        <v>102.777</v>
      </c>
      <c r="G2461" s="1">
        <f t="shared" si="115"/>
        <v>103.747091</v>
      </c>
    </row>
    <row r="2462" spans="1:7" x14ac:dyDescent="0.3">
      <c r="A2462">
        <v>24600</v>
      </c>
      <c r="B2462">
        <v>1610.2</v>
      </c>
      <c r="C2462">
        <v>112.142</v>
      </c>
      <c r="D2462" s="15">
        <f t="shared" si="116"/>
        <v>7.5000000000002839E-5</v>
      </c>
      <c r="E2462" s="14">
        <f t="shared" si="114"/>
        <v>5.1250010171999987E-5</v>
      </c>
      <c r="F2462">
        <v>102.791</v>
      </c>
      <c r="G2462" s="1">
        <f t="shared" si="115"/>
        <v>103.74596100000001</v>
      </c>
    </row>
    <row r="2463" spans="1:7" x14ac:dyDescent="0.3">
      <c r="A2463">
        <v>24610</v>
      </c>
      <c r="B2463">
        <v>1605.8</v>
      </c>
      <c r="C2463">
        <v>112.14100000000001</v>
      </c>
      <c r="D2463" s="15">
        <f t="shared" si="116"/>
        <v>7.5000000000002839E-5</v>
      </c>
      <c r="E2463" s="14">
        <f t="shared" si="114"/>
        <v>5.1232623530069997E-5</v>
      </c>
      <c r="F2463">
        <v>102.806</v>
      </c>
      <c r="G2463" s="1">
        <f t="shared" si="115"/>
        <v>103.744831</v>
      </c>
    </row>
    <row r="2464" spans="1:7" x14ac:dyDescent="0.3">
      <c r="A2464">
        <v>24620</v>
      </c>
      <c r="B2464">
        <v>1601.7</v>
      </c>
      <c r="C2464">
        <v>112.14</v>
      </c>
      <c r="D2464" s="15">
        <f t="shared" si="116"/>
        <v>9.9999999999766942E-5</v>
      </c>
      <c r="E2464" s="14">
        <f t="shared" si="114"/>
        <v>5.1215249571479981E-5</v>
      </c>
      <c r="F2464">
        <v>102.82</v>
      </c>
      <c r="G2464" s="1">
        <f t="shared" si="115"/>
        <v>103.743701</v>
      </c>
    </row>
    <row r="2465" spans="1:7" x14ac:dyDescent="0.3">
      <c r="A2465">
        <v>24630</v>
      </c>
      <c r="B2465">
        <v>1599.8</v>
      </c>
      <c r="C2465">
        <v>112.139</v>
      </c>
      <c r="D2465" s="15">
        <f t="shared" si="116"/>
        <v>1.0000000000012221E-4</v>
      </c>
      <c r="E2465" s="14">
        <f t="shared" si="114"/>
        <v>5.1197888296229994E-5</v>
      </c>
      <c r="F2465">
        <v>102.83499999999999</v>
      </c>
      <c r="G2465" s="1">
        <f t="shared" si="115"/>
        <v>103.742571</v>
      </c>
    </row>
    <row r="2466" spans="1:7" x14ac:dyDescent="0.3">
      <c r="A2466">
        <v>24640</v>
      </c>
      <c r="B2466">
        <v>1598.3</v>
      </c>
      <c r="C2466">
        <v>112.13800000000001</v>
      </c>
      <c r="D2466" s="15">
        <f t="shared" si="116"/>
        <v>1.0000000000012221E-4</v>
      </c>
      <c r="E2466" s="14">
        <f t="shared" si="114"/>
        <v>5.1180539704320007E-5</v>
      </c>
      <c r="F2466">
        <v>102.85</v>
      </c>
      <c r="G2466" s="1">
        <f t="shared" si="115"/>
        <v>103.74144100000001</v>
      </c>
    </row>
    <row r="2467" spans="1:7" x14ac:dyDescent="0.3">
      <c r="A2467">
        <v>24650</v>
      </c>
      <c r="B2467">
        <v>1596.6</v>
      </c>
      <c r="C2467">
        <v>112.137</v>
      </c>
      <c r="D2467" s="15">
        <f t="shared" si="116"/>
        <v>7.5000000000002839E-5</v>
      </c>
      <c r="E2467" s="14">
        <f t="shared" si="114"/>
        <v>5.1163203795749981E-5</v>
      </c>
      <c r="F2467">
        <v>102.86499999999999</v>
      </c>
      <c r="G2467" s="1">
        <f t="shared" si="115"/>
        <v>103.74031100000001</v>
      </c>
    </row>
    <row r="2468" spans="1:7" x14ac:dyDescent="0.3">
      <c r="A2468">
        <v>24660</v>
      </c>
      <c r="B2468">
        <v>1594.8</v>
      </c>
      <c r="C2468">
        <v>112.136</v>
      </c>
      <c r="D2468" s="15">
        <f t="shared" si="116"/>
        <v>7.5000000000002839E-5</v>
      </c>
      <c r="E2468" s="14">
        <f t="shared" si="114"/>
        <v>5.1145880570519997E-5</v>
      </c>
      <c r="F2468">
        <v>102.879</v>
      </c>
      <c r="G2468" s="1">
        <f t="shared" si="115"/>
        <v>103.739181</v>
      </c>
    </row>
    <row r="2469" spans="1:7" x14ac:dyDescent="0.3">
      <c r="A2469">
        <v>24670</v>
      </c>
      <c r="B2469">
        <v>1593.4</v>
      </c>
      <c r="C2469">
        <v>112.136</v>
      </c>
      <c r="D2469" s="15">
        <f t="shared" si="116"/>
        <v>7.5000000000002839E-5</v>
      </c>
      <c r="E2469" s="14">
        <f t="shared" si="114"/>
        <v>5.112857002863E-5</v>
      </c>
      <c r="F2469">
        <v>102.89400000000001</v>
      </c>
      <c r="G2469" s="1">
        <f t="shared" si="115"/>
        <v>103.738051</v>
      </c>
    </row>
    <row r="2470" spans="1:7" x14ac:dyDescent="0.3">
      <c r="A2470">
        <v>24680</v>
      </c>
      <c r="B2470">
        <v>1592.6</v>
      </c>
      <c r="C2470">
        <v>112.13500000000001</v>
      </c>
      <c r="D2470" s="15">
        <f t="shared" si="116"/>
        <v>7.5000000000002839E-5</v>
      </c>
      <c r="E2470" s="14">
        <f t="shared" si="114"/>
        <v>5.1111272170079991E-5</v>
      </c>
      <c r="F2470">
        <v>102.90900000000001</v>
      </c>
      <c r="G2470" s="1">
        <f t="shared" si="115"/>
        <v>103.73692100000001</v>
      </c>
    </row>
    <row r="2471" spans="1:7" x14ac:dyDescent="0.3">
      <c r="A2471">
        <v>24690</v>
      </c>
      <c r="B2471">
        <v>1592.3</v>
      </c>
      <c r="C2471">
        <v>112.134</v>
      </c>
      <c r="D2471" s="15">
        <f t="shared" si="116"/>
        <v>9.9999999999766942E-5</v>
      </c>
      <c r="E2471" s="14">
        <f t="shared" si="114"/>
        <v>5.1093986994869996E-5</v>
      </c>
      <c r="F2471">
        <v>102.923</v>
      </c>
      <c r="G2471" s="1">
        <f t="shared" si="115"/>
        <v>103.73579100000001</v>
      </c>
    </row>
    <row r="2472" spans="1:7" x14ac:dyDescent="0.3">
      <c r="A2472">
        <v>24700</v>
      </c>
      <c r="B2472">
        <v>1592.4</v>
      </c>
      <c r="C2472">
        <v>112.133</v>
      </c>
      <c r="D2472" s="15">
        <f t="shared" si="116"/>
        <v>1.0000000000012221E-4</v>
      </c>
      <c r="E2472" s="14">
        <f t="shared" si="114"/>
        <v>5.1076714503000002E-5</v>
      </c>
      <c r="F2472">
        <v>102.938</v>
      </c>
      <c r="G2472" s="1">
        <f t="shared" si="115"/>
        <v>103.734661</v>
      </c>
    </row>
    <row r="2473" spans="1:7" x14ac:dyDescent="0.3">
      <c r="A2473">
        <v>24710</v>
      </c>
      <c r="B2473">
        <v>1592.7</v>
      </c>
      <c r="C2473">
        <v>112.13200000000001</v>
      </c>
      <c r="D2473" s="15">
        <f t="shared" si="116"/>
        <v>1.0000000000012221E-4</v>
      </c>
      <c r="E2473" s="14">
        <f t="shared" si="114"/>
        <v>5.1059454694469983E-5</v>
      </c>
      <c r="F2473">
        <v>102.952</v>
      </c>
      <c r="G2473" s="1">
        <f t="shared" si="115"/>
        <v>103.733531</v>
      </c>
    </row>
    <row r="2474" spans="1:7" x14ac:dyDescent="0.3">
      <c r="A2474">
        <v>24720</v>
      </c>
      <c r="B2474">
        <v>1592.8</v>
      </c>
      <c r="C2474">
        <v>112.131</v>
      </c>
      <c r="D2474" s="15">
        <f t="shared" si="116"/>
        <v>9.9999999999766942E-5</v>
      </c>
      <c r="E2474" s="14">
        <f t="shared" si="114"/>
        <v>5.1042207569279991E-5</v>
      </c>
      <c r="F2474">
        <v>102.967</v>
      </c>
      <c r="G2474" s="1">
        <f t="shared" si="115"/>
        <v>103.73240100000001</v>
      </c>
    </row>
    <row r="2475" spans="1:7" x14ac:dyDescent="0.3">
      <c r="A2475">
        <v>24730</v>
      </c>
      <c r="B2475">
        <v>1593.5</v>
      </c>
      <c r="C2475">
        <v>112.13</v>
      </c>
      <c r="D2475" s="15">
        <f t="shared" si="116"/>
        <v>7.5000000000002839E-5</v>
      </c>
      <c r="E2475" s="14">
        <f t="shared" si="114"/>
        <v>5.1024973127429988E-5</v>
      </c>
      <c r="F2475">
        <v>102.98099999999999</v>
      </c>
      <c r="G2475" s="1">
        <f t="shared" si="115"/>
        <v>103.73127100000001</v>
      </c>
    </row>
    <row r="2476" spans="1:7" x14ac:dyDescent="0.3">
      <c r="A2476">
        <v>24740</v>
      </c>
      <c r="B2476">
        <v>1593.6</v>
      </c>
      <c r="C2476">
        <v>112.129</v>
      </c>
      <c r="D2476" s="15">
        <f t="shared" si="116"/>
        <v>7.5000000000002839E-5</v>
      </c>
      <c r="E2476" s="14">
        <f t="shared" si="114"/>
        <v>5.1007751368919985E-5</v>
      </c>
      <c r="F2476">
        <v>102.997</v>
      </c>
      <c r="G2476" s="1">
        <f t="shared" si="115"/>
        <v>103.730141</v>
      </c>
    </row>
    <row r="2477" spans="1:7" x14ac:dyDescent="0.3">
      <c r="A2477">
        <v>24750</v>
      </c>
      <c r="B2477">
        <v>1594</v>
      </c>
      <c r="C2477">
        <v>112.129</v>
      </c>
      <c r="D2477" s="15">
        <f t="shared" si="116"/>
        <v>7.5000000000002839E-5</v>
      </c>
      <c r="E2477" s="14">
        <f t="shared" si="114"/>
        <v>5.0990542293749997E-5</v>
      </c>
      <c r="F2477">
        <v>103.011</v>
      </c>
      <c r="G2477" s="1">
        <f t="shared" si="115"/>
        <v>103.729011</v>
      </c>
    </row>
    <row r="2478" spans="1:7" x14ac:dyDescent="0.3">
      <c r="A2478">
        <v>24760</v>
      </c>
      <c r="B2478">
        <v>1594.2</v>
      </c>
      <c r="C2478">
        <v>112.128</v>
      </c>
      <c r="D2478" s="15">
        <f t="shared" si="116"/>
        <v>7.5000000000002839E-5</v>
      </c>
      <c r="E2478" s="14">
        <f t="shared" si="114"/>
        <v>5.0973345901919983E-5</v>
      </c>
      <c r="F2478">
        <v>103.026</v>
      </c>
      <c r="G2478" s="1">
        <f t="shared" si="115"/>
        <v>103.727881</v>
      </c>
    </row>
    <row r="2479" spans="1:7" x14ac:dyDescent="0.3">
      <c r="A2479">
        <v>24770</v>
      </c>
      <c r="B2479">
        <v>1594.8</v>
      </c>
      <c r="C2479">
        <v>112.127</v>
      </c>
      <c r="D2479" s="15">
        <f t="shared" si="116"/>
        <v>1.0000000000012221E-4</v>
      </c>
      <c r="E2479" s="14">
        <f t="shared" si="114"/>
        <v>5.0956162193429997E-5</v>
      </c>
      <c r="F2479">
        <v>103.04</v>
      </c>
      <c r="G2479" s="1">
        <f t="shared" si="115"/>
        <v>103.72675100000001</v>
      </c>
    </row>
    <row r="2480" spans="1:7" x14ac:dyDescent="0.3">
      <c r="A2480">
        <v>24780</v>
      </c>
      <c r="B2480">
        <v>1595.2</v>
      </c>
      <c r="C2480">
        <v>112.126</v>
      </c>
      <c r="D2480" s="15">
        <f t="shared" si="116"/>
        <v>1.0000000000012221E-4</v>
      </c>
      <c r="E2480" s="14">
        <f t="shared" si="114"/>
        <v>5.0938991168280012E-5</v>
      </c>
      <c r="F2480">
        <v>103.05500000000001</v>
      </c>
      <c r="G2480" s="1">
        <f t="shared" si="115"/>
        <v>103.725621</v>
      </c>
    </row>
    <row r="2481" spans="1:7" x14ac:dyDescent="0.3">
      <c r="A2481">
        <v>24790</v>
      </c>
      <c r="B2481">
        <v>1595.6</v>
      </c>
      <c r="C2481">
        <v>112.125</v>
      </c>
      <c r="D2481" s="15">
        <f t="shared" si="116"/>
        <v>9.9999999999766942E-5</v>
      </c>
      <c r="E2481" s="14">
        <f t="shared" si="114"/>
        <v>5.0921832826470001E-5</v>
      </c>
      <c r="F2481">
        <v>103.069</v>
      </c>
      <c r="G2481" s="1">
        <f t="shared" si="115"/>
        <v>103.724491</v>
      </c>
    </row>
    <row r="2482" spans="1:7" x14ac:dyDescent="0.3">
      <c r="A2482">
        <v>24800</v>
      </c>
      <c r="B2482">
        <v>1596</v>
      </c>
      <c r="C2482">
        <v>112.124</v>
      </c>
      <c r="D2482" s="15">
        <f t="shared" si="116"/>
        <v>7.5000000000002839E-5</v>
      </c>
      <c r="E2482" s="14">
        <f t="shared" si="114"/>
        <v>5.0904687167999991E-5</v>
      </c>
      <c r="F2482">
        <v>103.084</v>
      </c>
      <c r="G2482" s="1">
        <f t="shared" si="115"/>
        <v>103.723361</v>
      </c>
    </row>
    <row r="2483" spans="1:7" x14ac:dyDescent="0.3">
      <c r="A2483">
        <v>24810</v>
      </c>
      <c r="B2483">
        <v>1596.5</v>
      </c>
      <c r="C2483">
        <v>112.123</v>
      </c>
      <c r="D2483" s="15">
        <f t="shared" si="116"/>
        <v>7.5000000000002839E-5</v>
      </c>
      <c r="E2483" s="14">
        <f t="shared" si="114"/>
        <v>5.0887554192869983E-5</v>
      </c>
      <c r="F2483">
        <v>103.099</v>
      </c>
      <c r="G2483" s="1">
        <f t="shared" si="115"/>
        <v>103.72223100000001</v>
      </c>
    </row>
    <row r="2484" spans="1:7" x14ac:dyDescent="0.3">
      <c r="A2484">
        <v>24820</v>
      </c>
      <c r="B2484">
        <v>1594.6</v>
      </c>
      <c r="C2484">
        <v>112.123</v>
      </c>
      <c r="D2484" s="15">
        <f t="shared" si="116"/>
        <v>7.5000000000002839E-5</v>
      </c>
      <c r="E2484" s="14">
        <f t="shared" si="114"/>
        <v>5.0870433901079989E-5</v>
      </c>
      <c r="F2484">
        <v>103.10899999999999</v>
      </c>
      <c r="G2484" s="1">
        <f t="shared" si="115"/>
        <v>103.721101</v>
      </c>
    </row>
    <row r="2485" spans="1:7" x14ac:dyDescent="0.3">
      <c r="A2485">
        <v>24830</v>
      </c>
      <c r="B2485">
        <v>1592.6</v>
      </c>
      <c r="C2485">
        <v>112.122</v>
      </c>
      <c r="D2485" s="15">
        <f t="shared" si="116"/>
        <v>7.5000000000002839E-5</v>
      </c>
      <c r="E2485" s="14">
        <f t="shared" si="114"/>
        <v>5.0853326292629996E-5</v>
      </c>
      <c r="F2485">
        <v>103.11799999999999</v>
      </c>
      <c r="G2485" s="1">
        <f t="shared" si="115"/>
        <v>103.719971</v>
      </c>
    </row>
    <row r="2486" spans="1:7" x14ac:dyDescent="0.3">
      <c r="A2486">
        <v>24840</v>
      </c>
      <c r="B2486">
        <v>1590.8</v>
      </c>
      <c r="C2486">
        <v>112.121</v>
      </c>
      <c r="D2486" s="15">
        <f t="shared" si="116"/>
        <v>1.0000000000012221E-4</v>
      </c>
      <c r="E2486" s="14">
        <f t="shared" si="114"/>
        <v>5.0836231367519991E-5</v>
      </c>
      <c r="F2486">
        <v>103.126</v>
      </c>
      <c r="G2486" s="1">
        <f t="shared" si="115"/>
        <v>103.718841</v>
      </c>
    </row>
    <row r="2487" spans="1:7" x14ac:dyDescent="0.3">
      <c r="A2487">
        <v>24850</v>
      </c>
      <c r="B2487">
        <v>1589</v>
      </c>
      <c r="C2487">
        <v>112.12</v>
      </c>
      <c r="D2487" s="15">
        <f t="shared" si="116"/>
        <v>1.0000000000012221E-4</v>
      </c>
      <c r="E2487" s="14">
        <f t="shared" si="114"/>
        <v>5.0819149125749986E-5</v>
      </c>
      <c r="F2487">
        <v>103.13500000000001</v>
      </c>
      <c r="G2487" s="1">
        <f t="shared" si="115"/>
        <v>103.71771100000001</v>
      </c>
    </row>
    <row r="2488" spans="1:7" x14ac:dyDescent="0.3">
      <c r="A2488">
        <v>24860</v>
      </c>
      <c r="B2488">
        <v>1586.8</v>
      </c>
      <c r="C2488">
        <v>112.119</v>
      </c>
      <c r="D2488" s="15">
        <f t="shared" si="116"/>
        <v>9.9999999999766942E-5</v>
      </c>
      <c r="E2488" s="14">
        <f t="shared" si="114"/>
        <v>5.0802079567319997E-5</v>
      </c>
      <c r="F2488">
        <v>103.143</v>
      </c>
      <c r="G2488" s="1">
        <f t="shared" si="115"/>
        <v>103.71658100000001</v>
      </c>
    </row>
    <row r="2489" spans="1:7" x14ac:dyDescent="0.3">
      <c r="A2489">
        <v>24870</v>
      </c>
      <c r="B2489">
        <v>1585</v>
      </c>
      <c r="C2489">
        <v>112.11799999999999</v>
      </c>
      <c r="D2489" s="15">
        <f t="shared" si="116"/>
        <v>1.0000000000012221E-4</v>
      </c>
      <c r="E2489" s="14">
        <f t="shared" si="114"/>
        <v>5.0785022692229981E-5</v>
      </c>
      <c r="F2489">
        <v>103.151</v>
      </c>
      <c r="G2489" s="1">
        <f t="shared" si="115"/>
        <v>103.715451</v>
      </c>
    </row>
    <row r="2490" spans="1:7" x14ac:dyDescent="0.3">
      <c r="A2490">
        <v>24880</v>
      </c>
      <c r="B2490">
        <v>1583.3</v>
      </c>
      <c r="C2490">
        <v>112.117</v>
      </c>
      <c r="D2490" s="15">
        <f t="shared" si="116"/>
        <v>7.5000000000002839E-5</v>
      </c>
      <c r="E2490" s="14">
        <f t="shared" si="114"/>
        <v>5.0767978500480007E-5</v>
      </c>
      <c r="F2490">
        <v>103.15900000000001</v>
      </c>
      <c r="G2490" s="1">
        <f t="shared" si="115"/>
        <v>103.714321</v>
      </c>
    </row>
    <row r="2491" spans="1:7" x14ac:dyDescent="0.3">
      <c r="A2491">
        <v>24890</v>
      </c>
      <c r="B2491">
        <v>1582.1</v>
      </c>
      <c r="C2491">
        <v>112.116</v>
      </c>
      <c r="D2491" s="15">
        <f t="shared" si="116"/>
        <v>7.5000000000002839E-5</v>
      </c>
      <c r="E2491" s="14">
        <f t="shared" si="114"/>
        <v>5.0750946992070007E-5</v>
      </c>
      <c r="F2491">
        <v>103.16800000000001</v>
      </c>
      <c r="G2491" s="1">
        <f t="shared" si="115"/>
        <v>103.71319100000001</v>
      </c>
    </row>
    <row r="2492" spans="1:7" x14ac:dyDescent="0.3">
      <c r="A2492">
        <v>24900</v>
      </c>
      <c r="B2492">
        <v>1581</v>
      </c>
      <c r="C2492">
        <v>112.116</v>
      </c>
      <c r="D2492" s="15">
        <f t="shared" si="116"/>
        <v>7.5000000000002839E-5</v>
      </c>
      <c r="E2492" s="14">
        <f t="shared" si="114"/>
        <v>5.0733928166999995E-5</v>
      </c>
      <c r="F2492">
        <v>103.176</v>
      </c>
      <c r="G2492" s="1">
        <f t="shared" si="115"/>
        <v>103.71206100000001</v>
      </c>
    </row>
    <row r="2493" spans="1:7" x14ac:dyDescent="0.3">
      <c r="A2493">
        <v>24910</v>
      </c>
      <c r="B2493">
        <v>1580.1</v>
      </c>
      <c r="C2493">
        <v>112.11499999999999</v>
      </c>
      <c r="D2493" s="15">
        <f t="shared" si="116"/>
        <v>7.5000000000002839E-5</v>
      </c>
      <c r="E2493" s="14">
        <f t="shared" si="114"/>
        <v>5.0716922025269997E-5</v>
      </c>
      <c r="F2493">
        <v>103.185</v>
      </c>
      <c r="G2493" s="1">
        <f t="shared" si="115"/>
        <v>103.710931</v>
      </c>
    </row>
    <row r="2494" spans="1:7" x14ac:dyDescent="0.3">
      <c r="A2494">
        <v>24920</v>
      </c>
      <c r="B2494">
        <v>1578.9</v>
      </c>
      <c r="C2494">
        <v>112.114</v>
      </c>
      <c r="D2494" s="15">
        <f t="shared" si="116"/>
        <v>1.0000000000012221E-4</v>
      </c>
      <c r="E2494" s="14">
        <f t="shared" si="114"/>
        <v>5.0699928566879987E-5</v>
      </c>
      <c r="F2494">
        <v>103.193</v>
      </c>
      <c r="G2494" s="1">
        <f t="shared" si="115"/>
        <v>103.709801</v>
      </c>
    </row>
    <row r="2495" spans="1:7" x14ac:dyDescent="0.3">
      <c r="A2495">
        <v>24930</v>
      </c>
      <c r="B2495">
        <v>1577.9</v>
      </c>
      <c r="C2495">
        <v>112.113</v>
      </c>
      <c r="D2495" s="15">
        <f t="shared" si="116"/>
        <v>9.9999999999766942E-5</v>
      </c>
      <c r="E2495" s="14">
        <f t="shared" si="114"/>
        <v>5.0682947791829991E-5</v>
      </c>
      <c r="F2495">
        <v>103.202</v>
      </c>
      <c r="G2495" s="1">
        <f t="shared" si="115"/>
        <v>103.70867100000001</v>
      </c>
    </row>
    <row r="2496" spans="1:7" x14ac:dyDescent="0.3">
      <c r="A2496">
        <v>24940</v>
      </c>
      <c r="B2496">
        <v>1576.8</v>
      </c>
      <c r="C2496">
        <v>112.11199999999999</v>
      </c>
      <c r="D2496" s="15">
        <f t="shared" si="116"/>
        <v>1.0000000000012221E-4</v>
      </c>
      <c r="E2496" s="14">
        <f t="shared" si="114"/>
        <v>5.0665979700119997E-5</v>
      </c>
      <c r="F2496">
        <v>103.21</v>
      </c>
      <c r="G2496" s="1">
        <f t="shared" si="115"/>
        <v>103.70754100000001</v>
      </c>
    </row>
    <row r="2497" spans="1:7" x14ac:dyDescent="0.3">
      <c r="A2497">
        <v>24950</v>
      </c>
      <c r="B2497">
        <v>1575.8</v>
      </c>
      <c r="C2497">
        <v>112.111</v>
      </c>
      <c r="D2497" s="15">
        <f t="shared" si="116"/>
        <v>1.0000000000012221E-4</v>
      </c>
      <c r="E2497" s="14">
        <f t="shared" si="114"/>
        <v>5.064902429174999E-5</v>
      </c>
      <c r="F2497">
        <v>103.21899999999999</v>
      </c>
      <c r="G2497" s="1">
        <f t="shared" si="115"/>
        <v>103.706411</v>
      </c>
    </row>
    <row r="2498" spans="1:7" x14ac:dyDescent="0.3">
      <c r="A2498">
        <v>24960</v>
      </c>
      <c r="B2498">
        <v>1574.5</v>
      </c>
      <c r="C2498">
        <v>112.11</v>
      </c>
      <c r="D2498" s="15">
        <f t="shared" si="116"/>
        <v>9.9999999999766942E-5</v>
      </c>
      <c r="E2498" s="14">
        <f t="shared" ref="E2498:E2561" si="117">0.0000000000000634167*A2498*A2498 - 0.0000000048594*A2498 + 0.000132414</f>
        <v>5.0632081566719984E-5</v>
      </c>
      <c r="F2498">
        <v>103.227</v>
      </c>
      <c r="G2498" s="1">
        <f t="shared" si="115"/>
        <v>103.705281</v>
      </c>
    </row>
    <row r="2499" spans="1:7" x14ac:dyDescent="0.3">
      <c r="A2499">
        <v>24970</v>
      </c>
      <c r="B2499">
        <v>1573.7</v>
      </c>
      <c r="C2499">
        <v>112.10899999999999</v>
      </c>
      <c r="D2499" s="15">
        <f t="shared" si="116"/>
        <v>1.0000000000012221E-4</v>
      </c>
      <c r="E2499" s="14">
        <f t="shared" si="117"/>
        <v>5.0615151525029993E-5</v>
      </c>
      <c r="F2499">
        <v>103.236</v>
      </c>
      <c r="G2499" s="1">
        <f t="shared" ref="G2499:G2562" si="118">-0.000113*A2499 + 106.525761</f>
        <v>103.704151</v>
      </c>
    </row>
    <row r="2500" spans="1:7" x14ac:dyDescent="0.3">
      <c r="A2500">
        <v>24980</v>
      </c>
      <c r="B2500">
        <v>1574.1</v>
      </c>
      <c r="C2500">
        <v>112.108</v>
      </c>
      <c r="D2500" s="15">
        <f t="shared" si="116"/>
        <v>1.0000000000012221E-4</v>
      </c>
      <c r="E2500" s="14">
        <f t="shared" si="117"/>
        <v>5.0598234166680003E-5</v>
      </c>
      <c r="F2500">
        <v>103.244</v>
      </c>
      <c r="G2500" s="1">
        <f t="shared" si="118"/>
        <v>103.70302100000001</v>
      </c>
    </row>
    <row r="2501" spans="1:7" x14ac:dyDescent="0.3">
      <c r="A2501">
        <v>24990</v>
      </c>
      <c r="B2501">
        <v>1573.9</v>
      </c>
      <c r="C2501">
        <v>112.107</v>
      </c>
      <c r="D2501" s="15">
        <f t="shared" ref="D2501:D2564" si="119">(C2499-C2503)/(A2503-A2499)</f>
        <v>9.9999999999766942E-5</v>
      </c>
      <c r="E2501" s="14">
        <f t="shared" si="117"/>
        <v>5.0581329491670001E-5</v>
      </c>
      <c r="F2501">
        <v>103.253</v>
      </c>
      <c r="G2501" s="1">
        <f t="shared" si="118"/>
        <v>103.701891</v>
      </c>
    </row>
    <row r="2502" spans="1:7" x14ac:dyDescent="0.3">
      <c r="A2502">
        <v>25000</v>
      </c>
      <c r="B2502">
        <v>1573.6</v>
      </c>
      <c r="C2502">
        <v>112.10599999999999</v>
      </c>
      <c r="D2502" s="15">
        <f t="shared" si="119"/>
        <v>1.0000000000012221E-4</v>
      </c>
      <c r="E2502" s="14">
        <f t="shared" si="117"/>
        <v>5.0564437499999999E-5</v>
      </c>
      <c r="F2502">
        <v>103.261</v>
      </c>
      <c r="G2502" s="1">
        <f t="shared" si="118"/>
        <v>103.700761</v>
      </c>
    </row>
    <row r="2503" spans="1:7" x14ac:dyDescent="0.3">
      <c r="A2503">
        <v>25010</v>
      </c>
      <c r="B2503">
        <v>1573.6</v>
      </c>
      <c r="C2503">
        <v>112.105</v>
      </c>
      <c r="D2503" s="15">
        <f t="shared" si="119"/>
        <v>1.0000000000012221E-4</v>
      </c>
      <c r="E2503" s="14">
        <f t="shared" si="117"/>
        <v>5.0547558191669985E-5</v>
      </c>
      <c r="F2503">
        <v>103.27</v>
      </c>
      <c r="G2503" s="1">
        <f t="shared" si="118"/>
        <v>103.699631</v>
      </c>
    </row>
    <row r="2504" spans="1:7" x14ac:dyDescent="0.3">
      <c r="A2504">
        <v>25020</v>
      </c>
      <c r="B2504">
        <v>1573.5</v>
      </c>
      <c r="C2504">
        <v>112.104</v>
      </c>
      <c r="D2504" s="15">
        <f t="shared" si="119"/>
        <v>7.5000000000002839E-5</v>
      </c>
      <c r="E2504" s="14">
        <f t="shared" si="117"/>
        <v>5.053069156668E-5</v>
      </c>
      <c r="F2504">
        <v>103.27800000000001</v>
      </c>
      <c r="G2504" s="1">
        <f t="shared" si="118"/>
        <v>103.69850100000001</v>
      </c>
    </row>
    <row r="2505" spans="1:7" x14ac:dyDescent="0.3">
      <c r="A2505">
        <v>25030</v>
      </c>
      <c r="B2505">
        <v>1574.4</v>
      </c>
      <c r="C2505">
        <v>112.10299999999999</v>
      </c>
      <c r="D2505" s="15">
        <f t="shared" si="119"/>
        <v>7.5000000000002839E-5</v>
      </c>
      <c r="E2505" s="14">
        <f t="shared" si="117"/>
        <v>5.0513837625029988E-5</v>
      </c>
      <c r="F2505">
        <v>103.28700000000001</v>
      </c>
      <c r="G2505" s="1">
        <f t="shared" si="118"/>
        <v>103.697371</v>
      </c>
    </row>
    <row r="2506" spans="1:7" x14ac:dyDescent="0.3">
      <c r="A2506">
        <v>25040</v>
      </c>
      <c r="B2506">
        <v>1575.3</v>
      </c>
      <c r="C2506">
        <v>112.10299999999999</v>
      </c>
      <c r="D2506" s="15">
        <f t="shared" si="119"/>
        <v>7.5000000000002839E-5</v>
      </c>
      <c r="E2506" s="14">
        <f t="shared" si="117"/>
        <v>5.0496996366720004E-5</v>
      </c>
      <c r="F2506">
        <v>103.295</v>
      </c>
      <c r="G2506" s="1">
        <f t="shared" si="118"/>
        <v>103.696241</v>
      </c>
    </row>
    <row r="2507" spans="1:7" x14ac:dyDescent="0.3">
      <c r="A2507">
        <v>25050</v>
      </c>
      <c r="B2507">
        <v>1575.3</v>
      </c>
      <c r="C2507">
        <v>112.102</v>
      </c>
      <c r="D2507" s="15">
        <f t="shared" si="119"/>
        <v>7.5000000000002839E-5</v>
      </c>
      <c r="E2507" s="14">
        <f t="shared" si="117"/>
        <v>5.0480167791749995E-5</v>
      </c>
      <c r="F2507">
        <v>103.304</v>
      </c>
      <c r="G2507" s="1">
        <f t="shared" si="118"/>
        <v>103.695111</v>
      </c>
    </row>
    <row r="2508" spans="1:7" x14ac:dyDescent="0.3">
      <c r="A2508">
        <v>25060</v>
      </c>
      <c r="B2508">
        <v>1576.3</v>
      </c>
      <c r="C2508">
        <v>112.101</v>
      </c>
      <c r="D2508" s="15">
        <f t="shared" si="119"/>
        <v>9.9999999999766942E-5</v>
      </c>
      <c r="E2508" s="14">
        <f t="shared" si="117"/>
        <v>5.0463351900119986E-5</v>
      </c>
      <c r="F2508">
        <v>103.312</v>
      </c>
      <c r="G2508" s="1">
        <f t="shared" si="118"/>
        <v>103.69398100000001</v>
      </c>
    </row>
    <row r="2509" spans="1:7" x14ac:dyDescent="0.3">
      <c r="A2509">
        <v>25070</v>
      </c>
      <c r="B2509">
        <v>1577.7</v>
      </c>
      <c r="C2509">
        <v>112.1</v>
      </c>
      <c r="D2509" s="15">
        <f t="shared" si="119"/>
        <v>1.0000000000012221E-4</v>
      </c>
      <c r="E2509" s="14">
        <f t="shared" si="117"/>
        <v>5.0446548691829993E-5</v>
      </c>
      <c r="F2509">
        <v>103.321</v>
      </c>
      <c r="G2509" s="1">
        <f t="shared" si="118"/>
        <v>103.692851</v>
      </c>
    </row>
    <row r="2510" spans="1:7" x14ac:dyDescent="0.3">
      <c r="A2510">
        <v>25080</v>
      </c>
      <c r="B2510">
        <v>1579.2</v>
      </c>
      <c r="C2510">
        <v>112.099</v>
      </c>
      <c r="D2510" s="15">
        <f t="shared" si="119"/>
        <v>1.0000000000012221E-4</v>
      </c>
      <c r="E2510" s="14">
        <f t="shared" si="117"/>
        <v>5.042975816688E-5</v>
      </c>
      <c r="F2510">
        <v>103.32899999999999</v>
      </c>
      <c r="G2510" s="1">
        <f t="shared" si="118"/>
        <v>103.691721</v>
      </c>
    </row>
    <row r="2511" spans="1:7" x14ac:dyDescent="0.3">
      <c r="A2511">
        <v>25090</v>
      </c>
      <c r="B2511">
        <v>1580.9</v>
      </c>
      <c r="C2511">
        <v>112.098</v>
      </c>
      <c r="D2511" s="15">
        <f t="shared" si="119"/>
        <v>9.9999999999766942E-5</v>
      </c>
      <c r="E2511" s="14">
        <f t="shared" si="117"/>
        <v>5.0412980325269995E-5</v>
      </c>
      <c r="F2511">
        <v>103.33799999999999</v>
      </c>
      <c r="G2511" s="1">
        <f t="shared" si="118"/>
        <v>103.690591</v>
      </c>
    </row>
    <row r="2512" spans="1:7" x14ac:dyDescent="0.3">
      <c r="A2512">
        <v>25100</v>
      </c>
      <c r="B2512">
        <v>1583.1</v>
      </c>
      <c r="C2512">
        <v>112.09699999999999</v>
      </c>
      <c r="D2512" s="15">
        <f t="shared" si="119"/>
        <v>1.0000000000012221E-4</v>
      </c>
      <c r="E2512" s="14">
        <f t="shared" si="117"/>
        <v>5.0396215166999991E-5</v>
      </c>
      <c r="F2512">
        <v>103.346</v>
      </c>
      <c r="G2512" s="1">
        <f t="shared" si="118"/>
        <v>103.68946100000001</v>
      </c>
    </row>
    <row r="2513" spans="1:7" x14ac:dyDescent="0.3">
      <c r="A2513">
        <v>25110</v>
      </c>
      <c r="B2513">
        <v>1600.3</v>
      </c>
      <c r="C2513">
        <v>112.096</v>
      </c>
      <c r="D2513" s="15">
        <f t="shared" si="119"/>
        <v>1.0000000000012221E-4</v>
      </c>
      <c r="E2513" s="14">
        <f t="shared" si="117"/>
        <v>5.0379462692069988E-5</v>
      </c>
      <c r="F2513">
        <v>103.355</v>
      </c>
      <c r="G2513" s="1">
        <f t="shared" si="118"/>
        <v>103.68833100000001</v>
      </c>
    </row>
    <row r="2514" spans="1:7" x14ac:dyDescent="0.3">
      <c r="A2514">
        <v>25120</v>
      </c>
      <c r="B2514">
        <v>1615</v>
      </c>
      <c r="C2514">
        <v>112.095</v>
      </c>
      <c r="D2514" s="15">
        <f t="shared" si="119"/>
        <v>9.9999999999766942E-5</v>
      </c>
      <c r="E2514" s="14">
        <f t="shared" si="117"/>
        <v>5.0362722900479986E-5</v>
      </c>
      <c r="F2514">
        <v>103.363</v>
      </c>
      <c r="G2514" s="1">
        <f t="shared" si="118"/>
        <v>103.687201</v>
      </c>
    </row>
    <row r="2515" spans="1:7" x14ac:dyDescent="0.3">
      <c r="A2515">
        <v>25130</v>
      </c>
      <c r="B2515">
        <v>1612.9</v>
      </c>
      <c r="C2515">
        <v>112.09399999999999</v>
      </c>
      <c r="D2515" s="15">
        <f t="shared" si="119"/>
        <v>1.2500000000024159E-4</v>
      </c>
      <c r="E2515" s="14">
        <f t="shared" si="117"/>
        <v>5.0345995792229985E-5</v>
      </c>
      <c r="F2515">
        <v>103.372</v>
      </c>
      <c r="G2515" s="1">
        <f t="shared" si="118"/>
        <v>103.686071</v>
      </c>
    </row>
    <row r="2516" spans="1:7" x14ac:dyDescent="0.3">
      <c r="A2516">
        <v>25140</v>
      </c>
      <c r="B2516">
        <v>1610.1</v>
      </c>
      <c r="C2516">
        <v>112.093</v>
      </c>
      <c r="D2516" s="15">
        <f t="shared" si="119"/>
        <v>1.2499999999988632E-4</v>
      </c>
      <c r="E2516" s="14">
        <f t="shared" si="117"/>
        <v>5.0329281367320013E-5</v>
      </c>
      <c r="F2516">
        <v>103.38</v>
      </c>
      <c r="G2516" s="1">
        <f t="shared" si="118"/>
        <v>103.68494100000001</v>
      </c>
    </row>
    <row r="2517" spans="1:7" x14ac:dyDescent="0.3">
      <c r="A2517">
        <v>25150</v>
      </c>
      <c r="B2517">
        <v>1607.8</v>
      </c>
      <c r="C2517">
        <v>112.09099999999999</v>
      </c>
      <c r="D2517" s="15">
        <f t="shared" si="119"/>
        <v>1.2499999999988632E-4</v>
      </c>
      <c r="E2517" s="14">
        <f t="shared" si="117"/>
        <v>5.0312579625749987E-5</v>
      </c>
      <c r="F2517">
        <v>103.389</v>
      </c>
      <c r="G2517" s="1">
        <f t="shared" si="118"/>
        <v>103.68381100000001</v>
      </c>
    </row>
    <row r="2518" spans="1:7" x14ac:dyDescent="0.3">
      <c r="A2518">
        <v>25160</v>
      </c>
      <c r="B2518">
        <v>1605.1</v>
      </c>
      <c r="C2518">
        <v>112.09</v>
      </c>
      <c r="D2518" s="15">
        <f t="shared" si="119"/>
        <v>1.2500000000024159E-4</v>
      </c>
      <c r="E2518" s="14">
        <f t="shared" si="117"/>
        <v>5.0295890567519989E-5</v>
      </c>
      <c r="F2518">
        <v>103.39700000000001</v>
      </c>
      <c r="G2518" s="1">
        <f t="shared" si="118"/>
        <v>103.682681</v>
      </c>
    </row>
    <row r="2519" spans="1:7" x14ac:dyDescent="0.3">
      <c r="A2519">
        <v>25170</v>
      </c>
      <c r="B2519">
        <v>1602.8</v>
      </c>
      <c r="C2519">
        <v>112.089</v>
      </c>
      <c r="D2519" s="15">
        <f t="shared" si="119"/>
        <v>9.9999999999766942E-5</v>
      </c>
      <c r="E2519" s="14">
        <f t="shared" si="117"/>
        <v>5.0279214192630006E-5</v>
      </c>
      <c r="F2519">
        <v>103.40600000000001</v>
      </c>
      <c r="G2519" s="1">
        <f t="shared" si="118"/>
        <v>103.681551</v>
      </c>
    </row>
    <row r="2520" spans="1:7" x14ac:dyDescent="0.3">
      <c r="A2520">
        <v>25180</v>
      </c>
      <c r="B2520">
        <v>1600.2</v>
      </c>
      <c r="C2520">
        <v>112.08799999999999</v>
      </c>
      <c r="D2520" s="15">
        <f t="shared" si="119"/>
        <v>1.0000000000012221E-4</v>
      </c>
      <c r="E2520" s="14">
        <f t="shared" si="117"/>
        <v>5.0262550501079998E-5</v>
      </c>
      <c r="F2520">
        <v>103.413</v>
      </c>
      <c r="G2520" s="1">
        <f t="shared" si="118"/>
        <v>103.68042100000001</v>
      </c>
    </row>
    <row r="2521" spans="1:7" x14ac:dyDescent="0.3">
      <c r="A2521">
        <v>25190</v>
      </c>
      <c r="B2521">
        <v>1598</v>
      </c>
      <c r="C2521">
        <v>112.087</v>
      </c>
      <c r="D2521" s="15">
        <f t="shared" si="119"/>
        <v>1.0000000000012221E-4</v>
      </c>
      <c r="E2521" s="14">
        <f t="shared" si="117"/>
        <v>5.024589949286999E-5</v>
      </c>
      <c r="F2521">
        <v>103.422</v>
      </c>
      <c r="G2521" s="1">
        <f t="shared" si="118"/>
        <v>103.67929100000001</v>
      </c>
    </row>
    <row r="2522" spans="1:7" x14ac:dyDescent="0.3">
      <c r="A2522">
        <v>25200</v>
      </c>
      <c r="B2522">
        <v>1596.3</v>
      </c>
      <c r="C2522">
        <v>112.086</v>
      </c>
      <c r="D2522" s="15">
        <f t="shared" si="119"/>
        <v>9.9999999999766942E-5</v>
      </c>
      <c r="E2522" s="14">
        <f t="shared" si="117"/>
        <v>5.022926116800001E-5</v>
      </c>
      <c r="F2522">
        <v>103.43</v>
      </c>
      <c r="G2522" s="1">
        <f t="shared" si="118"/>
        <v>103.678161</v>
      </c>
    </row>
    <row r="2523" spans="1:7" x14ac:dyDescent="0.3">
      <c r="A2523">
        <v>25210</v>
      </c>
      <c r="B2523">
        <v>1594.1</v>
      </c>
      <c r="C2523">
        <v>112.08499999999999</v>
      </c>
      <c r="D2523" s="15">
        <f t="shared" si="119"/>
        <v>1.0000000000012221E-4</v>
      </c>
      <c r="E2523" s="14">
        <f t="shared" si="117"/>
        <v>5.0212635526469991E-5</v>
      </c>
      <c r="F2523">
        <v>103.43899999999999</v>
      </c>
      <c r="G2523" s="1">
        <f t="shared" si="118"/>
        <v>103.677031</v>
      </c>
    </row>
    <row r="2524" spans="1:7" x14ac:dyDescent="0.3">
      <c r="A2524">
        <v>25220</v>
      </c>
      <c r="B2524">
        <v>1592.3</v>
      </c>
      <c r="C2524">
        <v>112.084</v>
      </c>
      <c r="D2524" s="15">
        <f t="shared" si="119"/>
        <v>1.0000000000012221E-4</v>
      </c>
      <c r="E2524" s="14">
        <f t="shared" si="117"/>
        <v>5.019602256828E-5</v>
      </c>
      <c r="F2524">
        <v>103.447</v>
      </c>
      <c r="G2524" s="1">
        <f t="shared" si="118"/>
        <v>103.675901</v>
      </c>
    </row>
    <row r="2525" spans="1:7" x14ac:dyDescent="0.3">
      <c r="A2525">
        <v>25230</v>
      </c>
      <c r="B2525">
        <v>1590.5</v>
      </c>
      <c r="C2525">
        <v>112.083</v>
      </c>
      <c r="D2525" s="15">
        <f t="shared" si="119"/>
        <v>9.9999999999766942E-5</v>
      </c>
      <c r="E2525" s="14">
        <f t="shared" si="117"/>
        <v>5.017942229343001E-5</v>
      </c>
      <c r="F2525">
        <v>103.455</v>
      </c>
      <c r="G2525" s="1">
        <f t="shared" si="118"/>
        <v>103.67477100000001</v>
      </c>
    </row>
    <row r="2526" spans="1:7" x14ac:dyDescent="0.3">
      <c r="A2526">
        <v>25240</v>
      </c>
      <c r="B2526">
        <v>1589.7</v>
      </c>
      <c r="C2526">
        <v>112.08199999999999</v>
      </c>
      <c r="D2526" s="15">
        <f t="shared" si="119"/>
        <v>1.0000000000012221E-4</v>
      </c>
      <c r="E2526" s="14">
        <f t="shared" si="117"/>
        <v>5.0162834701919994E-5</v>
      </c>
      <c r="F2526">
        <v>103.464</v>
      </c>
      <c r="G2526" s="1">
        <f t="shared" si="118"/>
        <v>103.673641</v>
      </c>
    </row>
    <row r="2527" spans="1:7" x14ac:dyDescent="0.3">
      <c r="A2527">
        <v>25250</v>
      </c>
      <c r="B2527">
        <v>1592.9</v>
      </c>
      <c r="C2527">
        <v>112.081</v>
      </c>
      <c r="D2527" s="15">
        <f t="shared" si="119"/>
        <v>1.0000000000012221E-4</v>
      </c>
      <c r="E2527" s="14">
        <f t="shared" si="117"/>
        <v>5.0146259793749993E-5</v>
      </c>
      <c r="F2527">
        <v>103.47199999999999</v>
      </c>
      <c r="G2527" s="1">
        <f t="shared" si="118"/>
        <v>103.672511</v>
      </c>
    </row>
    <row r="2528" spans="1:7" x14ac:dyDescent="0.3">
      <c r="A2528">
        <v>25260</v>
      </c>
      <c r="B2528">
        <v>1593.2</v>
      </c>
      <c r="C2528">
        <v>112.08</v>
      </c>
      <c r="D2528" s="15">
        <f t="shared" si="119"/>
        <v>9.9999999999766942E-5</v>
      </c>
      <c r="E2528" s="14">
        <f t="shared" si="117"/>
        <v>5.012969756891998E-5</v>
      </c>
      <c r="F2528">
        <v>103.48099999999999</v>
      </c>
      <c r="G2528" s="1">
        <f t="shared" si="118"/>
        <v>103.671381</v>
      </c>
    </row>
    <row r="2529" spans="1:7" x14ac:dyDescent="0.3">
      <c r="A2529">
        <v>25270</v>
      </c>
      <c r="B2529">
        <v>1595</v>
      </c>
      <c r="C2529">
        <v>112.07899999999999</v>
      </c>
      <c r="D2529" s="15">
        <f t="shared" si="119"/>
        <v>1.0000000000012221E-4</v>
      </c>
      <c r="E2529" s="14">
        <f t="shared" si="117"/>
        <v>5.0113148027430008E-5</v>
      </c>
      <c r="F2529">
        <v>103.489</v>
      </c>
      <c r="G2529" s="1">
        <f t="shared" si="118"/>
        <v>103.67025100000001</v>
      </c>
    </row>
    <row r="2530" spans="1:7" x14ac:dyDescent="0.3">
      <c r="A2530">
        <v>25280</v>
      </c>
      <c r="B2530">
        <v>1596.1</v>
      </c>
      <c r="C2530">
        <v>112.078</v>
      </c>
      <c r="D2530" s="15">
        <f t="shared" si="119"/>
        <v>1.0000000000012221E-4</v>
      </c>
      <c r="E2530" s="14">
        <f t="shared" si="117"/>
        <v>5.0096611169279996E-5</v>
      </c>
      <c r="F2530">
        <v>103.498</v>
      </c>
      <c r="G2530" s="1">
        <f t="shared" si="118"/>
        <v>103.669121</v>
      </c>
    </row>
    <row r="2531" spans="1:7" x14ac:dyDescent="0.3">
      <c r="A2531">
        <v>25290</v>
      </c>
      <c r="B2531">
        <v>1597.3</v>
      </c>
      <c r="C2531">
        <v>112.077</v>
      </c>
      <c r="D2531" s="15">
        <f t="shared" si="119"/>
        <v>9.9999999999766942E-5</v>
      </c>
      <c r="E2531" s="14">
        <f t="shared" si="117"/>
        <v>5.0080086994469986E-5</v>
      </c>
      <c r="F2531">
        <v>103.506</v>
      </c>
      <c r="G2531" s="1">
        <f t="shared" si="118"/>
        <v>103.667991</v>
      </c>
    </row>
    <row r="2532" spans="1:7" x14ac:dyDescent="0.3">
      <c r="A2532">
        <v>25300</v>
      </c>
      <c r="B2532">
        <v>1593.5</v>
      </c>
      <c r="C2532">
        <v>112.07599999999999</v>
      </c>
      <c r="D2532" s="15">
        <f t="shared" si="119"/>
        <v>1.0000000000012221E-4</v>
      </c>
      <c r="E2532" s="14">
        <f t="shared" si="117"/>
        <v>5.0063575503000004E-5</v>
      </c>
      <c r="F2532">
        <v>103.515</v>
      </c>
      <c r="G2532" s="1">
        <f t="shared" si="118"/>
        <v>103.666861</v>
      </c>
    </row>
    <row r="2533" spans="1:7" x14ac:dyDescent="0.3">
      <c r="A2533">
        <v>25310</v>
      </c>
      <c r="B2533">
        <v>1589.8</v>
      </c>
      <c r="C2533">
        <v>112.075</v>
      </c>
      <c r="D2533" s="15">
        <f t="shared" si="119"/>
        <v>1.0000000000012221E-4</v>
      </c>
      <c r="E2533" s="14">
        <f t="shared" si="117"/>
        <v>5.0047076694869995E-5</v>
      </c>
      <c r="F2533">
        <v>103.523</v>
      </c>
      <c r="G2533" s="1">
        <f t="shared" si="118"/>
        <v>103.66573100000001</v>
      </c>
    </row>
    <row r="2534" spans="1:7" x14ac:dyDescent="0.3">
      <c r="A2534">
        <v>25320</v>
      </c>
      <c r="B2534">
        <v>1586.1</v>
      </c>
      <c r="C2534">
        <v>112.074</v>
      </c>
      <c r="D2534" s="15">
        <f t="shared" si="119"/>
        <v>9.9999999999766942E-5</v>
      </c>
      <c r="E2534" s="14">
        <f t="shared" si="117"/>
        <v>5.0030590570079988E-5</v>
      </c>
      <c r="F2534">
        <v>103.532</v>
      </c>
      <c r="G2534" s="1">
        <f t="shared" si="118"/>
        <v>103.664601</v>
      </c>
    </row>
    <row r="2535" spans="1:7" x14ac:dyDescent="0.3">
      <c r="A2535">
        <v>25330</v>
      </c>
      <c r="B2535">
        <v>1582.3</v>
      </c>
      <c r="C2535">
        <v>112.07299999999999</v>
      </c>
      <c r="D2535" s="15">
        <f t="shared" si="119"/>
        <v>1.0000000000012221E-4</v>
      </c>
      <c r="E2535" s="14">
        <f t="shared" si="117"/>
        <v>5.0014117128630009E-5</v>
      </c>
      <c r="F2535">
        <v>103.54</v>
      </c>
      <c r="G2535" s="1">
        <f t="shared" si="118"/>
        <v>103.663471</v>
      </c>
    </row>
    <row r="2536" spans="1:7" x14ac:dyDescent="0.3">
      <c r="A2536">
        <v>25340</v>
      </c>
      <c r="B2536">
        <v>1578.5</v>
      </c>
      <c r="C2536">
        <v>112.072</v>
      </c>
      <c r="D2536" s="15">
        <f t="shared" si="119"/>
        <v>1.0000000000012221E-4</v>
      </c>
      <c r="E2536" s="14">
        <f t="shared" si="117"/>
        <v>4.9997656370520004E-5</v>
      </c>
      <c r="F2536">
        <v>103.54900000000001</v>
      </c>
      <c r="G2536" s="1">
        <f t="shared" si="118"/>
        <v>103.662341</v>
      </c>
    </row>
    <row r="2537" spans="1:7" x14ac:dyDescent="0.3">
      <c r="A2537">
        <v>25350</v>
      </c>
      <c r="B2537">
        <v>1574.8</v>
      </c>
      <c r="C2537">
        <v>112.071</v>
      </c>
      <c r="D2537" s="15">
        <f t="shared" si="119"/>
        <v>1.2499999999988632E-4</v>
      </c>
      <c r="E2537" s="14">
        <f t="shared" si="117"/>
        <v>4.9981208295749987E-5</v>
      </c>
      <c r="F2537">
        <v>103.557</v>
      </c>
      <c r="G2537" s="1">
        <f t="shared" si="118"/>
        <v>103.66121100000001</v>
      </c>
    </row>
    <row r="2538" spans="1:7" x14ac:dyDescent="0.3">
      <c r="A2538">
        <v>25360</v>
      </c>
      <c r="B2538">
        <v>1571</v>
      </c>
      <c r="C2538">
        <v>112.07</v>
      </c>
      <c r="D2538" s="15">
        <f t="shared" si="119"/>
        <v>1.2500000000024159E-4</v>
      </c>
      <c r="E2538" s="14">
        <f t="shared" si="117"/>
        <v>4.9964772904319998E-5</v>
      </c>
      <c r="F2538">
        <v>103.566</v>
      </c>
      <c r="G2538" s="1">
        <f t="shared" si="118"/>
        <v>103.66008100000001</v>
      </c>
    </row>
    <row r="2539" spans="1:7" x14ac:dyDescent="0.3">
      <c r="A2539">
        <v>25370</v>
      </c>
      <c r="B2539">
        <v>1567.3</v>
      </c>
      <c r="C2539">
        <v>112.068</v>
      </c>
      <c r="D2539" s="15">
        <f t="shared" si="119"/>
        <v>1.2499999999988632E-4</v>
      </c>
      <c r="E2539" s="14">
        <f t="shared" si="117"/>
        <v>4.9948350196229996E-5</v>
      </c>
      <c r="F2539">
        <v>103.574</v>
      </c>
      <c r="G2539" s="1">
        <f t="shared" si="118"/>
        <v>103.658951</v>
      </c>
    </row>
    <row r="2540" spans="1:7" x14ac:dyDescent="0.3">
      <c r="A2540">
        <v>25380</v>
      </c>
      <c r="B2540">
        <v>1563.5</v>
      </c>
      <c r="C2540">
        <v>112.06699999999999</v>
      </c>
      <c r="D2540" s="15">
        <f t="shared" si="119"/>
        <v>1.2499999999988632E-4</v>
      </c>
      <c r="E2540" s="14">
        <f t="shared" si="117"/>
        <v>4.9931940171479996E-5</v>
      </c>
      <c r="F2540">
        <v>103.583</v>
      </c>
      <c r="G2540" s="1">
        <f t="shared" si="118"/>
        <v>103.657821</v>
      </c>
    </row>
    <row r="2541" spans="1:7" x14ac:dyDescent="0.3">
      <c r="A2541">
        <v>25390</v>
      </c>
      <c r="B2541">
        <v>1559.7</v>
      </c>
      <c r="C2541">
        <v>112.066</v>
      </c>
      <c r="D2541" s="15">
        <f t="shared" si="119"/>
        <v>1.0000000000012221E-4</v>
      </c>
      <c r="E2541" s="14">
        <f t="shared" si="117"/>
        <v>4.991554283007001E-5</v>
      </c>
      <c r="F2541">
        <v>103.59099999999999</v>
      </c>
      <c r="G2541" s="1">
        <f t="shared" si="118"/>
        <v>103.65669100000001</v>
      </c>
    </row>
    <row r="2542" spans="1:7" x14ac:dyDescent="0.3">
      <c r="A2542">
        <v>25400</v>
      </c>
      <c r="B2542">
        <v>1556</v>
      </c>
      <c r="C2542">
        <v>112.065</v>
      </c>
      <c r="D2542" s="15">
        <f t="shared" si="119"/>
        <v>9.9999999999766942E-5</v>
      </c>
      <c r="E2542" s="14">
        <f t="shared" si="117"/>
        <v>4.9899158171999998E-5</v>
      </c>
      <c r="F2542">
        <v>103.6</v>
      </c>
      <c r="G2542" s="1">
        <f t="shared" si="118"/>
        <v>103.65556100000001</v>
      </c>
    </row>
    <row r="2543" spans="1:7" x14ac:dyDescent="0.3">
      <c r="A2543">
        <v>25410</v>
      </c>
      <c r="B2543">
        <v>1552.1</v>
      </c>
      <c r="C2543">
        <v>112.06399999999999</v>
      </c>
      <c r="D2543" s="15">
        <f t="shared" si="119"/>
        <v>1.0000000000012221E-4</v>
      </c>
      <c r="E2543" s="14">
        <f t="shared" si="117"/>
        <v>4.9882786197269987E-5</v>
      </c>
      <c r="F2543">
        <v>103.608</v>
      </c>
      <c r="G2543" s="1">
        <f t="shared" si="118"/>
        <v>103.654431</v>
      </c>
    </row>
    <row r="2544" spans="1:7" x14ac:dyDescent="0.3">
      <c r="A2544">
        <v>25420</v>
      </c>
      <c r="B2544">
        <v>1548.5</v>
      </c>
      <c r="C2544">
        <v>112.063</v>
      </c>
      <c r="D2544" s="15">
        <f t="shared" si="119"/>
        <v>9.9999999999766942E-5</v>
      </c>
      <c r="E2544" s="14">
        <f t="shared" si="117"/>
        <v>4.9866426905880004E-5</v>
      </c>
      <c r="F2544">
        <v>103.617</v>
      </c>
      <c r="G2544" s="1">
        <f t="shared" si="118"/>
        <v>103.653301</v>
      </c>
    </row>
    <row r="2545" spans="1:7" x14ac:dyDescent="0.3">
      <c r="A2545">
        <v>25430</v>
      </c>
      <c r="B2545">
        <v>1544.7</v>
      </c>
      <c r="C2545">
        <v>112.062</v>
      </c>
      <c r="D2545" s="15">
        <f t="shared" si="119"/>
        <v>9.9999999999766942E-5</v>
      </c>
      <c r="E2545" s="14">
        <f t="shared" si="117"/>
        <v>4.9850080297830009E-5</v>
      </c>
      <c r="F2545">
        <v>103.625</v>
      </c>
      <c r="G2545" s="1">
        <f t="shared" si="118"/>
        <v>103.65217100000001</v>
      </c>
    </row>
    <row r="2546" spans="1:7" x14ac:dyDescent="0.3">
      <c r="A2546">
        <v>25440</v>
      </c>
      <c r="B2546">
        <v>1540.9</v>
      </c>
      <c r="C2546">
        <v>112.06100000000001</v>
      </c>
      <c r="D2546" s="15">
        <f t="shared" si="119"/>
        <v>1.0000000000012221E-4</v>
      </c>
      <c r="E2546" s="14">
        <f t="shared" si="117"/>
        <v>4.9833746373119988E-5</v>
      </c>
      <c r="F2546">
        <v>103.634</v>
      </c>
      <c r="G2546" s="1">
        <f t="shared" si="118"/>
        <v>103.65104100000001</v>
      </c>
    </row>
    <row r="2547" spans="1:7" x14ac:dyDescent="0.3">
      <c r="A2547">
        <v>25450</v>
      </c>
      <c r="B2547">
        <v>1537.1</v>
      </c>
      <c r="C2547">
        <v>112.06</v>
      </c>
      <c r="D2547" s="15">
        <f t="shared" si="119"/>
        <v>9.9999999999766942E-5</v>
      </c>
      <c r="E2547" s="14">
        <f t="shared" si="117"/>
        <v>4.9817425131749982E-5</v>
      </c>
      <c r="F2547">
        <v>103.642</v>
      </c>
      <c r="G2547" s="1">
        <f t="shared" si="118"/>
        <v>103.649911</v>
      </c>
    </row>
    <row r="2548" spans="1:7" x14ac:dyDescent="0.3">
      <c r="A2548">
        <v>25460</v>
      </c>
      <c r="B2548">
        <v>1533.1</v>
      </c>
      <c r="C2548">
        <v>112.059</v>
      </c>
      <c r="D2548" s="15">
        <f t="shared" si="119"/>
        <v>1.0000000000012221E-4</v>
      </c>
      <c r="E2548" s="14">
        <f t="shared" si="117"/>
        <v>4.9801116573720003E-5</v>
      </c>
      <c r="F2548">
        <v>103.651</v>
      </c>
      <c r="G2548" s="1">
        <f t="shared" si="118"/>
        <v>103.648781</v>
      </c>
    </row>
    <row r="2549" spans="1:7" x14ac:dyDescent="0.3">
      <c r="A2549">
        <v>25470</v>
      </c>
      <c r="B2549">
        <v>1529.3</v>
      </c>
      <c r="C2549">
        <v>112.05800000000001</v>
      </c>
      <c r="D2549" s="15">
        <f t="shared" si="119"/>
        <v>1.0000000000012221E-4</v>
      </c>
      <c r="E2549" s="14">
        <f t="shared" si="117"/>
        <v>4.9784820699029985E-5</v>
      </c>
      <c r="F2549">
        <v>103.65900000000001</v>
      </c>
      <c r="G2549" s="1">
        <f t="shared" si="118"/>
        <v>103.647651</v>
      </c>
    </row>
    <row r="2550" spans="1:7" x14ac:dyDescent="0.3">
      <c r="A2550">
        <v>25480</v>
      </c>
      <c r="B2550">
        <v>1525.2</v>
      </c>
      <c r="C2550">
        <v>112.057</v>
      </c>
      <c r="D2550" s="15">
        <f t="shared" si="119"/>
        <v>9.9999999999766942E-5</v>
      </c>
      <c r="E2550" s="14">
        <f t="shared" si="117"/>
        <v>4.9768537507679982E-5</v>
      </c>
      <c r="F2550">
        <v>103.66800000000001</v>
      </c>
      <c r="G2550" s="1">
        <f t="shared" si="118"/>
        <v>103.64652100000001</v>
      </c>
    </row>
    <row r="2551" spans="1:7" x14ac:dyDescent="0.3">
      <c r="A2551">
        <v>25490</v>
      </c>
      <c r="B2551">
        <v>1521.3</v>
      </c>
      <c r="C2551">
        <v>112.056</v>
      </c>
      <c r="D2551" s="15">
        <f t="shared" si="119"/>
        <v>1.0000000000012221E-4</v>
      </c>
      <c r="E2551" s="14">
        <f t="shared" si="117"/>
        <v>4.9752266999670007E-5</v>
      </c>
      <c r="F2551">
        <v>103.675</v>
      </c>
      <c r="G2551" s="1">
        <f t="shared" si="118"/>
        <v>103.645391</v>
      </c>
    </row>
    <row r="2552" spans="1:7" x14ac:dyDescent="0.3">
      <c r="A2552">
        <v>25500</v>
      </c>
      <c r="B2552">
        <v>1517.3</v>
      </c>
      <c r="C2552">
        <v>112.05500000000001</v>
      </c>
      <c r="D2552" s="15">
        <f t="shared" si="119"/>
        <v>1.0000000000012221E-4</v>
      </c>
      <c r="E2552" s="14">
        <f t="shared" si="117"/>
        <v>4.9736009174999993E-5</v>
      </c>
      <c r="F2552">
        <v>103.684</v>
      </c>
      <c r="G2552" s="1">
        <f t="shared" si="118"/>
        <v>103.644261</v>
      </c>
    </row>
    <row r="2553" spans="1:7" x14ac:dyDescent="0.3">
      <c r="A2553">
        <v>25510</v>
      </c>
      <c r="B2553">
        <v>1513.3</v>
      </c>
      <c r="C2553">
        <v>112.054</v>
      </c>
      <c r="D2553" s="15">
        <f t="shared" si="119"/>
        <v>9.9999999999766942E-5</v>
      </c>
      <c r="E2553" s="14">
        <f t="shared" si="117"/>
        <v>4.9719764033669979E-5</v>
      </c>
      <c r="F2553">
        <v>103.69199999999999</v>
      </c>
      <c r="G2553" s="1">
        <f t="shared" si="118"/>
        <v>103.643131</v>
      </c>
    </row>
    <row r="2554" spans="1:7" x14ac:dyDescent="0.3">
      <c r="A2554">
        <v>25520</v>
      </c>
      <c r="B2554">
        <v>1509.4</v>
      </c>
      <c r="C2554">
        <v>112.053</v>
      </c>
      <c r="D2554" s="15">
        <f t="shared" si="119"/>
        <v>1.0000000000012221E-4</v>
      </c>
      <c r="E2554" s="14">
        <f t="shared" si="117"/>
        <v>4.9703531575680007E-5</v>
      </c>
      <c r="F2554">
        <v>103.70099999999999</v>
      </c>
      <c r="G2554" s="1">
        <f t="shared" si="118"/>
        <v>103.64200100000001</v>
      </c>
    </row>
    <row r="2555" spans="1:7" x14ac:dyDescent="0.3">
      <c r="A2555">
        <v>25530</v>
      </c>
      <c r="B2555">
        <v>1505.3</v>
      </c>
      <c r="C2555">
        <v>112.05200000000001</v>
      </c>
      <c r="D2555" s="15">
        <f t="shared" si="119"/>
        <v>1.0000000000012221E-4</v>
      </c>
      <c r="E2555" s="14">
        <f t="shared" si="117"/>
        <v>4.9687311801029996E-5</v>
      </c>
      <c r="F2555">
        <v>103.71</v>
      </c>
      <c r="G2555" s="1">
        <f t="shared" si="118"/>
        <v>103.640871</v>
      </c>
    </row>
    <row r="2556" spans="1:7" x14ac:dyDescent="0.3">
      <c r="A2556">
        <v>25540</v>
      </c>
      <c r="B2556">
        <v>1501.3</v>
      </c>
      <c r="C2556">
        <v>112.051</v>
      </c>
      <c r="D2556" s="15">
        <f t="shared" si="119"/>
        <v>9.9999999999766942E-5</v>
      </c>
      <c r="E2556" s="14">
        <f t="shared" si="117"/>
        <v>4.9671104709719986E-5</v>
      </c>
      <c r="F2556">
        <v>103.718</v>
      </c>
      <c r="G2556" s="1">
        <f t="shared" si="118"/>
        <v>103.639741</v>
      </c>
    </row>
    <row r="2557" spans="1:7" x14ac:dyDescent="0.3">
      <c r="A2557">
        <v>25550</v>
      </c>
      <c r="B2557">
        <v>1497.3</v>
      </c>
      <c r="C2557">
        <v>112.05</v>
      </c>
      <c r="D2557" s="15">
        <f t="shared" si="119"/>
        <v>1.0000000000012221E-4</v>
      </c>
      <c r="E2557" s="14">
        <f t="shared" si="117"/>
        <v>4.9654910301750004E-5</v>
      </c>
      <c r="F2557">
        <v>103.727</v>
      </c>
      <c r="G2557" s="1">
        <f t="shared" si="118"/>
        <v>103.638611</v>
      </c>
    </row>
    <row r="2558" spans="1:7" x14ac:dyDescent="0.3">
      <c r="A2558">
        <v>25560</v>
      </c>
      <c r="B2558">
        <v>1493.3</v>
      </c>
      <c r="C2558">
        <v>112.04900000000001</v>
      </c>
      <c r="D2558" s="15">
        <f t="shared" si="119"/>
        <v>1.0000000000012221E-4</v>
      </c>
      <c r="E2558" s="14">
        <f t="shared" si="117"/>
        <v>4.9638728577119996E-5</v>
      </c>
      <c r="F2558">
        <v>103.735</v>
      </c>
      <c r="G2558" s="1">
        <f t="shared" si="118"/>
        <v>103.63748100000001</v>
      </c>
    </row>
    <row r="2559" spans="1:7" x14ac:dyDescent="0.3">
      <c r="A2559">
        <v>25570</v>
      </c>
      <c r="B2559">
        <v>1489.4</v>
      </c>
      <c r="C2559">
        <v>112.048</v>
      </c>
      <c r="D2559" s="15">
        <f t="shared" si="119"/>
        <v>9.9999999999766942E-5</v>
      </c>
      <c r="E2559" s="14">
        <f t="shared" si="117"/>
        <v>4.9622559535829989E-5</v>
      </c>
      <c r="F2559">
        <v>103.744</v>
      </c>
      <c r="G2559" s="1">
        <f t="shared" si="118"/>
        <v>103.636351</v>
      </c>
    </row>
    <row r="2560" spans="1:7" x14ac:dyDescent="0.3">
      <c r="A2560">
        <v>25580</v>
      </c>
      <c r="B2560">
        <v>1485.4</v>
      </c>
      <c r="C2560">
        <v>112.047</v>
      </c>
      <c r="D2560" s="15">
        <f t="shared" si="119"/>
        <v>1.0000000000012221E-4</v>
      </c>
      <c r="E2560" s="14">
        <f t="shared" si="117"/>
        <v>4.960640317788001E-5</v>
      </c>
      <c r="F2560">
        <v>103.752</v>
      </c>
      <c r="G2560" s="1">
        <f t="shared" si="118"/>
        <v>103.635221</v>
      </c>
    </row>
    <row r="2561" spans="1:7" x14ac:dyDescent="0.3">
      <c r="A2561">
        <v>25590</v>
      </c>
      <c r="B2561">
        <v>1481.3</v>
      </c>
      <c r="C2561">
        <v>112.04600000000001</v>
      </c>
      <c r="D2561" s="15">
        <f t="shared" si="119"/>
        <v>1.0000000000012221E-4</v>
      </c>
      <c r="E2561" s="14">
        <f t="shared" si="117"/>
        <v>4.9590259503269992E-5</v>
      </c>
      <c r="F2561">
        <v>103.761</v>
      </c>
      <c r="G2561" s="1">
        <f t="shared" si="118"/>
        <v>103.634091</v>
      </c>
    </row>
    <row r="2562" spans="1:7" x14ac:dyDescent="0.3">
      <c r="A2562">
        <v>25600</v>
      </c>
      <c r="B2562">
        <v>1477.2</v>
      </c>
      <c r="C2562">
        <v>112.045</v>
      </c>
      <c r="D2562" s="15">
        <f t="shared" si="119"/>
        <v>9.9999999999766942E-5</v>
      </c>
      <c r="E2562" s="14">
        <f t="shared" ref="E2562:E2625" si="120">0.0000000000000634167*A2562*A2562 - 0.0000000048594*A2562 + 0.000132414</f>
        <v>4.9574128511999988E-5</v>
      </c>
      <c r="F2562">
        <v>103.76900000000001</v>
      </c>
      <c r="G2562" s="1">
        <f t="shared" si="118"/>
        <v>103.63296100000001</v>
      </c>
    </row>
    <row r="2563" spans="1:7" x14ac:dyDescent="0.3">
      <c r="A2563">
        <v>25610</v>
      </c>
      <c r="B2563">
        <v>1473.2</v>
      </c>
      <c r="C2563">
        <v>112.044</v>
      </c>
      <c r="D2563" s="15">
        <f t="shared" si="119"/>
        <v>1.0000000000012221E-4</v>
      </c>
      <c r="E2563" s="14">
        <f t="shared" si="120"/>
        <v>4.9558010204070013E-5</v>
      </c>
      <c r="F2563">
        <v>103.77800000000001</v>
      </c>
      <c r="G2563" s="1">
        <f t="shared" ref="G2563:G2626" si="121">-0.000113*A2563 + 106.525761</f>
        <v>103.63183100000001</v>
      </c>
    </row>
    <row r="2564" spans="1:7" x14ac:dyDescent="0.3">
      <c r="A2564">
        <v>25620</v>
      </c>
      <c r="B2564">
        <v>1469.3</v>
      </c>
      <c r="C2564">
        <v>112.04300000000001</v>
      </c>
      <c r="D2564" s="15">
        <f t="shared" si="119"/>
        <v>1.0000000000012221E-4</v>
      </c>
      <c r="E2564" s="14">
        <f t="shared" si="120"/>
        <v>4.9541904579479998E-5</v>
      </c>
      <c r="F2564">
        <v>103.786</v>
      </c>
      <c r="G2564" s="1">
        <f t="shared" si="121"/>
        <v>103.630701</v>
      </c>
    </row>
    <row r="2565" spans="1:7" x14ac:dyDescent="0.3">
      <c r="A2565">
        <v>25630</v>
      </c>
      <c r="B2565">
        <v>1465.2</v>
      </c>
      <c r="C2565">
        <v>112.042</v>
      </c>
      <c r="D2565" s="15">
        <f t="shared" ref="D2565:D2628" si="122">(C2563-C2567)/(A2567-A2563)</f>
        <v>9.9999999999766942E-5</v>
      </c>
      <c r="E2565" s="14">
        <f t="shared" si="120"/>
        <v>4.9525811638229984E-5</v>
      </c>
      <c r="F2565">
        <v>103.795</v>
      </c>
      <c r="G2565" s="1">
        <f t="shared" si="121"/>
        <v>103.629571</v>
      </c>
    </row>
    <row r="2566" spans="1:7" x14ac:dyDescent="0.3">
      <c r="A2566">
        <v>25640</v>
      </c>
      <c r="B2566">
        <v>1461.2</v>
      </c>
      <c r="C2566">
        <v>112.041</v>
      </c>
      <c r="D2566" s="15">
        <f t="shared" si="122"/>
        <v>1.0000000000012221E-4</v>
      </c>
      <c r="E2566" s="14">
        <f t="shared" si="120"/>
        <v>4.9509731380319985E-5</v>
      </c>
      <c r="F2566">
        <v>103.803</v>
      </c>
      <c r="G2566" s="1">
        <f t="shared" si="121"/>
        <v>103.62844100000001</v>
      </c>
    </row>
    <row r="2567" spans="1:7" x14ac:dyDescent="0.3">
      <c r="A2567">
        <v>25650</v>
      </c>
      <c r="B2567">
        <v>1457.2</v>
      </c>
      <c r="C2567">
        <v>112.04</v>
      </c>
      <c r="D2567" s="15">
        <f t="shared" si="122"/>
        <v>1.0000000000012221E-4</v>
      </c>
      <c r="E2567" s="14">
        <f t="shared" si="120"/>
        <v>4.949366380575E-5</v>
      </c>
      <c r="F2567">
        <v>103.81100000000001</v>
      </c>
      <c r="G2567" s="1">
        <f t="shared" si="121"/>
        <v>103.62731100000001</v>
      </c>
    </row>
    <row r="2568" spans="1:7" x14ac:dyDescent="0.3">
      <c r="A2568">
        <v>25660</v>
      </c>
      <c r="B2568">
        <v>1453.1</v>
      </c>
      <c r="C2568">
        <v>112.039</v>
      </c>
      <c r="D2568" s="15">
        <f t="shared" si="122"/>
        <v>9.9999999999766942E-5</v>
      </c>
      <c r="E2568" s="14">
        <f t="shared" si="120"/>
        <v>4.947760891451999E-5</v>
      </c>
      <c r="F2568">
        <v>103.819</v>
      </c>
      <c r="G2568" s="1">
        <f t="shared" si="121"/>
        <v>103.626181</v>
      </c>
    </row>
    <row r="2569" spans="1:7" x14ac:dyDescent="0.3">
      <c r="A2569">
        <v>25670</v>
      </c>
      <c r="B2569">
        <v>1449.1</v>
      </c>
      <c r="C2569">
        <v>112.038</v>
      </c>
      <c r="D2569" s="15">
        <f t="shared" si="122"/>
        <v>1.0000000000012221E-4</v>
      </c>
      <c r="E2569" s="14">
        <f t="shared" si="120"/>
        <v>4.9461566706629994E-5</v>
      </c>
      <c r="F2569">
        <v>103.828</v>
      </c>
      <c r="G2569" s="1">
        <f t="shared" si="121"/>
        <v>103.625051</v>
      </c>
    </row>
    <row r="2570" spans="1:7" x14ac:dyDescent="0.3">
      <c r="A2570">
        <v>25680</v>
      </c>
      <c r="B2570">
        <v>1445.1</v>
      </c>
      <c r="C2570">
        <v>112.03700000000001</v>
      </c>
      <c r="D2570" s="15">
        <f t="shared" si="122"/>
        <v>1.0000000000012221E-4</v>
      </c>
      <c r="E2570" s="14">
        <f t="shared" si="120"/>
        <v>4.9445537182079999E-5</v>
      </c>
      <c r="F2570">
        <v>103.836</v>
      </c>
      <c r="G2570" s="1">
        <f t="shared" si="121"/>
        <v>103.623921</v>
      </c>
    </row>
    <row r="2571" spans="1:7" x14ac:dyDescent="0.3">
      <c r="A2571">
        <v>25690</v>
      </c>
      <c r="B2571">
        <v>1441</v>
      </c>
      <c r="C2571">
        <v>112.036</v>
      </c>
      <c r="D2571" s="15">
        <f t="shared" si="122"/>
        <v>9.9999999999766942E-5</v>
      </c>
      <c r="E2571" s="14">
        <f t="shared" si="120"/>
        <v>4.9429520340869991E-5</v>
      </c>
      <c r="F2571">
        <v>103.845</v>
      </c>
      <c r="G2571" s="1">
        <f t="shared" si="121"/>
        <v>103.62279100000001</v>
      </c>
    </row>
    <row r="2572" spans="1:7" x14ac:dyDescent="0.3">
      <c r="A2572">
        <v>25700</v>
      </c>
      <c r="B2572">
        <v>1436.9</v>
      </c>
      <c r="C2572">
        <v>112.035</v>
      </c>
      <c r="D2572" s="15">
        <f t="shared" si="122"/>
        <v>7.5000000000002839E-5</v>
      </c>
      <c r="E2572" s="14">
        <f t="shared" si="120"/>
        <v>4.9413516182999985E-5</v>
      </c>
      <c r="F2572">
        <v>103.854</v>
      </c>
      <c r="G2572" s="1">
        <f t="shared" si="121"/>
        <v>103.621661</v>
      </c>
    </row>
    <row r="2573" spans="1:7" x14ac:dyDescent="0.3">
      <c r="A2573">
        <v>25710</v>
      </c>
      <c r="B2573">
        <v>1432.8</v>
      </c>
      <c r="C2573">
        <v>112.03400000000001</v>
      </c>
      <c r="D2573" s="15">
        <f t="shared" si="122"/>
        <v>7.5000000000002839E-5</v>
      </c>
      <c r="E2573" s="14">
        <f t="shared" si="120"/>
        <v>4.9397524708469994E-5</v>
      </c>
      <c r="F2573">
        <v>103.86199999999999</v>
      </c>
      <c r="G2573" s="1">
        <f t="shared" si="121"/>
        <v>103.620531</v>
      </c>
    </row>
    <row r="2574" spans="1:7" x14ac:dyDescent="0.3">
      <c r="A2574">
        <v>25720</v>
      </c>
      <c r="B2574">
        <v>1428.8</v>
      </c>
      <c r="C2574">
        <v>112.03400000000001</v>
      </c>
      <c r="D2574" s="15">
        <f t="shared" si="122"/>
        <v>7.5000000000002839E-5</v>
      </c>
      <c r="E2574" s="14">
        <f t="shared" si="120"/>
        <v>4.9381545917280003E-5</v>
      </c>
      <c r="F2574">
        <v>103.871</v>
      </c>
      <c r="G2574" s="1">
        <f t="shared" si="121"/>
        <v>103.619401</v>
      </c>
    </row>
    <row r="2575" spans="1:7" x14ac:dyDescent="0.3">
      <c r="A2575">
        <v>25730</v>
      </c>
      <c r="B2575">
        <v>1424.7</v>
      </c>
      <c r="C2575">
        <v>112.033</v>
      </c>
      <c r="D2575" s="15">
        <f t="shared" si="122"/>
        <v>7.5000000000002839E-5</v>
      </c>
      <c r="E2575" s="14">
        <f t="shared" si="120"/>
        <v>4.9365579809429987E-5</v>
      </c>
      <c r="F2575">
        <v>103.879</v>
      </c>
      <c r="G2575" s="1">
        <f t="shared" si="121"/>
        <v>103.61827100000001</v>
      </c>
    </row>
    <row r="2576" spans="1:7" x14ac:dyDescent="0.3">
      <c r="A2576">
        <v>25740</v>
      </c>
      <c r="B2576">
        <v>1420.8</v>
      </c>
      <c r="C2576">
        <v>112.032</v>
      </c>
      <c r="D2576" s="15">
        <f t="shared" si="122"/>
        <v>1.0000000000012221E-4</v>
      </c>
      <c r="E2576" s="14">
        <f t="shared" si="120"/>
        <v>4.9349626384919998E-5</v>
      </c>
      <c r="F2576">
        <v>103.88800000000001</v>
      </c>
      <c r="G2576" s="1">
        <f t="shared" si="121"/>
        <v>103.617141</v>
      </c>
    </row>
    <row r="2577" spans="1:7" x14ac:dyDescent="0.3">
      <c r="A2577">
        <v>25750</v>
      </c>
      <c r="B2577">
        <v>1416.7</v>
      </c>
      <c r="C2577">
        <v>112.03100000000001</v>
      </c>
      <c r="D2577" s="15">
        <f t="shared" si="122"/>
        <v>1.0000000000012221E-4</v>
      </c>
      <c r="E2577" s="14">
        <f t="shared" si="120"/>
        <v>4.9333685643749997E-5</v>
      </c>
      <c r="F2577">
        <v>103.896</v>
      </c>
      <c r="G2577" s="1">
        <f t="shared" si="121"/>
        <v>103.616011</v>
      </c>
    </row>
    <row r="2578" spans="1:7" x14ac:dyDescent="0.3">
      <c r="A2578">
        <v>25760</v>
      </c>
      <c r="B2578">
        <v>1412.5</v>
      </c>
      <c r="C2578">
        <v>112.03</v>
      </c>
      <c r="D2578" s="15">
        <f t="shared" si="122"/>
        <v>9.9999999999766942E-5</v>
      </c>
      <c r="E2578" s="14">
        <f t="shared" si="120"/>
        <v>4.9317757585919984E-5</v>
      </c>
      <c r="F2578">
        <v>103.905</v>
      </c>
      <c r="G2578" s="1">
        <f t="shared" si="121"/>
        <v>103.614881</v>
      </c>
    </row>
    <row r="2579" spans="1:7" x14ac:dyDescent="0.3">
      <c r="A2579">
        <v>25770</v>
      </c>
      <c r="B2579">
        <v>1408.5</v>
      </c>
      <c r="C2579">
        <v>112.029</v>
      </c>
      <c r="D2579" s="15">
        <f t="shared" si="122"/>
        <v>1.0000000000012221E-4</v>
      </c>
      <c r="E2579" s="14">
        <f t="shared" si="120"/>
        <v>4.9301842211430013E-5</v>
      </c>
      <c r="F2579">
        <v>103.91200000000001</v>
      </c>
      <c r="G2579" s="1">
        <f t="shared" si="121"/>
        <v>103.61375100000001</v>
      </c>
    </row>
    <row r="2580" spans="1:7" x14ac:dyDescent="0.3">
      <c r="A2580">
        <v>25780</v>
      </c>
      <c r="B2580">
        <v>1404.4</v>
      </c>
      <c r="C2580">
        <v>112.02800000000001</v>
      </c>
      <c r="D2580" s="15">
        <f t="shared" si="122"/>
        <v>1.0000000000012221E-4</v>
      </c>
      <c r="E2580" s="14">
        <f t="shared" si="120"/>
        <v>4.9285939520280002E-5</v>
      </c>
      <c r="F2580">
        <v>103.92100000000001</v>
      </c>
      <c r="G2580" s="1">
        <f t="shared" si="121"/>
        <v>103.612621</v>
      </c>
    </row>
    <row r="2581" spans="1:7" x14ac:dyDescent="0.3">
      <c r="A2581">
        <v>25790</v>
      </c>
      <c r="B2581">
        <v>1400.3</v>
      </c>
      <c r="C2581">
        <v>112.027</v>
      </c>
      <c r="D2581" s="15">
        <f t="shared" si="122"/>
        <v>9.9999999999766942E-5</v>
      </c>
      <c r="E2581" s="14">
        <f t="shared" si="120"/>
        <v>4.9270049512469992E-5</v>
      </c>
      <c r="F2581">
        <v>103.93</v>
      </c>
      <c r="G2581" s="1">
        <f t="shared" si="121"/>
        <v>103.611491</v>
      </c>
    </row>
    <row r="2582" spans="1:7" x14ac:dyDescent="0.3">
      <c r="A2582">
        <v>25800</v>
      </c>
      <c r="B2582">
        <v>1396.2</v>
      </c>
      <c r="C2582">
        <v>112.026</v>
      </c>
      <c r="D2582" s="15">
        <f t="shared" si="122"/>
        <v>1.0000000000012221E-4</v>
      </c>
      <c r="E2582" s="14">
        <f t="shared" si="120"/>
        <v>4.925417218800001E-5</v>
      </c>
      <c r="F2582">
        <v>103.938</v>
      </c>
      <c r="G2582" s="1">
        <f t="shared" si="121"/>
        <v>103.610361</v>
      </c>
    </row>
    <row r="2583" spans="1:7" x14ac:dyDescent="0.3">
      <c r="A2583">
        <v>25810</v>
      </c>
      <c r="B2583">
        <v>1392.2</v>
      </c>
      <c r="C2583">
        <v>112.02500000000001</v>
      </c>
      <c r="D2583" s="15">
        <f t="shared" si="122"/>
        <v>1.0000000000012221E-4</v>
      </c>
      <c r="E2583" s="14">
        <f t="shared" si="120"/>
        <v>4.9238307546870002E-5</v>
      </c>
      <c r="F2583">
        <v>103.947</v>
      </c>
      <c r="G2583" s="1">
        <f t="shared" si="121"/>
        <v>103.60923100000001</v>
      </c>
    </row>
    <row r="2584" spans="1:7" x14ac:dyDescent="0.3">
      <c r="A2584">
        <v>25820</v>
      </c>
      <c r="B2584">
        <v>1388.1</v>
      </c>
      <c r="C2584">
        <v>112.024</v>
      </c>
      <c r="D2584" s="15">
        <f t="shared" si="122"/>
        <v>7.5000000000002839E-5</v>
      </c>
      <c r="E2584" s="14">
        <f t="shared" si="120"/>
        <v>4.9222455589079995E-5</v>
      </c>
      <c r="F2584">
        <v>103.955</v>
      </c>
      <c r="G2584" s="1">
        <f t="shared" si="121"/>
        <v>103.608101</v>
      </c>
    </row>
    <row r="2585" spans="1:7" x14ac:dyDescent="0.3">
      <c r="A2585">
        <v>25830</v>
      </c>
      <c r="B2585">
        <v>1384.1</v>
      </c>
      <c r="C2585">
        <v>112.023</v>
      </c>
      <c r="D2585" s="15">
        <f t="shared" si="122"/>
        <v>7.5000000000002839E-5</v>
      </c>
      <c r="E2585" s="14">
        <f t="shared" si="120"/>
        <v>4.920661631462999E-5</v>
      </c>
      <c r="F2585">
        <v>103.964</v>
      </c>
      <c r="G2585" s="1">
        <f t="shared" si="121"/>
        <v>103.606971</v>
      </c>
    </row>
    <row r="2586" spans="1:7" x14ac:dyDescent="0.3">
      <c r="A2586">
        <v>25840</v>
      </c>
      <c r="B2586">
        <v>1380</v>
      </c>
      <c r="C2586">
        <v>112.023</v>
      </c>
      <c r="D2586" s="15">
        <f t="shared" si="122"/>
        <v>7.5000000000002839E-5</v>
      </c>
      <c r="E2586" s="14">
        <f t="shared" si="120"/>
        <v>4.9190789723519999E-5</v>
      </c>
      <c r="F2586">
        <v>103.97199999999999</v>
      </c>
      <c r="G2586" s="1">
        <f t="shared" si="121"/>
        <v>103.605841</v>
      </c>
    </row>
    <row r="2587" spans="1:7" x14ac:dyDescent="0.3">
      <c r="A2587">
        <v>25850</v>
      </c>
      <c r="B2587">
        <v>1375.8</v>
      </c>
      <c r="C2587">
        <v>112.02200000000001</v>
      </c>
      <c r="D2587" s="15">
        <f t="shared" si="122"/>
        <v>7.5000000000002839E-5</v>
      </c>
      <c r="E2587" s="14">
        <f t="shared" si="120"/>
        <v>4.9174975815749982E-5</v>
      </c>
      <c r="F2587">
        <v>103.98099999999999</v>
      </c>
      <c r="G2587" s="1">
        <f t="shared" si="121"/>
        <v>103.60471100000001</v>
      </c>
    </row>
    <row r="2588" spans="1:7" x14ac:dyDescent="0.3">
      <c r="A2588">
        <v>25860</v>
      </c>
      <c r="B2588">
        <v>1371.8</v>
      </c>
      <c r="C2588">
        <v>112.021</v>
      </c>
      <c r="D2588" s="15">
        <f t="shared" si="122"/>
        <v>9.9999999999766942E-5</v>
      </c>
      <c r="E2588" s="14">
        <f t="shared" si="120"/>
        <v>4.9159174591319979E-5</v>
      </c>
      <c r="F2588">
        <v>103.989</v>
      </c>
      <c r="G2588" s="1">
        <f t="shared" si="121"/>
        <v>103.60358100000001</v>
      </c>
    </row>
    <row r="2589" spans="1:7" x14ac:dyDescent="0.3">
      <c r="A2589">
        <v>25870</v>
      </c>
      <c r="B2589">
        <v>1367.7</v>
      </c>
      <c r="C2589">
        <v>112.02</v>
      </c>
      <c r="D2589" s="15">
        <f t="shared" si="122"/>
        <v>1.0000000000012221E-4</v>
      </c>
      <c r="E2589" s="14">
        <f t="shared" si="120"/>
        <v>4.9143386050230005E-5</v>
      </c>
      <c r="F2589">
        <v>103.997</v>
      </c>
      <c r="G2589" s="1">
        <f t="shared" si="121"/>
        <v>103.602451</v>
      </c>
    </row>
    <row r="2590" spans="1:7" x14ac:dyDescent="0.3">
      <c r="A2590">
        <v>25880</v>
      </c>
      <c r="B2590">
        <v>1363.6</v>
      </c>
      <c r="C2590">
        <v>112.01900000000001</v>
      </c>
      <c r="D2590" s="15">
        <f t="shared" si="122"/>
        <v>1.0000000000012221E-4</v>
      </c>
      <c r="E2590" s="14">
        <f t="shared" si="120"/>
        <v>4.9127610192479992E-5</v>
      </c>
      <c r="F2590">
        <v>104.006</v>
      </c>
      <c r="G2590" s="1">
        <f t="shared" si="121"/>
        <v>103.601321</v>
      </c>
    </row>
    <row r="2591" spans="1:7" x14ac:dyDescent="0.3">
      <c r="A2591">
        <v>25890</v>
      </c>
      <c r="B2591">
        <v>1359.6</v>
      </c>
      <c r="C2591">
        <v>112.018</v>
      </c>
      <c r="D2591" s="15">
        <f t="shared" si="122"/>
        <v>9.9999999999766942E-5</v>
      </c>
      <c r="E2591" s="14">
        <f t="shared" si="120"/>
        <v>4.9111847018069979E-5</v>
      </c>
      <c r="F2591">
        <v>104.014</v>
      </c>
      <c r="G2591" s="1">
        <f t="shared" si="121"/>
        <v>103.60019100000001</v>
      </c>
    </row>
    <row r="2592" spans="1:7" x14ac:dyDescent="0.3">
      <c r="A2592">
        <v>25900</v>
      </c>
      <c r="B2592">
        <v>1355.5</v>
      </c>
      <c r="C2592">
        <v>112.017</v>
      </c>
      <c r="D2592" s="15">
        <f t="shared" si="122"/>
        <v>7.5000000000002839E-5</v>
      </c>
      <c r="E2592" s="14">
        <f t="shared" si="120"/>
        <v>4.9096096527000008E-5</v>
      </c>
      <c r="F2592">
        <v>104.023</v>
      </c>
      <c r="G2592" s="1">
        <f t="shared" si="121"/>
        <v>103.59906100000001</v>
      </c>
    </row>
    <row r="2593" spans="1:7" x14ac:dyDescent="0.3">
      <c r="A2593">
        <v>25910</v>
      </c>
      <c r="B2593">
        <v>1351.5</v>
      </c>
      <c r="C2593">
        <v>112.01600000000001</v>
      </c>
      <c r="D2593" s="15">
        <f t="shared" si="122"/>
        <v>7.5000000000002839E-5</v>
      </c>
      <c r="E2593" s="14">
        <f t="shared" si="120"/>
        <v>4.9080358719269984E-5</v>
      </c>
      <c r="F2593">
        <v>104.03100000000001</v>
      </c>
      <c r="G2593" s="1">
        <f t="shared" si="121"/>
        <v>103.597931</v>
      </c>
    </row>
    <row r="2594" spans="1:7" x14ac:dyDescent="0.3">
      <c r="A2594">
        <v>25920</v>
      </c>
      <c r="B2594">
        <v>1347.4</v>
      </c>
      <c r="C2594">
        <v>112.01600000000001</v>
      </c>
      <c r="D2594" s="15">
        <f t="shared" si="122"/>
        <v>7.5000000000002839E-5</v>
      </c>
      <c r="E2594" s="14">
        <f t="shared" si="120"/>
        <v>4.9064633594879988E-5</v>
      </c>
      <c r="F2594">
        <v>104.04</v>
      </c>
      <c r="G2594" s="1">
        <f t="shared" si="121"/>
        <v>103.596801</v>
      </c>
    </row>
    <row r="2595" spans="1:7" x14ac:dyDescent="0.3">
      <c r="A2595">
        <v>25930</v>
      </c>
      <c r="B2595">
        <v>1343.5</v>
      </c>
      <c r="C2595">
        <v>112.015</v>
      </c>
      <c r="D2595" s="15">
        <f t="shared" si="122"/>
        <v>7.5000000000002839E-5</v>
      </c>
      <c r="E2595" s="14">
        <f t="shared" si="120"/>
        <v>4.9048921153830007E-5</v>
      </c>
      <c r="F2595">
        <v>104.04900000000001</v>
      </c>
      <c r="G2595" s="1">
        <f t="shared" si="121"/>
        <v>103.59567100000001</v>
      </c>
    </row>
    <row r="2596" spans="1:7" x14ac:dyDescent="0.3">
      <c r="A2596">
        <v>25940</v>
      </c>
      <c r="B2596">
        <v>1339.4</v>
      </c>
      <c r="C2596">
        <v>112.014</v>
      </c>
      <c r="D2596" s="15">
        <f t="shared" si="122"/>
        <v>1.0000000000012221E-4</v>
      </c>
      <c r="E2596" s="14">
        <f t="shared" si="120"/>
        <v>4.903322139612E-5</v>
      </c>
      <c r="F2596">
        <v>104.057</v>
      </c>
      <c r="G2596" s="1">
        <f t="shared" si="121"/>
        <v>103.59454100000001</v>
      </c>
    </row>
    <row r="2597" spans="1:7" x14ac:dyDescent="0.3">
      <c r="A2597">
        <v>25950</v>
      </c>
      <c r="B2597">
        <v>1335.4</v>
      </c>
      <c r="C2597">
        <v>112.01300000000001</v>
      </c>
      <c r="D2597" s="15">
        <f t="shared" si="122"/>
        <v>1.0000000000012221E-4</v>
      </c>
      <c r="E2597" s="14">
        <f t="shared" si="120"/>
        <v>4.9017534321749981E-5</v>
      </c>
      <c r="F2597">
        <v>104.065</v>
      </c>
      <c r="G2597" s="1">
        <f t="shared" si="121"/>
        <v>103.593411</v>
      </c>
    </row>
    <row r="2598" spans="1:7" x14ac:dyDescent="0.3">
      <c r="A2598">
        <v>25960</v>
      </c>
      <c r="B2598">
        <v>1331.3</v>
      </c>
      <c r="C2598">
        <v>112.012</v>
      </c>
      <c r="D2598" s="15">
        <f t="shared" si="122"/>
        <v>9.9999999999766942E-5</v>
      </c>
      <c r="E2598" s="14">
        <f t="shared" si="120"/>
        <v>4.9001859930720003E-5</v>
      </c>
      <c r="F2598">
        <v>104.07299999999999</v>
      </c>
      <c r="G2598" s="1">
        <f t="shared" si="121"/>
        <v>103.592281</v>
      </c>
    </row>
    <row r="2599" spans="1:7" x14ac:dyDescent="0.3">
      <c r="A2599">
        <v>25970</v>
      </c>
      <c r="B2599">
        <v>1327.3</v>
      </c>
      <c r="C2599">
        <v>112.011</v>
      </c>
      <c r="D2599" s="15">
        <f t="shared" si="122"/>
        <v>7.5000000000002839E-5</v>
      </c>
      <c r="E2599" s="14">
        <f t="shared" si="120"/>
        <v>4.8986198223029999E-5</v>
      </c>
      <c r="F2599">
        <v>104.08199999999999</v>
      </c>
      <c r="G2599" s="1">
        <f t="shared" si="121"/>
        <v>103.591151</v>
      </c>
    </row>
    <row r="2600" spans="1:7" x14ac:dyDescent="0.3">
      <c r="A2600">
        <v>25980</v>
      </c>
      <c r="B2600">
        <v>1323.2</v>
      </c>
      <c r="C2600">
        <v>112.01</v>
      </c>
      <c r="D2600" s="15">
        <f t="shared" si="122"/>
        <v>7.5000000000002839E-5</v>
      </c>
      <c r="E2600" s="14">
        <f t="shared" si="120"/>
        <v>4.8970549198679983E-5</v>
      </c>
      <c r="F2600">
        <v>104.09099999999999</v>
      </c>
      <c r="G2600" s="1">
        <f t="shared" si="121"/>
        <v>103.59002100000001</v>
      </c>
    </row>
    <row r="2601" spans="1:7" x14ac:dyDescent="0.3">
      <c r="A2601">
        <v>25990</v>
      </c>
      <c r="B2601">
        <v>1319.1</v>
      </c>
      <c r="C2601">
        <v>112.01</v>
      </c>
      <c r="D2601" s="15">
        <f t="shared" si="122"/>
        <v>7.5000000000002839E-5</v>
      </c>
      <c r="E2601" s="14">
        <f t="shared" si="120"/>
        <v>4.8954912857670008E-5</v>
      </c>
      <c r="F2601">
        <v>104.099</v>
      </c>
      <c r="G2601" s="1">
        <f t="shared" si="121"/>
        <v>103.588891</v>
      </c>
    </row>
    <row r="2602" spans="1:7" x14ac:dyDescent="0.3">
      <c r="A2602">
        <v>26000</v>
      </c>
      <c r="B2602">
        <v>1315.2</v>
      </c>
      <c r="C2602">
        <v>112.009</v>
      </c>
      <c r="D2602" s="15">
        <f t="shared" si="122"/>
        <v>7.5000000000002839E-5</v>
      </c>
      <c r="E2602" s="14">
        <f t="shared" si="120"/>
        <v>4.8939289199999994E-5</v>
      </c>
      <c r="F2602">
        <v>104.108</v>
      </c>
      <c r="G2602" s="1">
        <f t="shared" si="121"/>
        <v>103.587761</v>
      </c>
    </row>
    <row r="2603" spans="1:7" x14ac:dyDescent="0.3">
      <c r="A2603">
        <v>26010</v>
      </c>
      <c r="B2603">
        <v>1311.1</v>
      </c>
      <c r="C2603">
        <v>112.008</v>
      </c>
      <c r="D2603" s="15">
        <f t="shared" si="122"/>
        <v>1.0000000000012221E-4</v>
      </c>
      <c r="E2603" s="14">
        <f t="shared" si="120"/>
        <v>4.8923678225669994E-5</v>
      </c>
      <c r="F2603">
        <v>104.116</v>
      </c>
      <c r="G2603" s="1">
        <f t="shared" si="121"/>
        <v>103.586631</v>
      </c>
    </row>
    <row r="2604" spans="1:7" x14ac:dyDescent="0.3">
      <c r="A2604">
        <v>26020</v>
      </c>
      <c r="B2604">
        <v>1307.0999999999999</v>
      </c>
      <c r="C2604">
        <v>112.00700000000001</v>
      </c>
      <c r="D2604" s="15">
        <f t="shared" si="122"/>
        <v>7.5000000000002839E-5</v>
      </c>
      <c r="E2604" s="14">
        <f t="shared" si="120"/>
        <v>4.8908079934679982E-5</v>
      </c>
      <c r="F2604">
        <v>104.124</v>
      </c>
      <c r="G2604" s="1">
        <f t="shared" si="121"/>
        <v>103.58550100000001</v>
      </c>
    </row>
    <row r="2605" spans="1:7" x14ac:dyDescent="0.3">
      <c r="A2605">
        <v>26030</v>
      </c>
      <c r="B2605">
        <v>1303</v>
      </c>
      <c r="C2605">
        <v>112.006</v>
      </c>
      <c r="D2605" s="15">
        <f t="shared" si="122"/>
        <v>7.5000000000002839E-5</v>
      </c>
      <c r="E2605" s="14">
        <f t="shared" si="120"/>
        <v>4.8892494327029999E-5</v>
      </c>
      <c r="F2605">
        <v>104.133</v>
      </c>
      <c r="G2605" s="1">
        <f t="shared" si="121"/>
        <v>103.584371</v>
      </c>
    </row>
    <row r="2606" spans="1:7" x14ac:dyDescent="0.3">
      <c r="A2606">
        <v>26040</v>
      </c>
      <c r="B2606">
        <v>1298.9000000000001</v>
      </c>
      <c r="C2606">
        <v>112.006</v>
      </c>
      <c r="D2606" s="15">
        <f t="shared" si="122"/>
        <v>7.5000000000002839E-5</v>
      </c>
      <c r="E2606" s="14">
        <f t="shared" si="120"/>
        <v>4.8876921402719989E-5</v>
      </c>
      <c r="F2606">
        <v>104.14100000000001</v>
      </c>
      <c r="G2606" s="1">
        <f t="shared" si="121"/>
        <v>103.583241</v>
      </c>
    </row>
    <row r="2607" spans="1:7" x14ac:dyDescent="0.3">
      <c r="A2607">
        <v>26050</v>
      </c>
      <c r="B2607">
        <v>1302.4000000000001</v>
      </c>
      <c r="C2607">
        <v>112.005</v>
      </c>
      <c r="D2607" s="15">
        <f t="shared" si="122"/>
        <v>7.5000000000002839E-5</v>
      </c>
      <c r="E2607" s="14">
        <f t="shared" si="120"/>
        <v>4.886136116174998E-5</v>
      </c>
      <c r="F2607">
        <v>104.14700000000001</v>
      </c>
      <c r="G2607" s="1">
        <f t="shared" si="121"/>
        <v>103.582111</v>
      </c>
    </row>
    <row r="2608" spans="1:7" x14ac:dyDescent="0.3">
      <c r="A2608">
        <v>26060</v>
      </c>
      <c r="B2608">
        <v>1307.9000000000001</v>
      </c>
      <c r="C2608">
        <v>112.004</v>
      </c>
      <c r="D2608" s="15">
        <f t="shared" si="122"/>
        <v>1.0000000000012221E-4</v>
      </c>
      <c r="E2608" s="14">
        <f t="shared" si="120"/>
        <v>4.884581360412E-5</v>
      </c>
      <c r="F2608">
        <v>104.15</v>
      </c>
      <c r="G2608" s="1">
        <f t="shared" si="121"/>
        <v>103.58098100000001</v>
      </c>
    </row>
    <row r="2609" spans="1:7" x14ac:dyDescent="0.3">
      <c r="A2609">
        <v>26070</v>
      </c>
      <c r="B2609">
        <v>1313.4</v>
      </c>
      <c r="C2609">
        <v>112.003</v>
      </c>
      <c r="D2609" s="15">
        <f t="shared" si="122"/>
        <v>7.5000000000002839E-5</v>
      </c>
      <c r="E2609" s="14">
        <f t="shared" si="120"/>
        <v>4.8830278729829993E-5</v>
      </c>
      <c r="F2609">
        <v>104.155</v>
      </c>
      <c r="G2609" s="1">
        <f t="shared" si="121"/>
        <v>103.57985100000001</v>
      </c>
    </row>
    <row r="2610" spans="1:7" x14ac:dyDescent="0.3">
      <c r="A2610">
        <v>26080</v>
      </c>
      <c r="B2610">
        <v>1318.8</v>
      </c>
      <c r="C2610">
        <v>112.002</v>
      </c>
      <c r="D2610" s="15">
        <f t="shared" si="122"/>
        <v>7.5000000000002839E-5</v>
      </c>
      <c r="E2610" s="14">
        <f t="shared" si="120"/>
        <v>4.8814756538879988E-5</v>
      </c>
      <c r="F2610">
        <v>104.16</v>
      </c>
      <c r="G2610" s="1">
        <f t="shared" si="121"/>
        <v>103.578721</v>
      </c>
    </row>
    <row r="2611" spans="1:7" x14ac:dyDescent="0.3">
      <c r="A2611">
        <v>26090</v>
      </c>
      <c r="B2611">
        <v>1324.3</v>
      </c>
      <c r="C2611">
        <v>112.002</v>
      </c>
      <c r="D2611" s="15">
        <f t="shared" si="122"/>
        <v>7.5000000000002839E-5</v>
      </c>
      <c r="E2611" s="14">
        <f t="shared" si="120"/>
        <v>4.8799247031270011E-5</v>
      </c>
      <c r="F2611">
        <v>104.164</v>
      </c>
      <c r="G2611" s="1">
        <f t="shared" si="121"/>
        <v>103.577591</v>
      </c>
    </row>
    <row r="2612" spans="1:7" x14ac:dyDescent="0.3">
      <c r="A2612">
        <v>26100</v>
      </c>
      <c r="B2612">
        <v>1329.8</v>
      </c>
      <c r="C2612">
        <v>112.001</v>
      </c>
      <c r="D2612" s="15">
        <f t="shared" si="122"/>
        <v>7.5000000000002839E-5</v>
      </c>
      <c r="E2612" s="14">
        <f t="shared" si="120"/>
        <v>4.8783750206999994E-5</v>
      </c>
      <c r="F2612">
        <v>104.16800000000001</v>
      </c>
      <c r="G2612" s="1">
        <f t="shared" si="121"/>
        <v>103.57646100000001</v>
      </c>
    </row>
    <row r="2613" spans="1:7" x14ac:dyDescent="0.3">
      <c r="A2613">
        <v>26110</v>
      </c>
      <c r="B2613">
        <v>1335.3</v>
      </c>
      <c r="C2613">
        <v>112</v>
      </c>
      <c r="D2613" s="15">
        <f t="shared" si="122"/>
        <v>9.9999999999766942E-5</v>
      </c>
      <c r="E2613" s="14">
        <f t="shared" si="120"/>
        <v>4.8768266066069978E-5</v>
      </c>
      <c r="F2613">
        <v>104.173</v>
      </c>
      <c r="G2613" s="1">
        <f t="shared" si="121"/>
        <v>103.57533100000001</v>
      </c>
    </row>
    <row r="2614" spans="1:7" x14ac:dyDescent="0.3">
      <c r="A2614">
        <v>26120</v>
      </c>
      <c r="B2614">
        <v>1340.7</v>
      </c>
      <c r="C2614">
        <v>111.999</v>
      </c>
      <c r="D2614" s="15">
        <f t="shared" si="122"/>
        <v>7.5000000000002839E-5</v>
      </c>
      <c r="E2614" s="14">
        <f t="shared" si="120"/>
        <v>4.8752794608480004E-5</v>
      </c>
      <c r="F2614">
        <v>104.17700000000001</v>
      </c>
      <c r="G2614" s="1">
        <f t="shared" si="121"/>
        <v>103.574201</v>
      </c>
    </row>
    <row r="2615" spans="1:7" x14ac:dyDescent="0.3">
      <c r="A2615">
        <v>26130</v>
      </c>
      <c r="B2615">
        <v>1346.2</v>
      </c>
      <c r="C2615">
        <v>111.998</v>
      </c>
      <c r="D2615" s="15">
        <f t="shared" si="122"/>
        <v>7.5000000000002839E-5</v>
      </c>
      <c r="E2615" s="14">
        <f t="shared" si="120"/>
        <v>4.8737335834230004E-5</v>
      </c>
      <c r="F2615">
        <v>104.182</v>
      </c>
      <c r="G2615" s="1">
        <f t="shared" si="121"/>
        <v>103.573071</v>
      </c>
    </row>
    <row r="2616" spans="1:7" x14ac:dyDescent="0.3">
      <c r="A2616">
        <v>26140</v>
      </c>
      <c r="B2616">
        <v>1351.7</v>
      </c>
      <c r="C2616">
        <v>111.998</v>
      </c>
      <c r="D2616" s="15">
        <f t="shared" si="122"/>
        <v>7.5000000000002839E-5</v>
      </c>
      <c r="E2616" s="14">
        <f t="shared" si="120"/>
        <v>4.8721889743319978E-5</v>
      </c>
      <c r="F2616">
        <v>104.185</v>
      </c>
      <c r="G2616" s="1">
        <f t="shared" si="121"/>
        <v>103.57194100000001</v>
      </c>
    </row>
    <row r="2617" spans="1:7" x14ac:dyDescent="0.3">
      <c r="A2617">
        <v>26150</v>
      </c>
      <c r="B2617">
        <v>1357.1</v>
      </c>
      <c r="C2617">
        <v>111.997</v>
      </c>
      <c r="D2617" s="15">
        <f t="shared" si="122"/>
        <v>7.5000000000002839E-5</v>
      </c>
      <c r="E2617" s="14">
        <f t="shared" si="120"/>
        <v>4.8706456335750008E-5</v>
      </c>
      <c r="F2617">
        <v>104.19</v>
      </c>
      <c r="G2617" s="1">
        <f t="shared" si="121"/>
        <v>103.57081100000001</v>
      </c>
    </row>
    <row r="2618" spans="1:7" x14ac:dyDescent="0.3">
      <c r="A2618">
        <v>26160</v>
      </c>
      <c r="B2618">
        <v>1362.6</v>
      </c>
      <c r="C2618">
        <v>111.996</v>
      </c>
      <c r="D2618" s="15">
        <f t="shared" si="122"/>
        <v>1.0000000000012221E-4</v>
      </c>
      <c r="E2618" s="14">
        <f t="shared" si="120"/>
        <v>4.8691035611519998E-5</v>
      </c>
      <c r="F2618">
        <v>104.19499999999999</v>
      </c>
      <c r="G2618" s="1">
        <f t="shared" si="121"/>
        <v>103.569681</v>
      </c>
    </row>
    <row r="2619" spans="1:7" x14ac:dyDescent="0.3">
      <c r="A2619">
        <v>26170</v>
      </c>
      <c r="B2619">
        <v>1368.1</v>
      </c>
      <c r="C2619">
        <v>111.995</v>
      </c>
      <c r="D2619" s="15">
        <f t="shared" si="122"/>
        <v>1.0000000000012221E-4</v>
      </c>
      <c r="E2619" s="14">
        <f t="shared" si="120"/>
        <v>4.8675627570629989E-5</v>
      </c>
      <c r="F2619">
        <v>104.19799999999999</v>
      </c>
      <c r="G2619" s="1">
        <f t="shared" si="121"/>
        <v>103.568551</v>
      </c>
    </row>
    <row r="2620" spans="1:7" x14ac:dyDescent="0.3">
      <c r="A2620">
        <v>26180</v>
      </c>
      <c r="B2620">
        <v>1373.6</v>
      </c>
      <c r="C2620">
        <v>111.994</v>
      </c>
      <c r="D2620" s="15">
        <f t="shared" si="122"/>
        <v>7.5000000000002839E-5</v>
      </c>
      <c r="E2620" s="14">
        <f t="shared" si="120"/>
        <v>4.8660232213080008E-5</v>
      </c>
      <c r="F2620">
        <v>104.203</v>
      </c>
      <c r="G2620" s="1">
        <f t="shared" si="121"/>
        <v>103.567421</v>
      </c>
    </row>
    <row r="2621" spans="1:7" x14ac:dyDescent="0.3">
      <c r="A2621">
        <v>26190</v>
      </c>
      <c r="B2621">
        <v>1379</v>
      </c>
      <c r="C2621">
        <v>111.99299999999999</v>
      </c>
      <c r="D2621" s="15">
        <f t="shared" si="122"/>
        <v>7.5000000000002839E-5</v>
      </c>
      <c r="E2621" s="14">
        <f t="shared" si="120"/>
        <v>4.8644849538870001E-5</v>
      </c>
      <c r="F2621">
        <v>104.20699999999999</v>
      </c>
      <c r="G2621" s="1">
        <f t="shared" si="121"/>
        <v>103.56629100000001</v>
      </c>
    </row>
    <row r="2622" spans="1:7" x14ac:dyDescent="0.3">
      <c r="A2622">
        <v>26200</v>
      </c>
      <c r="B2622">
        <v>1384.5</v>
      </c>
      <c r="C2622">
        <v>111.99299999999999</v>
      </c>
      <c r="D2622" s="15">
        <f t="shared" si="122"/>
        <v>7.5000000000002839E-5</v>
      </c>
      <c r="E2622" s="14">
        <f t="shared" si="120"/>
        <v>4.8629479547999981E-5</v>
      </c>
      <c r="F2622">
        <v>104.212</v>
      </c>
      <c r="G2622" s="1">
        <f t="shared" si="121"/>
        <v>103.565161</v>
      </c>
    </row>
    <row r="2623" spans="1:7" x14ac:dyDescent="0.3">
      <c r="A2623">
        <v>26210</v>
      </c>
      <c r="B2623">
        <v>1390.1</v>
      </c>
      <c r="C2623">
        <v>111.992</v>
      </c>
      <c r="D2623" s="15">
        <f t="shared" si="122"/>
        <v>7.5000000000002839E-5</v>
      </c>
      <c r="E2623" s="14">
        <f t="shared" si="120"/>
        <v>4.8614122240470017E-5</v>
      </c>
      <c r="F2623">
        <v>104.21599999999999</v>
      </c>
      <c r="G2623" s="1">
        <f t="shared" si="121"/>
        <v>103.564031</v>
      </c>
    </row>
    <row r="2624" spans="1:7" x14ac:dyDescent="0.3">
      <c r="A2624">
        <v>26220</v>
      </c>
      <c r="B2624">
        <v>1395.5</v>
      </c>
      <c r="C2624">
        <v>111.991</v>
      </c>
      <c r="D2624" s="15">
        <f t="shared" si="122"/>
        <v>9.9999999999766942E-5</v>
      </c>
      <c r="E2624" s="14">
        <f t="shared" si="120"/>
        <v>4.859877761628E-5</v>
      </c>
      <c r="F2624">
        <v>104.22</v>
      </c>
      <c r="G2624" s="1">
        <f t="shared" si="121"/>
        <v>103.562901</v>
      </c>
    </row>
    <row r="2625" spans="1:7" x14ac:dyDescent="0.3">
      <c r="A2625">
        <v>26230</v>
      </c>
      <c r="B2625">
        <v>1401</v>
      </c>
      <c r="C2625">
        <v>111.99</v>
      </c>
      <c r="D2625" s="15">
        <f t="shared" si="122"/>
        <v>7.5000000000002839E-5</v>
      </c>
      <c r="E2625" s="14">
        <f t="shared" si="120"/>
        <v>4.8583445675429984E-5</v>
      </c>
      <c r="F2625">
        <v>104.22499999999999</v>
      </c>
      <c r="G2625" s="1">
        <f t="shared" si="121"/>
        <v>103.56177100000001</v>
      </c>
    </row>
    <row r="2626" spans="1:7" x14ac:dyDescent="0.3">
      <c r="A2626">
        <v>26240</v>
      </c>
      <c r="B2626">
        <v>1406.5</v>
      </c>
      <c r="C2626">
        <v>111.989</v>
      </c>
      <c r="D2626" s="15">
        <f t="shared" si="122"/>
        <v>7.5000000000002839E-5</v>
      </c>
      <c r="E2626" s="14">
        <f t="shared" ref="E2626:E2689" si="123">0.0000000000000634167*A2626*A2626 - 0.0000000048594*A2626 + 0.000132414</f>
        <v>4.8568126417919982E-5</v>
      </c>
      <c r="F2626">
        <v>104.229</v>
      </c>
      <c r="G2626" s="1">
        <f t="shared" si="121"/>
        <v>103.560641</v>
      </c>
    </row>
    <row r="2627" spans="1:7" x14ac:dyDescent="0.3">
      <c r="A2627">
        <v>26250</v>
      </c>
      <c r="B2627">
        <v>1412</v>
      </c>
      <c r="C2627">
        <v>111.989</v>
      </c>
      <c r="D2627" s="15">
        <f t="shared" si="122"/>
        <v>7.5000000000002839E-5</v>
      </c>
      <c r="E2627" s="14">
        <f t="shared" si="123"/>
        <v>4.8552819843750009E-5</v>
      </c>
      <c r="F2627">
        <v>104.233</v>
      </c>
      <c r="G2627" s="1">
        <f t="shared" ref="G2627:G2690" si="124">-0.000113*A2627 + 106.525761</f>
        <v>103.559511</v>
      </c>
    </row>
    <row r="2628" spans="1:7" x14ac:dyDescent="0.3">
      <c r="A2628">
        <v>26260</v>
      </c>
      <c r="B2628">
        <v>1417.4</v>
      </c>
      <c r="C2628">
        <v>111.988</v>
      </c>
      <c r="D2628" s="15">
        <f t="shared" si="122"/>
        <v>7.5000000000002839E-5</v>
      </c>
      <c r="E2628" s="14">
        <f t="shared" si="123"/>
        <v>4.8537525952919996E-5</v>
      </c>
      <c r="F2628">
        <v>104.238</v>
      </c>
      <c r="G2628" s="1">
        <f t="shared" si="124"/>
        <v>103.558381</v>
      </c>
    </row>
    <row r="2629" spans="1:7" x14ac:dyDescent="0.3">
      <c r="A2629">
        <v>26270</v>
      </c>
      <c r="B2629">
        <v>1423</v>
      </c>
      <c r="C2629">
        <v>111.98699999999999</v>
      </c>
      <c r="D2629" s="15">
        <f t="shared" ref="D2629:D2692" si="125">(C2627-C2631)/(A2631-A2627)</f>
        <v>1.0000000000012221E-4</v>
      </c>
      <c r="E2629" s="14">
        <f t="shared" si="123"/>
        <v>4.8522244745429985E-5</v>
      </c>
      <c r="F2629">
        <v>104.242</v>
      </c>
      <c r="G2629" s="1">
        <f t="shared" si="124"/>
        <v>103.55725100000001</v>
      </c>
    </row>
    <row r="2630" spans="1:7" x14ac:dyDescent="0.3">
      <c r="A2630">
        <v>26280</v>
      </c>
      <c r="B2630">
        <v>1428.5</v>
      </c>
      <c r="C2630">
        <v>111.986</v>
      </c>
      <c r="D2630" s="15">
        <f t="shared" si="125"/>
        <v>7.5000000000002839E-5</v>
      </c>
      <c r="E2630" s="14">
        <f t="shared" si="123"/>
        <v>4.8506976221280001E-5</v>
      </c>
      <c r="F2630">
        <v>104.247</v>
      </c>
      <c r="G2630" s="1">
        <f t="shared" si="124"/>
        <v>103.556121</v>
      </c>
    </row>
    <row r="2631" spans="1:7" x14ac:dyDescent="0.3">
      <c r="A2631">
        <v>26290</v>
      </c>
      <c r="B2631">
        <v>1434</v>
      </c>
      <c r="C2631">
        <v>111.985</v>
      </c>
      <c r="D2631" s="15">
        <f t="shared" si="125"/>
        <v>7.5000000000002839E-5</v>
      </c>
      <c r="E2631" s="14">
        <f t="shared" si="123"/>
        <v>4.8491720380469992E-5</v>
      </c>
      <c r="F2631">
        <v>104.251</v>
      </c>
      <c r="G2631" s="1">
        <f t="shared" si="124"/>
        <v>103.554991</v>
      </c>
    </row>
    <row r="2632" spans="1:7" x14ac:dyDescent="0.3">
      <c r="A2632">
        <v>26300</v>
      </c>
      <c r="B2632">
        <v>1439.5</v>
      </c>
      <c r="C2632">
        <v>111.985</v>
      </c>
      <c r="D2632" s="15">
        <f t="shared" si="125"/>
        <v>7.5000000000002839E-5</v>
      </c>
      <c r="E2632" s="14">
        <f t="shared" si="123"/>
        <v>4.8476477222999983E-5</v>
      </c>
      <c r="F2632">
        <v>104.255</v>
      </c>
      <c r="G2632" s="1">
        <f t="shared" si="124"/>
        <v>103.553861</v>
      </c>
    </row>
    <row r="2633" spans="1:7" x14ac:dyDescent="0.3">
      <c r="A2633">
        <v>26310</v>
      </c>
      <c r="B2633">
        <v>1445.1</v>
      </c>
      <c r="C2633">
        <v>111.98399999999999</v>
      </c>
      <c r="D2633" s="15">
        <f t="shared" si="125"/>
        <v>7.5000000000002839E-5</v>
      </c>
      <c r="E2633" s="14">
        <f t="shared" si="123"/>
        <v>4.8461246748870003E-5</v>
      </c>
      <c r="F2633">
        <v>104.26</v>
      </c>
      <c r="G2633" s="1">
        <f t="shared" si="124"/>
        <v>103.55273100000001</v>
      </c>
    </row>
    <row r="2634" spans="1:7" x14ac:dyDescent="0.3">
      <c r="A2634">
        <v>26320</v>
      </c>
      <c r="B2634">
        <v>1450.6</v>
      </c>
      <c r="C2634">
        <v>111.983</v>
      </c>
      <c r="D2634" s="15">
        <f t="shared" si="125"/>
        <v>1.0000000000012221E-4</v>
      </c>
      <c r="E2634" s="14">
        <f t="shared" si="123"/>
        <v>4.8446028958079997E-5</v>
      </c>
      <c r="F2634">
        <v>104.26300000000001</v>
      </c>
      <c r="G2634" s="1">
        <f t="shared" si="124"/>
        <v>103.55160100000001</v>
      </c>
    </row>
    <row r="2635" spans="1:7" x14ac:dyDescent="0.3">
      <c r="A2635">
        <v>26330</v>
      </c>
      <c r="B2635">
        <v>1456.1</v>
      </c>
      <c r="C2635">
        <v>111.982</v>
      </c>
      <c r="D2635" s="15">
        <f t="shared" si="125"/>
        <v>9.9999999999766942E-5</v>
      </c>
      <c r="E2635" s="14">
        <f t="shared" si="123"/>
        <v>4.8430823850629991E-5</v>
      </c>
      <c r="F2635">
        <v>104.268</v>
      </c>
      <c r="G2635" s="1">
        <f t="shared" si="124"/>
        <v>103.550471</v>
      </c>
    </row>
    <row r="2636" spans="1:7" x14ac:dyDescent="0.3">
      <c r="A2636">
        <v>26340</v>
      </c>
      <c r="B2636">
        <v>1461.6</v>
      </c>
      <c r="C2636">
        <v>111.98099999999999</v>
      </c>
      <c r="D2636" s="15">
        <f t="shared" si="125"/>
        <v>7.5000000000002839E-5</v>
      </c>
      <c r="E2636" s="14">
        <f t="shared" si="123"/>
        <v>4.8415631426520014E-5</v>
      </c>
      <c r="F2636">
        <v>104.273</v>
      </c>
      <c r="G2636" s="1">
        <f t="shared" si="124"/>
        <v>103.549341</v>
      </c>
    </row>
    <row r="2637" spans="1:7" x14ac:dyDescent="0.3">
      <c r="A2637">
        <v>26350</v>
      </c>
      <c r="B2637">
        <v>1467.2</v>
      </c>
      <c r="C2637">
        <v>111.98</v>
      </c>
      <c r="D2637" s="15">
        <f t="shared" si="125"/>
        <v>7.5000000000002839E-5</v>
      </c>
      <c r="E2637" s="14">
        <f t="shared" si="123"/>
        <v>4.8400451685749998E-5</v>
      </c>
      <c r="F2637">
        <v>104.277</v>
      </c>
      <c r="G2637" s="1">
        <f t="shared" si="124"/>
        <v>103.54821100000001</v>
      </c>
    </row>
    <row r="2638" spans="1:7" x14ac:dyDescent="0.3">
      <c r="A2638">
        <v>26360</v>
      </c>
      <c r="B2638">
        <v>1472.6</v>
      </c>
      <c r="C2638">
        <v>111.98</v>
      </c>
      <c r="D2638" s="15">
        <f t="shared" si="125"/>
        <v>7.5000000000002839E-5</v>
      </c>
      <c r="E2638" s="14">
        <f t="shared" si="123"/>
        <v>4.8385284628319982E-5</v>
      </c>
      <c r="F2638">
        <v>104.28100000000001</v>
      </c>
      <c r="G2638" s="1">
        <f t="shared" si="124"/>
        <v>103.54708100000001</v>
      </c>
    </row>
    <row r="2639" spans="1:7" x14ac:dyDescent="0.3">
      <c r="A2639">
        <v>26370</v>
      </c>
      <c r="B2639">
        <v>1478.2</v>
      </c>
      <c r="C2639">
        <v>111.979</v>
      </c>
      <c r="D2639" s="15">
        <f t="shared" si="125"/>
        <v>7.5000000000002839E-5</v>
      </c>
      <c r="E2639" s="14">
        <f t="shared" si="123"/>
        <v>4.8370130254230009E-5</v>
      </c>
      <c r="F2639">
        <v>104.285</v>
      </c>
      <c r="G2639" s="1">
        <f t="shared" si="124"/>
        <v>103.545951</v>
      </c>
    </row>
    <row r="2640" spans="1:7" x14ac:dyDescent="0.3">
      <c r="A2640">
        <v>26380</v>
      </c>
      <c r="B2640">
        <v>1483.7</v>
      </c>
      <c r="C2640">
        <v>111.97799999999999</v>
      </c>
      <c r="D2640" s="15">
        <f t="shared" si="125"/>
        <v>1.0000000000012221E-4</v>
      </c>
      <c r="E2640" s="14">
        <f t="shared" si="123"/>
        <v>4.8354988563479995E-5</v>
      </c>
      <c r="F2640">
        <v>104.29</v>
      </c>
      <c r="G2640" s="1">
        <f t="shared" si="124"/>
        <v>103.544821</v>
      </c>
    </row>
    <row r="2641" spans="1:7" x14ac:dyDescent="0.3">
      <c r="A2641">
        <v>26390</v>
      </c>
      <c r="B2641">
        <v>1489.3</v>
      </c>
      <c r="C2641">
        <v>111.977</v>
      </c>
      <c r="D2641" s="15">
        <f t="shared" si="125"/>
        <v>7.5000000000002839E-5</v>
      </c>
      <c r="E2641" s="14">
        <f t="shared" si="123"/>
        <v>4.8339859556069983E-5</v>
      </c>
      <c r="F2641">
        <v>104.295</v>
      </c>
      <c r="G2641" s="1">
        <f t="shared" si="124"/>
        <v>103.54369100000001</v>
      </c>
    </row>
    <row r="2642" spans="1:7" x14ac:dyDescent="0.3">
      <c r="A2642">
        <v>26400</v>
      </c>
      <c r="B2642">
        <v>1494.7</v>
      </c>
      <c r="C2642">
        <v>111.976</v>
      </c>
      <c r="D2642" s="15">
        <f t="shared" si="125"/>
        <v>7.5000000000002839E-5</v>
      </c>
      <c r="E2642" s="14">
        <f t="shared" si="123"/>
        <v>4.8324743232000013E-5</v>
      </c>
      <c r="F2642">
        <v>104.298</v>
      </c>
      <c r="G2642" s="1">
        <f t="shared" si="124"/>
        <v>103.54256100000001</v>
      </c>
    </row>
    <row r="2643" spans="1:7" x14ac:dyDescent="0.3">
      <c r="A2643">
        <v>26410</v>
      </c>
      <c r="B2643">
        <v>1500.3</v>
      </c>
      <c r="C2643">
        <v>111.976</v>
      </c>
      <c r="D2643" s="15">
        <f t="shared" si="125"/>
        <v>7.5000000000002839E-5</v>
      </c>
      <c r="E2643" s="14">
        <f t="shared" si="123"/>
        <v>4.8309639591270003E-5</v>
      </c>
      <c r="F2643">
        <v>104.303</v>
      </c>
      <c r="G2643" s="1">
        <f t="shared" si="124"/>
        <v>103.541431</v>
      </c>
    </row>
    <row r="2644" spans="1:7" x14ac:dyDescent="0.3">
      <c r="A2644">
        <v>26420</v>
      </c>
      <c r="B2644">
        <v>1505.9</v>
      </c>
      <c r="C2644">
        <v>111.97499999999999</v>
      </c>
      <c r="D2644" s="15">
        <f t="shared" si="125"/>
        <v>7.5000000000002839E-5</v>
      </c>
      <c r="E2644" s="14">
        <f t="shared" si="123"/>
        <v>4.8294548633879994E-5</v>
      </c>
      <c r="F2644">
        <v>104.30800000000001</v>
      </c>
      <c r="G2644" s="1">
        <f t="shared" si="124"/>
        <v>103.540301</v>
      </c>
    </row>
    <row r="2645" spans="1:7" x14ac:dyDescent="0.3">
      <c r="A2645">
        <v>26430</v>
      </c>
      <c r="B2645">
        <v>1511.4</v>
      </c>
      <c r="C2645">
        <v>111.974</v>
      </c>
      <c r="D2645" s="15">
        <f t="shared" si="125"/>
        <v>1.0000000000012221E-4</v>
      </c>
      <c r="E2645" s="14">
        <f t="shared" si="123"/>
        <v>4.8279470359829973E-5</v>
      </c>
      <c r="F2645">
        <v>104.312</v>
      </c>
      <c r="G2645" s="1">
        <f t="shared" si="124"/>
        <v>103.539171</v>
      </c>
    </row>
    <row r="2646" spans="1:7" x14ac:dyDescent="0.3">
      <c r="A2646">
        <v>26440</v>
      </c>
      <c r="B2646">
        <v>1516.9</v>
      </c>
      <c r="C2646">
        <v>111.973</v>
      </c>
      <c r="D2646" s="15">
        <f t="shared" si="125"/>
        <v>7.5000000000002839E-5</v>
      </c>
      <c r="E2646" s="14">
        <f t="shared" si="123"/>
        <v>4.8264404769120007E-5</v>
      </c>
      <c r="F2646">
        <v>104.316</v>
      </c>
      <c r="G2646" s="1">
        <f t="shared" si="124"/>
        <v>103.53804100000001</v>
      </c>
    </row>
    <row r="2647" spans="1:7" x14ac:dyDescent="0.3">
      <c r="A2647">
        <v>26450</v>
      </c>
      <c r="B2647">
        <v>1522.5</v>
      </c>
      <c r="C2647">
        <v>111.97199999999999</v>
      </c>
      <c r="D2647" s="15">
        <f t="shared" si="125"/>
        <v>7.5000000000002839E-5</v>
      </c>
      <c r="E2647" s="14">
        <f t="shared" si="123"/>
        <v>4.8249351861749987E-5</v>
      </c>
      <c r="F2647">
        <v>104.32</v>
      </c>
      <c r="G2647" s="1">
        <f t="shared" si="124"/>
        <v>103.536911</v>
      </c>
    </row>
    <row r="2648" spans="1:7" x14ac:dyDescent="0.3">
      <c r="A2648">
        <v>26460</v>
      </c>
      <c r="B2648">
        <v>1528.1</v>
      </c>
      <c r="C2648">
        <v>111.97199999999999</v>
      </c>
      <c r="D2648" s="15">
        <f t="shared" si="125"/>
        <v>7.5000000000002839E-5</v>
      </c>
      <c r="E2648" s="14">
        <f t="shared" si="123"/>
        <v>4.8234311637719983E-5</v>
      </c>
      <c r="F2648">
        <v>104.325</v>
      </c>
      <c r="G2648" s="1">
        <f t="shared" si="124"/>
        <v>103.535781</v>
      </c>
    </row>
    <row r="2649" spans="1:7" x14ac:dyDescent="0.3">
      <c r="A2649">
        <v>26470</v>
      </c>
      <c r="B2649">
        <v>1533.5</v>
      </c>
      <c r="C2649">
        <v>111.971</v>
      </c>
      <c r="D2649" s="15">
        <f t="shared" si="125"/>
        <v>7.5000000000002839E-5</v>
      </c>
      <c r="E2649" s="14">
        <f t="shared" si="123"/>
        <v>4.8219284097030006E-5</v>
      </c>
      <c r="F2649">
        <v>104.32899999999999</v>
      </c>
      <c r="G2649" s="1">
        <f t="shared" si="124"/>
        <v>103.534651</v>
      </c>
    </row>
    <row r="2650" spans="1:7" x14ac:dyDescent="0.3">
      <c r="A2650">
        <v>26480</v>
      </c>
      <c r="B2650">
        <v>1539.1</v>
      </c>
      <c r="C2650">
        <v>111.97</v>
      </c>
      <c r="D2650" s="15">
        <f t="shared" si="125"/>
        <v>9.9999999999766942E-5</v>
      </c>
      <c r="E2650" s="14">
        <f t="shared" si="123"/>
        <v>4.8204269239679991E-5</v>
      </c>
      <c r="F2650">
        <v>104.333</v>
      </c>
      <c r="G2650" s="1">
        <f t="shared" si="124"/>
        <v>103.53352100000001</v>
      </c>
    </row>
    <row r="2651" spans="1:7" x14ac:dyDescent="0.3">
      <c r="A2651">
        <v>26490</v>
      </c>
      <c r="B2651">
        <v>1544.7</v>
      </c>
      <c r="C2651">
        <v>111.96899999999999</v>
      </c>
      <c r="D2651" s="15">
        <f t="shared" si="125"/>
        <v>1.0000000000012221E-4</v>
      </c>
      <c r="E2651" s="14">
        <f t="shared" si="123"/>
        <v>4.8189267065669976E-5</v>
      </c>
      <c r="F2651">
        <v>104.33799999999999</v>
      </c>
      <c r="G2651" s="1">
        <f t="shared" si="124"/>
        <v>103.532391</v>
      </c>
    </row>
    <row r="2652" spans="1:7" x14ac:dyDescent="0.3">
      <c r="A2652">
        <v>26500</v>
      </c>
      <c r="B2652">
        <v>1550.3</v>
      </c>
      <c r="C2652">
        <v>111.968</v>
      </c>
      <c r="D2652" s="15">
        <f t="shared" si="125"/>
        <v>7.5000000000002839E-5</v>
      </c>
      <c r="E2652" s="14">
        <f t="shared" si="123"/>
        <v>4.8174277575000003E-5</v>
      </c>
      <c r="F2652">
        <v>104.343</v>
      </c>
      <c r="G2652" s="1">
        <f t="shared" si="124"/>
        <v>103.531261</v>
      </c>
    </row>
    <row r="2653" spans="1:7" x14ac:dyDescent="0.3">
      <c r="A2653">
        <v>26510</v>
      </c>
      <c r="B2653">
        <v>1555.7</v>
      </c>
      <c r="C2653">
        <v>111.967</v>
      </c>
      <c r="D2653" s="15">
        <f t="shared" si="125"/>
        <v>7.5000000000002839E-5</v>
      </c>
      <c r="E2653" s="14">
        <f t="shared" si="123"/>
        <v>4.8159300767670004E-5</v>
      </c>
      <c r="F2653">
        <v>104.346</v>
      </c>
      <c r="G2653" s="1">
        <f t="shared" si="124"/>
        <v>103.530131</v>
      </c>
    </row>
    <row r="2654" spans="1:7" x14ac:dyDescent="0.3">
      <c r="A2654">
        <v>26520</v>
      </c>
      <c r="B2654">
        <v>1561.3</v>
      </c>
      <c r="C2654">
        <v>111.967</v>
      </c>
      <c r="D2654" s="15">
        <f t="shared" si="125"/>
        <v>7.5000000000002839E-5</v>
      </c>
      <c r="E2654" s="14">
        <f t="shared" si="123"/>
        <v>4.8144336643679992E-5</v>
      </c>
      <c r="F2654">
        <v>104.351</v>
      </c>
      <c r="G2654" s="1">
        <f t="shared" si="124"/>
        <v>103.52900100000001</v>
      </c>
    </row>
    <row r="2655" spans="1:7" x14ac:dyDescent="0.3">
      <c r="A2655">
        <v>26530</v>
      </c>
      <c r="B2655">
        <v>1566.9</v>
      </c>
      <c r="C2655">
        <v>111.96599999999999</v>
      </c>
      <c r="D2655" s="15">
        <f t="shared" si="125"/>
        <v>7.5000000000002839E-5</v>
      </c>
      <c r="E2655" s="14">
        <f t="shared" si="123"/>
        <v>4.8129385203030009E-5</v>
      </c>
      <c r="F2655">
        <v>104.355</v>
      </c>
      <c r="G2655" s="1">
        <f t="shared" si="124"/>
        <v>103.527871</v>
      </c>
    </row>
    <row r="2656" spans="1:7" x14ac:dyDescent="0.3">
      <c r="A2656">
        <v>26540</v>
      </c>
      <c r="B2656">
        <v>1572.3</v>
      </c>
      <c r="C2656">
        <v>111.965</v>
      </c>
      <c r="D2656" s="15">
        <f t="shared" si="125"/>
        <v>1.0000000000012221E-4</v>
      </c>
      <c r="E2656" s="14">
        <f t="shared" si="123"/>
        <v>4.8114446445719999E-5</v>
      </c>
      <c r="F2656">
        <v>104.36</v>
      </c>
      <c r="G2656" s="1">
        <f t="shared" si="124"/>
        <v>103.526741</v>
      </c>
    </row>
    <row r="2657" spans="1:7" x14ac:dyDescent="0.3">
      <c r="A2657">
        <v>26550</v>
      </c>
      <c r="B2657">
        <v>1577.9</v>
      </c>
      <c r="C2657">
        <v>111.964</v>
      </c>
      <c r="D2657" s="15">
        <f t="shared" si="125"/>
        <v>9.9999999999766942E-5</v>
      </c>
      <c r="E2657" s="14">
        <f t="shared" si="123"/>
        <v>4.8099520371749991E-5</v>
      </c>
      <c r="F2657">
        <v>104.364</v>
      </c>
      <c r="G2657" s="1">
        <f t="shared" si="124"/>
        <v>103.525611</v>
      </c>
    </row>
    <row r="2658" spans="1:7" x14ac:dyDescent="0.3">
      <c r="A2658">
        <v>26560</v>
      </c>
      <c r="B2658">
        <v>1583.6</v>
      </c>
      <c r="C2658">
        <v>111.96299999999999</v>
      </c>
      <c r="D2658" s="15">
        <f t="shared" si="125"/>
        <v>7.5000000000002839E-5</v>
      </c>
      <c r="E2658" s="14">
        <f t="shared" si="123"/>
        <v>4.8084606981120011E-5</v>
      </c>
      <c r="F2658">
        <v>104.36799999999999</v>
      </c>
      <c r="G2658" s="1">
        <f t="shared" si="124"/>
        <v>103.52448100000001</v>
      </c>
    </row>
    <row r="2659" spans="1:7" x14ac:dyDescent="0.3">
      <c r="A2659">
        <v>26570</v>
      </c>
      <c r="B2659">
        <v>1589.1</v>
      </c>
      <c r="C2659">
        <v>111.962</v>
      </c>
      <c r="D2659" s="15">
        <f t="shared" si="125"/>
        <v>7.5000000000002839E-5</v>
      </c>
      <c r="E2659" s="14">
        <f t="shared" si="123"/>
        <v>4.8069706273830005E-5</v>
      </c>
      <c r="F2659">
        <v>104.373</v>
      </c>
      <c r="G2659" s="1">
        <f t="shared" si="124"/>
        <v>103.52335100000001</v>
      </c>
    </row>
    <row r="2660" spans="1:7" x14ac:dyDescent="0.3">
      <c r="A2660">
        <v>26580</v>
      </c>
      <c r="B2660">
        <v>1594.6</v>
      </c>
      <c r="C2660">
        <v>111.962</v>
      </c>
      <c r="D2660" s="15">
        <f t="shared" si="125"/>
        <v>7.5000000000002839E-5</v>
      </c>
      <c r="E2660" s="14">
        <f t="shared" si="123"/>
        <v>4.8054818249879987E-5</v>
      </c>
      <c r="F2660">
        <v>104.376</v>
      </c>
      <c r="G2660" s="1">
        <f t="shared" si="124"/>
        <v>103.522221</v>
      </c>
    </row>
    <row r="2661" spans="1:7" x14ac:dyDescent="0.3">
      <c r="A2661">
        <v>26590</v>
      </c>
      <c r="B2661">
        <v>1600.2</v>
      </c>
      <c r="C2661">
        <v>111.961</v>
      </c>
      <c r="D2661" s="15">
        <f t="shared" si="125"/>
        <v>7.5000000000002839E-5</v>
      </c>
      <c r="E2661" s="14">
        <f t="shared" si="123"/>
        <v>4.803994290927001E-5</v>
      </c>
      <c r="F2661">
        <v>104.381</v>
      </c>
      <c r="G2661" s="1">
        <f t="shared" si="124"/>
        <v>103.521091</v>
      </c>
    </row>
    <row r="2662" spans="1:7" x14ac:dyDescent="0.3">
      <c r="A2662">
        <v>26600</v>
      </c>
      <c r="B2662">
        <v>1605.8</v>
      </c>
      <c r="C2662">
        <v>111.96</v>
      </c>
      <c r="D2662" s="15">
        <f t="shared" si="125"/>
        <v>1.0000000000012221E-4</v>
      </c>
      <c r="E2662" s="14">
        <f t="shared" si="123"/>
        <v>4.8025080251999994E-5</v>
      </c>
      <c r="F2662">
        <v>104.386</v>
      </c>
      <c r="G2662" s="1">
        <f t="shared" si="124"/>
        <v>103.51996100000001</v>
      </c>
    </row>
    <row r="2663" spans="1:7" x14ac:dyDescent="0.3">
      <c r="A2663">
        <v>26610</v>
      </c>
      <c r="B2663">
        <v>1611.2</v>
      </c>
      <c r="C2663">
        <v>111.959</v>
      </c>
      <c r="D2663" s="15">
        <f t="shared" si="125"/>
        <v>7.5000000000002839E-5</v>
      </c>
      <c r="E2663" s="14">
        <f t="shared" si="123"/>
        <v>4.8010230278069992E-5</v>
      </c>
      <c r="F2663">
        <v>104.39</v>
      </c>
      <c r="G2663" s="1">
        <f t="shared" si="124"/>
        <v>103.51883100000001</v>
      </c>
    </row>
    <row r="2664" spans="1:7" x14ac:dyDescent="0.3">
      <c r="A2664">
        <v>26620</v>
      </c>
      <c r="B2664">
        <v>1616.9</v>
      </c>
      <c r="C2664">
        <v>111.958</v>
      </c>
      <c r="D2664" s="15">
        <f t="shared" si="125"/>
        <v>7.5000000000002839E-5</v>
      </c>
      <c r="E2664" s="14">
        <f t="shared" si="123"/>
        <v>4.7995392987479991E-5</v>
      </c>
      <c r="F2664">
        <v>104.39400000000001</v>
      </c>
      <c r="G2664" s="1">
        <f t="shared" si="124"/>
        <v>103.517701</v>
      </c>
    </row>
    <row r="2665" spans="1:7" x14ac:dyDescent="0.3">
      <c r="A2665">
        <v>26630</v>
      </c>
      <c r="B2665">
        <v>1622.5</v>
      </c>
      <c r="C2665">
        <v>111.958</v>
      </c>
      <c r="D2665" s="15">
        <f t="shared" si="125"/>
        <v>7.5000000000002839E-5</v>
      </c>
      <c r="E2665" s="14">
        <f t="shared" si="123"/>
        <v>4.7980568380229992E-5</v>
      </c>
      <c r="F2665">
        <v>104.399</v>
      </c>
      <c r="G2665" s="1">
        <f t="shared" si="124"/>
        <v>103.516571</v>
      </c>
    </row>
    <row r="2666" spans="1:7" x14ac:dyDescent="0.3">
      <c r="A2666">
        <v>26640</v>
      </c>
      <c r="B2666">
        <v>1628.1</v>
      </c>
      <c r="C2666">
        <v>111.95699999999999</v>
      </c>
      <c r="D2666" s="15">
        <f t="shared" si="125"/>
        <v>7.5000000000002839E-5</v>
      </c>
      <c r="E2666" s="14">
        <f t="shared" si="123"/>
        <v>4.7965756456319993E-5</v>
      </c>
      <c r="F2666">
        <v>104.40300000000001</v>
      </c>
      <c r="G2666" s="1">
        <f t="shared" si="124"/>
        <v>103.51544100000001</v>
      </c>
    </row>
    <row r="2667" spans="1:7" x14ac:dyDescent="0.3">
      <c r="A2667">
        <v>26650</v>
      </c>
      <c r="B2667">
        <v>1633.6</v>
      </c>
      <c r="C2667">
        <v>111.956</v>
      </c>
      <c r="D2667" s="15">
        <f t="shared" si="125"/>
        <v>1.0000000000012221E-4</v>
      </c>
      <c r="E2667" s="14">
        <f t="shared" si="123"/>
        <v>4.7950957215749982E-5</v>
      </c>
      <c r="F2667">
        <v>104.408</v>
      </c>
      <c r="G2667" s="1">
        <f t="shared" si="124"/>
        <v>103.51431100000001</v>
      </c>
    </row>
    <row r="2668" spans="1:7" x14ac:dyDescent="0.3">
      <c r="A2668">
        <v>26660</v>
      </c>
      <c r="B2668">
        <v>1639.2</v>
      </c>
      <c r="C2668">
        <v>111.955</v>
      </c>
      <c r="D2668" s="15">
        <f t="shared" si="125"/>
        <v>9.9999999999766942E-5</v>
      </c>
      <c r="E2668" s="14">
        <f t="shared" si="123"/>
        <v>4.793617065852E-5</v>
      </c>
      <c r="F2668">
        <v>104.411</v>
      </c>
      <c r="G2668" s="1">
        <f t="shared" si="124"/>
        <v>103.513181</v>
      </c>
    </row>
    <row r="2669" spans="1:7" x14ac:dyDescent="0.3">
      <c r="A2669">
        <v>26670</v>
      </c>
      <c r="B2669">
        <v>1644.8</v>
      </c>
      <c r="C2669">
        <v>111.95399999999999</v>
      </c>
      <c r="D2669" s="15">
        <f t="shared" si="125"/>
        <v>7.5000000000002839E-5</v>
      </c>
      <c r="E2669" s="14">
        <f t="shared" si="123"/>
        <v>4.7921396784630005E-5</v>
      </c>
      <c r="F2669">
        <v>104.416</v>
      </c>
      <c r="G2669" s="1">
        <f t="shared" si="124"/>
        <v>103.512051</v>
      </c>
    </row>
    <row r="2670" spans="1:7" x14ac:dyDescent="0.3">
      <c r="A2670">
        <v>26680</v>
      </c>
      <c r="B2670">
        <v>1650.3</v>
      </c>
      <c r="C2670">
        <v>111.953</v>
      </c>
      <c r="D2670" s="15">
        <f t="shared" si="125"/>
        <v>7.5000000000002839E-5</v>
      </c>
      <c r="E2670" s="14">
        <f t="shared" si="123"/>
        <v>4.7906635594079983E-5</v>
      </c>
      <c r="F2670">
        <v>104.42100000000001</v>
      </c>
      <c r="G2670" s="1">
        <f t="shared" si="124"/>
        <v>103.510921</v>
      </c>
    </row>
    <row r="2671" spans="1:7" x14ac:dyDescent="0.3">
      <c r="A2671">
        <v>26690</v>
      </c>
      <c r="B2671">
        <v>1655.9</v>
      </c>
      <c r="C2671">
        <v>111.953</v>
      </c>
      <c r="D2671" s="15">
        <f t="shared" si="125"/>
        <v>7.5000000000002839E-5</v>
      </c>
      <c r="E2671" s="14">
        <f t="shared" si="123"/>
        <v>4.7891887086870004E-5</v>
      </c>
      <c r="F2671">
        <v>104.42400000000001</v>
      </c>
      <c r="G2671" s="1">
        <f t="shared" si="124"/>
        <v>103.50979100000001</v>
      </c>
    </row>
    <row r="2672" spans="1:7" x14ac:dyDescent="0.3">
      <c r="A2672">
        <v>26700</v>
      </c>
      <c r="B2672">
        <v>1661.5</v>
      </c>
      <c r="C2672">
        <v>111.952</v>
      </c>
      <c r="D2672" s="15">
        <f t="shared" si="125"/>
        <v>7.5000000000002839E-5</v>
      </c>
      <c r="E2672" s="14">
        <f t="shared" si="123"/>
        <v>4.7877151262999999E-5</v>
      </c>
      <c r="F2672">
        <v>104.429</v>
      </c>
      <c r="G2672" s="1">
        <f t="shared" si="124"/>
        <v>103.508661</v>
      </c>
    </row>
    <row r="2673" spans="1:7" x14ac:dyDescent="0.3">
      <c r="A2673">
        <v>26710</v>
      </c>
      <c r="B2673">
        <v>1667.2</v>
      </c>
      <c r="C2673">
        <v>111.95099999999999</v>
      </c>
      <c r="D2673" s="15">
        <f t="shared" si="125"/>
        <v>1.0000000000012221E-4</v>
      </c>
      <c r="E2673" s="14">
        <f t="shared" si="123"/>
        <v>4.7862428122469981E-5</v>
      </c>
      <c r="F2673">
        <v>104.434</v>
      </c>
      <c r="G2673" s="1">
        <f t="shared" si="124"/>
        <v>103.507531</v>
      </c>
    </row>
    <row r="2674" spans="1:7" x14ac:dyDescent="0.3">
      <c r="A2674">
        <v>26720</v>
      </c>
      <c r="B2674">
        <v>1672.7</v>
      </c>
      <c r="C2674">
        <v>111.95</v>
      </c>
      <c r="D2674" s="15">
        <f t="shared" si="125"/>
        <v>7.5000000000002839E-5</v>
      </c>
      <c r="E2674" s="14">
        <f t="shared" si="123"/>
        <v>4.7847717665280005E-5</v>
      </c>
      <c r="F2674">
        <v>104.438</v>
      </c>
      <c r="G2674" s="1">
        <f t="shared" si="124"/>
        <v>103.506401</v>
      </c>
    </row>
    <row r="2675" spans="1:7" x14ac:dyDescent="0.3">
      <c r="A2675">
        <v>26730</v>
      </c>
      <c r="B2675">
        <v>1678.3</v>
      </c>
      <c r="C2675">
        <v>111.949</v>
      </c>
      <c r="D2675" s="15">
        <f t="shared" si="125"/>
        <v>7.5000000000002839E-5</v>
      </c>
      <c r="E2675" s="14">
        <f t="shared" si="123"/>
        <v>4.7833019891430003E-5</v>
      </c>
      <c r="F2675">
        <v>104.44199999999999</v>
      </c>
      <c r="G2675" s="1">
        <f t="shared" si="124"/>
        <v>103.50527100000001</v>
      </c>
    </row>
    <row r="2676" spans="1:7" x14ac:dyDescent="0.3">
      <c r="A2676">
        <v>26740</v>
      </c>
      <c r="B2676">
        <v>1683.9</v>
      </c>
      <c r="C2676">
        <v>111.949</v>
      </c>
      <c r="D2676" s="15">
        <f t="shared" si="125"/>
        <v>7.5000000000002839E-5</v>
      </c>
      <c r="E2676" s="14">
        <f t="shared" si="123"/>
        <v>4.7818334800919988E-5</v>
      </c>
      <c r="F2676">
        <v>104.446</v>
      </c>
      <c r="G2676" s="1">
        <f t="shared" si="124"/>
        <v>103.504141</v>
      </c>
    </row>
    <row r="2677" spans="1:7" x14ac:dyDescent="0.3">
      <c r="A2677">
        <v>26750</v>
      </c>
      <c r="B2677">
        <v>1689.4</v>
      </c>
      <c r="C2677">
        <v>111.94799999999999</v>
      </c>
      <c r="D2677" s="15">
        <f t="shared" si="125"/>
        <v>7.5000000000002839E-5</v>
      </c>
      <c r="E2677" s="14">
        <f t="shared" si="123"/>
        <v>4.7803662393750002E-5</v>
      </c>
      <c r="F2677">
        <v>104.45099999999999</v>
      </c>
      <c r="G2677" s="1">
        <f t="shared" si="124"/>
        <v>103.503011</v>
      </c>
    </row>
    <row r="2678" spans="1:7" x14ac:dyDescent="0.3">
      <c r="A2678">
        <v>26760</v>
      </c>
      <c r="B2678">
        <v>1695.1</v>
      </c>
      <c r="C2678">
        <v>111.947</v>
      </c>
      <c r="D2678" s="15">
        <f t="shared" si="125"/>
        <v>1.0000000000012221E-4</v>
      </c>
      <c r="E2678" s="14">
        <f t="shared" si="123"/>
        <v>4.7789002669920003E-5</v>
      </c>
      <c r="F2678">
        <v>104.455</v>
      </c>
      <c r="G2678" s="1">
        <f t="shared" si="124"/>
        <v>103.501881</v>
      </c>
    </row>
    <row r="2679" spans="1:7" x14ac:dyDescent="0.3">
      <c r="A2679">
        <v>26770</v>
      </c>
      <c r="B2679">
        <v>1700.7</v>
      </c>
      <c r="C2679">
        <v>111.946</v>
      </c>
      <c r="D2679" s="15">
        <f t="shared" si="125"/>
        <v>9.9999999999766942E-5</v>
      </c>
      <c r="E2679" s="14">
        <f t="shared" si="123"/>
        <v>4.7774355629429991E-5</v>
      </c>
      <c r="F2679">
        <v>104.459</v>
      </c>
      <c r="G2679" s="1">
        <f t="shared" si="124"/>
        <v>103.50075100000001</v>
      </c>
    </row>
    <row r="2680" spans="1:7" x14ac:dyDescent="0.3">
      <c r="A2680">
        <v>26780</v>
      </c>
      <c r="B2680">
        <v>1706.3</v>
      </c>
      <c r="C2680">
        <v>111.94499999999999</v>
      </c>
      <c r="D2680" s="15">
        <f t="shared" si="125"/>
        <v>7.5000000000002839E-5</v>
      </c>
      <c r="E2680" s="14">
        <f t="shared" si="123"/>
        <v>4.7759721272280008E-5</v>
      </c>
      <c r="F2680">
        <v>104.464</v>
      </c>
      <c r="G2680" s="1">
        <f t="shared" si="124"/>
        <v>103.499621</v>
      </c>
    </row>
    <row r="2681" spans="1:7" x14ac:dyDescent="0.3">
      <c r="A2681">
        <v>26790</v>
      </c>
      <c r="B2681">
        <v>1711.8</v>
      </c>
      <c r="C2681">
        <v>111.944</v>
      </c>
      <c r="D2681" s="15">
        <f t="shared" si="125"/>
        <v>7.5000000000002839E-5</v>
      </c>
      <c r="E2681" s="14">
        <f t="shared" si="123"/>
        <v>4.7745099598469999E-5</v>
      </c>
      <c r="F2681">
        <v>104.46899999999999</v>
      </c>
      <c r="G2681" s="1">
        <f t="shared" si="124"/>
        <v>103.498491</v>
      </c>
    </row>
    <row r="2682" spans="1:7" x14ac:dyDescent="0.3">
      <c r="A2682">
        <v>26800</v>
      </c>
      <c r="B2682">
        <v>1717.5</v>
      </c>
      <c r="C2682">
        <v>111.944</v>
      </c>
      <c r="D2682" s="15">
        <f t="shared" si="125"/>
        <v>7.5000000000002839E-5</v>
      </c>
      <c r="E2682" s="14">
        <f t="shared" si="123"/>
        <v>4.7730490607999991E-5</v>
      </c>
      <c r="F2682">
        <v>104.47199999999999</v>
      </c>
      <c r="G2682" s="1">
        <f t="shared" si="124"/>
        <v>103.497361</v>
      </c>
    </row>
    <row r="2683" spans="1:7" x14ac:dyDescent="0.3">
      <c r="A2683">
        <v>26810</v>
      </c>
      <c r="B2683">
        <v>1723.1</v>
      </c>
      <c r="C2683">
        <v>111.943</v>
      </c>
      <c r="D2683" s="15">
        <f t="shared" si="125"/>
        <v>7.5000000000002839E-5</v>
      </c>
      <c r="E2683" s="14">
        <f t="shared" si="123"/>
        <v>4.7715894300869984E-5</v>
      </c>
      <c r="F2683">
        <v>104.477</v>
      </c>
      <c r="G2683" s="1">
        <f t="shared" si="124"/>
        <v>103.49623100000001</v>
      </c>
    </row>
    <row r="2684" spans="1:7" x14ac:dyDescent="0.3">
      <c r="A2684">
        <v>26820</v>
      </c>
      <c r="B2684">
        <v>1728.6</v>
      </c>
      <c r="C2684">
        <v>111.94199999999999</v>
      </c>
      <c r="D2684" s="15">
        <f t="shared" si="125"/>
        <v>1.0000000000012221E-4</v>
      </c>
      <c r="E2684" s="14">
        <f t="shared" si="123"/>
        <v>4.7701310677079992E-5</v>
      </c>
      <c r="F2684">
        <v>104.48099999999999</v>
      </c>
      <c r="G2684" s="1">
        <f t="shared" si="124"/>
        <v>103.49510100000001</v>
      </c>
    </row>
    <row r="2685" spans="1:7" x14ac:dyDescent="0.3">
      <c r="A2685">
        <v>26830</v>
      </c>
      <c r="B2685">
        <v>1734.4</v>
      </c>
      <c r="C2685">
        <v>111.941</v>
      </c>
      <c r="D2685" s="15">
        <f t="shared" si="125"/>
        <v>1.0000000000012221E-4</v>
      </c>
      <c r="E2685" s="14">
        <f t="shared" si="123"/>
        <v>4.7686739736629987E-5</v>
      </c>
      <c r="F2685">
        <v>104.486</v>
      </c>
      <c r="G2685" s="1">
        <f t="shared" si="124"/>
        <v>103.493971</v>
      </c>
    </row>
    <row r="2686" spans="1:7" x14ac:dyDescent="0.3">
      <c r="A2686">
        <v>26840</v>
      </c>
      <c r="B2686">
        <v>1739.9</v>
      </c>
      <c r="C2686">
        <v>111.94</v>
      </c>
      <c r="D2686" s="15">
        <f t="shared" si="125"/>
        <v>7.5000000000002839E-5</v>
      </c>
      <c r="E2686" s="14">
        <f t="shared" si="123"/>
        <v>4.7672181479519984E-5</v>
      </c>
      <c r="F2686">
        <v>104.49</v>
      </c>
      <c r="G2686" s="1">
        <f t="shared" si="124"/>
        <v>103.492841</v>
      </c>
    </row>
    <row r="2687" spans="1:7" x14ac:dyDescent="0.3">
      <c r="A2687">
        <v>26850</v>
      </c>
      <c r="B2687">
        <v>1745.6</v>
      </c>
      <c r="C2687">
        <v>111.93899999999999</v>
      </c>
      <c r="D2687" s="15">
        <f t="shared" si="125"/>
        <v>7.5000000000002839E-5</v>
      </c>
      <c r="E2687" s="14">
        <f t="shared" si="123"/>
        <v>4.7657635905750008E-5</v>
      </c>
      <c r="F2687">
        <v>104.494</v>
      </c>
      <c r="G2687" s="1">
        <f t="shared" si="124"/>
        <v>103.49171100000001</v>
      </c>
    </row>
    <row r="2688" spans="1:7" x14ac:dyDescent="0.3">
      <c r="A2688">
        <v>26860</v>
      </c>
      <c r="B2688">
        <v>1751.1</v>
      </c>
      <c r="C2688">
        <v>111.93899999999999</v>
      </c>
      <c r="D2688" s="15">
        <f t="shared" si="125"/>
        <v>7.5000000000002839E-5</v>
      </c>
      <c r="E2688" s="14">
        <f t="shared" si="123"/>
        <v>4.7643103015319993E-5</v>
      </c>
      <c r="F2688">
        <v>104.499</v>
      </c>
      <c r="G2688" s="1">
        <f t="shared" si="124"/>
        <v>103.49058100000001</v>
      </c>
    </row>
    <row r="2689" spans="1:7" x14ac:dyDescent="0.3">
      <c r="A2689">
        <v>26870</v>
      </c>
      <c r="B2689">
        <v>1756.8</v>
      </c>
      <c r="C2689">
        <v>111.938</v>
      </c>
      <c r="D2689" s="15">
        <f t="shared" si="125"/>
        <v>7.4999999999647574E-5</v>
      </c>
      <c r="E2689" s="14">
        <f t="shared" si="123"/>
        <v>4.7628582808229979E-5</v>
      </c>
      <c r="F2689">
        <v>104.503</v>
      </c>
      <c r="G2689" s="1">
        <f t="shared" si="124"/>
        <v>103.489451</v>
      </c>
    </row>
    <row r="2690" spans="1:7" x14ac:dyDescent="0.3">
      <c r="A2690">
        <v>26880</v>
      </c>
      <c r="B2690">
        <v>1762.4</v>
      </c>
      <c r="C2690">
        <v>111.937</v>
      </c>
      <c r="D2690" s="15">
        <f t="shared" si="125"/>
        <v>9.9999999999766942E-5</v>
      </c>
      <c r="E2690" s="14">
        <f t="shared" ref="E2690:E2753" si="126">0.0000000000000634167*A2690*A2690 - 0.0000000048594*A2690 + 0.000132414</f>
        <v>4.7614075284480007E-5</v>
      </c>
      <c r="F2690">
        <v>104.50700000000001</v>
      </c>
      <c r="G2690" s="1">
        <f t="shared" si="124"/>
        <v>103.488321</v>
      </c>
    </row>
    <row r="2691" spans="1:7" x14ac:dyDescent="0.3">
      <c r="A2691">
        <v>26890</v>
      </c>
      <c r="B2691">
        <v>1768</v>
      </c>
      <c r="C2691">
        <v>111.93600000000001</v>
      </c>
      <c r="D2691" s="15">
        <f t="shared" si="125"/>
        <v>7.5000000000002839E-5</v>
      </c>
      <c r="E2691" s="14">
        <f t="shared" si="126"/>
        <v>4.7599580444069995E-5</v>
      </c>
      <c r="F2691">
        <v>104.512</v>
      </c>
      <c r="G2691" s="1">
        <f t="shared" ref="G2691:G2754" si="127">-0.000113*A2691 + 106.525761</f>
        <v>103.487191</v>
      </c>
    </row>
    <row r="2692" spans="1:7" x14ac:dyDescent="0.3">
      <c r="A2692">
        <v>26900</v>
      </c>
      <c r="B2692">
        <v>1773.7</v>
      </c>
      <c r="C2692">
        <v>111.935</v>
      </c>
      <c r="D2692" s="15">
        <f t="shared" si="125"/>
        <v>7.5000000000002839E-5</v>
      </c>
      <c r="E2692" s="14">
        <f t="shared" si="126"/>
        <v>4.7585098286999984E-5</v>
      </c>
      <c r="F2692">
        <v>104.51600000000001</v>
      </c>
      <c r="G2692" s="1">
        <f t="shared" si="127"/>
        <v>103.48606100000001</v>
      </c>
    </row>
    <row r="2693" spans="1:7" x14ac:dyDescent="0.3">
      <c r="A2693">
        <v>26910</v>
      </c>
      <c r="B2693">
        <v>1779.4</v>
      </c>
      <c r="C2693">
        <v>111.935</v>
      </c>
      <c r="D2693" s="15">
        <f t="shared" ref="D2693:D2756" si="128">(C2691-C2695)/(A2695-A2691)</f>
        <v>7.5000000000002839E-5</v>
      </c>
      <c r="E2693" s="14">
        <f t="shared" si="126"/>
        <v>4.7570628813270016E-5</v>
      </c>
      <c r="F2693">
        <v>104.52</v>
      </c>
      <c r="G2693" s="1">
        <f t="shared" si="127"/>
        <v>103.484931</v>
      </c>
    </row>
    <row r="2694" spans="1:7" x14ac:dyDescent="0.3">
      <c r="A2694">
        <v>26920</v>
      </c>
      <c r="B2694">
        <v>1785.1</v>
      </c>
      <c r="C2694">
        <v>111.934</v>
      </c>
      <c r="D2694" s="15">
        <f t="shared" si="128"/>
        <v>7.5000000000002839E-5</v>
      </c>
      <c r="E2694" s="14">
        <f t="shared" si="126"/>
        <v>4.7556172022879994E-5</v>
      </c>
      <c r="F2694">
        <v>104.52500000000001</v>
      </c>
      <c r="G2694" s="1">
        <f t="shared" si="127"/>
        <v>103.483801</v>
      </c>
    </row>
    <row r="2695" spans="1:7" x14ac:dyDescent="0.3">
      <c r="A2695">
        <v>26930</v>
      </c>
      <c r="B2695">
        <v>1790.6</v>
      </c>
      <c r="C2695">
        <v>111.93300000000001</v>
      </c>
      <c r="D2695" s="15">
        <f t="shared" si="128"/>
        <v>1.0000000000012221E-4</v>
      </c>
      <c r="E2695" s="14">
        <f t="shared" si="126"/>
        <v>4.7541727915829986E-5</v>
      </c>
      <c r="F2695">
        <v>104.529</v>
      </c>
      <c r="G2695" s="1">
        <f t="shared" si="127"/>
        <v>103.482671</v>
      </c>
    </row>
    <row r="2696" spans="1:7" x14ac:dyDescent="0.3">
      <c r="A2696">
        <v>26940</v>
      </c>
      <c r="B2696">
        <v>1796.2</v>
      </c>
      <c r="C2696">
        <v>111.932</v>
      </c>
      <c r="D2696" s="15">
        <f t="shared" si="128"/>
        <v>9.9999999999766942E-5</v>
      </c>
      <c r="E2696" s="14">
        <f t="shared" si="126"/>
        <v>4.7527296492120007E-5</v>
      </c>
      <c r="F2696">
        <v>104.533</v>
      </c>
      <c r="G2696" s="1">
        <f t="shared" si="127"/>
        <v>103.48154100000001</v>
      </c>
    </row>
    <row r="2697" spans="1:7" x14ac:dyDescent="0.3">
      <c r="A2697">
        <v>26950</v>
      </c>
      <c r="B2697">
        <v>1802</v>
      </c>
      <c r="C2697">
        <v>111.931</v>
      </c>
      <c r="D2697" s="15">
        <f t="shared" si="128"/>
        <v>7.5000000000002839E-5</v>
      </c>
      <c r="E2697" s="14">
        <f t="shared" si="126"/>
        <v>4.7512877751749988E-5</v>
      </c>
      <c r="F2697">
        <v>104.538</v>
      </c>
      <c r="G2697" s="1">
        <f t="shared" si="127"/>
        <v>103.480411</v>
      </c>
    </row>
    <row r="2698" spans="1:7" x14ac:dyDescent="0.3">
      <c r="A2698">
        <v>26960</v>
      </c>
      <c r="B2698">
        <v>1807.5</v>
      </c>
      <c r="C2698">
        <v>111.93</v>
      </c>
      <c r="D2698" s="15">
        <f t="shared" si="128"/>
        <v>7.5000000000002839E-5</v>
      </c>
      <c r="E2698" s="14">
        <f t="shared" si="126"/>
        <v>4.7498471694719998E-5</v>
      </c>
      <c r="F2698">
        <v>104.542</v>
      </c>
      <c r="G2698" s="1">
        <f t="shared" si="127"/>
        <v>103.479281</v>
      </c>
    </row>
    <row r="2699" spans="1:7" x14ac:dyDescent="0.3">
      <c r="A2699">
        <v>26970</v>
      </c>
      <c r="B2699">
        <v>1811.1</v>
      </c>
      <c r="C2699">
        <v>111.93</v>
      </c>
      <c r="D2699" s="15">
        <f t="shared" si="128"/>
        <v>7.5000000000002839E-5</v>
      </c>
      <c r="E2699" s="14">
        <f t="shared" si="126"/>
        <v>4.7484078321030008E-5</v>
      </c>
      <c r="F2699">
        <v>104.547</v>
      </c>
      <c r="G2699" s="1">
        <f t="shared" si="127"/>
        <v>103.478151</v>
      </c>
    </row>
    <row r="2700" spans="1:7" x14ac:dyDescent="0.3">
      <c r="A2700">
        <v>26980</v>
      </c>
      <c r="B2700">
        <v>1813.7</v>
      </c>
      <c r="C2700">
        <v>111.929</v>
      </c>
      <c r="D2700" s="15">
        <f t="shared" si="128"/>
        <v>7.5000000000002839E-5</v>
      </c>
      <c r="E2700" s="14">
        <f t="shared" si="126"/>
        <v>4.7469697630679993E-5</v>
      </c>
      <c r="F2700">
        <v>104.551</v>
      </c>
      <c r="G2700" s="1">
        <f t="shared" si="127"/>
        <v>103.47702100000001</v>
      </c>
    </row>
    <row r="2701" spans="1:7" x14ac:dyDescent="0.3">
      <c r="A2701">
        <v>26990</v>
      </c>
      <c r="B2701">
        <v>1816.4</v>
      </c>
      <c r="C2701">
        <v>111.928</v>
      </c>
      <c r="D2701" s="15">
        <f t="shared" si="128"/>
        <v>1.0000000000012221E-4</v>
      </c>
      <c r="E2701" s="14">
        <f t="shared" si="126"/>
        <v>4.7455329623669992E-5</v>
      </c>
      <c r="F2701">
        <v>104.55500000000001</v>
      </c>
      <c r="G2701" s="1">
        <f t="shared" si="127"/>
        <v>103.475891</v>
      </c>
    </row>
    <row r="2702" spans="1:7" x14ac:dyDescent="0.3">
      <c r="A2702">
        <v>27000</v>
      </c>
      <c r="B2702">
        <v>1818.8</v>
      </c>
      <c r="C2702">
        <v>111.92700000000001</v>
      </c>
      <c r="D2702" s="15">
        <f t="shared" si="128"/>
        <v>7.5000000000002839E-5</v>
      </c>
      <c r="E2702" s="14">
        <f t="shared" si="126"/>
        <v>4.7440974299999979E-5</v>
      </c>
      <c r="F2702">
        <v>104.56</v>
      </c>
      <c r="G2702" s="1">
        <f t="shared" si="127"/>
        <v>103.474761</v>
      </c>
    </row>
    <row r="2703" spans="1:7" x14ac:dyDescent="0.3">
      <c r="A2703">
        <v>27010</v>
      </c>
      <c r="B2703">
        <v>1821.9</v>
      </c>
      <c r="C2703">
        <v>111.926</v>
      </c>
      <c r="D2703" s="15">
        <f t="shared" si="128"/>
        <v>7.5000000000002839E-5</v>
      </c>
      <c r="E2703" s="14">
        <f t="shared" si="126"/>
        <v>4.7426631659670007E-5</v>
      </c>
      <c r="F2703">
        <v>104.563</v>
      </c>
      <c r="G2703" s="1">
        <f t="shared" si="127"/>
        <v>103.473631</v>
      </c>
    </row>
    <row r="2704" spans="1:7" x14ac:dyDescent="0.3">
      <c r="A2704">
        <v>27020</v>
      </c>
      <c r="B2704">
        <v>1825.1</v>
      </c>
      <c r="C2704">
        <v>111.926</v>
      </c>
      <c r="D2704" s="15">
        <f t="shared" si="128"/>
        <v>7.5000000000002839E-5</v>
      </c>
      <c r="E2704" s="14">
        <f t="shared" si="126"/>
        <v>4.7412301702679996E-5</v>
      </c>
      <c r="F2704">
        <v>104.568</v>
      </c>
      <c r="G2704" s="1">
        <f t="shared" si="127"/>
        <v>103.47250100000001</v>
      </c>
    </row>
    <row r="2705" spans="1:7" x14ac:dyDescent="0.3">
      <c r="A2705">
        <v>27030</v>
      </c>
      <c r="B2705">
        <v>1828.8</v>
      </c>
      <c r="C2705">
        <v>111.925</v>
      </c>
      <c r="D2705" s="15">
        <f t="shared" si="128"/>
        <v>7.5000000000002839E-5</v>
      </c>
      <c r="E2705" s="14">
        <f t="shared" si="126"/>
        <v>4.7397984429029986E-5</v>
      </c>
      <c r="F2705">
        <v>104.57299999999999</v>
      </c>
      <c r="G2705" s="1">
        <f t="shared" si="127"/>
        <v>103.471371</v>
      </c>
    </row>
    <row r="2706" spans="1:7" x14ac:dyDescent="0.3">
      <c r="A2706">
        <v>27040</v>
      </c>
      <c r="B2706">
        <v>1832.3</v>
      </c>
      <c r="C2706">
        <v>111.92400000000001</v>
      </c>
      <c r="D2706" s="15">
        <f t="shared" si="128"/>
        <v>1.0000000000012221E-4</v>
      </c>
      <c r="E2706" s="14">
        <f t="shared" si="126"/>
        <v>4.7383679838720004E-5</v>
      </c>
      <c r="F2706">
        <v>104.577</v>
      </c>
      <c r="G2706" s="1">
        <f t="shared" si="127"/>
        <v>103.470241</v>
      </c>
    </row>
    <row r="2707" spans="1:7" x14ac:dyDescent="0.3">
      <c r="A2707">
        <v>27050</v>
      </c>
      <c r="B2707">
        <v>1835.4</v>
      </c>
      <c r="C2707">
        <v>111.923</v>
      </c>
      <c r="D2707" s="15">
        <f t="shared" si="128"/>
        <v>7.5000000000002839E-5</v>
      </c>
      <c r="E2707" s="14">
        <f t="shared" si="126"/>
        <v>4.7369387931749996E-5</v>
      </c>
      <c r="F2707">
        <v>104.581</v>
      </c>
      <c r="G2707" s="1">
        <f t="shared" si="127"/>
        <v>103.469111</v>
      </c>
    </row>
    <row r="2708" spans="1:7" x14ac:dyDescent="0.3">
      <c r="A2708">
        <v>27060</v>
      </c>
      <c r="B2708">
        <v>1838.9</v>
      </c>
      <c r="C2708">
        <v>111.922</v>
      </c>
      <c r="D2708" s="15">
        <f t="shared" si="128"/>
        <v>7.5000000000002839E-5</v>
      </c>
      <c r="E2708" s="14">
        <f t="shared" si="126"/>
        <v>4.735510870811999E-5</v>
      </c>
      <c r="F2708">
        <v>104.586</v>
      </c>
      <c r="G2708" s="1">
        <f t="shared" si="127"/>
        <v>103.46798100000001</v>
      </c>
    </row>
    <row r="2709" spans="1:7" x14ac:dyDescent="0.3">
      <c r="A2709">
        <v>27070</v>
      </c>
      <c r="B2709">
        <v>1842.2</v>
      </c>
      <c r="C2709">
        <v>111.922</v>
      </c>
      <c r="D2709" s="15">
        <f t="shared" si="128"/>
        <v>7.5000000000002839E-5</v>
      </c>
      <c r="E2709" s="14">
        <f t="shared" si="126"/>
        <v>4.7340842167830011E-5</v>
      </c>
      <c r="F2709">
        <v>104.59</v>
      </c>
      <c r="G2709" s="1">
        <f t="shared" si="127"/>
        <v>103.46685100000001</v>
      </c>
    </row>
    <row r="2710" spans="1:7" x14ac:dyDescent="0.3">
      <c r="A2710">
        <v>27080</v>
      </c>
      <c r="B2710">
        <v>1845.3</v>
      </c>
      <c r="C2710">
        <v>111.92100000000001</v>
      </c>
      <c r="D2710" s="15">
        <f t="shared" si="128"/>
        <v>7.5000000000002839E-5</v>
      </c>
      <c r="E2710" s="14">
        <f t="shared" si="126"/>
        <v>4.7326588310879993E-5</v>
      </c>
      <c r="F2710">
        <v>104.59399999999999</v>
      </c>
      <c r="G2710" s="1">
        <f t="shared" si="127"/>
        <v>103.465721</v>
      </c>
    </row>
    <row r="2711" spans="1:7" x14ac:dyDescent="0.3">
      <c r="A2711">
        <v>27090</v>
      </c>
      <c r="B2711">
        <v>1848.6</v>
      </c>
      <c r="C2711">
        <v>111.92</v>
      </c>
      <c r="D2711" s="15">
        <f t="shared" si="128"/>
        <v>9.9999999999766942E-5</v>
      </c>
      <c r="E2711" s="14">
        <f t="shared" si="126"/>
        <v>4.7312347137269976E-5</v>
      </c>
      <c r="F2711">
        <v>104.599</v>
      </c>
      <c r="G2711" s="1">
        <f t="shared" si="127"/>
        <v>103.464591</v>
      </c>
    </row>
    <row r="2712" spans="1:7" x14ac:dyDescent="0.3">
      <c r="A2712">
        <v>27100</v>
      </c>
      <c r="B2712">
        <v>1852.3</v>
      </c>
      <c r="C2712">
        <v>111.919</v>
      </c>
      <c r="D2712" s="15">
        <f t="shared" si="128"/>
        <v>7.5000000000002839E-5</v>
      </c>
      <c r="E2712" s="14">
        <f t="shared" si="126"/>
        <v>4.7298118647000001E-5</v>
      </c>
      <c r="F2712">
        <v>104.60299999999999</v>
      </c>
      <c r="G2712" s="1">
        <f t="shared" si="127"/>
        <v>103.46346100000001</v>
      </c>
    </row>
    <row r="2713" spans="1:7" x14ac:dyDescent="0.3">
      <c r="A2713">
        <v>27110</v>
      </c>
      <c r="B2713">
        <v>1854.2</v>
      </c>
      <c r="C2713">
        <v>111.91800000000001</v>
      </c>
      <c r="D2713" s="15">
        <f t="shared" si="128"/>
        <v>7.5000000000002839E-5</v>
      </c>
      <c r="E2713" s="14">
        <f t="shared" si="126"/>
        <v>4.728390284007E-5</v>
      </c>
      <c r="F2713">
        <v>104.608</v>
      </c>
      <c r="G2713" s="1">
        <f t="shared" si="127"/>
        <v>103.46233100000001</v>
      </c>
    </row>
    <row r="2714" spans="1:7" x14ac:dyDescent="0.3">
      <c r="A2714">
        <v>27120</v>
      </c>
      <c r="B2714">
        <v>1855.1</v>
      </c>
      <c r="C2714">
        <v>111.91800000000001</v>
      </c>
      <c r="D2714" s="15">
        <f t="shared" si="128"/>
        <v>7.5000000000002839E-5</v>
      </c>
      <c r="E2714" s="14">
        <f t="shared" si="126"/>
        <v>4.7269699716479986E-5</v>
      </c>
      <c r="F2714">
        <v>104.611</v>
      </c>
      <c r="G2714" s="1">
        <f t="shared" si="127"/>
        <v>103.461201</v>
      </c>
    </row>
    <row r="2715" spans="1:7" x14ac:dyDescent="0.3">
      <c r="A2715">
        <v>27130</v>
      </c>
      <c r="B2715">
        <v>1858.3</v>
      </c>
      <c r="C2715">
        <v>111.917</v>
      </c>
      <c r="D2715" s="15">
        <f t="shared" si="128"/>
        <v>7.5000000000002839E-5</v>
      </c>
      <c r="E2715" s="14">
        <f t="shared" si="126"/>
        <v>4.725550927623E-5</v>
      </c>
      <c r="F2715">
        <v>104.616</v>
      </c>
      <c r="G2715" s="1">
        <f t="shared" si="127"/>
        <v>103.460071</v>
      </c>
    </row>
    <row r="2716" spans="1:7" x14ac:dyDescent="0.3">
      <c r="A2716">
        <v>27140</v>
      </c>
      <c r="B2716">
        <v>1861.3</v>
      </c>
      <c r="C2716">
        <v>111.916</v>
      </c>
      <c r="D2716" s="15">
        <f t="shared" si="128"/>
        <v>1.0000000000012221E-4</v>
      </c>
      <c r="E2716" s="14">
        <f t="shared" si="126"/>
        <v>4.7241331519320002E-5</v>
      </c>
      <c r="F2716">
        <v>104.621</v>
      </c>
      <c r="G2716" s="1">
        <f t="shared" si="127"/>
        <v>103.45894100000001</v>
      </c>
    </row>
    <row r="2717" spans="1:7" x14ac:dyDescent="0.3">
      <c r="A2717">
        <v>27150</v>
      </c>
      <c r="B2717">
        <v>1864.7</v>
      </c>
      <c r="C2717">
        <v>111.91500000000001</v>
      </c>
      <c r="D2717" s="15">
        <f t="shared" si="128"/>
        <v>7.5000000000002839E-5</v>
      </c>
      <c r="E2717" s="14">
        <f t="shared" si="126"/>
        <v>4.7227166445749992E-5</v>
      </c>
      <c r="F2717">
        <v>104.624</v>
      </c>
      <c r="G2717" s="1">
        <f t="shared" si="127"/>
        <v>103.45781100000001</v>
      </c>
    </row>
    <row r="2718" spans="1:7" x14ac:dyDescent="0.3">
      <c r="A2718">
        <v>27160</v>
      </c>
      <c r="B2718">
        <v>1867.8</v>
      </c>
      <c r="C2718">
        <v>111.914</v>
      </c>
      <c r="D2718" s="15">
        <f t="shared" si="128"/>
        <v>7.5000000000002839E-5</v>
      </c>
      <c r="E2718" s="14">
        <f t="shared" si="126"/>
        <v>4.721301405552001E-5</v>
      </c>
      <c r="F2718">
        <v>104.629</v>
      </c>
      <c r="G2718" s="1">
        <f t="shared" si="127"/>
        <v>103.456681</v>
      </c>
    </row>
    <row r="2719" spans="1:7" x14ac:dyDescent="0.3">
      <c r="A2719">
        <v>27170</v>
      </c>
      <c r="B2719">
        <v>1869.2</v>
      </c>
      <c r="C2719">
        <v>111.914</v>
      </c>
      <c r="D2719" s="15">
        <f t="shared" si="128"/>
        <v>7.5000000000002839E-5</v>
      </c>
      <c r="E2719" s="14">
        <f t="shared" si="126"/>
        <v>4.7198874348630001E-5</v>
      </c>
      <c r="F2719">
        <v>104.634</v>
      </c>
      <c r="G2719" s="1">
        <f t="shared" si="127"/>
        <v>103.455551</v>
      </c>
    </row>
    <row r="2720" spans="1:7" x14ac:dyDescent="0.3">
      <c r="A2720">
        <v>27180</v>
      </c>
      <c r="B2720">
        <v>1869.7</v>
      </c>
      <c r="C2720">
        <v>111.913</v>
      </c>
      <c r="D2720" s="15">
        <f t="shared" si="128"/>
        <v>7.5000000000002839E-5</v>
      </c>
      <c r="E2720" s="14">
        <f t="shared" si="126"/>
        <v>4.7184747325079994E-5</v>
      </c>
      <c r="F2720">
        <v>104.637</v>
      </c>
      <c r="G2720" s="1">
        <f t="shared" si="127"/>
        <v>103.454421</v>
      </c>
    </row>
    <row r="2721" spans="1:7" x14ac:dyDescent="0.3">
      <c r="A2721">
        <v>27190</v>
      </c>
      <c r="B2721">
        <v>1870.9</v>
      </c>
      <c r="C2721">
        <v>111.91200000000001</v>
      </c>
      <c r="D2721" s="15">
        <f t="shared" si="128"/>
        <v>1.0000000000012221E-4</v>
      </c>
      <c r="E2721" s="14">
        <f t="shared" si="126"/>
        <v>4.7170632984869975E-5</v>
      </c>
      <c r="F2721">
        <v>104.642</v>
      </c>
      <c r="G2721" s="1">
        <f t="shared" si="127"/>
        <v>103.45329100000001</v>
      </c>
    </row>
    <row r="2722" spans="1:7" x14ac:dyDescent="0.3">
      <c r="A2722">
        <v>27200</v>
      </c>
      <c r="B2722">
        <v>1826.6</v>
      </c>
      <c r="C2722">
        <v>111.911</v>
      </c>
      <c r="D2722" s="15">
        <f t="shared" si="128"/>
        <v>7.5000000000002839E-5</v>
      </c>
      <c r="E2722" s="14">
        <f t="shared" si="126"/>
        <v>4.715653132800001E-5</v>
      </c>
      <c r="F2722">
        <v>104.652</v>
      </c>
      <c r="G2722" s="1">
        <f t="shared" si="127"/>
        <v>103.452161</v>
      </c>
    </row>
    <row r="2723" spans="1:7" x14ac:dyDescent="0.3">
      <c r="A2723">
        <v>27210</v>
      </c>
      <c r="B2723">
        <v>1825.5</v>
      </c>
      <c r="C2723">
        <v>111.91</v>
      </c>
      <c r="D2723" s="15">
        <f t="shared" si="128"/>
        <v>7.5000000000002839E-5</v>
      </c>
      <c r="E2723" s="14">
        <f t="shared" si="126"/>
        <v>4.7142442354469993E-5</v>
      </c>
      <c r="F2723">
        <v>104.663</v>
      </c>
      <c r="G2723" s="1">
        <f t="shared" si="127"/>
        <v>103.451031</v>
      </c>
    </row>
    <row r="2724" spans="1:7" x14ac:dyDescent="0.3">
      <c r="A2724">
        <v>27220</v>
      </c>
      <c r="B2724">
        <v>1823.7</v>
      </c>
      <c r="C2724">
        <v>111.91</v>
      </c>
      <c r="D2724" s="15">
        <f t="shared" si="128"/>
        <v>7.5000000000002839E-5</v>
      </c>
      <c r="E2724" s="14">
        <f t="shared" si="126"/>
        <v>4.7128366064279976E-5</v>
      </c>
      <c r="F2724">
        <v>104.67400000000001</v>
      </c>
      <c r="G2724" s="1">
        <f t="shared" si="127"/>
        <v>103.449901</v>
      </c>
    </row>
    <row r="2725" spans="1:7" x14ac:dyDescent="0.3">
      <c r="A2725">
        <v>27230</v>
      </c>
      <c r="B2725">
        <v>1819.3</v>
      </c>
      <c r="C2725">
        <v>111.90900000000001</v>
      </c>
      <c r="D2725" s="15">
        <f t="shared" si="128"/>
        <v>7.5000000000002839E-5</v>
      </c>
      <c r="E2725" s="14">
        <f t="shared" si="126"/>
        <v>4.7114302457430002E-5</v>
      </c>
      <c r="F2725">
        <v>104.685</v>
      </c>
      <c r="G2725" s="1">
        <f t="shared" si="127"/>
        <v>103.44877100000001</v>
      </c>
    </row>
    <row r="2726" spans="1:7" x14ac:dyDescent="0.3">
      <c r="A2726">
        <v>27240</v>
      </c>
      <c r="B2726">
        <v>1814.9</v>
      </c>
      <c r="C2726">
        <v>111.908</v>
      </c>
      <c r="D2726" s="15">
        <f t="shared" si="128"/>
        <v>7.5000000000002839E-5</v>
      </c>
      <c r="E2726" s="14">
        <f t="shared" si="126"/>
        <v>4.7100251533920001E-5</v>
      </c>
      <c r="F2726">
        <v>104.696</v>
      </c>
      <c r="G2726" s="1">
        <f t="shared" si="127"/>
        <v>103.447641</v>
      </c>
    </row>
    <row r="2727" spans="1:7" x14ac:dyDescent="0.3">
      <c r="A2727">
        <v>27250</v>
      </c>
      <c r="B2727">
        <v>1810.7</v>
      </c>
      <c r="C2727">
        <v>111.907</v>
      </c>
      <c r="D2727" s="15">
        <f t="shared" si="128"/>
        <v>7.5000000000002839E-5</v>
      </c>
      <c r="E2727" s="14">
        <f t="shared" si="126"/>
        <v>4.7086213293749988E-5</v>
      </c>
      <c r="F2727">
        <v>104.70699999999999</v>
      </c>
      <c r="G2727" s="1">
        <f t="shared" si="127"/>
        <v>103.446511</v>
      </c>
    </row>
    <row r="2728" spans="1:7" x14ac:dyDescent="0.3">
      <c r="A2728">
        <v>27260</v>
      </c>
      <c r="B2728">
        <v>1806.4</v>
      </c>
      <c r="C2728">
        <v>111.907</v>
      </c>
      <c r="D2728" s="15">
        <f t="shared" si="128"/>
        <v>7.5000000000002839E-5</v>
      </c>
      <c r="E2728" s="14">
        <f t="shared" si="126"/>
        <v>4.7072187736920003E-5</v>
      </c>
      <c r="F2728">
        <v>104.718</v>
      </c>
      <c r="G2728" s="1">
        <f t="shared" si="127"/>
        <v>103.445381</v>
      </c>
    </row>
    <row r="2729" spans="1:7" x14ac:dyDescent="0.3">
      <c r="A2729">
        <v>27270</v>
      </c>
      <c r="B2729">
        <v>1802.1</v>
      </c>
      <c r="C2729">
        <v>111.90600000000001</v>
      </c>
      <c r="D2729" s="15">
        <f t="shared" si="128"/>
        <v>7.5000000000002839E-5</v>
      </c>
      <c r="E2729" s="14">
        <f t="shared" si="126"/>
        <v>4.7058174863429992E-5</v>
      </c>
      <c r="F2729">
        <v>104.729</v>
      </c>
      <c r="G2729" s="1">
        <f t="shared" si="127"/>
        <v>103.44425100000001</v>
      </c>
    </row>
    <row r="2730" spans="1:7" x14ac:dyDescent="0.3">
      <c r="A2730">
        <v>27280</v>
      </c>
      <c r="B2730">
        <v>1797.7</v>
      </c>
      <c r="C2730">
        <v>111.905</v>
      </c>
      <c r="D2730" s="15">
        <f t="shared" si="128"/>
        <v>9.9999999999766942E-5</v>
      </c>
      <c r="E2730" s="14">
        <f t="shared" si="126"/>
        <v>4.7044174673279983E-5</v>
      </c>
      <c r="F2730">
        <v>104.741</v>
      </c>
      <c r="G2730" s="1">
        <f t="shared" si="127"/>
        <v>103.443121</v>
      </c>
    </row>
    <row r="2731" spans="1:7" x14ac:dyDescent="0.3">
      <c r="A2731">
        <v>27290</v>
      </c>
      <c r="B2731">
        <v>1793.5</v>
      </c>
      <c r="C2731">
        <v>111.904</v>
      </c>
      <c r="D2731" s="15">
        <f t="shared" si="128"/>
        <v>7.5000000000002839E-5</v>
      </c>
      <c r="E2731" s="14">
        <f t="shared" si="126"/>
        <v>4.7030187166470001E-5</v>
      </c>
      <c r="F2731">
        <v>104.751</v>
      </c>
      <c r="G2731" s="1">
        <f t="shared" si="127"/>
        <v>103.441991</v>
      </c>
    </row>
    <row r="2732" spans="1:7" x14ac:dyDescent="0.3">
      <c r="A2732">
        <v>27300</v>
      </c>
      <c r="B2732">
        <v>1789.3</v>
      </c>
      <c r="C2732">
        <v>111.90300000000001</v>
      </c>
      <c r="D2732" s="15">
        <f t="shared" si="128"/>
        <v>7.5000000000002839E-5</v>
      </c>
      <c r="E2732" s="14">
        <f t="shared" si="126"/>
        <v>4.7016212342999993E-5</v>
      </c>
      <c r="F2732">
        <v>104.762</v>
      </c>
      <c r="G2732" s="1">
        <f t="shared" si="127"/>
        <v>103.440861</v>
      </c>
    </row>
    <row r="2733" spans="1:7" x14ac:dyDescent="0.3">
      <c r="A2733">
        <v>27310</v>
      </c>
      <c r="B2733">
        <v>1785.1</v>
      </c>
      <c r="C2733">
        <v>111.90300000000001</v>
      </c>
      <c r="D2733" s="15">
        <f t="shared" si="128"/>
        <v>7.5000000000002839E-5</v>
      </c>
      <c r="E2733" s="14">
        <f t="shared" si="126"/>
        <v>4.7002250202869987E-5</v>
      </c>
      <c r="F2733">
        <v>104.774</v>
      </c>
      <c r="G2733" s="1">
        <f t="shared" si="127"/>
        <v>103.43973100000001</v>
      </c>
    </row>
    <row r="2734" spans="1:7" x14ac:dyDescent="0.3">
      <c r="A2734">
        <v>27320</v>
      </c>
      <c r="B2734">
        <v>1781</v>
      </c>
      <c r="C2734">
        <v>111.902</v>
      </c>
      <c r="D2734" s="15">
        <f t="shared" si="128"/>
        <v>7.5000000000002839E-5</v>
      </c>
      <c r="E2734" s="14">
        <f t="shared" si="126"/>
        <v>4.6988300746080009E-5</v>
      </c>
      <c r="F2734">
        <v>104.78400000000001</v>
      </c>
      <c r="G2734" s="1">
        <f t="shared" si="127"/>
        <v>103.43860100000001</v>
      </c>
    </row>
    <row r="2735" spans="1:7" x14ac:dyDescent="0.3">
      <c r="A2735">
        <v>27330</v>
      </c>
      <c r="B2735">
        <v>1779.5</v>
      </c>
      <c r="C2735">
        <v>111.901</v>
      </c>
      <c r="D2735" s="15">
        <f t="shared" si="128"/>
        <v>1.0000000000012221E-4</v>
      </c>
      <c r="E2735" s="14">
        <f t="shared" si="126"/>
        <v>4.6974363972630004E-5</v>
      </c>
      <c r="F2735">
        <v>104.79600000000001</v>
      </c>
      <c r="G2735" s="1">
        <f t="shared" si="127"/>
        <v>103.437471</v>
      </c>
    </row>
    <row r="2736" spans="1:7" x14ac:dyDescent="0.3">
      <c r="A2736">
        <v>27340</v>
      </c>
      <c r="B2736">
        <v>1777.4</v>
      </c>
      <c r="C2736">
        <v>111.9</v>
      </c>
      <c r="D2736" s="15">
        <f t="shared" si="128"/>
        <v>7.5000000000002839E-5</v>
      </c>
      <c r="E2736" s="14">
        <f t="shared" si="126"/>
        <v>4.6960439882519987E-5</v>
      </c>
      <c r="F2736">
        <v>104.807</v>
      </c>
      <c r="G2736" s="1">
        <f t="shared" si="127"/>
        <v>103.436341</v>
      </c>
    </row>
    <row r="2737" spans="1:7" x14ac:dyDescent="0.3">
      <c r="A2737">
        <v>27350</v>
      </c>
      <c r="B2737">
        <v>1777.6</v>
      </c>
      <c r="C2737">
        <v>111.899</v>
      </c>
      <c r="D2737" s="15">
        <f t="shared" si="128"/>
        <v>7.5000000000002839E-5</v>
      </c>
      <c r="E2737" s="14">
        <f t="shared" si="126"/>
        <v>4.6946528475750012E-5</v>
      </c>
      <c r="F2737">
        <v>104.81699999999999</v>
      </c>
      <c r="G2737" s="1">
        <f t="shared" si="127"/>
        <v>103.43521100000001</v>
      </c>
    </row>
    <row r="2738" spans="1:7" x14ac:dyDescent="0.3">
      <c r="A2738">
        <v>27360</v>
      </c>
      <c r="B2738">
        <v>1790.9</v>
      </c>
      <c r="C2738">
        <v>111.899</v>
      </c>
      <c r="D2738" s="15">
        <f t="shared" si="128"/>
        <v>7.5000000000002839E-5</v>
      </c>
      <c r="E2738" s="14">
        <f t="shared" si="126"/>
        <v>4.6932629752319998E-5</v>
      </c>
      <c r="F2738">
        <v>104.82899999999999</v>
      </c>
      <c r="G2738" s="1">
        <f t="shared" si="127"/>
        <v>103.43408100000001</v>
      </c>
    </row>
    <row r="2739" spans="1:7" x14ac:dyDescent="0.3">
      <c r="A2739">
        <v>27370</v>
      </c>
      <c r="B2739">
        <v>1790.4</v>
      </c>
      <c r="C2739">
        <v>111.898</v>
      </c>
      <c r="D2739" s="15">
        <f t="shared" si="128"/>
        <v>7.5000000000002839E-5</v>
      </c>
      <c r="E2739" s="14">
        <f t="shared" si="126"/>
        <v>4.6918743712229998E-5</v>
      </c>
      <c r="F2739">
        <v>104.839</v>
      </c>
      <c r="G2739" s="1">
        <f t="shared" si="127"/>
        <v>103.432951</v>
      </c>
    </row>
    <row r="2740" spans="1:7" x14ac:dyDescent="0.3">
      <c r="A2740">
        <v>27380</v>
      </c>
      <c r="B2740">
        <v>1785.8</v>
      </c>
      <c r="C2740">
        <v>111.89700000000001</v>
      </c>
      <c r="D2740" s="15">
        <f t="shared" si="128"/>
        <v>1.0000000000012221E-4</v>
      </c>
      <c r="E2740" s="14">
        <f t="shared" si="126"/>
        <v>4.6904870355479972E-5</v>
      </c>
      <c r="F2740">
        <v>104.851</v>
      </c>
      <c r="G2740" s="1">
        <f t="shared" si="127"/>
        <v>103.431821</v>
      </c>
    </row>
    <row r="2741" spans="1:7" x14ac:dyDescent="0.3">
      <c r="A2741">
        <v>27390</v>
      </c>
      <c r="B2741">
        <v>1780.9</v>
      </c>
      <c r="C2741">
        <v>111.896</v>
      </c>
      <c r="D2741" s="15">
        <f t="shared" si="128"/>
        <v>9.9999999999766942E-5</v>
      </c>
      <c r="E2741" s="14">
        <f t="shared" si="126"/>
        <v>4.6891009682070001E-5</v>
      </c>
      <c r="F2741">
        <v>104.86199999999999</v>
      </c>
      <c r="G2741" s="1">
        <f t="shared" si="127"/>
        <v>103.430691</v>
      </c>
    </row>
    <row r="2742" spans="1:7" x14ac:dyDescent="0.3">
      <c r="A2742">
        <v>27400</v>
      </c>
      <c r="B2742">
        <v>1776.2</v>
      </c>
      <c r="C2742">
        <v>111.895</v>
      </c>
      <c r="D2742" s="15">
        <f t="shared" si="128"/>
        <v>7.5000000000002839E-5</v>
      </c>
      <c r="E2742" s="14">
        <f t="shared" si="126"/>
        <v>4.6877161691999991E-5</v>
      </c>
      <c r="F2742">
        <v>104.873</v>
      </c>
      <c r="G2742" s="1">
        <f t="shared" si="127"/>
        <v>103.42956100000001</v>
      </c>
    </row>
    <row r="2743" spans="1:7" x14ac:dyDescent="0.3">
      <c r="A2743">
        <v>27410</v>
      </c>
      <c r="B2743">
        <v>1771.2</v>
      </c>
      <c r="C2743">
        <v>111.89400000000001</v>
      </c>
      <c r="D2743" s="15">
        <f t="shared" si="128"/>
        <v>7.5000000000002839E-5</v>
      </c>
      <c r="E2743" s="14">
        <f t="shared" si="126"/>
        <v>4.6863326385269982E-5</v>
      </c>
      <c r="F2743">
        <v>104.884</v>
      </c>
      <c r="G2743" s="1">
        <f t="shared" si="127"/>
        <v>103.428431</v>
      </c>
    </row>
    <row r="2744" spans="1:7" x14ac:dyDescent="0.3">
      <c r="A2744">
        <v>27420</v>
      </c>
      <c r="B2744">
        <v>1766.3</v>
      </c>
      <c r="C2744">
        <v>111.89400000000001</v>
      </c>
      <c r="D2744" s="15">
        <f t="shared" si="128"/>
        <v>7.5000000000002839E-5</v>
      </c>
      <c r="E2744" s="14">
        <f t="shared" si="126"/>
        <v>4.6849503761880001E-5</v>
      </c>
      <c r="F2744">
        <v>104.896</v>
      </c>
      <c r="G2744" s="1">
        <f t="shared" si="127"/>
        <v>103.427301</v>
      </c>
    </row>
    <row r="2745" spans="1:7" x14ac:dyDescent="0.3">
      <c r="A2745">
        <v>27430</v>
      </c>
      <c r="B2745">
        <v>1761.5</v>
      </c>
      <c r="C2745">
        <v>111.893</v>
      </c>
      <c r="D2745" s="15">
        <f t="shared" si="128"/>
        <v>7.5000000000002839E-5</v>
      </c>
      <c r="E2745" s="14">
        <f t="shared" si="126"/>
        <v>4.6835693821829994E-5</v>
      </c>
      <c r="F2745">
        <v>104.90600000000001</v>
      </c>
      <c r="G2745" s="1">
        <f t="shared" si="127"/>
        <v>103.426171</v>
      </c>
    </row>
    <row r="2746" spans="1:7" x14ac:dyDescent="0.3">
      <c r="A2746">
        <v>27440</v>
      </c>
      <c r="B2746">
        <v>1756.7</v>
      </c>
      <c r="C2746">
        <v>111.892</v>
      </c>
      <c r="D2746" s="15">
        <f t="shared" si="128"/>
        <v>1.0000000000012221E-4</v>
      </c>
      <c r="E2746" s="14">
        <f t="shared" si="126"/>
        <v>4.6821896565119974E-5</v>
      </c>
      <c r="F2746">
        <v>104.917</v>
      </c>
      <c r="G2746" s="1">
        <f t="shared" si="127"/>
        <v>103.42504100000001</v>
      </c>
    </row>
    <row r="2747" spans="1:7" x14ac:dyDescent="0.3">
      <c r="A2747">
        <v>27450</v>
      </c>
      <c r="B2747">
        <v>1751.9</v>
      </c>
      <c r="C2747">
        <v>111.89100000000001</v>
      </c>
      <c r="D2747" s="15">
        <f t="shared" si="128"/>
        <v>1.0000000000012221E-4</v>
      </c>
      <c r="E2747" s="14">
        <f t="shared" si="126"/>
        <v>4.680811199175001E-5</v>
      </c>
      <c r="F2747">
        <v>104.928</v>
      </c>
      <c r="G2747" s="1">
        <f t="shared" si="127"/>
        <v>103.423911</v>
      </c>
    </row>
    <row r="2748" spans="1:7" x14ac:dyDescent="0.3">
      <c r="A2748">
        <v>27460</v>
      </c>
      <c r="B2748">
        <v>1746.8</v>
      </c>
      <c r="C2748">
        <v>111.89</v>
      </c>
      <c r="D2748" s="15">
        <f t="shared" si="128"/>
        <v>7.5000000000002839E-5</v>
      </c>
      <c r="E2748" s="14">
        <f t="shared" si="126"/>
        <v>4.6794340101719993E-5</v>
      </c>
      <c r="F2748">
        <v>104.93899999999999</v>
      </c>
      <c r="G2748" s="1">
        <f t="shared" si="127"/>
        <v>103.422781</v>
      </c>
    </row>
    <row r="2749" spans="1:7" x14ac:dyDescent="0.3">
      <c r="A2749">
        <v>27470</v>
      </c>
      <c r="B2749">
        <v>1741.8</v>
      </c>
      <c r="C2749">
        <v>111.889</v>
      </c>
      <c r="D2749" s="15">
        <f t="shared" si="128"/>
        <v>7.5000000000002839E-5</v>
      </c>
      <c r="E2749" s="14">
        <f t="shared" si="126"/>
        <v>4.6780580895029977E-5</v>
      </c>
      <c r="F2749">
        <v>104.95099999999999</v>
      </c>
      <c r="G2749" s="1">
        <f t="shared" si="127"/>
        <v>103.421651</v>
      </c>
    </row>
    <row r="2750" spans="1:7" x14ac:dyDescent="0.3">
      <c r="A2750">
        <v>27480</v>
      </c>
      <c r="B2750">
        <v>1736.6</v>
      </c>
      <c r="C2750">
        <v>111.889</v>
      </c>
      <c r="D2750" s="15">
        <f t="shared" si="128"/>
        <v>7.5000000000002839E-5</v>
      </c>
      <c r="E2750" s="14">
        <f t="shared" si="126"/>
        <v>4.6766834371680003E-5</v>
      </c>
      <c r="F2750">
        <v>104.961</v>
      </c>
      <c r="G2750" s="1">
        <f t="shared" si="127"/>
        <v>103.42052100000001</v>
      </c>
    </row>
    <row r="2751" spans="1:7" x14ac:dyDescent="0.3">
      <c r="A2751">
        <v>27490</v>
      </c>
      <c r="B2751">
        <v>1731.7</v>
      </c>
      <c r="C2751">
        <v>111.88800000000001</v>
      </c>
      <c r="D2751" s="15">
        <f t="shared" si="128"/>
        <v>7.5000000000002839E-5</v>
      </c>
      <c r="E2751" s="14">
        <f t="shared" si="126"/>
        <v>4.6753100531670002E-5</v>
      </c>
      <c r="F2751">
        <v>104.973</v>
      </c>
      <c r="G2751" s="1">
        <f t="shared" si="127"/>
        <v>103.419391</v>
      </c>
    </row>
    <row r="2752" spans="1:7" x14ac:dyDescent="0.3">
      <c r="A2752">
        <v>27500</v>
      </c>
      <c r="B2752">
        <v>1726.6</v>
      </c>
      <c r="C2752">
        <v>111.887</v>
      </c>
      <c r="D2752" s="15">
        <f t="shared" si="128"/>
        <v>9.9999999999766942E-5</v>
      </c>
      <c r="E2752" s="14">
        <f t="shared" si="126"/>
        <v>4.6739379374999989E-5</v>
      </c>
      <c r="F2752">
        <v>104.98399999999999</v>
      </c>
      <c r="G2752" s="1">
        <f t="shared" si="127"/>
        <v>103.418261</v>
      </c>
    </row>
    <row r="2753" spans="1:7" x14ac:dyDescent="0.3">
      <c r="A2753">
        <v>27510</v>
      </c>
      <c r="B2753">
        <v>1721.7</v>
      </c>
      <c r="C2753">
        <v>111.886</v>
      </c>
      <c r="D2753" s="15">
        <f t="shared" si="128"/>
        <v>1.0000000000012221E-4</v>
      </c>
      <c r="E2753" s="14">
        <f t="shared" si="126"/>
        <v>4.6725670901670005E-5</v>
      </c>
      <c r="F2753">
        <v>104.994</v>
      </c>
      <c r="G2753" s="1">
        <f t="shared" si="127"/>
        <v>103.417131</v>
      </c>
    </row>
    <row r="2754" spans="1:7" x14ac:dyDescent="0.3">
      <c r="A2754">
        <v>27520</v>
      </c>
      <c r="B2754">
        <v>1716.7</v>
      </c>
      <c r="C2754">
        <v>111.88500000000001</v>
      </c>
      <c r="D2754" s="15">
        <f t="shared" si="128"/>
        <v>1.0000000000012221E-4</v>
      </c>
      <c r="E2754" s="14">
        <f t="shared" ref="E2754:E2817" si="129">0.0000000000000634167*A2754*A2754 - 0.0000000048594*A2754 + 0.000132414</f>
        <v>4.6711975111679994E-5</v>
      </c>
      <c r="F2754">
        <v>105.006</v>
      </c>
      <c r="G2754" s="1">
        <f t="shared" si="127"/>
        <v>103.41600100000001</v>
      </c>
    </row>
    <row r="2755" spans="1:7" x14ac:dyDescent="0.3">
      <c r="A2755">
        <v>27530</v>
      </c>
      <c r="B2755">
        <v>1711.6</v>
      </c>
      <c r="C2755">
        <v>111.884</v>
      </c>
      <c r="D2755" s="15">
        <f t="shared" si="128"/>
        <v>7.5000000000002839E-5</v>
      </c>
      <c r="E2755" s="14">
        <f t="shared" si="129"/>
        <v>4.6698292005029984E-5</v>
      </c>
      <c r="F2755">
        <v>105.01600000000001</v>
      </c>
      <c r="G2755" s="1">
        <f t="shared" ref="G2755:G2818" si="130">-0.000113*A2755 + 106.525761</f>
        <v>103.41487100000001</v>
      </c>
    </row>
    <row r="2756" spans="1:7" x14ac:dyDescent="0.3">
      <c r="A2756">
        <v>27540</v>
      </c>
      <c r="B2756">
        <v>1706.6</v>
      </c>
      <c r="C2756">
        <v>111.883</v>
      </c>
      <c r="D2756" s="15">
        <f t="shared" si="128"/>
        <v>7.5000000000002839E-5</v>
      </c>
      <c r="E2756" s="14">
        <f t="shared" si="129"/>
        <v>4.6684621581720003E-5</v>
      </c>
      <c r="F2756">
        <v>105.02800000000001</v>
      </c>
      <c r="G2756" s="1">
        <f t="shared" si="130"/>
        <v>103.413741</v>
      </c>
    </row>
    <row r="2757" spans="1:7" x14ac:dyDescent="0.3">
      <c r="A2757">
        <v>27550</v>
      </c>
      <c r="B2757">
        <v>1701.5</v>
      </c>
      <c r="C2757">
        <v>111.883</v>
      </c>
      <c r="D2757" s="15">
        <f t="shared" ref="D2757:D2820" si="131">(C2755-C2759)/(A2759-A2755)</f>
        <v>7.5000000000002839E-5</v>
      </c>
      <c r="E2757" s="14">
        <f t="shared" si="129"/>
        <v>4.6670963841749996E-5</v>
      </c>
      <c r="F2757">
        <v>105.039</v>
      </c>
      <c r="G2757" s="1">
        <f t="shared" si="130"/>
        <v>103.412611</v>
      </c>
    </row>
    <row r="2758" spans="1:7" x14ac:dyDescent="0.3">
      <c r="A2758">
        <v>27560</v>
      </c>
      <c r="B2758">
        <v>1696.6</v>
      </c>
      <c r="C2758">
        <v>111.88200000000001</v>
      </c>
      <c r="D2758" s="15">
        <f t="shared" si="131"/>
        <v>7.5000000000002839E-5</v>
      </c>
      <c r="E2758" s="14">
        <f t="shared" si="129"/>
        <v>4.6657318785119989E-5</v>
      </c>
      <c r="F2758">
        <v>105.05</v>
      </c>
      <c r="G2758" s="1">
        <f t="shared" si="130"/>
        <v>103.41148100000001</v>
      </c>
    </row>
    <row r="2759" spans="1:7" x14ac:dyDescent="0.3">
      <c r="A2759">
        <v>27570</v>
      </c>
      <c r="B2759">
        <v>1691.5</v>
      </c>
      <c r="C2759">
        <v>111.881</v>
      </c>
      <c r="D2759" s="15">
        <f t="shared" si="131"/>
        <v>9.9999999999766942E-5</v>
      </c>
      <c r="E2759" s="14">
        <f t="shared" si="129"/>
        <v>4.6643686411829984E-5</v>
      </c>
      <c r="F2759">
        <v>105.06100000000001</v>
      </c>
      <c r="G2759" s="1">
        <f t="shared" si="130"/>
        <v>103.41035100000001</v>
      </c>
    </row>
    <row r="2760" spans="1:7" x14ac:dyDescent="0.3">
      <c r="A2760">
        <v>27580</v>
      </c>
      <c r="B2760">
        <v>1686.6</v>
      </c>
      <c r="C2760">
        <v>111.88</v>
      </c>
      <c r="D2760" s="15">
        <f t="shared" si="131"/>
        <v>1.0000000000012221E-4</v>
      </c>
      <c r="E2760" s="14">
        <f t="shared" si="129"/>
        <v>4.6630066721880007E-5</v>
      </c>
      <c r="F2760">
        <v>105.072</v>
      </c>
      <c r="G2760" s="1">
        <f t="shared" si="130"/>
        <v>103.409221</v>
      </c>
    </row>
    <row r="2761" spans="1:7" x14ac:dyDescent="0.3">
      <c r="A2761">
        <v>27590</v>
      </c>
      <c r="B2761">
        <v>1681.5</v>
      </c>
      <c r="C2761">
        <v>111.879</v>
      </c>
      <c r="D2761" s="15">
        <f t="shared" si="131"/>
        <v>1.0000000000012221E-4</v>
      </c>
      <c r="E2761" s="14">
        <f t="shared" si="129"/>
        <v>4.6616459715269991E-5</v>
      </c>
      <c r="F2761">
        <v>105.083</v>
      </c>
      <c r="G2761" s="1">
        <f t="shared" si="130"/>
        <v>103.408091</v>
      </c>
    </row>
    <row r="2762" spans="1:7" x14ac:dyDescent="0.3">
      <c r="A2762">
        <v>27600</v>
      </c>
      <c r="B2762">
        <v>1676.6</v>
      </c>
      <c r="C2762">
        <v>111.878</v>
      </c>
      <c r="D2762" s="15">
        <f t="shared" si="131"/>
        <v>9.9999999999766942E-5</v>
      </c>
      <c r="E2762" s="14">
        <f t="shared" si="129"/>
        <v>4.6602865391999975E-5</v>
      </c>
      <c r="F2762">
        <v>105.09399999999999</v>
      </c>
      <c r="G2762" s="1">
        <f t="shared" si="130"/>
        <v>103.40696100000001</v>
      </c>
    </row>
    <row r="2763" spans="1:7" x14ac:dyDescent="0.3">
      <c r="A2763">
        <v>27610</v>
      </c>
      <c r="B2763">
        <v>1671.6</v>
      </c>
      <c r="C2763">
        <v>111.877</v>
      </c>
      <c r="D2763" s="15">
        <f t="shared" si="131"/>
        <v>1.0000000000012221E-4</v>
      </c>
      <c r="E2763" s="14">
        <f t="shared" si="129"/>
        <v>4.6589283752070001E-5</v>
      </c>
      <c r="F2763">
        <v>105.105</v>
      </c>
      <c r="G2763" s="1">
        <f t="shared" si="130"/>
        <v>103.40583100000001</v>
      </c>
    </row>
    <row r="2764" spans="1:7" x14ac:dyDescent="0.3">
      <c r="A2764">
        <v>27620</v>
      </c>
      <c r="B2764">
        <v>1666.6</v>
      </c>
      <c r="C2764">
        <v>111.876</v>
      </c>
      <c r="D2764" s="15">
        <f t="shared" si="131"/>
        <v>7.5000000000002839E-5</v>
      </c>
      <c r="E2764" s="14">
        <f t="shared" si="129"/>
        <v>4.6575714795480002E-5</v>
      </c>
      <c r="F2764">
        <v>105.116</v>
      </c>
      <c r="G2764" s="1">
        <f t="shared" si="130"/>
        <v>103.404701</v>
      </c>
    </row>
    <row r="2765" spans="1:7" x14ac:dyDescent="0.3">
      <c r="A2765">
        <v>27630</v>
      </c>
      <c r="B2765">
        <v>1661.7</v>
      </c>
      <c r="C2765">
        <v>111.875</v>
      </c>
      <c r="D2765" s="15">
        <f t="shared" si="131"/>
        <v>7.5000000000002839E-5</v>
      </c>
      <c r="E2765" s="14">
        <f t="shared" si="129"/>
        <v>4.6562158522229976E-5</v>
      </c>
      <c r="F2765">
        <v>105.127</v>
      </c>
      <c r="G2765" s="1">
        <f t="shared" si="130"/>
        <v>103.403571</v>
      </c>
    </row>
    <row r="2766" spans="1:7" x14ac:dyDescent="0.3">
      <c r="A2766">
        <v>27640</v>
      </c>
      <c r="B2766">
        <v>1656.6</v>
      </c>
      <c r="C2766">
        <v>111.875</v>
      </c>
      <c r="D2766" s="15">
        <f t="shared" si="131"/>
        <v>7.5000000000002839E-5</v>
      </c>
      <c r="E2766" s="14">
        <f t="shared" si="129"/>
        <v>4.6548614932320005E-5</v>
      </c>
      <c r="F2766">
        <v>105.13800000000001</v>
      </c>
      <c r="G2766" s="1">
        <f t="shared" si="130"/>
        <v>103.402441</v>
      </c>
    </row>
    <row r="2767" spans="1:7" x14ac:dyDescent="0.3">
      <c r="A2767">
        <v>27650</v>
      </c>
      <c r="B2767">
        <v>1651.7</v>
      </c>
      <c r="C2767">
        <v>111.874</v>
      </c>
      <c r="D2767" s="15">
        <f t="shared" si="131"/>
        <v>7.5000000000002839E-5</v>
      </c>
      <c r="E2767" s="14">
        <f t="shared" si="129"/>
        <v>4.6535084025749995E-5</v>
      </c>
      <c r="F2767">
        <v>105.15</v>
      </c>
      <c r="G2767" s="1">
        <f t="shared" si="130"/>
        <v>103.40131100000001</v>
      </c>
    </row>
    <row r="2768" spans="1:7" x14ac:dyDescent="0.3">
      <c r="A2768">
        <v>27660</v>
      </c>
      <c r="B2768">
        <v>1646.7</v>
      </c>
      <c r="C2768">
        <v>111.873</v>
      </c>
      <c r="D2768" s="15">
        <f t="shared" si="131"/>
        <v>1.0000000000012221E-4</v>
      </c>
      <c r="E2768" s="14">
        <f t="shared" si="129"/>
        <v>4.6521565802519986E-5</v>
      </c>
      <c r="F2768">
        <v>105.16</v>
      </c>
      <c r="G2768" s="1">
        <f t="shared" si="130"/>
        <v>103.400181</v>
      </c>
    </row>
    <row r="2769" spans="1:7" x14ac:dyDescent="0.3">
      <c r="A2769">
        <v>27670</v>
      </c>
      <c r="B2769">
        <v>1641.7</v>
      </c>
      <c r="C2769">
        <v>111.872</v>
      </c>
      <c r="D2769" s="15">
        <f t="shared" si="131"/>
        <v>9.9999999999766942E-5</v>
      </c>
      <c r="E2769" s="14">
        <f t="shared" si="129"/>
        <v>4.6508060262630006E-5</v>
      </c>
      <c r="F2769">
        <v>105.172</v>
      </c>
      <c r="G2769" s="1">
        <f t="shared" si="130"/>
        <v>103.399051</v>
      </c>
    </row>
    <row r="2770" spans="1:7" x14ac:dyDescent="0.3">
      <c r="A2770">
        <v>27680</v>
      </c>
      <c r="B2770">
        <v>1636.7</v>
      </c>
      <c r="C2770">
        <v>111.871</v>
      </c>
      <c r="D2770" s="15">
        <f t="shared" si="131"/>
        <v>1.0000000000012221E-4</v>
      </c>
      <c r="E2770" s="14">
        <f t="shared" si="129"/>
        <v>4.6494567406079999E-5</v>
      </c>
      <c r="F2770">
        <v>105.182</v>
      </c>
      <c r="G2770" s="1">
        <f t="shared" si="130"/>
        <v>103.397921</v>
      </c>
    </row>
    <row r="2771" spans="1:7" x14ac:dyDescent="0.3">
      <c r="A2771">
        <v>27690</v>
      </c>
      <c r="B2771">
        <v>1631.8</v>
      </c>
      <c r="C2771">
        <v>111.87</v>
      </c>
      <c r="D2771" s="15">
        <f t="shared" si="131"/>
        <v>1.0000000000012221E-4</v>
      </c>
      <c r="E2771" s="14">
        <f t="shared" si="129"/>
        <v>4.648108723286998E-5</v>
      </c>
      <c r="F2771">
        <v>105.194</v>
      </c>
      <c r="G2771" s="1">
        <f t="shared" si="130"/>
        <v>103.39679100000001</v>
      </c>
    </row>
    <row r="2772" spans="1:7" x14ac:dyDescent="0.3">
      <c r="A2772">
        <v>27700</v>
      </c>
      <c r="B2772">
        <v>1626.8</v>
      </c>
      <c r="C2772">
        <v>111.869</v>
      </c>
      <c r="D2772" s="15">
        <f t="shared" si="131"/>
        <v>9.9999999999766942E-5</v>
      </c>
      <c r="E2772" s="14">
        <f t="shared" si="129"/>
        <v>4.6467619743000016E-5</v>
      </c>
      <c r="F2772">
        <v>105.205</v>
      </c>
      <c r="G2772" s="1">
        <f t="shared" si="130"/>
        <v>103.395661</v>
      </c>
    </row>
    <row r="2773" spans="1:7" x14ac:dyDescent="0.3">
      <c r="A2773">
        <v>27710</v>
      </c>
      <c r="B2773">
        <v>1621.9</v>
      </c>
      <c r="C2773">
        <v>111.86799999999999</v>
      </c>
      <c r="D2773" s="15">
        <f t="shared" si="131"/>
        <v>1.0000000000012221E-4</v>
      </c>
      <c r="E2773" s="14">
        <f t="shared" si="129"/>
        <v>4.6454164936469999E-5</v>
      </c>
      <c r="F2773">
        <v>105.21599999999999</v>
      </c>
      <c r="G2773" s="1">
        <f t="shared" si="130"/>
        <v>103.394531</v>
      </c>
    </row>
    <row r="2774" spans="1:7" x14ac:dyDescent="0.3">
      <c r="A2774">
        <v>27720</v>
      </c>
      <c r="B2774">
        <v>1616.9</v>
      </c>
      <c r="C2774">
        <v>111.867</v>
      </c>
      <c r="D2774" s="15">
        <f t="shared" si="131"/>
        <v>1.0000000000012221E-4</v>
      </c>
      <c r="E2774" s="14">
        <f t="shared" si="129"/>
        <v>4.6440722813279983E-5</v>
      </c>
      <c r="F2774">
        <v>105.227</v>
      </c>
      <c r="G2774" s="1">
        <f t="shared" si="130"/>
        <v>103.393401</v>
      </c>
    </row>
    <row r="2775" spans="1:7" x14ac:dyDescent="0.3">
      <c r="A2775">
        <v>27730</v>
      </c>
      <c r="B2775">
        <v>1612</v>
      </c>
      <c r="C2775">
        <v>111.866</v>
      </c>
      <c r="D2775" s="15">
        <f t="shared" si="131"/>
        <v>7.5000000000002839E-5</v>
      </c>
      <c r="E2775" s="14">
        <f t="shared" si="129"/>
        <v>4.6427293373430009E-5</v>
      </c>
      <c r="F2775">
        <v>105.23699999999999</v>
      </c>
      <c r="G2775" s="1">
        <f t="shared" si="130"/>
        <v>103.39227100000001</v>
      </c>
    </row>
    <row r="2776" spans="1:7" x14ac:dyDescent="0.3">
      <c r="A2776">
        <v>27740</v>
      </c>
      <c r="B2776">
        <v>1606.9</v>
      </c>
      <c r="C2776">
        <v>111.86499999999999</v>
      </c>
      <c r="D2776" s="15">
        <f t="shared" si="131"/>
        <v>7.5000000000002839E-5</v>
      </c>
      <c r="E2776" s="14">
        <f t="shared" si="129"/>
        <v>4.6413876616919995E-5</v>
      </c>
      <c r="F2776">
        <v>105.249</v>
      </c>
      <c r="G2776" s="1">
        <f t="shared" si="130"/>
        <v>103.391141</v>
      </c>
    </row>
    <row r="2777" spans="1:7" x14ac:dyDescent="0.3">
      <c r="A2777">
        <v>27750</v>
      </c>
      <c r="B2777">
        <v>1602</v>
      </c>
      <c r="C2777">
        <v>111.86499999999999</v>
      </c>
      <c r="D2777" s="15">
        <f t="shared" si="131"/>
        <v>7.5000000000002839E-5</v>
      </c>
      <c r="E2777" s="14">
        <f t="shared" si="129"/>
        <v>4.6400472543749996E-5</v>
      </c>
      <c r="F2777">
        <v>105.26</v>
      </c>
      <c r="G2777" s="1">
        <f t="shared" si="130"/>
        <v>103.390011</v>
      </c>
    </row>
    <row r="2778" spans="1:7" x14ac:dyDescent="0.3">
      <c r="A2778">
        <v>27760</v>
      </c>
      <c r="B2778">
        <v>1597</v>
      </c>
      <c r="C2778">
        <v>111.864</v>
      </c>
      <c r="D2778" s="15">
        <f t="shared" si="131"/>
        <v>7.5000000000002839E-5</v>
      </c>
      <c r="E2778" s="14">
        <f t="shared" si="129"/>
        <v>4.6387081153919984E-5</v>
      </c>
      <c r="F2778">
        <v>105.271</v>
      </c>
      <c r="G2778" s="1">
        <f t="shared" si="130"/>
        <v>103.388881</v>
      </c>
    </row>
    <row r="2779" spans="1:7" x14ac:dyDescent="0.3">
      <c r="A2779">
        <v>27770</v>
      </c>
      <c r="B2779">
        <v>1592.1</v>
      </c>
      <c r="C2779">
        <v>111.863</v>
      </c>
      <c r="D2779" s="15">
        <f t="shared" si="131"/>
        <v>9.9999999999766942E-5</v>
      </c>
      <c r="E2779" s="14">
        <f t="shared" si="129"/>
        <v>4.6373702447430001E-5</v>
      </c>
      <c r="F2779">
        <v>105.282</v>
      </c>
      <c r="G2779" s="1">
        <f t="shared" si="130"/>
        <v>103.38775100000001</v>
      </c>
    </row>
    <row r="2780" spans="1:7" x14ac:dyDescent="0.3">
      <c r="A2780">
        <v>27780</v>
      </c>
      <c r="B2780">
        <v>1587.2</v>
      </c>
      <c r="C2780">
        <v>111.86199999999999</v>
      </c>
      <c r="D2780" s="15">
        <f t="shared" si="131"/>
        <v>1.0000000000012221E-4</v>
      </c>
      <c r="E2780" s="14">
        <f t="shared" si="129"/>
        <v>4.6360336424279992E-5</v>
      </c>
      <c r="F2780">
        <v>105.29300000000001</v>
      </c>
      <c r="G2780" s="1">
        <f t="shared" si="130"/>
        <v>103.38662100000001</v>
      </c>
    </row>
    <row r="2781" spans="1:7" x14ac:dyDescent="0.3">
      <c r="A2781">
        <v>27790</v>
      </c>
      <c r="B2781">
        <v>1582.2</v>
      </c>
      <c r="C2781">
        <v>111.861</v>
      </c>
      <c r="D2781" s="15">
        <f t="shared" si="131"/>
        <v>1.0000000000012221E-4</v>
      </c>
      <c r="E2781" s="14">
        <f t="shared" si="129"/>
        <v>4.6346983084469983E-5</v>
      </c>
      <c r="F2781">
        <v>105.304</v>
      </c>
      <c r="G2781" s="1">
        <f t="shared" si="130"/>
        <v>103.385491</v>
      </c>
    </row>
    <row r="2782" spans="1:7" x14ac:dyDescent="0.3">
      <c r="A2782">
        <v>27800</v>
      </c>
      <c r="B2782">
        <v>1577.2</v>
      </c>
      <c r="C2782">
        <v>111.86</v>
      </c>
      <c r="D2782" s="15">
        <f t="shared" si="131"/>
        <v>9.9999999999766942E-5</v>
      </c>
      <c r="E2782" s="14">
        <f t="shared" si="129"/>
        <v>4.6333642428000003E-5</v>
      </c>
      <c r="F2782">
        <v>105.315</v>
      </c>
      <c r="G2782" s="1">
        <f t="shared" si="130"/>
        <v>103.384361</v>
      </c>
    </row>
    <row r="2783" spans="1:7" x14ac:dyDescent="0.3">
      <c r="A2783">
        <v>27810</v>
      </c>
      <c r="B2783">
        <v>1572.3</v>
      </c>
      <c r="C2783">
        <v>111.85899999999999</v>
      </c>
      <c r="D2783" s="15">
        <f t="shared" si="131"/>
        <v>1.0000000000012221E-4</v>
      </c>
      <c r="E2783" s="14">
        <f t="shared" si="129"/>
        <v>4.6320314454869997E-5</v>
      </c>
      <c r="F2783">
        <v>105.32599999999999</v>
      </c>
      <c r="G2783" s="1">
        <f t="shared" si="130"/>
        <v>103.38323100000001</v>
      </c>
    </row>
    <row r="2784" spans="1:7" x14ac:dyDescent="0.3">
      <c r="A2784">
        <v>27820</v>
      </c>
      <c r="B2784">
        <v>1567.4</v>
      </c>
      <c r="C2784">
        <v>111.858</v>
      </c>
      <c r="D2784" s="15">
        <f t="shared" si="131"/>
        <v>1.0000000000012221E-4</v>
      </c>
      <c r="E2784" s="14">
        <f t="shared" si="129"/>
        <v>4.6306999165079992E-5</v>
      </c>
      <c r="F2784">
        <v>105.33799999999999</v>
      </c>
      <c r="G2784" s="1">
        <f t="shared" si="130"/>
        <v>103.38210100000001</v>
      </c>
    </row>
    <row r="2785" spans="1:7" x14ac:dyDescent="0.3">
      <c r="A2785">
        <v>27830</v>
      </c>
      <c r="B2785">
        <v>1562.3</v>
      </c>
      <c r="C2785">
        <v>111.857</v>
      </c>
      <c r="D2785" s="15">
        <f t="shared" si="131"/>
        <v>9.9999999999766942E-5</v>
      </c>
      <c r="E2785" s="14">
        <f t="shared" si="129"/>
        <v>4.6293696558630002E-5</v>
      </c>
      <c r="F2785">
        <v>105.348</v>
      </c>
      <c r="G2785" s="1">
        <f t="shared" si="130"/>
        <v>103.380971</v>
      </c>
    </row>
    <row r="2786" spans="1:7" x14ac:dyDescent="0.3">
      <c r="A2786">
        <v>27840</v>
      </c>
      <c r="B2786">
        <v>1557.5</v>
      </c>
      <c r="C2786">
        <v>111.85599999999999</v>
      </c>
      <c r="D2786" s="15">
        <f t="shared" si="131"/>
        <v>1.0000000000012221E-4</v>
      </c>
      <c r="E2786" s="14">
        <f t="shared" si="129"/>
        <v>4.6280406635519985E-5</v>
      </c>
      <c r="F2786">
        <v>105.36</v>
      </c>
      <c r="G2786" s="1">
        <f t="shared" si="130"/>
        <v>103.379841</v>
      </c>
    </row>
    <row r="2787" spans="1:7" x14ac:dyDescent="0.3">
      <c r="A2787">
        <v>27850</v>
      </c>
      <c r="B2787">
        <v>1552.5</v>
      </c>
      <c r="C2787">
        <v>111.855</v>
      </c>
      <c r="D2787" s="15">
        <f t="shared" si="131"/>
        <v>1.0000000000012221E-4</v>
      </c>
      <c r="E2787" s="14">
        <f t="shared" si="129"/>
        <v>4.6267129395749984E-5</v>
      </c>
      <c r="F2787">
        <v>105.37</v>
      </c>
      <c r="G2787" s="1">
        <f t="shared" si="130"/>
        <v>103.37871100000001</v>
      </c>
    </row>
    <row r="2788" spans="1:7" x14ac:dyDescent="0.3">
      <c r="A2788">
        <v>27860</v>
      </c>
      <c r="B2788">
        <v>1547.5</v>
      </c>
      <c r="C2788">
        <v>111.854</v>
      </c>
      <c r="D2788" s="15">
        <f t="shared" si="131"/>
        <v>9.9999999999766942E-5</v>
      </c>
      <c r="E2788" s="14">
        <f t="shared" si="129"/>
        <v>4.625386483932001E-5</v>
      </c>
      <c r="F2788">
        <v>105.38200000000001</v>
      </c>
      <c r="G2788" s="1">
        <f t="shared" si="130"/>
        <v>103.37758100000001</v>
      </c>
    </row>
    <row r="2789" spans="1:7" x14ac:dyDescent="0.3">
      <c r="A2789">
        <v>27870</v>
      </c>
      <c r="B2789">
        <v>1542.6</v>
      </c>
      <c r="C2789">
        <v>111.85299999999999</v>
      </c>
      <c r="D2789" s="15">
        <f t="shared" si="131"/>
        <v>1.0000000000012221E-4</v>
      </c>
      <c r="E2789" s="14">
        <f t="shared" si="129"/>
        <v>4.6240612966229997E-5</v>
      </c>
      <c r="F2789">
        <v>105.392</v>
      </c>
      <c r="G2789" s="1">
        <f t="shared" si="130"/>
        <v>103.376451</v>
      </c>
    </row>
    <row r="2790" spans="1:7" x14ac:dyDescent="0.3">
      <c r="A2790">
        <v>27880</v>
      </c>
      <c r="B2790">
        <v>1537.6</v>
      </c>
      <c r="C2790">
        <v>111.852</v>
      </c>
      <c r="D2790" s="15">
        <f t="shared" si="131"/>
        <v>1.0000000000012221E-4</v>
      </c>
      <c r="E2790" s="14">
        <f t="shared" si="129"/>
        <v>4.6227373776479985E-5</v>
      </c>
      <c r="F2790">
        <v>105.404</v>
      </c>
      <c r="G2790" s="1">
        <f t="shared" si="130"/>
        <v>103.375321</v>
      </c>
    </row>
    <row r="2791" spans="1:7" x14ac:dyDescent="0.3">
      <c r="A2791">
        <v>27890</v>
      </c>
      <c r="B2791">
        <v>1532.7</v>
      </c>
      <c r="C2791">
        <v>111.851</v>
      </c>
      <c r="D2791" s="15">
        <f t="shared" si="131"/>
        <v>9.9999999999766942E-5</v>
      </c>
      <c r="E2791" s="14">
        <f t="shared" si="129"/>
        <v>4.6214147270070001E-5</v>
      </c>
      <c r="F2791">
        <v>105.414</v>
      </c>
      <c r="G2791" s="1">
        <f t="shared" si="130"/>
        <v>103.374191</v>
      </c>
    </row>
    <row r="2792" spans="1:7" x14ac:dyDescent="0.3">
      <c r="A2792">
        <v>27900</v>
      </c>
      <c r="B2792">
        <v>1527.7</v>
      </c>
      <c r="C2792">
        <v>111.85</v>
      </c>
      <c r="D2792" s="15">
        <f t="shared" si="131"/>
        <v>1.0000000000012221E-4</v>
      </c>
      <c r="E2792" s="14">
        <f t="shared" si="129"/>
        <v>4.6200933446999992E-5</v>
      </c>
      <c r="F2792">
        <v>105.426</v>
      </c>
      <c r="G2792" s="1">
        <f t="shared" si="130"/>
        <v>103.37306100000001</v>
      </c>
    </row>
    <row r="2793" spans="1:7" x14ac:dyDescent="0.3">
      <c r="A2793">
        <v>27910</v>
      </c>
      <c r="B2793">
        <v>1522.8</v>
      </c>
      <c r="C2793">
        <v>111.849</v>
      </c>
      <c r="D2793" s="15">
        <f t="shared" si="131"/>
        <v>1.0000000000012221E-4</v>
      </c>
      <c r="E2793" s="14">
        <f t="shared" si="129"/>
        <v>4.6187732307269996E-5</v>
      </c>
      <c r="F2793">
        <v>105.437</v>
      </c>
      <c r="G2793" s="1">
        <f t="shared" si="130"/>
        <v>103.371931</v>
      </c>
    </row>
    <row r="2794" spans="1:7" x14ac:dyDescent="0.3">
      <c r="A2794">
        <v>27920</v>
      </c>
      <c r="B2794">
        <v>1517.8</v>
      </c>
      <c r="C2794">
        <v>111.848</v>
      </c>
      <c r="D2794" s="15">
        <f t="shared" si="131"/>
        <v>9.9999999999766942E-5</v>
      </c>
      <c r="E2794" s="14">
        <f t="shared" si="129"/>
        <v>4.6174543850880002E-5</v>
      </c>
      <c r="F2794">
        <v>105.44799999999999</v>
      </c>
      <c r="G2794" s="1">
        <f t="shared" si="130"/>
        <v>103.370801</v>
      </c>
    </row>
    <row r="2795" spans="1:7" x14ac:dyDescent="0.3">
      <c r="A2795">
        <v>27930</v>
      </c>
      <c r="B2795">
        <v>1513</v>
      </c>
      <c r="C2795">
        <v>111.84699999999999</v>
      </c>
      <c r="D2795" s="15">
        <f t="shared" si="131"/>
        <v>1.0000000000012221E-4</v>
      </c>
      <c r="E2795" s="14">
        <f t="shared" si="129"/>
        <v>4.6161368077829996E-5</v>
      </c>
      <c r="F2795">
        <v>105.459</v>
      </c>
      <c r="G2795" s="1">
        <f t="shared" si="130"/>
        <v>103.369671</v>
      </c>
    </row>
    <row r="2796" spans="1:7" x14ac:dyDescent="0.3">
      <c r="A2796">
        <v>27940</v>
      </c>
      <c r="B2796">
        <v>1508</v>
      </c>
      <c r="C2796">
        <v>111.846</v>
      </c>
      <c r="D2796" s="15">
        <f t="shared" si="131"/>
        <v>1.0000000000012221E-4</v>
      </c>
      <c r="E2796" s="14">
        <f t="shared" si="129"/>
        <v>4.614820498811999E-5</v>
      </c>
      <c r="F2796">
        <v>105.47</v>
      </c>
      <c r="G2796" s="1">
        <f t="shared" si="130"/>
        <v>103.36854100000001</v>
      </c>
    </row>
    <row r="2797" spans="1:7" x14ac:dyDescent="0.3">
      <c r="A2797">
        <v>27950</v>
      </c>
      <c r="B2797">
        <v>1503.1</v>
      </c>
      <c r="C2797">
        <v>111.845</v>
      </c>
      <c r="D2797" s="15">
        <f t="shared" si="131"/>
        <v>9.9999999999766942E-5</v>
      </c>
      <c r="E2797" s="14">
        <f t="shared" si="129"/>
        <v>4.6135054581750013E-5</v>
      </c>
      <c r="F2797">
        <v>105.48099999999999</v>
      </c>
      <c r="G2797" s="1">
        <f t="shared" si="130"/>
        <v>103.367411</v>
      </c>
    </row>
    <row r="2798" spans="1:7" x14ac:dyDescent="0.3">
      <c r="A2798">
        <v>27960</v>
      </c>
      <c r="B2798">
        <v>1498.1</v>
      </c>
      <c r="C2798">
        <v>111.84399999999999</v>
      </c>
      <c r="D2798" s="15">
        <f t="shared" si="131"/>
        <v>1.0000000000012221E-4</v>
      </c>
      <c r="E2798" s="14">
        <f t="shared" si="129"/>
        <v>4.612191685872001E-5</v>
      </c>
      <c r="F2798">
        <v>105.492</v>
      </c>
      <c r="G2798" s="1">
        <f t="shared" si="130"/>
        <v>103.366281</v>
      </c>
    </row>
    <row r="2799" spans="1:7" x14ac:dyDescent="0.3">
      <c r="A2799">
        <v>27970</v>
      </c>
      <c r="B2799">
        <v>1493.2</v>
      </c>
      <c r="C2799">
        <v>111.843</v>
      </c>
      <c r="D2799" s="15">
        <f t="shared" si="131"/>
        <v>1.0000000000012221E-4</v>
      </c>
      <c r="E2799" s="14">
        <f t="shared" si="129"/>
        <v>4.6108791819029994E-5</v>
      </c>
      <c r="F2799">
        <v>105.503</v>
      </c>
      <c r="G2799" s="1">
        <f t="shared" si="130"/>
        <v>103.365151</v>
      </c>
    </row>
    <row r="2800" spans="1:7" x14ac:dyDescent="0.3">
      <c r="A2800">
        <v>27980</v>
      </c>
      <c r="B2800">
        <v>1488.3</v>
      </c>
      <c r="C2800">
        <v>111.842</v>
      </c>
      <c r="D2800" s="15">
        <f t="shared" si="131"/>
        <v>9.9999999999766942E-5</v>
      </c>
      <c r="E2800" s="14">
        <f t="shared" si="129"/>
        <v>4.6095679462679979E-5</v>
      </c>
      <c r="F2800">
        <v>105.514</v>
      </c>
      <c r="G2800" s="1">
        <f t="shared" si="130"/>
        <v>103.36402100000001</v>
      </c>
    </row>
    <row r="2801" spans="1:7" x14ac:dyDescent="0.3">
      <c r="A2801">
        <v>27990</v>
      </c>
      <c r="B2801">
        <v>1483.3</v>
      </c>
      <c r="C2801">
        <v>111.84099999999999</v>
      </c>
      <c r="D2801" s="15">
        <f t="shared" si="131"/>
        <v>1.0000000000012221E-4</v>
      </c>
      <c r="E2801" s="14">
        <f t="shared" si="129"/>
        <v>4.6082579789669993E-5</v>
      </c>
      <c r="F2801">
        <v>105.52500000000001</v>
      </c>
      <c r="G2801" s="1">
        <f t="shared" si="130"/>
        <v>103.362891</v>
      </c>
    </row>
    <row r="2802" spans="1:7" x14ac:dyDescent="0.3">
      <c r="A2802">
        <v>28000</v>
      </c>
      <c r="B2802">
        <v>1478.4</v>
      </c>
      <c r="C2802">
        <v>111.84</v>
      </c>
      <c r="D2802" s="15">
        <f t="shared" si="131"/>
        <v>1.0000000000012221E-4</v>
      </c>
      <c r="E2802" s="14">
        <f t="shared" si="129"/>
        <v>4.6069492799999994E-5</v>
      </c>
      <c r="F2802">
        <v>105.536</v>
      </c>
      <c r="G2802" s="1">
        <f t="shared" si="130"/>
        <v>103.361761</v>
      </c>
    </row>
    <row r="2803" spans="1:7" x14ac:dyDescent="0.3">
      <c r="A2803">
        <v>28010</v>
      </c>
      <c r="B2803">
        <v>1473.4</v>
      </c>
      <c r="C2803">
        <v>111.839</v>
      </c>
      <c r="D2803" s="15">
        <f t="shared" si="131"/>
        <v>9.9999999999766942E-5</v>
      </c>
      <c r="E2803" s="14">
        <f t="shared" si="129"/>
        <v>4.6056418493669983E-5</v>
      </c>
      <c r="F2803">
        <v>105.547</v>
      </c>
      <c r="G2803" s="1">
        <f t="shared" si="130"/>
        <v>103.360631</v>
      </c>
    </row>
    <row r="2804" spans="1:7" x14ac:dyDescent="0.3">
      <c r="A2804">
        <v>28020</v>
      </c>
      <c r="B2804">
        <v>1468.5</v>
      </c>
      <c r="C2804">
        <v>111.83799999999999</v>
      </c>
      <c r="D2804" s="15">
        <f t="shared" si="131"/>
        <v>1.0000000000012221E-4</v>
      </c>
      <c r="E2804" s="14">
        <f t="shared" si="129"/>
        <v>4.604335687068E-5</v>
      </c>
      <c r="F2804">
        <v>105.559</v>
      </c>
      <c r="G2804" s="1">
        <f t="shared" si="130"/>
        <v>103.35950100000001</v>
      </c>
    </row>
    <row r="2805" spans="1:7" x14ac:dyDescent="0.3">
      <c r="A2805">
        <v>28030</v>
      </c>
      <c r="B2805">
        <v>1463.5</v>
      </c>
      <c r="C2805">
        <v>111.837</v>
      </c>
      <c r="D2805" s="15">
        <f t="shared" si="131"/>
        <v>1.0000000000012221E-4</v>
      </c>
      <c r="E2805" s="14">
        <f t="shared" si="129"/>
        <v>4.6030307931029991E-5</v>
      </c>
      <c r="F2805">
        <v>105.57</v>
      </c>
      <c r="G2805" s="1">
        <f t="shared" si="130"/>
        <v>103.35837100000001</v>
      </c>
    </row>
    <row r="2806" spans="1:7" x14ac:dyDescent="0.3">
      <c r="A2806">
        <v>28040</v>
      </c>
      <c r="B2806">
        <v>1458.7</v>
      </c>
      <c r="C2806">
        <v>111.836</v>
      </c>
      <c r="D2806" s="15">
        <f t="shared" si="131"/>
        <v>9.9999999999766942E-5</v>
      </c>
      <c r="E2806" s="14">
        <f t="shared" si="129"/>
        <v>4.6017271674719982E-5</v>
      </c>
      <c r="F2806">
        <v>105.581</v>
      </c>
      <c r="G2806" s="1">
        <f t="shared" si="130"/>
        <v>103.357241</v>
      </c>
    </row>
    <row r="2807" spans="1:7" x14ac:dyDescent="0.3">
      <c r="A2807">
        <v>28050</v>
      </c>
      <c r="B2807">
        <v>1453.7</v>
      </c>
      <c r="C2807">
        <v>111.83499999999999</v>
      </c>
      <c r="D2807" s="15">
        <f t="shared" si="131"/>
        <v>1.0000000000012221E-4</v>
      </c>
      <c r="E2807" s="14">
        <f t="shared" si="129"/>
        <v>4.6004248101750003E-5</v>
      </c>
      <c r="F2807">
        <v>105.592</v>
      </c>
      <c r="G2807" s="1">
        <f t="shared" si="130"/>
        <v>103.356111</v>
      </c>
    </row>
    <row r="2808" spans="1:7" x14ac:dyDescent="0.3">
      <c r="A2808">
        <v>28060</v>
      </c>
      <c r="B2808">
        <v>1448.8</v>
      </c>
      <c r="C2808">
        <v>111.834</v>
      </c>
      <c r="D2808" s="15">
        <f t="shared" si="131"/>
        <v>1.0000000000012221E-4</v>
      </c>
      <c r="E2808" s="14">
        <f t="shared" si="129"/>
        <v>4.5991237212119997E-5</v>
      </c>
      <c r="F2808">
        <v>105.60299999999999</v>
      </c>
      <c r="G2808" s="1">
        <f t="shared" si="130"/>
        <v>103.35498100000001</v>
      </c>
    </row>
    <row r="2809" spans="1:7" x14ac:dyDescent="0.3">
      <c r="A2809">
        <v>28070</v>
      </c>
      <c r="B2809">
        <v>1443.8</v>
      </c>
      <c r="C2809">
        <v>111.833</v>
      </c>
      <c r="D2809" s="15">
        <f t="shared" si="131"/>
        <v>9.9999999999766942E-5</v>
      </c>
      <c r="E2809" s="14">
        <f t="shared" si="129"/>
        <v>4.5978239005829978E-5</v>
      </c>
      <c r="F2809">
        <v>105.614</v>
      </c>
      <c r="G2809" s="1">
        <f t="shared" si="130"/>
        <v>103.35385100000001</v>
      </c>
    </row>
    <row r="2810" spans="1:7" x14ac:dyDescent="0.3">
      <c r="A2810">
        <v>28080</v>
      </c>
      <c r="B2810">
        <v>1438.9</v>
      </c>
      <c r="C2810">
        <v>111.83199999999999</v>
      </c>
      <c r="D2810" s="15">
        <f t="shared" si="131"/>
        <v>1.0000000000012221E-4</v>
      </c>
      <c r="E2810" s="14">
        <f t="shared" si="129"/>
        <v>4.5965253482880002E-5</v>
      </c>
      <c r="F2810">
        <v>105.625</v>
      </c>
      <c r="G2810" s="1">
        <f t="shared" si="130"/>
        <v>103.352721</v>
      </c>
    </row>
    <row r="2811" spans="1:7" x14ac:dyDescent="0.3">
      <c r="A2811">
        <v>28090</v>
      </c>
      <c r="B2811">
        <v>1434</v>
      </c>
      <c r="C2811">
        <v>111.831</v>
      </c>
      <c r="D2811" s="15">
        <f t="shared" si="131"/>
        <v>1.0000000000012221E-4</v>
      </c>
      <c r="E2811" s="14">
        <f t="shared" si="129"/>
        <v>4.5952280643269999E-5</v>
      </c>
      <c r="F2811">
        <v>105.636</v>
      </c>
      <c r="G2811" s="1">
        <f t="shared" si="130"/>
        <v>103.351591</v>
      </c>
    </row>
    <row r="2812" spans="1:7" x14ac:dyDescent="0.3">
      <c r="A2812">
        <v>28100</v>
      </c>
      <c r="B2812">
        <v>1429</v>
      </c>
      <c r="C2812">
        <v>111.83</v>
      </c>
      <c r="D2812" s="15">
        <f t="shared" si="131"/>
        <v>9.9999999999766942E-5</v>
      </c>
      <c r="E2812" s="14">
        <f t="shared" si="129"/>
        <v>4.5939320486999998E-5</v>
      </c>
      <c r="F2812">
        <v>105.64700000000001</v>
      </c>
      <c r="G2812" s="1">
        <f t="shared" si="130"/>
        <v>103.350461</v>
      </c>
    </row>
    <row r="2813" spans="1:7" x14ac:dyDescent="0.3">
      <c r="A2813">
        <v>28110</v>
      </c>
      <c r="B2813">
        <v>1424.2</v>
      </c>
      <c r="C2813">
        <v>111.82899999999999</v>
      </c>
      <c r="D2813" s="15">
        <f t="shared" si="131"/>
        <v>1.0000000000012221E-4</v>
      </c>
      <c r="E2813" s="14">
        <f t="shared" si="129"/>
        <v>4.5926373014069997E-5</v>
      </c>
      <c r="F2813">
        <v>105.658</v>
      </c>
      <c r="G2813" s="1">
        <f t="shared" si="130"/>
        <v>103.34933100000001</v>
      </c>
    </row>
    <row r="2814" spans="1:7" x14ac:dyDescent="0.3">
      <c r="A2814">
        <v>28120</v>
      </c>
      <c r="B2814">
        <v>1419.2</v>
      </c>
      <c r="C2814">
        <v>111.828</v>
      </c>
      <c r="D2814" s="15">
        <f t="shared" si="131"/>
        <v>1.2499999999988632E-4</v>
      </c>
      <c r="E2814" s="14">
        <f t="shared" si="129"/>
        <v>4.5913438224479998E-5</v>
      </c>
      <c r="F2814">
        <v>105.669</v>
      </c>
      <c r="G2814" s="1">
        <f t="shared" si="130"/>
        <v>103.348201</v>
      </c>
    </row>
    <row r="2815" spans="1:7" x14ac:dyDescent="0.3">
      <c r="A2815">
        <v>28130</v>
      </c>
      <c r="B2815">
        <v>1414.3</v>
      </c>
      <c r="C2815">
        <v>111.827</v>
      </c>
      <c r="D2815" s="15">
        <f t="shared" si="131"/>
        <v>1.2499999999988632E-4</v>
      </c>
      <c r="E2815" s="14">
        <f t="shared" si="129"/>
        <v>4.5900516118229986E-5</v>
      </c>
      <c r="F2815">
        <v>105.68</v>
      </c>
      <c r="G2815" s="1">
        <f t="shared" si="130"/>
        <v>103.347071</v>
      </c>
    </row>
    <row r="2816" spans="1:7" x14ac:dyDescent="0.3">
      <c r="A2816">
        <v>28140</v>
      </c>
      <c r="B2816">
        <v>1409.3</v>
      </c>
      <c r="C2816">
        <v>111.825</v>
      </c>
      <c r="D2816" s="15">
        <f t="shared" si="131"/>
        <v>1.2500000000024159E-4</v>
      </c>
      <c r="E2816" s="14">
        <f t="shared" si="129"/>
        <v>4.5887606695320003E-5</v>
      </c>
      <c r="F2816">
        <v>105.691</v>
      </c>
      <c r="G2816" s="1">
        <f t="shared" si="130"/>
        <v>103.345941</v>
      </c>
    </row>
    <row r="2817" spans="1:7" x14ac:dyDescent="0.3">
      <c r="A2817">
        <v>28150</v>
      </c>
      <c r="B2817">
        <v>1404.4</v>
      </c>
      <c r="C2817">
        <v>111.824</v>
      </c>
      <c r="D2817" s="15">
        <f t="shared" si="131"/>
        <v>1.2499999999988632E-4</v>
      </c>
      <c r="E2817" s="14">
        <f t="shared" si="129"/>
        <v>4.5874709955750007E-5</v>
      </c>
      <c r="F2817">
        <v>105.702</v>
      </c>
      <c r="G2817" s="1">
        <f t="shared" si="130"/>
        <v>103.34481100000001</v>
      </c>
    </row>
    <row r="2818" spans="1:7" x14ac:dyDescent="0.3">
      <c r="A2818">
        <v>28160</v>
      </c>
      <c r="B2818">
        <v>1399.5</v>
      </c>
      <c r="C2818">
        <v>111.82299999999999</v>
      </c>
      <c r="D2818" s="15">
        <f t="shared" si="131"/>
        <v>1.0000000000012221E-4</v>
      </c>
      <c r="E2818" s="14">
        <f t="shared" ref="E2818:E2881" si="132">0.0000000000000634167*A2818*A2818 - 0.0000000048594*A2818 + 0.000132414</f>
        <v>4.5861825899519984E-5</v>
      </c>
      <c r="F2818">
        <v>105.714</v>
      </c>
      <c r="G2818" s="1">
        <f t="shared" si="130"/>
        <v>103.343681</v>
      </c>
    </row>
    <row r="2819" spans="1:7" x14ac:dyDescent="0.3">
      <c r="A2819">
        <v>28170</v>
      </c>
      <c r="B2819">
        <v>1394.6</v>
      </c>
      <c r="C2819">
        <v>111.822</v>
      </c>
      <c r="D2819" s="15">
        <f t="shared" si="131"/>
        <v>1.0000000000012221E-4</v>
      </c>
      <c r="E2819" s="14">
        <f t="shared" si="132"/>
        <v>4.5848954526629991E-5</v>
      </c>
      <c r="F2819">
        <v>105.724</v>
      </c>
      <c r="G2819" s="1">
        <f t="shared" ref="G2819:G2882" si="133">-0.000113*A2819 + 106.525761</f>
        <v>103.342551</v>
      </c>
    </row>
    <row r="2820" spans="1:7" x14ac:dyDescent="0.3">
      <c r="A2820">
        <v>28180</v>
      </c>
      <c r="B2820">
        <v>1389.7</v>
      </c>
      <c r="C2820">
        <v>111.821</v>
      </c>
      <c r="D2820" s="15">
        <f t="shared" si="131"/>
        <v>9.9999999999766942E-5</v>
      </c>
      <c r="E2820" s="14">
        <f t="shared" si="132"/>
        <v>4.5836095837079998E-5</v>
      </c>
      <c r="F2820">
        <v>105.736</v>
      </c>
      <c r="G2820" s="1">
        <f t="shared" si="133"/>
        <v>103.341421</v>
      </c>
    </row>
    <row r="2821" spans="1:7" x14ac:dyDescent="0.3">
      <c r="A2821">
        <v>28190</v>
      </c>
      <c r="B2821">
        <v>1384.8</v>
      </c>
      <c r="C2821">
        <v>111.82</v>
      </c>
      <c r="D2821" s="15">
        <f t="shared" ref="D2821:D2884" si="134">(C2819-C2823)/(A2823-A2819)</f>
        <v>1.0000000000012221E-4</v>
      </c>
      <c r="E2821" s="14">
        <f t="shared" si="132"/>
        <v>4.5823249830869993E-5</v>
      </c>
      <c r="F2821">
        <v>105.746</v>
      </c>
      <c r="G2821" s="1">
        <f t="shared" si="133"/>
        <v>103.34029100000001</v>
      </c>
    </row>
    <row r="2822" spans="1:7" x14ac:dyDescent="0.3">
      <c r="A2822">
        <v>28200</v>
      </c>
      <c r="B2822">
        <v>1379.8</v>
      </c>
      <c r="C2822">
        <v>111.819</v>
      </c>
      <c r="D2822" s="15">
        <f t="shared" si="134"/>
        <v>1.0000000000012221E-4</v>
      </c>
      <c r="E2822" s="14">
        <f t="shared" si="132"/>
        <v>4.5810416507999988E-5</v>
      </c>
      <c r="F2822">
        <v>105.758</v>
      </c>
      <c r="G2822" s="1">
        <f t="shared" si="133"/>
        <v>103.339161</v>
      </c>
    </row>
    <row r="2823" spans="1:7" x14ac:dyDescent="0.3">
      <c r="A2823">
        <v>28210</v>
      </c>
      <c r="B2823">
        <v>1374.9</v>
      </c>
      <c r="C2823">
        <v>111.818</v>
      </c>
      <c r="D2823" s="15">
        <f t="shared" si="134"/>
        <v>1.2499999999988632E-4</v>
      </c>
      <c r="E2823" s="14">
        <f t="shared" si="132"/>
        <v>4.5797595868469999E-5</v>
      </c>
      <c r="F2823">
        <v>105.768</v>
      </c>
      <c r="G2823" s="1">
        <f t="shared" si="133"/>
        <v>103.338031</v>
      </c>
    </row>
    <row r="2824" spans="1:7" x14ac:dyDescent="0.3">
      <c r="A2824">
        <v>28220</v>
      </c>
      <c r="B2824">
        <v>1370</v>
      </c>
      <c r="C2824">
        <v>111.81699999999999</v>
      </c>
      <c r="D2824" s="15">
        <f t="shared" si="134"/>
        <v>1.2500000000024159E-4</v>
      </c>
      <c r="E2824" s="14">
        <f t="shared" si="132"/>
        <v>4.5784787912279984E-5</v>
      </c>
      <c r="F2824">
        <v>105.78</v>
      </c>
      <c r="G2824" s="1">
        <f t="shared" si="133"/>
        <v>103.336901</v>
      </c>
    </row>
    <row r="2825" spans="1:7" x14ac:dyDescent="0.3">
      <c r="A2825">
        <v>28230</v>
      </c>
      <c r="B2825">
        <v>1370.8</v>
      </c>
      <c r="C2825">
        <v>111.815</v>
      </c>
      <c r="D2825" s="15">
        <f t="shared" si="134"/>
        <v>1.2499999999988632E-4</v>
      </c>
      <c r="E2825" s="14">
        <f t="shared" si="132"/>
        <v>4.5771992639429983E-5</v>
      </c>
      <c r="F2825">
        <v>105.77500000000001</v>
      </c>
      <c r="G2825" s="1">
        <f t="shared" si="133"/>
        <v>103.33577100000001</v>
      </c>
    </row>
    <row r="2826" spans="1:7" x14ac:dyDescent="0.3">
      <c r="A2826">
        <v>28240</v>
      </c>
      <c r="B2826">
        <v>1372.7</v>
      </c>
      <c r="C2826">
        <v>111.81399999999999</v>
      </c>
      <c r="D2826" s="15">
        <f t="shared" si="134"/>
        <v>1.2499999999988632E-4</v>
      </c>
      <c r="E2826" s="14">
        <f t="shared" si="132"/>
        <v>4.575921004992001E-5</v>
      </c>
      <c r="F2826">
        <v>105.76600000000001</v>
      </c>
      <c r="G2826" s="1">
        <f t="shared" si="133"/>
        <v>103.334641</v>
      </c>
    </row>
    <row r="2827" spans="1:7" x14ac:dyDescent="0.3">
      <c r="A2827">
        <v>28250</v>
      </c>
      <c r="B2827">
        <v>1374.5</v>
      </c>
      <c r="C2827">
        <v>111.813</v>
      </c>
      <c r="D2827" s="15">
        <f t="shared" si="134"/>
        <v>9.9999999999766942E-5</v>
      </c>
      <c r="E2827" s="14">
        <f t="shared" si="132"/>
        <v>4.5746440143749998E-5</v>
      </c>
      <c r="F2827">
        <v>105.755</v>
      </c>
      <c r="G2827" s="1">
        <f t="shared" si="133"/>
        <v>103.333511</v>
      </c>
    </row>
    <row r="2828" spans="1:7" x14ac:dyDescent="0.3">
      <c r="A2828">
        <v>28260</v>
      </c>
      <c r="B2828">
        <v>1376.2</v>
      </c>
      <c r="C2828">
        <v>111.812</v>
      </c>
      <c r="D2828" s="15">
        <f t="shared" si="134"/>
        <v>9.9999999999766942E-5</v>
      </c>
      <c r="E2828" s="14">
        <f t="shared" si="132"/>
        <v>4.5733682920919987E-5</v>
      </c>
      <c r="F2828">
        <v>105.745</v>
      </c>
      <c r="G2828" s="1">
        <f t="shared" si="133"/>
        <v>103.332381</v>
      </c>
    </row>
    <row r="2829" spans="1:7" x14ac:dyDescent="0.3">
      <c r="A2829">
        <v>28270</v>
      </c>
      <c r="B2829">
        <v>1378</v>
      </c>
      <c r="C2829">
        <v>111.81100000000001</v>
      </c>
      <c r="D2829" s="15">
        <f t="shared" si="134"/>
        <v>1.0000000000012221E-4</v>
      </c>
      <c r="E2829" s="14">
        <f t="shared" si="132"/>
        <v>4.5720938381430004E-5</v>
      </c>
      <c r="F2829">
        <v>105.73399999999999</v>
      </c>
      <c r="G2829" s="1">
        <f t="shared" si="133"/>
        <v>103.33125100000001</v>
      </c>
    </row>
    <row r="2830" spans="1:7" x14ac:dyDescent="0.3">
      <c r="A2830">
        <v>28280</v>
      </c>
      <c r="B2830">
        <v>1379.8</v>
      </c>
      <c r="C2830">
        <v>111.81</v>
      </c>
      <c r="D2830" s="15">
        <f t="shared" si="134"/>
        <v>9.9999999999766942E-5</v>
      </c>
      <c r="E2830" s="14">
        <f t="shared" si="132"/>
        <v>4.5708206525279995E-5</v>
      </c>
      <c r="F2830">
        <v>105.724</v>
      </c>
      <c r="G2830" s="1">
        <f t="shared" si="133"/>
        <v>103.33012100000001</v>
      </c>
    </row>
    <row r="2831" spans="1:7" x14ac:dyDescent="0.3">
      <c r="A2831">
        <v>28290</v>
      </c>
      <c r="B2831">
        <v>1381.7</v>
      </c>
      <c r="C2831">
        <v>111.809</v>
      </c>
      <c r="D2831" s="15">
        <f t="shared" si="134"/>
        <v>1.0000000000012221E-4</v>
      </c>
      <c r="E2831" s="14">
        <f t="shared" si="132"/>
        <v>4.5695487352469987E-5</v>
      </c>
      <c r="F2831">
        <v>105.71299999999999</v>
      </c>
      <c r="G2831" s="1">
        <f t="shared" si="133"/>
        <v>103.328991</v>
      </c>
    </row>
    <row r="2832" spans="1:7" x14ac:dyDescent="0.3">
      <c r="A2832">
        <v>28300</v>
      </c>
      <c r="B2832">
        <v>1383.5</v>
      </c>
      <c r="C2832">
        <v>111.80800000000001</v>
      </c>
      <c r="D2832" s="15">
        <f t="shared" si="134"/>
        <v>1.0000000000012221E-4</v>
      </c>
      <c r="E2832" s="14">
        <f t="shared" si="132"/>
        <v>4.5682780863000007E-5</v>
      </c>
      <c r="F2832">
        <v>105.703</v>
      </c>
      <c r="G2832" s="1">
        <f t="shared" si="133"/>
        <v>103.327861</v>
      </c>
    </row>
    <row r="2833" spans="1:7" x14ac:dyDescent="0.3">
      <c r="A2833">
        <v>28310</v>
      </c>
      <c r="B2833">
        <v>1385.3</v>
      </c>
      <c r="C2833">
        <v>111.807</v>
      </c>
      <c r="D2833" s="15">
        <f t="shared" si="134"/>
        <v>1.2499999999988632E-4</v>
      </c>
      <c r="E2833" s="14">
        <f t="shared" si="132"/>
        <v>4.5670087056870002E-5</v>
      </c>
      <c r="F2833">
        <v>105.69199999999999</v>
      </c>
      <c r="G2833" s="1">
        <f t="shared" si="133"/>
        <v>103.32673100000001</v>
      </c>
    </row>
    <row r="2834" spans="1:7" x14ac:dyDescent="0.3">
      <c r="A2834">
        <v>28320</v>
      </c>
      <c r="B2834">
        <v>1387.2</v>
      </c>
      <c r="C2834">
        <v>111.806</v>
      </c>
      <c r="D2834" s="15">
        <f t="shared" si="134"/>
        <v>1.2500000000024159E-4</v>
      </c>
      <c r="E2834" s="14">
        <f t="shared" si="132"/>
        <v>4.5657405934079997E-5</v>
      </c>
      <c r="F2834">
        <v>105.682</v>
      </c>
      <c r="G2834" s="1">
        <f t="shared" si="133"/>
        <v>103.32560100000001</v>
      </c>
    </row>
    <row r="2835" spans="1:7" x14ac:dyDescent="0.3">
      <c r="A2835">
        <v>28330</v>
      </c>
      <c r="B2835">
        <v>1389</v>
      </c>
      <c r="C2835">
        <v>111.804</v>
      </c>
      <c r="D2835" s="15">
        <f t="shared" si="134"/>
        <v>1.2499999999988632E-4</v>
      </c>
      <c r="E2835" s="14">
        <f t="shared" si="132"/>
        <v>4.5644737494630007E-5</v>
      </c>
      <c r="F2835">
        <v>105.67100000000001</v>
      </c>
      <c r="G2835" s="1">
        <f t="shared" si="133"/>
        <v>103.324471</v>
      </c>
    </row>
    <row r="2836" spans="1:7" x14ac:dyDescent="0.3">
      <c r="A2836">
        <v>28340</v>
      </c>
      <c r="B2836">
        <v>1390.8</v>
      </c>
      <c r="C2836">
        <v>111.803</v>
      </c>
      <c r="D2836" s="15">
        <f t="shared" si="134"/>
        <v>1.2499999999988632E-4</v>
      </c>
      <c r="E2836" s="14">
        <f t="shared" si="132"/>
        <v>4.5632081738520005E-5</v>
      </c>
      <c r="F2836">
        <v>105.661</v>
      </c>
      <c r="G2836" s="1">
        <f t="shared" si="133"/>
        <v>103.323341</v>
      </c>
    </row>
    <row r="2837" spans="1:7" x14ac:dyDescent="0.3">
      <c r="A2837">
        <v>28350</v>
      </c>
      <c r="B2837">
        <v>1392.7</v>
      </c>
      <c r="C2837">
        <v>111.80200000000001</v>
      </c>
      <c r="D2837" s="15">
        <f t="shared" si="134"/>
        <v>1.0000000000012221E-4</v>
      </c>
      <c r="E2837" s="14">
        <f t="shared" si="132"/>
        <v>4.561943866574999E-5</v>
      </c>
      <c r="F2837">
        <v>105.65</v>
      </c>
      <c r="G2837" s="1">
        <f t="shared" si="133"/>
        <v>103.32221100000001</v>
      </c>
    </row>
    <row r="2838" spans="1:7" x14ac:dyDescent="0.3">
      <c r="A2838">
        <v>28360</v>
      </c>
      <c r="B2838">
        <v>1394.6</v>
      </c>
      <c r="C2838">
        <v>111.801</v>
      </c>
      <c r="D2838" s="15">
        <f t="shared" si="134"/>
        <v>9.9999999999766942E-5</v>
      </c>
      <c r="E2838" s="14">
        <f t="shared" si="132"/>
        <v>4.560680827631999E-5</v>
      </c>
      <c r="F2838">
        <v>105.64</v>
      </c>
      <c r="G2838" s="1">
        <f t="shared" si="133"/>
        <v>103.32108100000001</v>
      </c>
    </row>
    <row r="2839" spans="1:7" x14ac:dyDescent="0.3">
      <c r="A2839">
        <v>28370</v>
      </c>
      <c r="B2839">
        <v>1396.5</v>
      </c>
      <c r="C2839">
        <v>111.8</v>
      </c>
      <c r="D2839" s="15">
        <f t="shared" si="134"/>
        <v>1.0000000000012221E-4</v>
      </c>
      <c r="E2839" s="14">
        <f t="shared" si="132"/>
        <v>4.5594190570229991E-5</v>
      </c>
      <c r="F2839">
        <v>105.629</v>
      </c>
      <c r="G2839" s="1">
        <f t="shared" si="133"/>
        <v>103.319951</v>
      </c>
    </row>
    <row r="2840" spans="1:7" x14ac:dyDescent="0.3">
      <c r="A2840">
        <v>28380</v>
      </c>
      <c r="B2840">
        <v>1398.4</v>
      </c>
      <c r="C2840">
        <v>111.79900000000001</v>
      </c>
      <c r="D2840" s="15">
        <f t="shared" si="134"/>
        <v>1.0000000000012221E-4</v>
      </c>
      <c r="E2840" s="14">
        <f t="shared" si="132"/>
        <v>4.5581585547479993E-5</v>
      </c>
      <c r="F2840">
        <v>105.619</v>
      </c>
      <c r="G2840" s="1">
        <f t="shared" si="133"/>
        <v>103.318821</v>
      </c>
    </row>
    <row r="2841" spans="1:7" x14ac:dyDescent="0.3">
      <c r="A2841">
        <v>28390</v>
      </c>
      <c r="B2841">
        <v>1400.2</v>
      </c>
      <c r="C2841">
        <v>111.798</v>
      </c>
      <c r="D2841" s="15">
        <f t="shared" si="134"/>
        <v>9.9999999999766942E-5</v>
      </c>
      <c r="E2841" s="14">
        <f t="shared" si="132"/>
        <v>4.5568993208069996E-5</v>
      </c>
      <c r="F2841">
        <v>105.608</v>
      </c>
      <c r="G2841" s="1">
        <f t="shared" si="133"/>
        <v>103.317691</v>
      </c>
    </row>
    <row r="2842" spans="1:7" x14ac:dyDescent="0.3">
      <c r="A2842">
        <v>28400</v>
      </c>
      <c r="B2842">
        <v>1402.2</v>
      </c>
      <c r="C2842">
        <v>111.797</v>
      </c>
      <c r="D2842" s="15">
        <f t="shared" si="134"/>
        <v>1.0000000000012221E-4</v>
      </c>
      <c r="E2842" s="14">
        <f t="shared" si="132"/>
        <v>4.5556413552E-5</v>
      </c>
      <c r="F2842">
        <v>105.598</v>
      </c>
      <c r="G2842" s="1">
        <f t="shared" si="133"/>
        <v>103.31656100000001</v>
      </c>
    </row>
    <row r="2843" spans="1:7" x14ac:dyDescent="0.3">
      <c r="A2843">
        <v>28410</v>
      </c>
      <c r="B2843">
        <v>1404.1</v>
      </c>
      <c r="C2843">
        <v>111.79600000000001</v>
      </c>
      <c r="D2843" s="15">
        <f t="shared" si="134"/>
        <v>1.0000000000012221E-4</v>
      </c>
      <c r="E2843" s="14">
        <f t="shared" si="132"/>
        <v>4.5543846579269991E-5</v>
      </c>
      <c r="F2843">
        <v>105.587</v>
      </c>
      <c r="G2843" s="1">
        <f t="shared" si="133"/>
        <v>103.315431</v>
      </c>
    </row>
    <row r="2844" spans="1:7" x14ac:dyDescent="0.3">
      <c r="A2844">
        <v>28420</v>
      </c>
      <c r="B2844">
        <v>1406</v>
      </c>
      <c r="C2844">
        <v>111.795</v>
      </c>
      <c r="D2844" s="15">
        <f t="shared" si="134"/>
        <v>9.9999999999766942E-5</v>
      </c>
      <c r="E2844" s="14">
        <f t="shared" si="132"/>
        <v>4.5531292289879984E-5</v>
      </c>
      <c r="F2844">
        <v>105.577</v>
      </c>
      <c r="G2844" s="1">
        <f t="shared" si="133"/>
        <v>103.314301</v>
      </c>
    </row>
    <row r="2845" spans="1:7" x14ac:dyDescent="0.3">
      <c r="A2845">
        <v>28430</v>
      </c>
      <c r="B2845">
        <v>1408</v>
      </c>
      <c r="C2845">
        <v>111.794</v>
      </c>
      <c r="D2845" s="15">
        <f t="shared" si="134"/>
        <v>1.2500000000024159E-4</v>
      </c>
      <c r="E2845" s="14">
        <f t="shared" si="132"/>
        <v>4.5518750683829992E-5</v>
      </c>
      <c r="F2845">
        <v>105.566</v>
      </c>
      <c r="G2845" s="1">
        <f t="shared" si="133"/>
        <v>103.313171</v>
      </c>
    </row>
    <row r="2846" spans="1:7" x14ac:dyDescent="0.3">
      <c r="A2846">
        <v>28440</v>
      </c>
      <c r="B2846">
        <v>1409.9</v>
      </c>
      <c r="C2846">
        <v>111.79300000000001</v>
      </c>
      <c r="D2846" s="15">
        <f t="shared" si="134"/>
        <v>1.2499999999988632E-4</v>
      </c>
      <c r="E2846" s="14">
        <f t="shared" si="132"/>
        <v>4.550622176112E-5</v>
      </c>
      <c r="F2846">
        <v>105.556</v>
      </c>
      <c r="G2846" s="1">
        <f t="shared" si="133"/>
        <v>103.31204100000001</v>
      </c>
    </row>
    <row r="2847" spans="1:7" x14ac:dyDescent="0.3">
      <c r="A2847">
        <v>28450</v>
      </c>
      <c r="B2847">
        <v>1411.9</v>
      </c>
      <c r="C2847">
        <v>111.791</v>
      </c>
      <c r="D2847" s="15">
        <f t="shared" si="134"/>
        <v>1.2499999999988632E-4</v>
      </c>
      <c r="E2847" s="14">
        <f t="shared" si="132"/>
        <v>4.5493705521749983E-5</v>
      </c>
      <c r="F2847">
        <v>105.545</v>
      </c>
      <c r="G2847" s="1">
        <f t="shared" si="133"/>
        <v>103.310911</v>
      </c>
    </row>
    <row r="2848" spans="1:7" x14ac:dyDescent="0.3">
      <c r="A2848">
        <v>28460</v>
      </c>
      <c r="B2848">
        <v>1413.8</v>
      </c>
      <c r="C2848">
        <v>111.79</v>
      </c>
      <c r="D2848" s="15">
        <f t="shared" si="134"/>
        <v>1.2500000000024159E-4</v>
      </c>
      <c r="E2848" s="14">
        <f t="shared" si="132"/>
        <v>4.5481201965720007E-5</v>
      </c>
      <c r="F2848">
        <v>105.535</v>
      </c>
      <c r="G2848" s="1">
        <f t="shared" si="133"/>
        <v>103.309781</v>
      </c>
    </row>
    <row r="2849" spans="1:7" x14ac:dyDescent="0.3">
      <c r="A2849">
        <v>28470</v>
      </c>
      <c r="B2849">
        <v>1415.8</v>
      </c>
      <c r="C2849">
        <v>111.789</v>
      </c>
      <c r="D2849" s="15">
        <f t="shared" si="134"/>
        <v>9.9999999999766942E-5</v>
      </c>
      <c r="E2849" s="14">
        <f t="shared" si="132"/>
        <v>4.5468711093029992E-5</v>
      </c>
      <c r="F2849">
        <v>105.524</v>
      </c>
      <c r="G2849" s="1">
        <f t="shared" si="133"/>
        <v>103.308651</v>
      </c>
    </row>
    <row r="2850" spans="1:7" x14ac:dyDescent="0.3">
      <c r="A2850">
        <v>28480</v>
      </c>
      <c r="B2850">
        <v>1417.8</v>
      </c>
      <c r="C2850">
        <v>111.788</v>
      </c>
      <c r="D2850" s="15">
        <f t="shared" si="134"/>
        <v>1.0000000000012221E-4</v>
      </c>
      <c r="E2850" s="14">
        <f t="shared" si="132"/>
        <v>4.5456232903679991E-5</v>
      </c>
      <c r="F2850">
        <v>105.514</v>
      </c>
      <c r="G2850" s="1">
        <f t="shared" si="133"/>
        <v>103.30752100000001</v>
      </c>
    </row>
    <row r="2851" spans="1:7" x14ac:dyDescent="0.3">
      <c r="A2851">
        <v>28490</v>
      </c>
      <c r="B2851">
        <v>1419.8</v>
      </c>
      <c r="C2851">
        <v>111.78700000000001</v>
      </c>
      <c r="D2851" s="15">
        <f t="shared" si="134"/>
        <v>1.0000000000012221E-4</v>
      </c>
      <c r="E2851" s="14">
        <f t="shared" si="132"/>
        <v>4.5443767397670005E-5</v>
      </c>
      <c r="F2851">
        <v>105.503</v>
      </c>
      <c r="G2851" s="1">
        <f t="shared" si="133"/>
        <v>103.306391</v>
      </c>
    </row>
    <row r="2852" spans="1:7" x14ac:dyDescent="0.3">
      <c r="A2852">
        <v>28500</v>
      </c>
      <c r="B2852">
        <v>1421.8</v>
      </c>
      <c r="C2852">
        <v>111.786</v>
      </c>
      <c r="D2852" s="15">
        <f t="shared" si="134"/>
        <v>9.9999999999766942E-5</v>
      </c>
      <c r="E2852" s="14">
        <f t="shared" si="132"/>
        <v>4.5431314574999993E-5</v>
      </c>
      <c r="F2852">
        <v>105.49299999999999</v>
      </c>
      <c r="G2852" s="1">
        <f t="shared" si="133"/>
        <v>103.305261</v>
      </c>
    </row>
    <row r="2853" spans="1:7" x14ac:dyDescent="0.3">
      <c r="A2853">
        <v>28510</v>
      </c>
      <c r="B2853">
        <v>1423.8</v>
      </c>
      <c r="C2853">
        <v>111.785</v>
      </c>
      <c r="D2853" s="15">
        <f t="shared" si="134"/>
        <v>1.0000000000012221E-4</v>
      </c>
      <c r="E2853" s="14">
        <f t="shared" si="132"/>
        <v>4.5418874435669982E-5</v>
      </c>
      <c r="F2853">
        <v>105.482</v>
      </c>
      <c r="G2853" s="1">
        <f t="shared" si="133"/>
        <v>103.304131</v>
      </c>
    </row>
    <row r="2854" spans="1:7" x14ac:dyDescent="0.3">
      <c r="A2854">
        <v>28520</v>
      </c>
      <c r="B2854">
        <v>1425.7</v>
      </c>
      <c r="C2854">
        <v>111.78400000000001</v>
      </c>
      <c r="D2854" s="15">
        <f t="shared" si="134"/>
        <v>1.0000000000012221E-4</v>
      </c>
      <c r="E2854" s="14">
        <f t="shared" si="132"/>
        <v>4.5406446979679999E-5</v>
      </c>
      <c r="F2854">
        <v>105.47199999999999</v>
      </c>
      <c r="G2854" s="1">
        <f t="shared" si="133"/>
        <v>103.30300100000001</v>
      </c>
    </row>
    <row r="2855" spans="1:7" x14ac:dyDescent="0.3">
      <c r="A2855">
        <v>28530</v>
      </c>
      <c r="B2855">
        <v>1427.7</v>
      </c>
      <c r="C2855">
        <v>111.783</v>
      </c>
      <c r="D2855" s="15">
        <f t="shared" si="134"/>
        <v>9.9999999999766942E-5</v>
      </c>
      <c r="E2855" s="14">
        <f t="shared" si="132"/>
        <v>4.5394032207029991E-5</v>
      </c>
      <c r="F2855">
        <v>105.461</v>
      </c>
      <c r="G2855" s="1">
        <f t="shared" si="133"/>
        <v>103.30187100000001</v>
      </c>
    </row>
    <row r="2856" spans="1:7" x14ac:dyDescent="0.3">
      <c r="A2856">
        <v>28540</v>
      </c>
      <c r="B2856">
        <v>1429.7</v>
      </c>
      <c r="C2856">
        <v>111.782</v>
      </c>
      <c r="D2856" s="15">
        <f t="shared" si="134"/>
        <v>1.0000000000012221E-4</v>
      </c>
      <c r="E2856" s="14">
        <f t="shared" si="132"/>
        <v>4.5381630117719983E-5</v>
      </c>
      <c r="F2856">
        <v>105.45099999999999</v>
      </c>
      <c r="G2856" s="1">
        <f t="shared" si="133"/>
        <v>103.300741</v>
      </c>
    </row>
    <row r="2857" spans="1:7" x14ac:dyDescent="0.3">
      <c r="A2857">
        <v>28550</v>
      </c>
      <c r="B2857">
        <v>1431.7</v>
      </c>
      <c r="C2857">
        <v>111.78100000000001</v>
      </c>
      <c r="D2857" s="15">
        <f t="shared" si="134"/>
        <v>1.0000000000012221E-4</v>
      </c>
      <c r="E2857" s="14">
        <f t="shared" si="132"/>
        <v>4.5369240711749977E-5</v>
      </c>
      <c r="F2857">
        <v>105.44</v>
      </c>
      <c r="G2857" s="1">
        <f t="shared" si="133"/>
        <v>103.299611</v>
      </c>
    </row>
    <row r="2858" spans="1:7" x14ac:dyDescent="0.3">
      <c r="A2858">
        <v>28560</v>
      </c>
      <c r="B2858">
        <v>1433.7</v>
      </c>
      <c r="C2858">
        <v>111.78</v>
      </c>
      <c r="D2858" s="15">
        <f t="shared" si="134"/>
        <v>9.9999999999766942E-5</v>
      </c>
      <c r="E2858" s="14">
        <f t="shared" si="132"/>
        <v>4.5356863989119998E-5</v>
      </c>
      <c r="F2858">
        <v>105.43</v>
      </c>
      <c r="G2858" s="1">
        <f t="shared" si="133"/>
        <v>103.29848100000001</v>
      </c>
    </row>
    <row r="2859" spans="1:7" x14ac:dyDescent="0.3">
      <c r="A2859">
        <v>28570</v>
      </c>
      <c r="B2859">
        <v>1435.7</v>
      </c>
      <c r="C2859">
        <v>111.779</v>
      </c>
      <c r="D2859" s="15">
        <f t="shared" si="134"/>
        <v>1.0000000000012221E-4</v>
      </c>
      <c r="E2859" s="14">
        <f t="shared" si="132"/>
        <v>4.5344499949829994E-5</v>
      </c>
      <c r="F2859">
        <v>105.419</v>
      </c>
      <c r="G2859" s="1">
        <f t="shared" si="133"/>
        <v>103.29735100000001</v>
      </c>
    </row>
    <row r="2860" spans="1:7" x14ac:dyDescent="0.3">
      <c r="A2860">
        <v>28580</v>
      </c>
      <c r="B2860">
        <v>1437.7</v>
      </c>
      <c r="C2860">
        <v>111.77800000000001</v>
      </c>
      <c r="D2860" s="15">
        <f t="shared" si="134"/>
        <v>1.0000000000012221E-4</v>
      </c>
      <c r="E2860" s="14">
        <f t="shared" si="132"/>
        <v>4.5332148593879991E-5</v>
      </c>
      <c r="F2860">
        <v>105.40900000000001</v>
      </c>
      <c r="G2860" s="1">
        <f t="shared" si="133"/>
        <v>103.296221</v>
      </c>
    </row>
    <row r="2861" spans="1:7" x14ac:dyDescent="0.3">
      <c r="A2861">
        <v>28590</v>
      </c>
      <c r="B2861">
        <v>1439.7</v>
      </c>
      <c r="C2861">
        <v>111.777</v>
      </c>
      <c r="D2861" s="15">
        <f t="shared" si="134"/>
        <v>9.9999999999766942E-5</v>
      </c>
      <c r="E2861" s="14">
        <f t="shared" si="132"/>
        <v>4.5319809921270002E-5</v>
      </c>
      <c r="F2861">
        <v>105.398</v>
      </c>
      <c r="G2861" s="1">
        <f t="shared" si="133"/>
        <v>103.295091</v>
      </c>
    </row>
    <row r="2862" spans="1:7" x14ac:dyDescent="0.3">
      <c r="A2862">
        <v>28600</v>
      </c>
      <c r="B2862">
        <v>1441.8</v>
      </c>
      <c r="C2862">
        <v>111.776</v>
      </c>
      <c r="D2862" s="15">
        <f t="shared" si="134"/>
        <v>1.0000000000012221E-4</v>
      </c>
      <c r="E2862" s="14">
        <f t="shared" si="132"/>
        <v>4.5307483931999987E-5</v>
      </c>
      <c r="F2862">
        <v>105.38800000000001</v>
      </c>
      <c r="G2862" s="1">
        <f t="shared" si="133"/>
        <v>103.293961</v>
      </c>
    </row>
    <row r="2863" spans="1:7" x14ac:dyDescent="0.3">
      <c r="A2863">
        <v>28610</v>
      </c>
      <c r="B2863">
        <v>1443.8</v>
      </c>
      <c r="C2863">
        <v>111.77500000000001</v>
      </c>
      <c r="D2863" s="15">
        <f t="shared" si="134"/>
        <v>1.0000000000012221E-4</v>
      </c>
      <c r="E2863" s="14">
        <f t="shared" si="132"/>
        <v>4.5295170626069987E-5</v>
      </c>
      <c r="F2863">
        <v>105.378</v>
      </c>
      <c r="G2863" s="1">
        <f t="shared" si="133"/>
        <v>103.29283100000001</v>
      </c>
    </row>
    <row r="2864" spans="1:7" x14ac:dyDescent="0.3">
      <c r="A2864">
        <v>28620</v>
      </c>
      <c r="B2864">
        <v>1445.9</v>
      </c>
      <c r="C2864">
        <v>111.774</v>
      </c>
      <c r="D2864" s="15">
        <f t="shared" si="134"/>
        <v>9.9999999999766942E-5</v>
      </c>
      <c r="E2864" s="14">
        <f t="shared" si="132"/>
        <v>4.5282870003480002E-5</v>
      </c>
      <c r="F2864">
        <v>105.367</v>
      </c>
      <c r="G2864" s="1">
        <f t="shared" si="133"/>
        <v>103.291701</v>
      </c>
    </row>
    <row r="2865" spans="1:7" x14ac:dyDescent="0.3">
      <c r="A2865">
        <v>28630</v>
      </c>
      <c r="B2865">
        <v>1447.8</v>
      </c>
      <c r="C2865">
        <v>111.773</v>
      </c>
      <c r="D2865" s="15">
        <f t="shared" si="134"/>
        <v>1.0000000000012221E-4</v>
      </c>
      <c r="E2865" s="14">
        <f t="shared" si="132"/>
        <v>4.5270582064229991E-5</v>
      </c>
      <c r="F2865">
        <v>105.357</v>
      </c>
      <c r="G2865" s="1">
        <f t="shared" si="133"/>
        <v>103.290571</v>
      </c>
    </row>
    <row r="2866" spans="1:7" x14ac:dyDescent="0.3">
      <c r="A2866">
        <v>28640</v>
      </c>
      <c r="B2866">
        <v>1449.9</v>
      </c>
      <c r="C2866">
        <v>111.77200000000001</v>
      </c>
      <c r="D2866" s="15">
        <f t="shared" si="134"/>
        <v>1.0000000000012221E-4</v>
      </c>
      <c r="E2866" s="14">
        <f t="shared" si="132"/>
        <v>4.5258306808319994E-5</v>
      </c>
      <c r="F2866">
        <v>105.346</v>
      </c>
      <c r="G2866" s="1">
        <f t="shared" si="133"/>
        <v>103.289441</v>
      </c>
    </row>
    <row r="2867" spans="1:7" x14ac:dyDescent="0.3">
      <c r="A2867">
        <v>28650</v>
      </c>
      <c r="B2867">
        <v>1452</v>
      </c>
      <c r="C2867">
        <v>111.771</v>
      </c>
      <c r="D2867" s="15">
        <f t="shared" si="134"/>
        <v>9.9999999999766942E-5</v>
      </c>
      <c r="E2867" s="14">
        <f t="shared" si="132"/>
        <v>4.5246044235749998E-5</v>
      </c>
      <c r="F2867">
        <v>105.336</v>
      </c>
      <c r="G2867" s="1">
        <f t="shared" si="133"/>
        <v>103.28831100000001</v>
      </c>
    </row>
    <row r="2868" spans="1:7" x14ac:dyDescent="0.3">
      <c r="A2868">
        <v>28660</v>
      </c>
      <c r="B2868">
        <v>1454.1</v>
      </c>
      <c r="C2868">
        <v>111.77</v>
      </c>
      <c r="D2868" s="15">
        <f t="shared" si="134"/>
        <v>1.2500000000024159E-4</v>
      </c>
      <c r="E2868" s="14">
        <f t="shared" si="132"/>
        <v>4.5233794346520004E-5</v>
      </c>
      <c r="F2868">
        <v>105.325</v>
      </c>
      <c r="G2868" s="1">
        <f t="shared" si="133"/>
        <v>103.287181</v>
      </c>
    </row>
    <row r="2869" spans="1:7" x14ac:dyDescent="0.3">
      <c r="A2869">
        <v>28670</v>
      </c>
      <c r="B2869">
        <v>1456.2</v>
      </c>
      <c r="C2869">
        <v>111.76900000000001</v>
      </c>
      <c r="D2869" s="15">
        <f t="shared" si="134"/>
        <v>1.2499999999988632E-4</v>
      </c>
      <c r="E2869" s="14">
        <f t="shared" si="132"/>
        <v>4.5221557140629983E-5</v>
      </c>
      <c r="F2869">
        <v>105.315</v>
      </c>
      <c r="G2869" s="1">
        <f t="shared" si="133"/>
        <v>103.286051</v>
      </c>
    </row>
    <row r="2870" spans="1:7" x14ac:dyDescent="0.3">
      <c r="A2870">
        <v>28680</v>
      </c>
      <c r="B2870">
        <v>1458.2</v>
      </c>
      <c r="C2870">
        <v>111.767</v>
      </c>
      <c r="D2870" s="15">
        <f t="shared" si="134"/>
        <v>1.2499999999988632E-4</v>
      </c>
      <c r="E2870" s="14">
        <f t="shared" si="132"/>
        <v>4.5209332618080004E-5</v>
      </c>
      <c r="F2870">
        <v>105.304</v>
      </c>
      <c r="G2870" s="1">
        <f t="shared" si="133"/>
        <v>103.284921</v>
      </c>
    </row>
    <row r="2871" spans="1:7" x14ac:dyDescent="0.3">
      <c r="A2871">
        <v>28690</v>
      </c>
      <c r="B2871">
        <v>1460.2</v>
      </c>
      <c r="C2871">
        <v>111.76600000000001</v>
      </c>
      <c r="D2871" s="15">
        <f t="shared" si="134"/>
        <v>1.2500000000024159E-4</v>
      </c>
      <c r="E2871" s="14">
        <f t="shared" si="132"/>
        <v>4.519712077887E-5</v>
      </c>
      <c r="F2871">
        <v>105.294</v>
      </c>
      <c r="G2871" s="1">
        <f t="shared" si="133"/>
        <v>103.28379100000001</v>
      </c>
    </row>
    <row r="2872" spans="1:7" x14ac:dyDescent="0.3">
      <c r="A2872">
        <v>28700</v>
      </c>
      <c r="B2872">
        <v>1462.2</v>
      </c>
      <c r="C2872">
        <v>111.765</v>
      </c>
      <c r="D2872" s="15">
        <f t="shared" si="134"/>
        <v>9.9999999999766942E-5</v>
      </c>
      <c r="E2872" s="14">
        <f t="shared" si="132"/>
        <v>4.5184921622999982E-5</v>
      </c>
      <c r="F2872">
        <v>105.283</v>
      </c>
      <c r="G2872" s="1">
        <f t="shared" si="133"/>
        <v>103.282661</v>
      </c>
    </row>
    <row r="2873" spans="1:7" x14ac:dyDescent="0.3">
      <c r="A2873">
        <v>28710</v>
      </c>
      <c r="B2873">
        <v>1464.2</v>
      </c>
      <c r="C2873">
        <v>111.764</v>
      </c>
      <c r="D2873" s="15">
        <f t="shared" si="134"/>
        <v>1.0000000000012221E-4</v>
      </c>
      <c r="E2873" s="14">
        <f t="shared" si="132"/>
        <v>4.5172735150470007E-5</v>
      </c>
      <c r="F2873">
        <v>105.273</v>
      </c>
      <c r="G2873" s="1">
        <f t="shared" si="133"/>
        <v>103.281531</v>
      </c>
    </row>
    <row r="2874" spans="1:7" x14ac:dyDescent="0.3">
      <c r="A2874">
        <v>28720</v>
      </c>
      <c r="B2874">
        <v>1466.2</v>
      </c>
      <c r="C2874">
        <v>111.76300000000001</v>
      </c>
      <c r="D2874" s="15">
        <f t="shared" si="134"/>
        <v>1.0000000000012221E-4</v>
      </c>
      <c r="E2874" s="14">
        <f t="shared" si="132"/>
        <v>4.5160561361280005E-5</v>
      </c>
      <c r="F2874">
        <v>105.262</v>
      </c>
      <c r="G2874" s="1">
        <f t="shared" si="133"/>
        <v>103.280401</v>
      </c>
    </row>
    <row r="2875" spans="1:7" x14ac:dyDescent="0.3">
      <c r="A2875">
        <v>28730</v>
      </c>
      <c r="B2875">
        <v>1468.3</v>
      </c>
      <c r="C2875">
        <v>111.762</v>
      </c>
      <c r="D2875" s="15">
        <f t="shared" si="134"/>
        <v>9.9999999999766942E-5</v>
      </c>
      <c r="E2875" s="14">
        <f t="shared" si="132"/>
        <v>4.5148400255429991E-5</v>
      </c>
      <c r="F2875">
        <v>105.252</v>
      </c>
      <c r="G2875" s="1">
        <f t="shared" si="133"/>
        <v>103.27927100000001</v>
      </c>
    </row>
    <row r="2876" spans="1:7" x14ac:dyDescent="0.3">
      <c r="A2876">
        <v>28740</v>
      </c>
      <c r="B2876">
        <v>1470.3</v>
      </c>
      <c r="C2876">
        <v>111.761</v>
      </c>
      <c r="D2876" s="15">
        <f t="shared" si="134"/>
        <v>1.0000000000012221E-4</v>
      </c>
      <c r="E2876" s="14">
        <f t="shared" si="132"/>
        <v>4.5136251832919978E-5</v>
      </c>
      <c r="F2876">
        <v>105.241</v>
      </c>
      <c r="G2876" s="1">
        <f t="shared" si="133"/>
        <v>103.27814100000001</v>
      </c>
    </row>
    <row r="2877" spans="1:7" x14ac:dyDescent="0.3">
      <c r="A2877">
        <v>28750</v>
      </c>
      <c r="B2877">
        <v>1472.3</v>
      </c>
      <c r="C2877">
        <v>111.76</v>
      </c>
      <c r="D2877" s="15">
        <f t="shared" si="134"/>
        <v>1.0000000000012221E-4</v>
      </c>
      <c r="E2877" s="14">
        <f t="shared" si="132"/>
        <v>4.5124116093749994E-5</v>
      </c>
      <c r="F2877">
        <v>105.23</v>
      </c>
      <c r="G2877" s="1">
        <f t="shared" si="133"/>
        <v>103.277011</v>
      </c>
    </row>
    <row r="2878" spans="1:7" x14ac:dyDescent="0.3">
      <c r="A2878">
        <v>28760</v>
      </c>
      <c r="B2878">
        <v>1474.3</v>
      </c>
      <c r="C2878">
        <v>111.759</v>
      </c>
      <c r="D2878" s="15">
        <f t="shared" si="134"/>
        <v>9.9999999999766942E-5</v>
      </c>
      <c r="E2878" s="14">
        <f t="shared" si="132"/>
        <v>4.5111993037919983E-5</v>
      </c>
      <c r="F2878">
        <v>105.22</v>
      </c>
      <c r="G2878" s="1">
        <f t="shared" si="133"/>
        <v>103.275881</v>
      </c>
    </row>
    <row r="2879" spans="1:7" x14ac:dyDescent="0.3">
      <c r="A2879">
        <v>28770</v>
      </c>
      <c r="B2879">
        <v>1476.3</v>
      </c>
      <c r="C2879">
        <v>111.758</v>
      </c>
      <c r="D2879" s="15">
        <f t="shared" si="134"/>
        <v>1.0000000000012221E-4</v>
      </c>
      <c r="E2879" s="14">
        <f t="shared" si="132"/>
        <v>4.5099882665429973E-5</v>
      </c>
      <c r="F2879">
        <v>105.209</v>
      </c>
      <c r="G2879" s="1">
        <f t="shared" si="133"/>
        <v>103.27475100000001</v>
      </c>
    </row>
    <row r="2880" spans="1:7" x14ac:dyDescent="0.3">
      <c r="A2880">
        <v>28780</v>
      </c>
      <c r="B2880">
        <v>1478.4</v>
      </c>
      <c r="C2880">
        <v>111.75700000000001</v>
      </c>
      <c r="D2880" s="15">
        <f t="shared" si="134"/>
        <v>1.0000000000012221E-4</v>
      </c>
      <c r="E2880" s="14">
        <f t="shared" si="132"/>
        <v>4.5087784976279992E-5</v>
      </c>
      <c r="F2880">
        <v>105.199</v>
      </c>
      <c r="G2880" s="1">
        <f t="shared" si="133"/>
        <v>103.27362100000001</v>
      </c>
    </row>
    <row r="2881" spans="1:7" x14ac:dyDescent="0.3">
      <c r="A2881">
        <v>28790</v>
      </c>
      <c r="B2881">
        <v>1480.5</v>
      </c>
      <c r="C2881">
        <v>111.756</v>
      </c>
      <c r="D2881" s="15">
        <f t="shared" si="134"/>
        <v>9.9999999999766942E-5</v>
      </c>
      <c r="E2881" s="14">
        <f t="shared" si="132"/>
        <v>4.5075699970469998E-5</v>
      </c>
      <c r="F2881">
        <v>105.188</v>
      </c>
      <c r="G2881" s="1">
        <f t="shared" si="133"/>
        <v>103.272491</v>
      </c>
    </row>
    <row r="2882" spans="1:7" x14ac:dyDescent="0.3">
      <c r="A2882">
        <v>28800</v>
      </c>
      <c r="B2882">
        <v>1482.5</v>
      </c>
      <c r="C2882">
        <v>111.755</v>
      </c>
      <c r="D2882" s="15">
        <f t="shared" si="134"/>
        <v>1.0000000000012221E-4</v>
      </c>
      <c r="E2882" s="14">
        <f t="shared" ref="E2882:E2945" si="135">0.0000000000000634167*A2882*A2882 - 0.0000000048594*A2882 + 0.000132414</f>
        <v>4.5063627647999978E-5</v>
      </c>
      <c r="F2882">
        <v>105.178</v>
      </c>
      <c r="G2882" s="1">
        <f t="shared" si="133"/>
        <v>103.271361</v>
      </c>
    </row>
    <row r="2883" spans="1:7" x14ac:dyDescent="0.3">
      <c r="A2883">
        <v>28810</v>
      </c>
      <c r="B2883">
        <v>1484.6</v>
      </c>
      <c r="C2883">
        <v>111.754</v>
      </c>
      <c r="D2883" s="15">
        <f t="shared" si="134"/>
        <v>1.0000000000012221E-4</v>
      </c>
      <c r="E2883" s="14">
        <f t="shared" si="135"/>
        <v>4.505156800887E-5</v>
      </c>
      <c r="F2883">
        <v>105.167</v>
      </c>
      <c r="G2883" s="1">
        <f t="shared" ref="G2883:G2946" si="136">-0.000113*A2883 + 106.525761</f>
        <v>103.27023100000001</v>
      </c>
    </row>
    <row r="2884" spans="1:7" x14ac:dyDescent="0.3">
      <c r="A2884">
        <v>28820</v>
      </c>
      <c r="B2884">
        <v>1486.7</v>
      </c>
      <c r="C2884">
        <v>111.753</v>
      </c>
      <c r="D2884" s="15">
        <f t="shared" si="134"/>
        <v>9.9999999999766942E-5</v>
      </c>
      <c r="E2884" s="14">
        <f t="shared" si="135"/>
        <v>4.5039521053079996E-5</v>
      </c>
      <c r="F2884">
        <v>105.157</v>
      </c>
      <c r="G2884" s="1">
        <f t="shared" si="136"/>
        <v>103.26910100000001</v>
      </c>
    </row>
    <row r="2885" spans="1:7" x14ac:dyDescent="0.3">
      <c r="A2885">
        <v>28830</v>
      </c>
      <c r="B2885">
        <v>1488.7</v>
      </c>
      <c r="C2885">
        <v>111.752</v>
      </c>
      <c r="D2885" s="15">
        <f t="shared" ref="D2885:D2948" si="137">(C2883-C2887)/(A2887-A2883)</f>
        <v>1.0000000000012221E-4</v>
      </c>
      <c r="E2885" s="14">
        <f t="shared" si="135"/>
        <v>4.5027486780629993E-5</v>
      </c>
      <c r="F2885">
        <v>105.146</v>
      </c>
      <c r="G2885" s="1">
        <f t="shared" si="136"/>
        <v>103.267971</v>
      </c>
    </row>
    <row r="2886" spans="1:7" x14ac:dyDescent="0.3">
      <c r="A2886">
        <v>28840</v>
      </c>
      <c r="B2886">
        <v>1490.9</v>
      </c>
      <c r="C2886">
        <v>111.751</v>
      </c>
      <c r="D2886" s="15">
        <f t="shared" si="137"/>
        <v>1.0000000000012221E-4</v>
      </c>
      <c r="E2886" s="14">
        <f t="shared" si="135"/>
        <v>4.5015465191520005E-5</v>
      </c>
      <c r="F2886">
        <v>105.136</v>
      </c>
      <c r="G2886" s="1">
        <f t="shared" si="136"/>
        <v>103.266841</v>
      </c>
    </row>
    <row r="2887" spans="1:7" x14ac:dyDescent="0.3">
      <c r="A2887">
        <v>28850</v>
      </c>
      <c r="B2887">
        <v>1493</v>
      </c>
      <c r="C2887">
        <v>111.75</v>
      </c>
      <c r="D2887" s="15">
        <f t="shared" si="137"/>
        <v>9.9999999999766942E-5</v>
      </c>
      <c r="E2887" s="14">
        <f t="shared" si="135"/>
        <v>4.500345628574999E-5</v>
      </c>
      <c r="F2887">
        <v>105.126</v>
      </c>
      <c r="G2887" s="1">
        <f t="shared" si="136"/>
        <v>103.26571100000001</v>
      </c>
    </row>
    <row r="2888" spans="1:7" x14ac:dyDescent="0.3">
      <c r="A2888">
        <v>28860</v>
      </c>
      <c r="B2888">
        <v>1495.2</v>
      </c>
      <c r="C2888">
        <v>111.749</v>
      </c>
      <c r="D2888" s="15">
        <f t="shared" si="137"/>
        <v>1.0000000000012221E-4</v>
      </c>
      <c r="E2888" s="14">
        <f t="shared" si="135"/>
        <v>4.499146006331999E-5</v>
      </c>
      <c r="F2888">
        <v>105.11499999999999</v>
      </c>
      <c r="G2888" s="1">
        <f t="shared" si="136"/>
        <v>103.26458100000001</v>
      </c>
    </row>
    <row r="2889" spans="1:7" x14ac:dyDescent="0.3">
      <c r="A2889">
        <v>28870</v>
      </c>
      <c r="B2889">
        <v>1497.2</v>
      </c>
      <c r="C2889">
        <v>111.748</v>
      </c>
      <c r="D2889" s="15">
        <f t="shared" si="137"/>
        <v>1.0000000000012221E-4</v>
      </c>
      <c r="E2889" s="14">
        <f t="shared" si="135"/>
        <v>4.4979476524230005E-5</v>
      </c>
      <c r="F2889">
        <v>105.105</v>
      </c>
      <c r="G2889" s="1">
        <f t="shared" si="136"/>
        <v>103.263451</v>
      </c>
    </row>
    <row r="2890" spans="1:7" x14ac:dyDescent="0.3">
      <c r="A2890">
        <v>28880</v>
      </c>
      <c r="B2890">
        <v>1499.3</v>
      </c>
      <c r="C2890">
        <v>111.747</v>
      </c>
      <c r="D2890" s="15">
        <f t="shared" si="137"/>
        <v>9.9999999999766942E-5</v>
      </c>
      <c r="E2890" s="14">
        <f t="shared" si="135"/>
        <v>4.4967505668479994E-5</v>
      </c>
      <c r="F2890">
        <v>105.09399999999999</v>
      </c>
      <c r="G2890" s="1">
        <f t="shared" si="136"/>
        <v>103.262321</v>
      </c>
    </row>
    <row r="2891" spans="1:7" x14ac:dyDescent="0.3">
      <c r="A2891">
        <v>28890</v>
      </c>
      <c r="B2891">
        <v>1501.5</v>
      </c>
      <c r="C2891">
        <v>111.746</v>
      </c>
      <c r="D2891" s="15">
        <f t="shared" si="137"/>
        <v>1.0000000000012221E-4</v>
      </c>
      <c r="E2891" s="14">
        <f t="shared" si="135"/>
        <v>4.4955547496069998E-5</v>
      </c>
      <c r="F2891">
        <v>105.084</v>
      </c>
      <c r="G2891" s="1">
        <f t="shared" si="136"/>
        <v>103.261191</v>
      </c>
    </row>
    <row r="2892" spans="1:7" x14ac:dyDescent="0.3">
      <c r="A2892">
        <v>28900</v>
      </c>
      <c r="B2892">
        <v>1503.6</v>
      </c>
      <c r="C2892">
        <v>111.745</v>
      </c>
      <c r="D2892" s="15">
        <f t="shared" si="137"/>
        <v>1.0000000000012221E-4</v>
      </c>
      <c r="E2892" s="14">
        <f t="shared" si="135"/>
        <v>4.4943602007000002E-5</v>
      </c>
      <c r="F2892">
        <v>105.07299999999999</v>
      </c>
      <c r="G2892" s="1">
        <f t="shared" si="136"/>
        <v>103.26006100000001</v>
      </c>
    </row>
    <row r="2893" spans="1:7" x14ac:dyDescent="0.3">
      <c r="A2893">
        <v>28910</v>
      </c>
      <c r="B2893">
        <v>1505.8</v>
      </c>
      <c r="C2893">
        <v>111.744</v>
      </c>
      <c r="D2893" s="15">
        <f t="shared" si="137"/>
        <v>9.9999999999766942E-5</v>
      </c>
      <c r="E2893" s="14">
        <f t="shared" si="135"/>
        <v>4.4931669201270008E-5</v>
      </c>
      <c r="F2893">
        <v>105.063</v>
      </c>
      <c r="G2893" s="1">
        <f t="shared" si="136"/>
        <v>103.258931</v>
      </c>
    </row>
    <row r="2894" spans="1:7" x14ac:dyDescent="0.3">
      <c r="A2894">
        <v>28920</v>
      </c>
      <c r="B2894">
        <v>1508</v>
      </c>
      <c r="C2894">
        <v>111.74299999999999</v>
      </c>
      <c r="D2894" s="15">
        <f t="shared" si="137"/>
        <v>1.0000000000012221E-4</v>
      </c>
      <c r="E2894" s="14">
        <f t="shared" si="135"/>
        <v>4.4919749078879988E-5</v>
      </c>
      <c r="F2894">
        <v>105.05200000000001</v>
      </c>
      <c r="G2894" s="1">
        <f t="shared" si="136"/>
        <v>103.257801</v>
      </c>
    </row>
    <row r="2895" spans="1:7" x14ac:dyDescent="0.3">
      <c r="A2895">
        <v>28930</v>
      </c>
      <c r="B2895">
        <v>1510.1</v>
      </c>
      <c r="C2895">
        <v>111.742</v>
      </c>
      <c r="D2895" s="15">
        <f t="shared" si="137"/>
        <v>1.0000000000012221E-4</v>
      </c>
      <c r="E2895" s="14">
        <f t="shared" si="135"/>
        <v>4.4907841639829982E-5</v>
      </c>
      <c r="F2895">
        <v>105.042</v>
      </c>
      <c r="G2895" s="1">
        <f t="shared" si="136"/>
        <v>103.256671</v>
      </c>
    </row>
    <row r="2896" spans="1:7" x14ac:dyDescent="0.3">
      <c r="A2896">
        <v>28940</v>
      </c>
      <c r="B2896">
        <v>1512.3</v>
      </c>
      <c r="C2896">
        <v>111.741</v>
      </c>
      <c r="D2896" s="15">
        <f t="shared" si="137"/>
        <v>9.9999999999766942E-5</v>
      </c>
      <c r="E2896" s="14">
        <f t="shared" si="135"/>
        <v>4.4895946884120004E-5</v>
      </c>
      <c r="F2896">
        <v>105.032</v>
      </c>
      <c r="G2896" s="1">
        <f t="shared" si="136"/>
        <v>103.25554100000001</v>
      </c>
    </row>
    <row r="2897" spans="1:7" x14ac:dyDescent="0.3">
      <c r="A2897">
        <v>28950</v>
      </c>
      <c r="B2897">
        <v>1514.5</v>
      </c>
      <c r="C2897">
        <v>111.74</v>
      </c>
      <c r="D2897" s="15">
        <f t="shared" si="137"/>
        <v>1.0000000000012221E-4</v>
      </c>
      <c r="E2897" s="14">
        <f t="shared" si="135"/>
        <v>4.4884064811749987E-5</v>
      </c>
      <c r="F2897">
        <v>105.021</v>
      </c>
      <c r="G2897" s="1">
        <f t="shared" si="136"/>
        <v>103.254411</v>
      </c>
    </row>
    <row r="2898" spans="1:7" x14ac:dyDescent="0.3">
      <c r="A2898">
        <v>28960</v>
      </c>
      <c r="B2898">
        <v>1516.7</v>
      </c>
      <c r="C2898">
        <v>111.739</v>
      </c>
      <c r="D2898" s="15">
        <f t="shared" si="137"/>
        <v>1.0000000000012221E-4</v>
      </c>
      <c r="E2898" s="14">
        <f t="shared" si="135"/>
        <v>4.4872195422719985E-5</v>
      </c>
      <c r="F2898">
        <v>105.011</v>
      </c>
      <c r="G2898" s="1">
        <f t="shared" si="136"/>
        <v>103.253281</v>
      </c>
    </row>
    <row r="2899" spans="1:7" x14ac:dyDescent="0.3">
      <c r="A2899">
        <v>28970</v>
      </c>
      <c r="B2899">
        <v>1519.1</v>
      </c>
      <c r="C2899">
        <v>111.738</v>
      </c>
      <c r="D2899" s="15">
        <f t="shared" si="137"/>
        <v>9.9999999999766942E-5</v>
      </c>
      <c r="E2899" s="14">
        <f t="shared" si="135"/>
        <v>4.4860338717029997E-5</v>
      </c>
      <c r="F2899">
        <v>105</v>
      </c>
      <c r="G2899" s="1">
        <f t="shared" si="136"/>
        <v>103.252151</v>
      </c>
    </row>
    <row r="2900" spans="1:7" x14ac:dyDescent="0.3">
      <c r="A2900">
        <v>28980</v>
      </c>
      <c r="B2900">
        <v>1521.3</v>
      </c>
      <c r="C2900">
        <v>111.73699999999999</v>
      </c>
      <c r="D2900" s="15">
        <f t="shared" si="137"/>
        <v>1.0000000000012221E-4</v>
      </c>
      <c r="E2900" s="14">
        <f t="shared" si="135"/>
        <v>4.4848494694679997E-5</v>
      </c>
      <c r="F2900">
        <v>104.99</v>
      </c>
      <c r="G2900" s="1">
        <f t="shared" si="136"/>
        <v>103.25102100000001</v>
      </c>
    </row>
    <row r="2901" spans="1:7" x14ac:dyDescent="0.3">
      <c r="A2901">
        <v>28990</v>
      </c>
      <c r="B2901">
        <v>1523.5</v>
      </c>
      <c r="C2901">
        <v>111.736</v>
      </c>
      <c r="D2901" s="15">
        <f t="shared" si="137"/>
        <v>1.0000000000012221E-4</v>
      </c>
      <c r="E2901" s="14">
        <f t="shared" si="135"/>
        <v>4.4836663355669984E-5</v>
      </c>
      <c r="F2901">
        <v>104.979</v>
      </c>
      <c r="G2901" s="1">
        <f t="shared" si="136"/>
        <v>103.24989100000001</v>
      </c>
    </row>
    <row r="2902" spans="1:7" x14ac:dyDescent="0.3">
      <c r="A2902">
        <v>29000</v>
      </c>
      <c r="B2902">
        <v>1525.8</v>
      </c>
      <c r="C2902">
        <v>111.735</v>
      </c>
      <c r="D2902" s="15">
        <f t="shared" si="137"/>
        <v>9.9999999999766942E-5</v>
      </c>
      <c r="E2902" s="14">
        <f t="shared" si="135"/>
        <v>4.48248447E-5</v>
      </c>
      <c r="F2902">
        <v>104.96899999999999</v>
      </c>
      <c r="G2902" s="1">
        <f t="shared" si="136"/>
        <v>103.248761</v>
      </c>
    </row>
    <row r="2903" spans="1:7" x14ac:dyDescent="0.3">
      <c r="A2903">
        <v>29010</v>
      </c>
      <c r="B2903">
        <v>1528</v>
      </c>
      <c r="C2903">
        <v>111.73399999999999</v>
      </c>
      <c r="D2903" s="15">
        <f t="shared" si="137"/>
        <v>1.0000000000012221E-4</v>
      </c>
      <c r="E2903" s="14">
        <f t="shared" si="135"/>
        <v>4.4813038727669989E-5</v>
      </c>
      <c r="F2903">
        <v>104.95699999999999</v>
      </c>
      <c r="G2903" s="1">
        <f t="shared" si="136"/>
        <v>103.247631</v>
      </c>
    </row>
    <row r="2904" spans="1:7" x14ac:dyDescent="0.3">
      <c r="A2904">
        <v>29020</v>
      </c>
      <c r="B2904">
        <v>1530.3</v>
      </c>
      <c r="C2904">
        <v>111.733</v>
      </c>
      <c r="D2904" s="15">
        <f t="shared" si="137"/>
        <v>1.0000000000012221E-4</v>
      </c>
      <c r="E2904" s="14">
        <f t="shared" si="135"/>
        <v>4.480124543867998E-5</v>
      </c>
      <c r="F2904">
        <v>104.947</v>
      </c>
      <c r="G2904" s="1">
        <f t="shared" si="136"/>
        <v>103.24650100000001</v>
      </c>
    </row>
    <row r="2905" spans="1:7" x14ac:dyDescent="0.3">
      <c r="A2905">
        <v>29030</v>
      </c>
      <c r="B2905">
        <v>1532.6</v>
      </c>
      <c r="C2905">
        <v>111.732</v>
      </c>
      <c r="D2905" s="15">
        <f t="shared" si="137"/>
        <v>9.9999999999766942E-5</v>
      </c>
      <c r="E2905" s="14">
        <f t="shared" si="135"/>
        <v>4.4789464833029999E-5</v>
      </c>
      <c r="F2905">
        <v>104.937</v>
      </c>
      <c r="G2905" s="1">
        <f t="shared" si="136"/>
        <v>103.24537100000001</v>
      </c>
    </row>
    <row r="2906" spans="1:7" x14ac:dyDescent="0.3">
      <c r="A2906">
        <v>29040</v>
      </c>
      <c r="B2906">
        <v>1534.9</v>
      </c>
      <c r="C2906">
        <v>111.73099999999999</v>
      </c>
      <c r="D2906" s="15">
        <f t="shared" si="137"/>
        <v>1.0000000000012221E-4</v>
      </c>
      <c r="E2906" s="14">
        <f t="shared" si="135"/>
        <v>4.4777696910719991E-5</v>
      </c>
      <c r="F2906">
        <v>104.926</v>
      </c>
      <c r="G2906" s="1">
        <f t="shared" si="136"/>
        <v>103.244241</v>
      </c>
    </row>
    <row r="2907" spans="1:7" x14ac:dyDescent="0.3">
      <c r="A2907">
        <v>29050</v>
      </c>
      <c r="B2907">
        <v>1537</v>
      </c>
      <c r="C2907">
        <v>111.73</v>
      </c>
      <c r="D2907" s="15">
        <f t="shared" si="137"/>
        <v>1.0000000000012221E-4</v>
      </c>
      <c r="E2907" s="14">
        <f t="shared" si="135"/>
        <v>4.4765941671749985E-5</v>
      </c>
      <c r="F2907">
        <v>104.916</v>
      </c>
      <c r="G2907" s="1">
        <f t="shared" si="136"/>
        <v>103.243111</v>
      </c>
    </row>
    <row r="2908" spans="1:7" x14ac:dyDescent="0.3">
      <c r="A2908">
        <v>29060</v>
      </c>
      <c r="B2908">
        <v>1539.2</v>
      </c>
      <c r="C2908">
        <v>111.729</v>
      </c>
      <c r="D2908" s="15">
        <f t="shared" si="137"/>
        <v>9.9999999999766942E-5</v>
      </c>
      <c r="E2908" s="14">
        <f t="shared" si="135"/>
        <v>4.4754199116120007E-5</v>
      </c>
      <c r="F2908">
        <v>104.905</v>
      </c>
      <c r="G2908" s="1">
        <f t="shared" si="136"/>
        <v>103.24198100000001</v>
      </c>
    </row>
    <row r="2909" spans="1:7" x14ac:dyDescent="0.3">
      <c r="A2909">
        <v>29070</v>
      </c>
      <c r="B2909">
        <v>1541.5</v>
      </c>
      <c r="C2909">
        <v>111.72799999999999</v>
      </c>
      <c r="D2909" s="15">
        <f t="shared" si="137"/>
        <v>1.0000000000012221E-4</v>
      </c>
      <c r="E2909" s="14">
        <f t="shared" si="135"/>
        <v>4.4742469243830003E-5</v>
      </c>
      <c r="F2909">
        <v>104.895</v>
      </c>
      <c r="G2909" s="1">
        <f t="shared" si="136"/>
        <v>103.24085100000001</v>
      </c>
    </row>
    <row r="2910" spans="1:7" x14ac:dyDescent="0.3">
      <c r="A2910">
        <v>29080</v>
      </c>
      <c r="B2910">
        <v>1543.7</v>
      </c>
      <c r="C2910">
        <v>111.727</v>
      </c>
      <c r="D2910" s="15">
        <f t="shared" si="137"/>
        <v>1.0000000000012221E-4</v>
      </c>
      <c r="E2910" s="14">
        <f t="shared" si="135"/>
        <v>4.4730752054879987E-5</v>
      </c>
      <c r="F2910">
        <v>104.884</v>
      </c>
      <c r="G2910" s="1">
        <f t="shared" si="136"/>
        <v>103.239721</v>
      </c>
    </row>
    <row r="2911" spans="1:7" x14ac:dyDescent="0.3">
      <c r="A2911">
        <v>29090</v>
      </c>
      <c r="B2911">
        <v>1546</v>
      </c>
      <c r="C2911">
        <v>111.726</v>
      </c>
      <c r="D2911" s="15">
        <f t="shared" si="137"/>
        <v>9.9999999999766942E-5</v>
      </c>
      <c r="E2911" s="14">
        <f t="shared" si="135"/>
        <v>4.4719047549269999E-5</v>
      </c>
      <c r="F2911">
        <v>104.874</v>
      </c>
      <c r="G2911" s="1">
        <f t="shared" si="136"/>
        <v>103.238591</v>
      </c>
    </row>
    <row r="2912" spans="1:7" x14ac:dyDescent="0.3">
      <c r="A2912">
        <v>29100</v>
      </c>
      <c r="B2912">
        <v>1548.4</v>
      </c>
      <c r="C2912">
        <v>111.72499999999999</v>
      </c>
      <c r="D2912" s="15">
        <f t="shared" si="137"/>
        <v>1.0000000000012221E-4</v>
      </c>
      <c r="E2912" s="14">
        <f t="shared" si="135"/>
        <v>4.4707355726999998E-5</v>
      </c>
      <c r="F2912">
        <v>104.864</v>
      </c>
      <c r="G2912" s="1">
        <f t="shared" si="136"/>
        <v>103.237461</v>
      </c>
    </row>
    <row r="2913" spans="1:7" x14ac:dyDescent="0.3">
      <c r="A2913">
        <v>29110</v>
      </c>
      <c r="B2913">
        <v>1550.6</v>
      </c>
      <c r="C2913">
        <v>111.724</v>
      </c>
      <c r="D2913" s="15">
        <f t="shared" si="137"/>
        <v>1.0000000000012221E-4</v>
      </c>
      <c r="E2913" s="14">
        <f t="shared" si="135"/>
        <v>4.4695676588069999E-5</v>
      </c>
      <c r="F2913">
        <v>104.85299999999999</v>
      </c>
      <c r="G2913" s="1">
        <f t="shared" si="136"/>
        <v>103.23633100000001</v>
      </c>
    </row>
    <row r="2914" spans="1:7" x14ac:dyDescent="0.3">
      <c r="A2914">
        <v>29120</v>
      </c>
      <c r="B2914">
        <v>1552.9</v>
      </c>
      <c r="C2914">
        <v>111.723</v>
      </c>
      <c r="D2914" s="15">
        <f t="shared" si="137"/>
        <v>9.9999999999766942E-5</v>
      </c>
      <c r="E2914" s="14">
        <f t="shared" si="135"/>
        <v>4.4684010132479973E-5</v>
      </c>
      <c r="F2914">
        <v>104.843</v>
      </c>
      <c r="G2914" s="1">
        <f t="shared" si="136"/>
        <v>103.235201</v>
      </c>
    </row>
    <row r="2915" spans="1:7" x14ac:dyDescent="0.3">
      <c r="A2915">
        <v>29130</v>
      </c>
      <c r="B2915">
        <v>1556.2</v>
      </c>
      <c r="C2915">
        <v>111.72199999999999</v>
      </c>
      <c r="D2915" s="15">
        <f t="shared" si="137"/>
        <v>1.0000000000012221E-4</v>
      </c>
      <c r="E2915" s="14">
        <f t="shared" si="135"/>
        <v>4.4672356360230003E-5</v>
      </c>
      <c r="F2915">
        <v>104.83199999999999</v>
      </c>
      <c r="G2915" s="1">
        <f t="shared" si="136"/>
        <v>103.234071</v>
      </c>
    </row>
    <row r="2916" spans="1:7" x14ac:dyDescent="0.3">
      <c r="A2916">
        <v>29140</v>
      </c>
      <c r="B2916">
        <v>1557.6</v>
      </c>
      <c r="C2916">
        <v>111.721</v>
      </c>
      <c r="D2916" s="15">
        <f t="shared" si="137"/>
        <v>1.0000000000012221E-4</v>
      </c>
      <c r="E2916" s="14">
        <f t="shared" si="135"/>
        <v>4.4660715271319993E-5</v>
      </c>
      <c r="F2916">
        <v>104.822</v>
      </c>
      <c r="G2916" s="1">
        <f t="shared" si="136"/>
        <v>103.232941</v>
      </c>
    </row>
    <row r="2917" spans="1:7" x14ac:dyDescent="0.3">
      <c r="A2917">
        <v>29150</v>
      </c>
      <c r="B2917">
        <v>1560</v>
      </c>
      <c r="C2917">
        <v>111.72</v>
      </c>
      <c r="D2917" s="15">
        <f t="shared" si="137"/>
        <v>9.9999999999766942E-5</v>
      </c>
      <c r="E2917" s="14">
        <f t="shared" si="135"/>
        <v>4.4649086865749984E-5</v>
      </c>
      <c r="F2917">
        <v>104.81100000000001</v>
      </c>
      <c r="G2917" s="1">
        <f t="shared" si="136"/>
        <v>103.23181100000001</v>
      </c>
    </row>
    <row r="2918" spans="1:7" x14ac:dyDescent="0.3">
      <c r="A2918">
        <v>29160</v>
      </c>
      <c r="B2918">
        <v>1562.3</v>
      </c>
      <c r="C2918">
        <v>111.71899999999999</v>
      </c>
      <c r="D2918" s="15">
        <f t="shared" si="137"/>
        <v>1.0000000000012221E-4</v>
      </c>
      <c r="E2918" s="14">
        <f t="shared" si="135"/>
        <v>4.4637471143520004E-5</v>
      </c>
      <c r="F2918">
        <v>104.801</v>
      </c>
      <c r="G2918" s="1">
        <f t="shared" si="136"/>
        <v>103.230681</v>
      </c>
    </row>
    <row r="2919" spans="1:7" x14ac:dyDescent="0.3">
      <c r="A2919">
        <v>29170</v>
      </c>
      <c r="B2919">
        <v>1564.3</v>
      </c>
      <c r="C2919">
        <v>111.718</v>
      </c>
      <c r="D2919" s="15">
        <f t="shared" si="137"/>
        <v>1.0000000000012221E-4</v>
      </c>
      <c r="E2919" s="14">
        <f t="shared" si="135"/>
        <v>4.4625868104629997E-5</v>
      </c>
      <c r="F2919">
        <v>104.791</v>
      </c>
      <c r="G2919" s="1">
        <f t="shared" si="136"/>
        <v>103.229551</v>
      </c>
    </row>
    <row r="2920" spans="1:7" x14ac:dyDescent="0.3">
      <c r="A2920">
        <v>29180</v>
      </c>
      <c r="B2920">
        <v>1566.3</v>
      </c>
      <c r="C2920">
        <v>111.717</v>
      </c>
      <c r="D2920" s="15">
        <f t="shared" si="137"/>
        <v>9.9999999999766942E-5</v>
      </c>
      <c r="E2920" s="14">
        <f t="shared" si="135"/>
        <v>4.4614277749079978E-5</v>
      </c>
      <c r="F2920">
        <v>104.78</v>
      </c>
      <c r="G2920" s="1">
        <f t="shared" si="136"/>
        <v>103.228421</v>
      </c>
    </row>
    <row r="2921" spans="1:7" x14ac:dyDescent="0.3">
      <c r="A2921">
        <v>29190</v>
      </c>
      <c r="B2921">
        <v>1568.4</v>
      </c>
      <c r="C2921">
        <v>111.71599999999999</v>
      </c>
      <c r="D2921" s="15">
        <f t="shared" si="137"/>
        <v>1.0000000000012221E-4</v>
      </c>
      <c r="E2921" s="14">
        <f t="shared" si="135"/>
        <v>4.4602700076870001E-5</v>
      </c>
      <c r="F2921">
        <v>104.77</v>
      </c>
      <c r="G2921" s="1">
        <f t="shared" si="136"/>
        <v>103.22729100000001</v>
      </c>
    </row>
    <row r="2922" spans="1:7" x14ac:dyDescent="0.3">
      <c r="A2922">
        <v>29200</v>
      </c>
      <c r="B2922">
        <v>1587.4</v>
      </c>
      <c r="C2922">
        <v>111.715</v>
      </c>
      <c r="D2922" s="15">
        <f t="shared" si="137"/>
        <v>1.0000000000012221E-4</v>
      </c>
      <c r="E2922" s="14">
        <f t="shared" si="135"/>
        <v>4.4591135087999998E-5</v>
      </c>
      <c r="F2922">
        <v>104.755</v>
      </c>
      <c r="G2922" s="1">
        <f t="shared" si="136"/>
        <v>103.226161</v>
      </c>
    </row>
    <row r="2923" spans="1:7" x14ac:dyDescent="0.3">
      <c r="A2923">
        <v>29210</v>
      </c>
      <c r="B2923">
        <v>1581.6</v>
      </c>
      <c r="C2923">
        <v>111.714</v>
      </c>
      <c r="D2923" s="15">
        <f t="shared" si="137"/>
        <v>9.9999999999766942E-5</v>
      </c>
      <c r="E2923" s="14">
        <f t="shared" si="135"/>
        <v>4.4579582782469982E-5</v>
      </c>
      <c r="F2923">
        <v>104.73699999999999</v>
      </c>
      <c r="G2923" s="1">
        <f t="shared" si="136"/>
        <v>103.225031</v>
      </c>
    </row>
    <row r="2924" spans="1:7" x14ac:dyDescent="0.3">
      <c r="A2924">
        <v>29220</v>
      </c>
      <c r="B2924">
        <v>1575.9</v>
      </c>
      <c r="C2924">
        <v>111.71299999999999</v>
      </c>
      <c r="D2924" s="15">
        <f t="shared" si="137"/>
        <v>1.0000000000012221E-4</v>
      </c>
      <c r="E2924" s="14">
        <f t="shared" si="135"/>
        <v>4.4568043160279994E-5</v>
      </c>
      <c r="F2924">
        <v>104.718</v>
      </c>
      <c r="G2924" s="1">
        <f t="shared" si="136"/>
        <v>103.223901</v>
      </c>
    </row>
    <row r="2925" spans="1:7" x14ac:dyDescent="0.3">
      <c r="A2925">
        <v>29230</v>
      </c>
      <c r="B2925">
        <v>1570.2</v>
      </c>
      <c r="C2925">
        <v>111.712</v>
      </c>
      <c r="D2925" s="15">
        <f t="shared" si="137"/>
        <v>1.0000000000012221E-4</v>
      </c>
      <c r="E2925" s="14">
        <f t="shared" si="135"/>
        <v>4.4556516221430008E-5</v>
      </c>
      <c r="F2925">
        <v>104.7</v>
      </c>
      <c r="G2925" s="1">
        <f t="shared" si="136"/>
        <v>103.22277100000001</v>
      </c>
    </row>
    <row r="2926" spans="1:7" x14ac:dyDescent="0.3">
      <c r="A2926">
        <v>29240</v>
      </c>
      <c r="B2926">
        <v>1564.6</v>
      </c>
      <c r="C2926">
        <v>111.711</v>
      </c>
      <c r="D2926" s="15">
        <f t="shared" si="137"/>
        <v>9.9999999999766942E-5</v>
      </c>
      <c r="E2926" s="14">
        <f t="shared" si="135"/>
        <v>4.4545001965919995E-5</v>
      </c>
      <c r="F2926">
        <v>104.682</v>
      </c>
      <c r="G2926" s="1">
        <f t="shared" si="136"/>
        <v>103.22164100000001</v>
      </c>
    </row>
    <row r="2927" spans="1:7" x14ac:dyDescent="0.3">
      <c r="A2927">
        <v>29250</v>
      </c>
      <c r="B2927">
        <v>1558.9</v>
      </c>
      <c r="C2927">
        <v>111.71</v>
      </c>
      <c r="D2927" s="15">
        <f t="shared" si="137"/>
        <v>1.0000000000012221E-4</v>
      </c>
      <c r="E2927" s="14">
        <f t="shared" si="135"/>
        <v>4.4533500393750011E-5</v>
      </c>
      <c r="F2927">
        <v>104.663</v>
      </c>
      <c r="G2927" s="1">
        <f t="shared" si="136"/>
        <v>103.220511</v>
      </c>
    </row>
    <row r="2928" spans="1:7" x14ac:dyDescent="0.3">
      <c r="A2928">
        <v>29260</v>
      </c>
      <c r="B2928">
        <v>1553.3</v>
      </c>
      <c r="C2928">
        <v>111.709</v>
      </c>
      <c r="D2928" s="15">
        <f t="shared" si="137"/>
        <v>1.0000000000012221E-4</v>
      </c>
      <c r="E2928" s="14">
        <f t="shared" si="135"/>
        <v>4.4522011504920001E-5</v>
      </c>
      <c r="F2928">
        <v>104.645</v>
      </c>
      <c r="G2928" s="1">
        <f t="shared" si="136"/>
        <v>103.219381</v>
      </c>
    </row>
    <row r="2929" spans="1:7" x14ac:dyDescent="0.3">
      <c r="A2929">
        <v>29270</v>
      </c>
      <c r="B2929">
        <v>1547.6</v>
      </c>
      <c r="C2929">
        <v>111.708</v>
      </c>
      <c r="D2929" s="15">
        <f t="shared" si="137"/>
        <v>9.9999999999766942E-5</v>
      </c>
      <c r="E2929" s="14">
        <f t="shared" si="135"/>
        <v>4.4510535299429992E-5</v>
      </c>
      <c r="F2929">
        <v>104.626</v>
      </c>
      <c r="G2929" s="1">
        <f t="shared" si="136"/>
        <v>103.21825100000001</v>
      </c>
    </row>
    <row r="2930" spans="1:7" x14ac:dyDescent="0.3">
      <c r="A2930">
        <v>29280</v>
      </c>
      <c r="B2930">
        <v>1542</v>
      </c>
      <c r="C2930">
        <v>111.70699999999999</v>
      </c>
      <c r="D2930" s="15">
        <f t="shared" si="137"/>
        <v>1.0000000000012221E-4</v>
      </c>
      <c r="E2930" s="14">
        <f t="shared" si="135"/>
        <v>4.4499071777280011E-5</v>
      </c>
      <c r="F2930">
        <v>104.607</v>
      </c>
      <c r="G2930" s="1">
        <f t="shared" si="136"/>
        <v>103.21712100000001</v>
      </c>
    </row>
    <row r="2931" spans="1:7" x14ac:dyDescent="0.3">
      <c r="A2931">
        <v>29290</v>
      </c>
      <c r="B2931">
        <v>1536.5</v>
      </c>
      <c r="C2931">
        <v>111.706</v>
      </c>
      <c r="D2931" s="15">
        <f t="shared" si="137"/>
        <v>1.0000000000012221E-4</v>
      </c>
      <c r="E2931" s="14">
        <f t="shared" si="135"/>
        <v>4.4487620938470004E-5</v>
      </c>
      <c r="F2931">
        <v>104.58799999999999</v>
      </c>
      <c r="G2931" s="1">
        <f t="shared" si="136"/>
        <v>103.215991</v>
      </c>
    </row>
    <row r="2932" spans="1:7" x14ac:dyDescent="0.3">
      <c r="A2932">
        <v>29300</v>
      </c>
      <c r="B2932">
        <v>1530.8</v>
      </c>
      <c r="C2932">
        <v>111.705</v>
      </c>
      <c r="D2932" s="15">
        <f t="shared" si="137"/>
        <v>9.9999999999766942E-5</v>
      </c>
      <c r="E2932" s="14">
        <f t="shared" si="135"/>
        <v>4.4476182782999998E-5</v>
      </c>
      <c r="F2932">
        <v>104.57</v>
      </c>
      <c r="G2932" s="1">
        <f t="shared" si="136"/>
        <v>103.214861</v>
      </c>
    </row>
    <row r="2933" spans="1:7" x14ac:dyDescent="0.3">
      <c r="A2933">
        <v>29310</v>
      </c>
      <c r="B2933">
        <v>1525.2</v>
      </c>
      <c r="C2933">
        <v>111.70399999999999</v>
      </c>
      <c r="D2933" s="15">
        <f t="shared" si="137"/>
        <v>1.0000000000012221E-4</v>
      </c>
      <c r="E2933" s="14">
        <f t="shared" si="135"/>
        <v>4.4464757310869979E-5</v>
      </c>
      <c r="F2933">
        <v>104.55200000000001</v>
      </c>
      <c r="G2933" s="1">
        <f t="shared" si="136"/>
        <v>103.213731</v>
      </c>
    </row>
    <row r="2934" spans="1:7" x14ac:dyDescent="0.3">
      <c r="A2934">
        <v>29320</v>
      </c>
      <c r="B2934">
        <v>1519.7</v>
      </c>
      <c r="C2934">
        <v>111.703</v>
      </c>
      <c r="D2934" s="15">
        <f t="shared" si="137"/>
        <v>1.0000000000012221E-4</v>
      </c>
      <c r="E2934" s="14">
        <f t="shared" si="135"/>
        <v>4.4453344522079989E-5</v>
      </c>
      <c r="F2934">
        <v>104.533</v>
      </c>
      <c r="G2934" s="1">
        <f t="shared" si="136"/>
        <v>103.21260100000001</v>
      </c>
    </row>
    <row r="2935" spans="1:7" x14ac:dyDescent="0.3">
      <c r="A2935">
        <v>29330</v>
      </c>
      <c r="B2935">
        <v>1514.1</v>
      </c>
      <c r="C2935">
        <v>111.702</v>
      </c>
      <c r="D2935" s="15">
        <f t="shared" si="137"/>
        <v>9.9999999999766942E-5</v>
      </c>
      <c r="E2935" s="14">
        <f t="shared" si="135"/>
        <v>4.4441944416629987E-5</v>
      </c>
      <c r="F2935">
        <v>104.515</v>
      </c>
      <c r="G2935" s="1">
        <f t="shared" si="136"/>
        <v>103.211471</v>
      </c>
    </row>
    <row r="2936" spans="1:7" x14ac:dyDescent="0.3">
      <c r="A2936">
        <v>29340</v>
      </c>
      <c r="B2936">
        <v>1508.6</v>
      </c>
      <c r="C2936">
        <v>111.70099999999999</v>
      </c>
      <c r="D2936" s="15">
        <f t="shared" si="137"/>
        <v>1.0000000000012221E-4</v>
      </c>
      <c r="E2936" s="14">
        <f t="shared" si="135"/>
        <v>4.4430556994519985E-5</v>
      </c>
      <c r="F2936">
        <v>104.496</v>
      </c>
      <c r="G2936" s="1">
        <f t="shared" si="136"/>
        <v>103.210341</v>
      </c>
    </row>
    <row r="2937" spans="1:7" x14ac:dyDescent="0.3">
      <c r="A2937">
        <v>29350</v>
      </c>
      <c r="B2937">
        <v>1503</v>
      </c>
      <c r="C2937">
        <v>111.7</v>
      </c>
      <c r="D2937" s="15">
        <f t="shared" si="137"/>
        <v>1.0000000000012221E-4</v>
      </c>
      <c r="E2937" s="14">
        <f t="shared" si="135"/>
        <v>4.4419182255749998E-5</v>
      </c>
      <c r="F2937">
        <v>104.47799999999999</v>
      </c>
      <c r="G2937" s="1">
        <f t="shared" si="136"/>
        <v>103.209211</v>
      </c>
    </row>
    <row r="2938" spans="1:7" x14ac:dyDescent="0.3">
      <c r="A2938">
        <v>29360</v>
      </c>
      <c r="B2938">
        <v>1497.5</v>
      </c>
      <c r="C2938">
        <v>111.699</v>
      </c>
      <c r="D2938" s="15">
        <f t="shared" si="137"/>
        <v>9.9999999999766942E-5</v>
      </c>
      <c r="E2938" s="14">
        <f t="shared" si="135"/>
        <v>4.4407820200319985E-5</v>
      </c>
      <c r="F2938">
        <v>104.459</v>
      </c>
      <c r="G2938" s="1">
        <f t="shared" si="136"/>
        <v>103.20808100000001</v>
      </c>
    </row>
    <row r="2939" spans="1:7" x14ac:dyDescent="0.3">
      <c r="A2939">
        <v>29370</v>
      </c>
      <c r="B2939">
        <v>1492</v>
      </c>
      <c r="C2939">
        <v>111.69799999999999</v>
      </c>
      <c r="D2939" s="15">
        <f t="shared" si="137"/>
        <v>1.0000000000012221E-4</v>
      </c>
      <c r="E2939" s="14">
        <f t="shared" si="135"/>
        <v>4.4396470828229987E-5</v>
      </c>
      <c r="F2939">
        <v>104.441</v>
      </c>
      <c r="G2939" s="1">
        <f t="shared" si="136"/>
        <v>103.206951</v>
      </c>
    </row>
    <row r="2940" spans="1:7" x14ac:dyDescent="0.3">
      <c r="A2940">
        <v>29380</v>
      </c>
      <c r="B2940">
        <v>1486.5</v>
      </c>
      <c r="C2940">
        <v>111.697</v>
      </c>
      <c r="D2940" s="15">
        <f t="shared" si="137"/>
        <v>1.0000000000012221E-4</v>
      </c>
      <c r="E2940" s="14">
        <f t="shared" si="135"/>
        <v>4.4385134139480003E-5</v>
      </c>
      <c r="F2940">
        <v>104.422</v>
      </c>
      <c r="G2940" s="1">
        <f t="shared" si="136"/>
        <v>103.205821</v>
      </c>
    </row>
    <row r="2941" spans="1:7" x14ac:dyDescent="0.3">
      <c r="A2941">
        <v>29390</v>
      </c>
      <c r="B2941">
        <v>1481</v>
      </c>
      <c r="C2941">
        <v>111.696</v>
      </c>
      <c r="D2941" s="15">
        <f t="shared" si="137"/>
        <v>1.2499999999988632E-4</v>
      </c>
      <c r="E2941" s="14">
        <f t="shared" si="135"/>
        <v>4.4373810134069994E-5</v>
      </c>
      <c r="F2941">
        <v>104.404</v>
      </c>
      <c r="G2941" s="1">
        <f t="shared" si="136"/>
        <v>103.204691</v>
      </c>
    </row>
    <row r="2942" spans="1:7" x14ac:dyDescent="0.3">
      <c r="A2942">
        <v>29400</v>
      </c>
      <c r="B2942">
        <v>1475.5</v>
      </c>
      <c r="C2942">
        <v>111.69499999999999</v>
      </c>
      <c r="D2942" s="15">
        <f t="shared" si="137"/>
        <v>1.2500000000024159E-4</v>
      </c>
      <c r="E2942" s="14">
        <f t="shared" si="135"/>
        <v>4.4362498811999985E-5</v>
      </c>
      <c r="F2942">
        <v>104.384</v>
      </c>
      <c r="G2942" s="1">
        <f t="shared" si="136"/>
        <v>103.20356100000001</v>
      </c>
    </row>
    <row r="2943" spans="1:7" x14ac:dyDescent="0.3">
      <c r="A2943">
        <v>29410</v>
      </c>
      <c r="B2943">
        <v>1469.8</v>
      </c>
      <c r="C2943">
        <v>111.693</v>
      </c>
      <c r="D2943" s="15">
        <f t="shared" si="137"/>
        <v>1.2499999999988632E-4</v>
      </c>
      <c r="E2943" s="14">
        <f t="shared" si="135"/>
        <v>4.4351200173270005E-5</v>
      </c>
      <c r="F2943">
        <v>104.366</v>
      </c>
      <c r="G2943" s="1">
        <f t="shared" si="136"/>
        <v>103.202431</v>
      </c>
    </row>
    <row r="2944" spans="1:7" x14ac:dyDescent="0.3">
      <c r="A2944">
        <v>29420</v>
      </c>
      <c r="B2944">
        <v>1464.3</v>
      </c>
      <c r="C2944">
        <v>111.69199999999999</v>
      </c>
      <c r="D2944" s="15">
        <f t="shared" si="137"/>
        <v>1.2499999999988632E-4</v>
      </c>
      <c r="E2944" s="14">
        <f t="shared" si="135"/>
        <v>4.4339914217879985E-5</v>
      </c>
      <c r="F2944">
        <v>104.34699999999999</v>
      </c>
      <c r="G2944" s="1">
        <f t="shared" si="136"/>
        <v>103.201301</v>
      </c>
    </row>
    <row r="2945" spans="1:7" x14ac:dyDescent="0.3">
      <c r="A2945">
        <v>29430</v>
      </c>
      <c r="B2945">
        <v>1458.6</v>
      </c>
      <c r="C2945">
        <v>111.691</v>
      </c>
      <c r="D2945" s="15">
        <f t="shared" si="137"/>
        <v>1.0000000000012221E-4</v>
      </c>
      <c r="E2945" s="14">
        <f t="shared" si="135"/>
        <v>4.4328640945829993E-5</v>
      </c>
      <c r="F2945">
        <v>104.32899999999999</v>
      </c>
      <c r="G2945" s="1">
        <f t="shared" si="136"/>
        <v>103.200171</v>
      </c>
    </row>
    <row r="2946" spans="1:7" x14ac:dyDescent="0.3">
      <c r="A2946">
        <v>29440</v>
      </c>
      <c r="B2946">
        <v>1453.1</v>
      </c>
      <c r="C2946">
        <v>111.69</v>
      </c>
      <c r="D2946" s="15">
        <f t="shared" si="137"/>
        <v>9.9999999999766942E-5</v>
      </c>
      <c r="E2946" s="14">
        <f t="shared" ref="E2946:E3009" si="138">0.0000000000000634167*A2946*A2946 - 0.0000000048594*A2946 + 0.000132414</f>
        <v>4.4317380357120003E-5</v>
      </c>
      <c r="F2946">
        <v>104.31100000000001</v>
      </c>
      <c r="G2946" s="1">
        <f t="shared" si="136"/>
        <v>103.19904100000001</v>
      </c>
    </row>
    <row r="2947" spans="1:7" x14ac:dyDescent="0.3">
      <c r="A2947">
        <v>29450</v>
      </c>
      <c r="B2947">
        <v>1447.5</v>
      </c>
      <c r="C2947">
        <v>111.68899999999999</v>
      </c>
      <c r="D2947" s="15">
        <f t="shared" si="137"/>
        <v>1.0000000000012221E-4</v>
      </c>
      <c r="E2947" s="14">
        <f t="shared" si="138"/>
        <v>4.4306132451749986E-5</v>
      </c>
      <c r="F2947">
        <v>104.292</v>
      </c>
      <c r="G2947" s="1">
        <f t="shared" ref="G2947:G3010" si="139">-0.000113*A2947 + 106.525761</f>
        <v>103.197911</v>
      </c>
    </row>
    <row r="2948" spans="1:7" x14ac:dyDescent="0.3">
      <c r="A2948">
        <v>29460</v>
      </c>
      <c r="B2948">
        <v>1441.9</v>
      </c>
      <c r="C2948">
        <v>111.688</v>
      </c>
      <c r="D2948" s="15">
        <f t="shared" si="137"/>
        <v>9.9999999999766942E-5</v>
      </c>
      <c r="E2948" s="14">
        <f t="shared" si="138"/>
        <v>4.4294897229719998E-5</v>
      </c>
      <c r="F2948">
        <v>104.274</v>
      </c>
      <c r="G2948" s="1">
        <f t="shared" si="139"/>
        <v>103.196781</v>
      </c>
    </row>
    <row r="2949" spans="1:7" x14ac:dyDescent="0.3">
      <c r="A2949">
        <v>29470</v>
      </c>
      <c r="B2949">
        <v>1436.5</v>
      </c>
      <c r="C2949">
        <v>111.687</v>
      </c>
      <c r="D2949" s="15">
        <f t="shared" ref="D2949:D3012" si="140">(C2947-C2951)/(A2951-A2947)</f>
        <v>9.9999999999766942E-5</v>
      </c>
      <c r="E2949" s="14">
        <f t="shared" si="138"/>
        <v>4.428367469103001E-5</v>
      </c>
      <c r="F2949">
        <v>104.255</v>
      </c>
      <c r="G2949" s="1">
        <f t="shared" si="139"/>
        <v>103.195651</v>
      </c>
    </row>
    <row r="2950" spans="1:7" x14ac:dyDescent="0.3">
      <c r="A2950">
        <v>29480</v>
      </c>
      <c r="B2950">
        <v>1430.9</v>
      </c>
      <c r="C2950">
        <v>111.68600000000001</v>
      </c>
      <c r="D2950" s="15">
        <f t="shared" si="140"/>
        <v>1.0000000000012221E-4</v>
      </c>
      <c r="E2950" s="14">
        <f t="shared" si="138"/>
        <v>4.4272464835679997E-5</v>
      </c>
      <c r="F2950">
        <v>104.23699999999999</v>
      </c>
      <c r="G2950" s="1">
        <f t="shared" si="139"/>
        <v>103.19452100000001</v>
      </c>
    </row>
    <row r="2951" spans="1:7" x14ac:dyDescent="0.3">
      <c r="A2951">
        <v>29490</v>
      </c>
      <c r="B2951">
        <v>1425.4</v>
      </c>
      <c r="C2951">
        <v>111.685</v>
      </c>
      <c r="D2951" s="15">
        <f t="shared" si="140"/>
        <v>1.2499999999988632E-4</v>
      </c>
      <c r="E2951" s="14">
        <f t="shared" si="138"/>
        <v>4.4261267663669985E-5</v>
      </c>
      <c r="F2951">
        <v>104.218</v>
      </c>
      <c r="G2951" s="1">
        <f t="shared" si="139"/>
        <v>103.19339100000001</v>
      </c>
    </row>
    <row r="2952" spans="1:7" x14ac:dyDescent="0.3">
      <c r="A2952">
        <v>29500</v>
      </c>
      <c r="B2952">
        <v>1419.9</v>
      </c>
      <c r="C2952">
        <v>111.684</v>
      </c>
      <c r="D2952" s="15">
        <f t="shared" si="140"/>
        <v>1.2500000000024159E-4</v>
      </c>
      <c r="E2952" s="14">
        <f t="shared" si="138"/>
        <v>4.4250083174999973E-5</v>
      </c>
      <c r="F2952">
        <v>104.2</v>
      </c>
      <c r="G2952" s="1">
        <f t="shared" si="139"/>
        <v>103.192261</v>
      </c>
    </row>
    <row r="2953" spans="1:7" x14ac:dyDescent="0.3">
      <c r="A2953">
        <v>29510</v>
      </c>
      <c r="B2953">
        <v>1414.4</v>
      </c>
      <c r="C2953">
        <v>111.682</v>
      </c>
      <c r="D2953" s="15">
        <f t="shared" si="140"/>
        <v>1.2499999999988632E-4</v>
      </c>
      <c r="E2953" s="14">
        <f t="shared" si="138"/>
        <v>4.423891136966999E-5</v>
      </c>
      <c r="F2953">
        <v>104.181</v>
      </c>
      <c r="G2953" s="1">
        <f t="shared" si="139"/>
        <v>103.191131</v>
      </c>
    </row>
    <row r="2954" spans="1:7" x14ac:dyDescent="0.3">
      <c r="A2954">
        <v>29520</v>
      </c>
      <c r="B2954">
        <v>1408.8</v>
      </c>
      <c r="C2954">
        <v>111.681</v>
      </c>
      <c r="D2954" s="15">
        <f t="shared" si="140"/>
        <v>1.2499999999988632E-4</v>
      </c>
      <c r="E2954" s="14">
        <f t="shared" si="138"/>
        <v>4.4227752247679982E-5</v>
      </c>
      <c r="F2954">
        <v>104.163</v>
      </c>
      <c r="G2954" s="1">
        <f t="shared" si="139"/>
        <v>103.19000100000001</v>
      </c>
    </row>
    <row r="2955" spans="1:7" x14ac:dyDescent="0.3">
      <c r="A2955">
        <v>29530</v>
      </c>
      <c r="B2955">
        <v>1403.2</v>
      </c>
      <c r="C2955">
        <v>111.68</v>
      </c>
      <c r="D2955" s="15">
        <f t="shared" si="140"/>
        <v>1.0000000000012221E-4</v>
      </c>
      <c r="E2955" s="14">
        <f t="shared" si="138"/>
        <v>4.4216605809029974E-5</v>
      </c>
      <c r="F2955">
        <v>104.14400000000001</v>
      </c>
      <c r="G2955" s="1">
        <f t="shared" si="139"/>
        <v>103.18887100000001</v>
      </c>
    </row>
    <row r="2956" spans="1:7" x14ac:dyDescent="0.3">
      <c r="A2956">
        <v>29540</v>
      </c>
      <c r="B2956">
        <v>1397.6</v>
      </c>
      <c r="C2956">
        <v>111.679</v>
      </c>
      <c r="D2956" s="15">
        <f t="shared" si="140"/>
        <v>9.9999999999766942E-5</v>
      </c>
      <c r="E2956" s="14">
        <f t="shared" si="138"/>
        <v>4.4205472053719994E-5</v>
      </c>
      <c r="F2956">
        <v>104.126</v>
      </c>
      <c r="G2956" s="1">
        <f t="shared" si="139"/>
        <v>103.187741</v>
      </c>
    </row>
    <row r="2957" spans="1:7" x14ac:dyDescent="0.3">
      <c r="A2957">
        <v>29550</v>
      </c>
      <c r="B2957">
        <v>1392</v>
      </c>
      <c r="C2957">
        <v>111.678</v>
      </c>
      <c r="D2957" s="15">
        <f t="shared" si="140"/>
        <v>1.0000000000012221E-4</v>
      </c>
      <c r="E2957" s="14">
        <f t="shared" si="138"/>
        <v>4.4194350981749988E-5</v>
      </c>
      <c r="F2957">
        <v>104.107</v>
      </c>
      <c r="G2957" s="1">
        <f t="shared" si="139"/>
        <v>103.186611</v>
      </c>
    </row>
    <row r="2958" spans="1:7" x14ac:dyDescent="0.3">
      <c r="A2958">
        <v>29560</v>
      </c>
      <c r="B2958">
        <v>1386.4</v>
      </c>
      <c r="C2958">
        <v>111.67700000000001</v>
      </c>
      <c r="D2958" s="15">
        <f t="shared" si="140"/>
        <v>1.2499999999988632E-4</v>
      </c>
      <c r="E2958" s="14">
        <f t="shared" si="138"/>
        <v>4.4183242593119984E-5</v>
      </c>
      <c r="F2958">
        <v>104.089</v>
      </c>
      <c r="G2958" s="1">
        <f t="shared" si="139"/>
        <v>103.18548100000001</v>
      </c>
    </row>
    <row r="2959" spans="1:7" x14ac:dyDescent="0.3">
      <c r="A2959">
        <v>29570</v>
      </c>
      <c r="B2959">
        <v>1380.9</v>
      </c>
      <c r="C2959">
        <v>111.676</v>
      </c>
      <c r="D2959" s="15">
        <f t="shared" si="140"/>
        <v>1.2499999999988632E-4</v>
      </c>
      <c r="E2959" s="14">
        <f t="shared" si="138"/>
        <v>4.4172146887830007E-5</v>
      </c>
      <c r="F2959">
        <v>104.07</v>
      </c>
      <c r="G2959" s="1">
        <f t="shared" si="139"/>
        <v>103.18435100000001</v>
      </c>
    </row>
    <row r="2960" spans="1:7" x14ac:dyDescent="0.3">
      <c r="A2960">
        <v>29580</v>
      </c>
      <c r="B2960">
        <v>1375.4</v>
      </c>
      <c r="C2960">
        <v>111.67400000000001</v>
      </c>
      <c r="D2960" s="15">
        <f t="shared" si="140"/>
        <v>1.2500000000024159E-4</v>
      </c>
      <c r="E2960" s="14">
        <f t="shared" si="138"/>
        <v>4.4161063865880005E-5</v>
      </c>
      <c r="F2960">
        <v>104.05200000000001</v>
      </c>
      <c r="G2960" s="1">
        <f t="shared" si="139"/>
        <v>103.183221</v>
      </c>
    </row>
    <row r="2961" spans="1:7" x14ac:dyDescent="0.3">
      <c r="A2961">
        <v>29590</v>
      </c>
      <c r="B2961">
        <v>1369.9</v>
      </c>
      <c r="C2961">
        <v>111.673</v>
      </c>
      <c r="D2961" s="15">
        <f t="shared" si="140"/>
        <v>1.2499999999988632E-4</v>
      </c>
      <c r="E2961" s="14">
        <f t="shared" si="138"/>
        <v>4.4149993527269976E-5</v>
      </c>
      <c r="F2961">
        <v>104.033</v>
      </c>
      <c r="G2961" s="1">
        <f t="shared" si="139"/>
        <v>103.182091</v>
      </c>
    </row>
    <row r="2962" spans="1:7" x14ac:dyDescent="0.3">
      <c r="A2962">
        <v>29600</v>
      </c>
      <c r="B2962">
        <v>1364.5</v>
      </c>
      <c r="C2962">
        <v>111.672</v>
      </c>
      <c r="D2962" s="15">
        <f t="shared" si="140"/>
        <v>1.0000000000012221E-4</v>
      </c>
      <c r="E2962" s="14">
        <f t="shared" si="138"/>
        <v>4.4138935872000003E-5</v>
      </c>
      <c r="F2962">
        <v>104.015</v>
      </c>
      <c r="G2962" s="1">
        <f t="shared" si="139"/>
        <v>103.180961</v>
      </c>
    </row>
    <row r="2963" spans="1:7" x14ac:dyDescent="0.3">
      <c r="A2963">
        <v>29610</v>
      </c>
      <c r="B2963">
        <v>1359</v>
      </c>
      <c r="C2963">
        <v>111.67100000000001</v>
      </c>
      <c r="D2963" s="15">
        <f t="shared" si="140"/>
        <v>1.2499999999988632E-4</v>
      </c>
      <c r="E2963" s="14">
        <f t="shared" si="138"/>
        <v>4.4127890900069991E-5</v>
      </c>
      <c r="F2963">
        <v>103.995</v>
      </c>
      <c r="G2963" s="1">
        <f t="shared" si="139"/>
        <v>103.17983100000001</v>
      </c>
    </row>
    <row r="2964" spans="1:7" x14ac:dyDescent="0.3">
      <c r="A2964">
        <v>29620</v>
      </c>
      <c r="B2964">
        <v>1353.6</v>
      </c>
      <c r="C2964">
        <v>111.67</v>
      </c>
      <c r="D2964" s="15">
        <f t="shared" si="140"/>
        <v>1.2499999999988632E-4</v>
      </c>
      <c r="E2964" s="14">
        <f t="shared" si="138"/>
        <v>4.4116858611479979E-5</v>
      </c>
      <c r="F2964">
        <v>103.977</v>
      </c>
      <c r="G2964" s="1">
        <f t="shared" si="139"/>
        <v>103.178701</v>
      </c>
    </row>
    <row r="2965" spans="1:7" x14ac:dyDescent="0.3">
      <c r="A2965">
        <v>29630</v>
      </c>
      <c r="B2965">
        <v>1348.2</v>
      </c>
      <c r="C2965">
        <v>111.66800000000001</v>
      </c>
      <c r="D2965" s="15">
        <f t="shared" si="140"/>
        <v>1.2500000000024159E-4</v>
      </c>
      <c r="E2965" s="14">
        <f t="shared" si="138"/>
        <v>4.4105839006230009E-5</v>
      </c>
      <c r="F2965">
        <v>103.958</v>
      </c>
      <c r="G2965" s="1">
        <f t="shared" si="139"/>
        <v>103.177571</v>
      </c>
    </row>
    <row r="2966" spans="1:7" x14ac:dyDescent="0.3">
      <c r="A2966">
        <v>29640</v>
      </c>
      <c r="B2966">
        <v>1342.9</v>
      </c>
      <c r="C2966">
        <v>111.667</v>
      </c>
      <c r="D2966" s="15">
        <f t="shared" si="140"/>
        <v>1.2499999999988632E-4</v>
      </c>
      <c r="E2966" s="14">
        <f t="shared" si="138"/>
        <v>4.4094832084319986E-5</v>
      </c>
      <c r="F2966">
        <v>103.93899999999999</v>
      </c>
      <c r="G2966" s="1">
        <f t="shared" si="139"/>
        <v>103.176441</v>
      </c>
    </row>
    <row r="2967" spans="1:7" x14ac:dyDescent="0.3">
      <c r="A2967">
        <v>29650</v>
      </c>
      <c r="B2967">
        <v>1337.5</v>
      </c>
      <c r="C2967">
        <v>111.666</v>
      </c>
      <c r="D2967" s="15">
        <f t="shared" si="140"/>
        <v>1.0000000000012221E-4</v>
      </c>
      <c r="E2967" s="14">
        <f t="shared" si="138"/>
        <v>4.4083837845749991E-5</v>
      </c>
      <c r="F2967">
        <v>103.92100000000001</v>
      </c>
      <c r="G2967" s="1">
        <f t="shared" si="139"/>
        <v>103.17531100000001</v>
      </c>
    </row>
    <row r="2968" spans="1:7" x14ac:dyDescent="0.3">
      <c r="A2968">
        <v>29660</v>
      </c>
      <c r="B2968">
        <v>1332.1</v>
      </c>
      <c r="C2968">
        <v>111.66500000000001</v>
      </c>
      <c r="D2968" s="15">
        <f t="shared" si="140"/>
        <v>1.2499999999988632E-4</v>
      </c>
      <c r="E2968" s="14">
        <f t="shared" si="138"/>
        <v>4.4072856290520011E-5</v>
      </c>
      <c r="F2968">
        <v>103.902</v>
      </c>
      <c r="G2968" s="1">
        <f t="shared" si="139"/>
        <v>103.174181</v>
      </c>
    </row>
    <row r="2969" spans="1:7" x14ac:dyDescent="0.3">
      <c r="A2969">
        <v>29670</v>
      </c>
      <c r="B2969">
        <v>1326.8</v>
      </c>
      <c r="C2969">
        <v>111.664</v>
      </c>
      <c r="D2969" s="15">
        <f t="shared" si="140"/>
        <v>1.2499999999988632E-4</v>
      </c>
      <c r="E2969" s="14">
        <f t="shared" si="138"/>
        <v>4.4061887418630005E-5</v>
      </c>
      <c r="F2969">
        <v>103.884</v>
      </c>
      <c r="G2969" s="1">
        <f t="shared" si="139"/>
        <v>103.173051</v>
      </c>
    </row>
    <row r="2970" spans="1:7" x14ac:dyDescent="0.3">
      <c r="A2970">
        <v>29680</v>
      </c>
      <c r="B2970">
        <v>1321.4</v>
      </c>
      <c r="C2970">
        <v>111.66200000000001</v>
      </c>
      <c r="D2970" s="15">
        <f t="shared" si="140"/>
        <v>1.2500000000024159E-4</v>
      </c>
      <c r="E2970" s="14">
        <f t="shared" si="138"/>
        <v>4.4050931230079987E-5</v>
      </c>
      <c r="F2970">
        <v>103.86499999999999</v>
      </c>
      <c r="G2970" s="1">
        <f t="shared" si="139"/>
        <v>103.171921</v>
      </c>
    </row>
    <row r="2971" spans="1:7" x14ac:dyDescent="0.3">
      <c r="A2971">
        <v>29690</v>
      </c>
      <c r="B2971">
        <v>1316.2</v>
      </c>
      <c r="C2971">
        <v>111.661</v>
      </c>
      <c r="D2971" s="15">
        <f t="shared" si="140"/>
        <v>1.2499999999988632E-4</v>
      </c>
      <c r="E2971" s="14">
        <f t="shared" si="138"/>
        <v>4.403998772487001E-5</v>
      </c>
      <c r="F2971">
        <v>103.84699999999999</v>
      </c>
      <c r="G2971" s="1">
        <f t="shared" si="139"/>
        <v>103.17079100000001</v>
      </c>
    </row>
    <row r="2972" spans="1:7" x14ac:dyDescent="0.3">
      <c r="A2972">
        <v>29700</v>
      </c>
      <c r="B2972">
        <v>1310.8</v>
      </c>
      <c r="C2972">
        <v>111.66</v>
      </c>
      <c r="D2972" s="15">
        <f t="shared" si="140"/>
        <v>1.2500000000024159E-4</v>
      </c>
      <c r="E2972" s="14">
        <f t="shared" si="138"/>
        <v>4.4029056903000007E-5</v>
      </c>
      <c r="F2972">
        <v>103.828</v>
      </c>
      <c r="G2972" s="1">
        <f t="shared" si="139"/>
        <v>103.169661</v>
      </c>
    </row>
    <row r="2973" spans="1:7" x14ac:dyDescent="0.3">
      <c r="A2973">
        <v>29710</v>
      </c>
      <c r="B2973">
        <v>1305.5</v>
      </c>
      <c r="C2973">
        <v>111.65900000000001</v>
      </c>
      <c r="D2973" s="15">
        <f t="shared" si="140"/>
        <v>1.2499999999988632E-4</v>
      </c>
      <c r="E2973" s="14">
        <f t="shared" si="138"/>
        <v>4.4018138764469991E-5</v>
      </c>
      <c r="F2973">
        <v>103.81</v>
      </c>
      <c r="G2973" s="1">
        <f t="shared" si="139"/>
        <v>103.168531</v>
      </c>
    </row>
    <row r="2974" spans="1:7" x14ac:dyDescent="0.3">
      <c r="A2974">
        <v>29720</v>
      </c>
      <c r="B2974">
        <v>1300.3</v>
      </c>
      <c r="C2974">
        <v>111.657</v>
      </c>
      <c r="D2974" s="15">
        <f t="shared" si="140"/>
        <v>1.2499999999988632E-4</v>
      </c>
      <c r="E2974" s="14">
        <f t="shared" si="138"/>
        <v>4.4007233309279977E-5</v>
      </c>
      <c r="F2974">
        <v>103.791</v>
      </c>
      <c r="G2974" s="1">
        <f t="shared" si="139"/>
        <v>103.167401</v>
      </c>
    </row>
    <row r="2975" spans="1:7" x14ac:dyDescent="0.3">
      <c r="A2975">
        <v>29730</v>
      </c>
      <c r="B2975">
        <v>1295</v>
      </c>
      <c r="C2975">
        <v>111.65600000000001</v>
      </c>
      <c r="D2975" s="15">
        <f t="shared" si="140"/>
        <v>1.2500000000024159E-4</v>
      </c>
      <c r="E2975" s="14">
        <f t="shared" si="138"/>
        <v>4.3996340537429991E-5</v>
      </c>
      <c r="F2975">
        <v>103.773</v>
      </c>
      <c r="G2975" s="1">
        <f t="shared" si="139"/>
        <v>103.16627100000001</v>
      </c>
    </row>
    <row r="2976" spans="1:7" x14ac:dyDescent="0.3">
      <c r="A2976">
        <v>29740</v>
      </c>
      <c r="B2976">
        <v>1289.8</v>
      </c>
      <c r="C2976">
        <v>111.655</v>
      </c>
      <c r="D2976" s="15">
        <f t="shared" si="140"/>
        <v>1.2499999999988632E-4</v>
      </c>
      <c r="E2976" s="14">
        <f t="shared" si="138"/>
        <v>4.3985460448919979E-5</v>
      </c>
      <c r="F2976">
        <v>103.755</v>
      </c>
      <c r="G2976" s="1">
        <f t="shared" si="139"/>
        <v>103.16514100000001</v>
      </c>
    </row>
    <row r="2977" spans="1:7" x14ac:dyDescent="0.3">
      <c r="A2977">
        <v>29750</v>
      </c>
      <c r="B2977">
        <v>1284.5999999999999</v>
      </c>
      <c r="C2977">
        <v>111.654</v>
      </c>
      <c r="D2977" s="15">
        <f t="shared" si="140"/>
        <v>1.2500000000024159E-4</v>
      </c>
      <c r="E2977" s="14">
        <f t="shared" si="138"/>
        <v>4.3974593043749995E-5</v>
      </c>
      <c r="F2977">
        <v>103.736</v>
      </c>
      <c r="G2977" s="1">
        <f t="shared" si="139"/>
        <v>103.164011</v>
      </c>
    </row>
    <row r="2978" spans="1:7" x14ac:dyDescent="0.3">
      <c r="A2978">
        <v>29760</v>
      </c>
      <c r="B2978">
        <v>1279.4000000000001</v>
      </c>
      <c r="C2978">
        <v>111.652</v>
      </c>
      <c r="D2978" s="15">
        <f t="shared" si="140"/>
        <v>1.2499999999988632E-4</v>
      </c>
      <c r="E2978" s="14">
        <f t="shared" si="138"/>
        <v>4.3963738321920013E-5</v>
      </c>
      <c r="F2978">
        <v>103.718</v>
      </c>
      <c r="G2978" s="1">
        <f t="shared" si="139"/>
        <v>103.162881</v>
      </c>
    </row>
    <row r="2979" spans="1:7" x14ac:dyDescent="0.3">
      <c r="A2979">
        <v>29770</v>
      </c>
      <c r="B2979">
        <v>1274.2</v>
      </c>
      <c r="C2979">
        <v>111.651</v>
      </c>
      <c r="D2979" s="15">
        <f t="shared" si="140"/>
        <v>1.2499999999988632E-4</v>
      </c>
      <c r="E2979" s="14">
        <f t="shared" si="138"/>
        <v>4.3952896283430004E-5</v>
      </c>
      <c r="F2979">
        <v>103.699</v>
      </c>
      <c r="G2979" s="1">
        <f t="shared" si="139"/>
        <v>103.16175100000001</v>
      </c>
    </row>
    <row r="2980" spans="1:7" x14ac:dyDescent="0.3">
      <c r="A2980">
        <v>29780</v>
      </c>
      <c r="B2980">
        <v>1269</v>
      </c>
      <c r="C2980">
        <v>111.65</v>
      </c>
      <c r="D2980" s="15">
        <f t="shared" si="140"/>
        <v>1.2499999999988632E-4</v>
      </c>
      <c r="E2980" s="14">
        <f t="shared" si="138"/>
        <v>4.3942066928279996E-5</v>
      </c>
      <c r="F2980">
        <v>103.681</v>
      </c>
      <c r="G2980" s="1">
        <f t="shared" si="139"/>
        <v>103.16062100000001</v>
      </c>
    </row>
    <row r="2981" spans="1:7" x14ac:dyDescent="0.3">
      <c r="A2981">
        <v>29790</v>
      </c>
      <c r="B2981">
        <v>1263.8</v>
      </c>
      <c r="C2981">
        <v>111.649</v>
      </c>
      <c r="D2981" s="15">
        <f t="shared" si="140"/>
        <v>1.2499999999988632E-4</v>
      </c>
      <c r="E2981" s="14">
        <f t="shared" si="138"/>
        <v>4.3931250256470003E-5</v>
      </c>
      <c r="F2981">
        <v>103.66200000000001</v>
      </c>
      <c r="G2981" s="1">
        <f t="shared" si="139"/>
        <v>103.159491</v>
      </c>
    </row>
    <row r="2982" spans="1:7" x14ac:dyDescent="0.3">
      <c r="A2982">
        <v>29800</v>
      </c>
      <c r="B2982">
        <v>1258.7</v>
      </c>
      <c r="C2982">
        <v>111.64700000000001</v>
      </c>
      <c r="D2982" s="15">
        <f t="shared" si="140"/>
        <v>1.2500000000024159E-4</v>
      </c>
      <c r="E2982" s="14">
        <f t="shared" si="138"/>
        <v>4.3920446267999998E-5</v>
      </c>
      <c r="F2982">
        <v>103.64400000000001</v>
      </c>
      <c r="G2982" s="1">
        <f t="shared" si="139"/>
        <v>103.158361</v>
      </c>
    </row>
    <row r="2983" spans="1:7" x14ac:dyDescent="0.3">
      <c r="A2983">
        <v>29810</v>
      </c>
      <c r="B2983">
        <v>1253.5</v>
      </c>
      <c r="C2983">
        <v>111.646</v>
      </c>
      <c r="D2983" s="15">
        <f t="shared" si="140"/>
        <v>1.5000000000000568E-4</v>
      </c>
      <c r="E2983" s="14">
        <f t="shared" si="138"/>
        <v>4.390965496286998E-5</v>
      </c>
      <c r="F2983">
        <v>103.625</v>
      </c>
      <c r="G2983" s="1">
        <f t="shared" si="139"/>
        <v>103.157231</v>
      </c>
    </row>
    <row r="2984" spans="1:7" x14ac:dyDescent="0.3">
      <c r="A2984">
        <v>29820</v>
      </c>
      <c r="B2984">
        <v>1248.4000000000001</v>
      </c>
      <c r="C2984">
        <v>111.645</v>
      </c>
      <c r="D2984" s="15">
        <f t="shared" si="140"/>
        <v>1.2500000000024159E-4</v>
      </c>
      <c r="E2984" s="14">
        <f t="shared" si="138"/>
        <v>4.3898876341080004E-5</v>
      </c>
      <c r="F2984">
        <v>103.60599999999999</v>
      </c>
      <c r="G2984" s="1">
        <f t="shared" si="139"/>
        <v>103.15610100000001</v>
      </c>
    </row>
    <row r="2985" spans="1:7" x14ac:dyDescent="0.3">
      <c r="A2985">
        <v>29830</v>
      </c>
      <c r="B2985">
        <v>1243.2</v>
      </c>
      <c r="C2985">
        <v>111.643</v>
      </c>
      <c r="D2985" s="15">
        <f t="shared" si="140"/>
        <v>1.2499999999988632E-4</v>
      </c>
      <c r="E2985" s="14">
        <f t="shared" si="138"/>
        <v>4.3888110402630001E-5</v>
      </c>
      <c r="F2985">
        <v>103.58799999999999</v>
      </c>
      <c r="G2985" s="1">
        <f t="shared" si="139"/>
        <v>103.154971</v>
      </c>
    </row>
    <row r="2986" spans="1:7" x14ac:dyDescent="0.3">
      <c r="A2986">
        <v>29840</v>
      </c>
      <c r="B2986">
        <v>1238.0999999999999</v>
      </c>
      <c r="C2986">
        <v>111.642</v>
      </c>
      <c r="D2986" s="15">
        <f t="shared" si="140"/>
        <v>1.5000000000000568E-4</v>
      </c>
      <c r="E2986" s="14">
        <f t="shared" si="138"/>
        <v>4.3877357147519973E-5</v>
      </c>
      <c r="F2986">
        <v>103.569</v>
      </c>
      <c r="G2986" s="1">
        <f t="shared" si="139"/>
        <v>103.153841</v>
      </c>
    </row>
    <row r="2987" spans="1:7" x14ac:dyDescent="0.3">
      <c r="A2987">
        <v>29850</v>
      </c>
      <c r="B2987">
        <v>1233</v>
      </c>
      <c r="C2987">
        <v>111.64100000000001</v>
      </c>
      <c r="D2987" s="15">
        <f t="shared" si="140"/>
        <v>1.2499999999988632E-4</v>
      </c>
      <c r="E2987" s="14">
        <f t="shared" si="138"/>
        <v>4.3866616575750014E-5</v>
      </c>
      <c r="F2987">
        <v>103.551</v>
      </c>
      <c r="G2987" s="1">
        <f t="shared" si="139"/>
        <v>103.152711</v>
      </c>
    </row>
    <row r="2988" spans="1:7" x14ac:dyDescent="0.3">
      <c r="A2988">
        <v>29860</v>
      </c>
      <c r="B2988">
        <v>1227.9000000000001</v>
      </c>
      <c r="C2988">
        <v>111.639</v>
      </c>
      <c r="D2988" s="15">
        <f t="shared" si="140"/>
        <v>1.5000000000000568E-4</v>
      </c>
      <c r="E2988" s="14">
        <f t="shared" si="138"/>
        <v>4.3855888687320001E-5</v>
      </c>
      <c r="F2988">
        <v>103.532</v>
      </c>
      <c r="G2988" s="1">
        <f t="shared" si="139"/>
        <v>103.15158100000001</v>
      </c>
    </row>
    <row r="2989" spans="1:7" x14ac:dyDescent="0.3">
      <c r="A2989">
        <v>29870</v>
      </c>
      <c r="B2989">
        <v>1222.8</v>
      </c>
      <c r="C2989">
        <v>111.63800000000001</v>
      </c>
      <c r="D2989" s="15">
        <f t="shared" si="140"/>
        <v>1.5000000000000568E-4</v>
      </c>
      <c r="E2989" s="14">
        <f t="shared" si="138"/>
        <v>4.384517348222999E-5</v>
      </c>
      <c r="F2989">
        <v>103.51300000000001</v>
      </c>
      <c r="G2989" s="1">
        <f t="shared" si="139"/>
        <v>103.150451</v>
      </c>
    </row>
    <row r="2990" spans="1:7" x14ac:dyDescent="0.3">
      <c r="A2990">
        <v>29880</v>
      </c>
      <c r="B2990">
        <v>1217.5999999999999</v>
      </c>
      <c r="C2990">
        <v>111.636</v>
      </c>
      <c r="D2990" s="15">
        <f t="shared" si="140"/>
        <v>1.2499999999988632E-4</v>
      </c>
      <c r="E2990" s="14">
        <f t="shared" si="138"/>
        <v>4.3834470960480007E-5</v>
      </c>
      <c r="F2990">
        <v>103.495</v>
      </c>
      <c r="G2990" s="1">
        <f t="shared" si="139"/>
        <v>103.149321</v>
      </c>
    </row>
    <row r="2991" spans="1:7" x14ac:dyDescent="0.3">
      <c r="A2991">
        <v>29890</v>
      </c>
      <c r="B2991">
        <v>1212.5</v>
      </c>
      <c r="C2991">
        <v>111.63500000000001</v>
      </c>
      <c r="D2991" s="15">
        <f t="shared" si="140"/>
        <v>1.5000000000000568E-4</v>
      </c>
      <c r="E2991" s="14">
        <f t="shared" si="138"/>
        <v>4.3823781122069997E-5</v>
      </c>
      <c r="F2991">
        <v>103.476</v>
      </c>
      <c r="G2991" s="1">
        <f t="shared" si="139"/>
        <v>103.148191</v>
      </c>
    </row>
    <row r="2992" spans="1:7" x14ac:dyDescent="0.3">
      <c r="A2992">
        <v>29900</v>
      </c>
      <c r="B2992">
        <v>1207.4000000000001</v>
      </c>
      <c r="C2992">
        <v>111.634</v>
      </c>
      <c r="D2992" s="15">
        <f t="shared" si="140"/>
        <v>1.2499999999988632E-4</v>
      </c>
      <c r="E2992" s="14">
        <f t="shared" si="138"/>
        <v>4.3813103966999989E-5</v>
      </c>
      <c r="F2992">
        <v>103.458</v>
      </c>
      <c r="G2992" s="1">
        <f t="shared" si="139"/>
        <v>103.14706100000001</v>
      </c>
    </row>
    <row r="2993" spans="1:7" x14ac:dyDescent="0.3">
      <c r="A2993">
        <v>29910</v>
      </c>
      <c r="B2993">
        <v>1202.3</v>
      </c>
      <c r="C2993">
        <v>111.63200000000001</v>
      </c>
      <c r="D2993" s="15">
        <f t="shared" si="140"/>
        <v>1.5000000000000568E-4</v>
      </c>
      <c r="E2993" s="14">
        <f t="shared" si="138"/>
        <v>4.3802439495269982E-5</v>
      </c>
      <c r="F2993">
        <v>103.43899999999999</v>
      </c>
      <c r="G2993" s="1">
        <f t="shared" si="139"/>
        <v>103.145931</v>
      </c>
    </row>
    <row r="2994" spans="1:7" x14ac:dyDescent="0.3">
      <c r="A2994">
        <v>29920</v>
      </c>
      <c r="B2994">
        <v>1197.2</v>
      </c>
      <c r="C2994">
        <v>111.631</v>
      </c>
      <c r="D2994" s="15">
        <f t="shared" si="140"/>
        <v>1.5000000000000568E-4</v>
      </c>
      <c r="E2994" s="14">
        <f t="shared" si="138"/>
        <v>4.3791787706880004E-5</v>
      </c>
      <c r="F2994">
        <v>103.42100000000001</v>
      </c>
      <c r="G2994" s="1">
        <f t="shared" si="139"/>
        <v>103.144801</v>
      </c>
    </row>
    <row r="2995" spans="1:7" x14ac:dyDescent="0.3">
      <c r="A2995">
        <v>29930</v>
      </c>
      <c r="B2995">
        <v>1192.0999999999999</v>
      </c>
      <c r="C2995">
        <v>111.629</v>
      </c>
      <c r="D2995" s="15">
        <f t="shared" si="140"/>
        <v>1.2500000000024159E-4</v>
      </c>
      <c r="E2995" s="14">
        <f t="shared" si="138"/>
        <v>4.3781148601829985E-5</v>
      </c>
      <c r="F2995">
        <v>103.40300000000001</v>
      </c>
      <c r="G2995" s="1">
        <f t="shared" si="139"/>
        <v>103.143671</v>
      </c>
    </row>
    <row r="2996" spans="1:7" x14ac:dyDescent="0.3">
      <c r="A2996">
        <v>29940</v>
      </c>
      <c r="B2996">
        <v>1187</v>
      </c>
      <c r="C2996">
        <v>111.628</v>
      </c>
      <c r="D2996" s="15">
        <f t="shared" si="140"/>
        <v>1.5000000000000568E-4</v>
      </c>
      <c r="E2996" s="14">
        <f t="shared" si="138"/>
        <v>4.3770522180119968E-5</v>
      </c>
      <c r="F2996">
        <v>103.384</v>
      </c>
      <c r="G2996" s="1">
        <f t="shared" si="139"/>
        <v>103.14254100000001</v>
      </c>
    </row>
    <row r="2997" spans="1:7" x14ac:dyDescent="0.3">
      <c r="A2997">
        <v>29950</v>
      </c>
      <c r="B2997">
        <v>1182</v>
      </c>
      <c r="C2997">
        <v>111.627</v>
      </c>
      <c r="D2997" s="15">
        <f t="shared" si="140"/>
        <v>1.2500000000024159E-4</v>
      </c>
      <c r="E2997" s="14">
        <f t="shared" si="138"/>
        <v>4.3759908441750006E-5</v>
      </c>
      <c r="F2997">
        <v>103.36499999999999</v>
      </c>
      <c r="G2997" s="1">
        <f t="shared" si="139"/>
        <v>103.14141100000001</v>
      </c>
    </row>
    <row r="2998" spans="1:7" x14ac:dyDescent="0.3">
      <c r="A2998">
        <v>29960</v>
      </c>
      <c r="B2998">
        <v>1177</v>
      </c>
      <c r="C2998">
        <v>111.625</v>
      </c>
      <c r="D2998" s="15">
        <f t="shared" si="140"/>
        <v>1.5000000000000568E-4</v>
      </c>
      <c r="E2998" s="14">
        <f t="shared" si="138"/>
        <v>4.3749307386719991E-5</v>
      </c>
      <c r="F2998">
        <v>103.34699999999999</v>
      </c>
      <c r="G2998" s="1">
        <f t="shared" si="139"/>
        <v>103.140281</v>
      </c>
    </row>
    <row r="2999" spans="1:7" x14ac:dyDescent="0.3">
      <c r="A2999">
        <v>29970</v>
      </c>
      <c r="B2999">
        <v>1171.9000000000001</v>
      </c>
      <c r="C2999">
        <v>111.624</v>
      </c>
      <c r="D2999" s="15">
        <f t="shared" si="140"/>
        <v>1.5000000000000568E-4</v>
      </c>
      <c r="E2999" s="14">
        <f t="shared" si="138"/>
        <v>4.373871901502999E-5</v>
      </c>
      <c r="F2999">
        <v>103.328</v>
      </c>
      <c r="G2999" s="1">
        <f t="shared" si="139"/>
        <v>103.139151</v>
      </c>
    </row>
    <row r="3000" spans="1:7" x14ac:dyDescent="0.3">
      <c r="A3000">
        <v>29980</v>
      </c>
      <c r="B3000">
        <v>1166.9000000000001</v>
      </c>
      <c r="C3000">
        <v>111.622</v>
      </c>
      <c r="D3000" s="15">
        <f t="shared" si="140"/>
        <v>1.5000000000000568E-4</v>
      </c>
      <c r="E3000" s="14">
        <f t="shared" si="138"/>
        <v>4.3728143326680004E-5</v>
      </c>
      <c r="F3000">
        <v>103.309</v>
      </c>
      <c r="G3000" s="1">
        <f t="shared" si="139"/>
        <v>103.13802100000001</v>
      </c>
    </row>
    <row r="3001" spans="1:7" x14ac:dyDescent="0.3">
      <c r="A3001">
        <v>29990</v>
      </c>
      <c r="B3001">
        <v>1161.9000000000001</v>
      </c>
      <c r="C3001">
        <v>111.621</v>
      </c>
      <c r="D3001" s="15">
        <f t="shared" si="140"/>
        <v>1.5000000000000568E-4</v>
      </c>
      <c r="E3001" s="14">
        <f t="shared" si="138"/>
        <v>4.3717580321669993E-5</v>
      </c>
      <c r="F3001">
        <v>103.291</v>
      </c>
      <c r="G3001" s="1">
        <f t="shared" si="139"/>
        <v>103.13689100000001</v>
      </c>
    </row>
    <row r="3002" spans="1:7" x14ac:dyDescent="0.3">
      <c r="A3002">
        <v>30000</v>
      </c>
      <c r="B3002">
        <v>1156.9000000000001</v>
      </c>
      <c r="C3002">
        <v>111.619</v>
      </c>
      <c r="D3002" s="15">
        <f t="shared" si="140"/>
        <v>1.5000000000000568E-4</v>
      </c>
      <c r="E3002" s="14">
        <f t="shared" si="138"/>
        <v>4.3707029999999995E-5</v>
      </c>
      <c r="F3002">
        <v>103.27200000000001</v>
      </c>
      <c r="G3002" s="1">
        <f t="shared" si="139"/>
        <v>103.135761</v>
      </c>
    </row>
    <row r="3003" spans="1:7" x14ac:dyDescent="0.3">
      <c r="A3003">
        <v>30010</v>
      </c>
      <c r="B3003">
        <v>1151.9000000000001</v>
      </c>
      <c r="C3003">
        <v>111.61799999999999</v>
      </c>
      <c r="D3003" s="15">
        <f t="shared" si="140"/>
        <v>1.5000000000000568E-4</v>
      </c>
      <c r="E3003" s="14">
        <f t="shared" si="138"/>
        <v>4.3696492361669999E-5</v>
      </c>
      <c r="F3003">
        <v>103.254</v>
      </c>
      <c r="G3003" s="1">
        <f t="shared" si="139"/>
        <v>103.134631</v>
      </c>
    </row>
    <row r="3004" spans="1:7" x14ac:dyDescent="0.3">
      <c r="A3004">
        <v>30020</v>
      </c>
      <c r="B3004">
        <v>1146.8</v>
      </c>
      <c r="C3004">
        <v>111.616</v>
      </c>
      <c r="D3004" s="15">
        <f t="shared" si="140"/>
        <v>1.5000000000000568E-4</v>
      </c>
      <c r="E3004" s="14">
        <f t="shared" si="138"/>
        <v>4.3685967406679991E-5</v>
      </c>
      <c r="F3004">
        <v>103.236</v>
      </c>
      <c r="G3004" s="1">
        <f t="shared" si="139"/>
        <v>103.13350100000001</v>
      </c>
    </row>
    <row r="3005" spans="1:7" x14ac:dyDescent="0.3">
      <c r="A3005">
        <v>30030</v>
      </c>
      <c r="B3005">
        <v>1141.9000000000001</v>
      </c>
      <c r="C3005">
        <v>111.61499999999999</v>
      </c>
      <c r="D3005" s="15">
        <f t="shared" si="140"/>
        <v>1.5000000000000568E-4</v>
      </c>
      <c r="E3005" s="14">
        <f t="shared" si="138"/>
        <v>4.3675455135029983E-5</v>
      </c>
      <c r="F3005">
        <v>103.217</v>
      </c>
      <c r="G3005" s="1">
        <f t="shared" si="139"/>
        <v>103.13237100000001</v>
      </c>
    </row>
    <row r="3006" spans="1:7" x14ac:dyDescent="0.3">
      <c r="A3006">
        <v>30040</v>
      </c>
      <c r="B3006">
        <v>1136.9000000000001</v>
      </c>
      <c r="C3006">
        <v>111.613</v>
      </c>
      <c r="D3006" s="15">
        <f t="shared" si="140"/>
        <v>1.5000000000000568E-4</v>
      </c>
      <c r="E3006" s="14">
        <f t="shared" si="138"/>
        <v>4.3664955546719991E-5</v>
      </c>
      <c r="F3006">
        <v>103.19799999999999</v>
      </c>
      <c r="G3006" s="1">
        <f t="shared" si="139"/>
        <v>103.131241</v>
      </c>
    </row>
    <row r="3007" spans="1:7" x14ac:dyDescent="0.3">
      <c r="A3007">
        <v>30050</v>
      </c>
      <c r="B3007">
        <v>1131.9000000000001</v>
      </c>
      <c r="C3007">
        <v>111.61199999999999</v>
      </c>
      <c r="D3007" s="15">
        <f t="shared" si="140"/>
        <v>1.7499999999976979E-4</v>
      </c>
      <c r="E3007" s="14">
        <f t="shared" si="138"/>
        <v>4.3654468641750012E-5</v>
      </c>
      <c r="F3007">
        <v>103.18</v>
      </c>
      <c r="G3007" s="1">
        <f t="shared" si="139"/>
        <v>103.130111</v>
      </c>
    </row>
    <row r="3008" spans="1:7" x14ac:dyDescent="0.3">
      <c r="A3008">
        <v>30060</v>
      </c>
      <c r="B3008">
        <v>1126.9000000000001</v>
      </c>
      <c r="C3008">
        <v>111.61</v>
      </c>
      <c r="D3008" s="15">
        <f t="shared" si="140"/>
        <v>1.5000000000000568E-4</v>
      </c>
      <c r="E3008" s="14">
        <f t="shared" si="138"/>
        <v>4.3643994420119995E-5</v>
      </c>
      <c r="F3008">
        <v>103.161</v>
      </c>
      <c r="G3008" s="1">
        <f t="shared" si="139"/>
        <v>103.12898100000001</v>
      </c>
    </row>
    <row r="3009" spans="1:7" x14ac:dyDescent="0.3">
      <c r="A3009">
        <v>30070</v>
      </c>
      <c r="B3009">
        <v>1122</v>
      </c>
      <c r="C3009">
        <v>111.608</v>
      </c>
      <c r="D3009" s="15">
        <f t="shared" si="140"/>
        <v>1.7499999999976979E-4</v>
      </c>
      <c r="E3009" s="14">
        <f t="shared" si="138"/>
        <v>4.3633532881830005E-5</v>
      </c>
      <c r="F3009">
        <v>103.143</v>
      </c>
      <c r="G3009" s="1">
        <f t="shared" si="139"/>
        <v>103.12785100000001</v>
      </c>
    </row>
    <row r="3010" spans="1:7" x14ac:dyDescent="0.3">
      <c r="A3010">
        <v>30080</v>
      </c>
      <c r="B3010">
        <v>1117</v>
      </c>
      <c r="C3010">
        <v>111.607</v>
      </c>
      <c r="D3010" s="15">
        <f t="shared" si="140"/>
        <v>1.5000000000000568E-4</v>
      </c>
      <c r="E3010" s="14">
        <f t="shared" ref="E3010:E3073" si="141">0.0000000000000634167*A3010*A3010 - 0.0000000048594*A3010 + 0.000132414</f>
        <v>4.3623084026880003E-5</v>
      </c>
      <c r="F3010">
        <v>103.125</v>
      </c>
      <c r="G3010" s="1">
        <f t="shared" si="139"/>
        <v>103.126721</v>
      </c>
    </row>
    <row r="3011" spans="1:7" x14ac:dyDescent="0.3">
      <c r="A3011">
        <v>30090</v>
      </c>
      <c r="B3011">
        <v>1112.0999999999999</v>
      </c>
      <c r="C3011">
        <v>111.605</v>
      </c>
      <c r="D3011" s="15">
        <f t="shared" si="140"/>
        <v>1.5000000000000568E-4</v>
      </c>
      <c r="E3011" s="14">
        <f t="shared" si="141"/>
        <v>4.3612647855269989E-5</v>
      </c>
      <c r="F3011">
        <v>103.10599999999999</v>
      </c>
      <c r="G3011" s="1">
        <f t="shared" ref="G3011:G3074" si="142">-0.000113*A3011 + 106.525761</f>
        <v>103.125591</v>
      </c>
    </row>
    <row r="3012" spans="1:7" x14ac:dyDescent="0.3">
      <c r="A3012">
        <v>30100</v>
      </c>
      <c r="B3012">
        <v>1107.0999999999999</v>
      </c>
      <c r="C3012">
        <v>111.604</v>
      </c>
      <c r="D3012" s="15">
        <f t="shared" si="140"/>
        <v>1.7500000000012506E-4</v>
      </c>
      <c r="E3012" s="14">
        <f t="shared" si="141"/>
        <v>4.3602224366999975E-5</v>
      </c>
      <c r="F3012">
        <v>103.087</v>
      </c>
      <c r="G3012" s="1">
        <f t="shared" si="142"/>
        <v>103.124461</v>
      </c>
    </row>
    <row r="3013" spans="1:7" x14ac:dyDescent="0.3">
      <c r="A3013">
        <v>30110</v>
      </c>
      <c r="B3013">
        <v>1102.2</v>
      </c>
      <c r="C3013">
        <v>111.602</v>
      </c>
      <c r="D3013" s="15">
        <f t="shared" ref="D3013:D3076" si="143">(C3011-C3015)/(A3015-A3011)</f>
        <v>1.5000000000000568E-4</v>
      </c>
      <c r="E3013" s="14">
        <f t="shared" si="141"/>
        <v>4.3591813562070004E-5</v>
      </c>
      <c r="F3013">
        <v>103.068</v>
      </c>
      <c r="G3013" s="1">
        <f t="shared" si="142"/>
        <v>103.12333100000001</v>
      </c>
    </row>
    <row r="3014" spans="1:7" x14ac:dyDescent="0.3">
      <c r="A3014">
        <v>30120</v>
      </c>
      <c r="B3014">
        <v>1097.3</v>
      </c>
      <c r="C3014">
        <v>111.6</v>
      </c>
      <c r="D3014" s="15">
        <f t="shared" si="143"/>
        <v>1.7500000000012506E-4</v>
      </c>
      <c r="E3014" s="14">
        <f t="shared" si="141"/>
        <v>4.3581415440479979E-5</v>
      </c>
      <c r="F3014">
        <v>103.051</v>
      </c>
      <c r="G3014" s="1">
        <f t="shared" si="142"/>
        <v>103.122201</v>
      </c>
    </row>
    <row r="3015" spans="1:7" x14ac:dyDescent="0.3">
      <c r="A3015">
        <v>30130</v>
      </c>
      <c r="B3015">
        <v>1092.3</v>
      </c>
      <c r="C3015">
        <v>111.599</v>
      </c>
      <c r="D3015" s="15">
        <f t="shared" si="143"/>
        <v>1.7500000000012506E-4</v>
      </c>
      <c r="E3015" s="14">
        <f t="shared" si="141"/>
        <v>4.3571030002229982E-5</v>
      </c>
      <c r="F3015">
        <v>103.032</v>
      </c>
      <c r="G3015" s="1">
        <f t="shared" si="142"/>
        <v>103.121071</v>
      </c>
    </row>
    <row r="3016" spans="1:7" x14ac:dyDescent="0.3">
      <c r="A3016">
        <v>30140</v>
      </c>
      <c r="B3016">
        <v>1087.4000000000001</v>
      </c>
      <c r="C3016">
        <v>111.59699999999999</v>
      </c>
      <c r="D3016" s="15">
        <f t="shared" si="143"/>
        <v>1.5000000000000568E-4</v>
      </c>
      <c r="E3016" s="14">
        <f t="shared" si="141"/>
        <v>4.3560657247319987E-5</v>
      </c>
      <c r="F3016">
        <v>103.01300000000001</v>
      </c>
      <c r="G3016" s="1">
        <f t="shared" si="142"/>
        <v>103.119941</v>
      </c>
    </row>
    <row r="3017" spans="1:7" x14ac:dyDescent="0.3">
      <c r="A3017">
        <v>30150</v>
      </c>
      <c r="B3017">
        <v>1082.5</v>
      </c>
      <c r="C3017">
        <v>111.595</v>
      </c>
      <c r="D3017" s="15">
        <f t="shared" si="143"/>
        <v>1.7500000000012506E-4</v>
      </c>
      <c r="E3017" s="14">
        <f t="shared" si="141"/>
        <v>4.3550297175749993E-5</v>
      </c>
      <c r="F3017">
        <v>102.994</v>
      </c>
      <c r="G3017" s="1">
        <f t="shared" si="142"/>
        <v>103.11881100000001</v>
      </c>
    </row>
    <row r="3018" spans="1:7" x14ac:dyDescent="0.3">
      <c r="A3018">
        <v>30160</v>
      </c>
      <c r="B3018">
        <v>1077.5999999999999</v>
      </c>
      <c r="C3018">
        <v>111.59399999999999</v>
      </c>
      <c r="D3018" s="15">
        <f t="shared" si="143"/>
        <v>1.7499999999976979E-4</v>
      </c>
      <c r="E3018" s="14">
        <f t="shared" si="141"/>
        <v>4.3539949787519986E-5</v>
      </c>
      <c r="F3018">
        <v>102.976</v>
      </c>
      <c r="G3018" s="1">
        <f t="shared" si="142"/>
        <v>103.117681</v>
      </c>
    </row>
    <row r="3019" spans="1:7" x14ac:dyDescent="0.3">
      <c r="A3019">
        <v>30170</v>
      </c>
      <c r="B3019">
        <v>1072.5999999999999</v>
      </c>
      <c r="C3019">
        <v>111.592</v>
      </c>
      <c r="D3019" s="15">
        <f t="shared" si="143"/>
        <v>1.7500000000012506E-4</v>
      </c>
      <c r="E3019" s="14">
        <f t="shared" si="141"/>
        <v>4.3529615082630007E-5</v>
      </c>
      <c r="F3019">
        <v>102.959</v>
      </c>
      <c r="G3019" s="1">
        <f t="shared" si="142"/>
        <v>103.116551</v>
      </c>
    </row>
    <row r="3020" spans="1:7" x14ac:dyDescent="0.3">
      <c r="A3020">
        <v>30180</v>
      </c>
      <c r="B3020">
        <v>1071.5</v>
      </c>
      <c r="C3020">
        <v>111.59</v>
      </c>
      <c r="D3020" s="15">
        <f t="shared" si="143"/>
        <v>1.7499999999976979E-4</v>
      </c>
      <c r="E3020" s="14">
        <f t="shared" si="141"/>
        <v>4.3519293061079989E-5</v>
      </c>
      <c r="F3020">
        <v>102.947</v>
      </c>
      <c r="G3020" s="1">
        <f t="shared" si="142"/>
        <v>103.115421</v>
      </c>
    </row>
    <row r="3021" spans="1:7" x14ac:dyDescent="0.3">
      <c r="A3021">
        <v>30190</v>
      </c>
      <c r="B3021">
        <v>1070.4000000000001</v>
      </c>
      <c r="C3021">
        <v>111.58799999999999</v>
      </c>
      <c r="D3021" s="15">
        <f t="shared" si="143"/>
        <v>1.7500000000012506E-4</v>
      </c>
      <c r="E3021" s="14">
        <f t="shared" si="141"/>
        <v>4.3508983722869986E-5</v>
      </c>
      <c r="F3021">
        <v>102.934</v>
      </c>
      <c r="G3021" s="1">
        <f t="shared" si="142"/>
        <v>103.11429100000001</v>
      </c>
    </row>
    <row r="3022" spans="1:7" x14ac:dyDescent="0.3">
      <c r="A3022">
        <v>30200</v>
      </c>
      <c r="B3022">
        <v>1069.2</v>
      </c>
      <c r="C3022">
        <v>111.587</v>
      </c>
      <c r="D3022" s="15">
        <f t="shared" si="143"/>
        <v>1.7500000000012506E-4</v>
      </c>
      <c r="E3022" s="14">
        <f t="shared" si="141"/>
        <v>4.349868706800001E-5</v>
      </c>
      <c r="F3022">
        <v>102.92100000000001</v>
      </c>
      <c r="G3022" s="1">
        <f t="shared" si="142"/>
        <v>103.11316100000001</v>
      </c>
    </row>
    <row r="3023" spans="1:7" x14ac:dyDescent="0.3">
      <c r="A3023">
        <v>30210</v>
      </c>
      <c r="B3023">
        <v>1068.0999999999999</v>
      </c>
      <c r="C3023">
        <v>111.58499999999999</v>
      </c>
      <c r="D3023" s="15">
        <f t="shared" si="143"/>
        <v>1.5000000000000568E-4</v>
      </c>
      <c r="E3023" s="14">
        <f t="shared" si="141"/>
        <v>4.3488403096469995E-5</v>
      </c>
      <c r="F3023">
        <v>102.90900000000001</v>
      </c>
      <c r="G3023" s="1">
        <f t="shared" si="142"/>
        <v>103.112031</v>
      </c>
    </row>
    <row r="3024" spans="1:7" x14ac:dyDescent="0.3">
      <c r="A3024">
        <v>30220</v>
      </c>
      <c r="B3024">
        <v>1067</v>
      </c>
      <c r="C3024">
        <v>111.583</v>
      </c>
      <c r="D3024" s="15">
        <f t="shared" si="143"/>
        <v>1.7500000000012506E-4</v>
      </c>
      <c r="E3024" s="14">
        <f t="shared" si="141"/>
        <v>4.3478131808279982E-5</v>
      </c>
      <c r="F3024">
        <v>102.896</v>
      </c>
      <c r="G3024" s="1">
        <f t="shared" si="142"/>
        <v>103.110901</v>
      </c>
    </row>
    <row r="3025" spans="1:7" x14ac:dyDescent="0.3">
      <c r="A3025">
        <v>30230</v>
      </c>
      <c r="B3025">
        <v>1065.8</v>
      </c>
      <c r="C3025">
        <v>111.58199999999999</v>
      </c>
      <c r="D3025" s="15">
        <f t="shared" si="143"/>
        <v>1.7499999999976979E-4</v>
      </c>
      <c r="E3025" s="14">
        <f t="shared" si="141"/>
        <v>4.3467873203429996E-5</v>
      </c>
      <c r="F3025">
        <v>102.883</v>
      </c>
      <c r="G3025" s="1">
        <f t="shared" si="142"/>
        <v>103.10977100000001</v>
      </c>
    </row>
    <row r="3026" spans="1:7" x14ac:dyDescent="0.3">
      <c r="A3026">
        <v>30240</v>
      </c>
      <c r="B3026">
        <v>1064.7</v>
      </c>
      <c r="C3026">
        <v>111.58</v>
      </c>
      <c r="D3026" s="15">
        <f t="shared" si="143"/>
        <v>1.5000000000000568E-4</v>
      </c>
      <c r="E3026" s="14">
        <f t="shared" si="141"/>
        <v>4.3457627281919984E-5</v>
      </c>
      <c r="F3026">
        <v>102.87</v>
      </c>
      <c r="G3026" s="1">
        <f t="shared" si="142"/>
        <v>103.10864100000001</v>
      </c>
    </row>
    <row r="3027" spans="1:7" x14ac:dyDescent="0.3">
      <c r="A3027">
        <v>30250</v>
      </c>
      <c r="B3027">
        <v>1063.5</v>
      </c>
      <c r="C3027">
        <v>111.578</v>
      </c>
      <c r="D3027" s="15">
        <f t="shared" si="143"/>
        <v>1.7499999999976979E-4</v>
      </c>
      <c r="E3027" s="14">
        <f t="shared" si="141"/>
        <v>4.3447394043750001E-5</v>
      </c>
      <c r="F3027">
        <v>102.858</v>
      </c>
      <c r="G3027" s="1">
        <f t="shared" si="142"/>
        <v>103.107511</v>
      </c>
    </row>
    <row r="3028" spans="1:7" x14ac:dyDescent="0.3">
      <c r="A3028">
        <v>30260</v>
      </c>
      <c r="B3028">
        <v>1062.3</v>
      </c>
      <c r="C3028">
        <v>111.577</v>
      </c>
      <c r="D3028" s="15">
        <f t="shared" si="143"/>
        <v>1.7500000000012506E-4</v>
      </c>
      <c r="E3028" s="14">
        <f t="shared" si="141"/>
        <v>4.3437173488920019E-5</v>
      </c>
      <c r="F3028">
        <v>102.845</v>
      </c>
      <c r="G3028" s="1">
        <f t="shared" si="142"/>
        <v>103.106381</v>
      </c>
    </row>
    <row r="3029" spans="1:7" x14ac:dyDescent="0.3">
      <c r="A3029">
        <v>30270</v>
      </c>
      <c r="B3029">
        <v>1061.2</v>
      </c>
      <c r="C3029">
        <v>111.575</v>
      </c>
      <c r="D3029" s="15">
        <f t="shared" si="143"/>
        <v>1.5000000000000568E-4</v>
      </c>
      <c r="E3029" s="14">
        <f t="shared" si="141"/>
        <v>4.342696561743001E-5</v>
      </c>
      <c r="F3029">
        <v>102.833</v>
      </c>
      <c r="G3029" s="1">
        <f t="shared" si="142"/>
        <v>103.10525100000001</v>
      </c>
    </row>
    <row r="3030" spans="1:7" x14ac:dyDescent="0.3">
      <c r="A3030">
        <v>30280</v>
      </c>
      <c r="B3030">
        <v>1060</v>
      </c>
      <c r="C3030">
        <v>111.57299999999999</v>
      </c>
      <c r="D3030" s="15">
        <f t="shared" si="143"/>
        <v>1.7500000000012506E-4</v>
      </c>
      <c r="E3030" s="14">
        <f t="shared" si="141"/>
        <v>4.3416770429279989E-5</v>
      </c>
      <c r="F3030">
        <v>102.82</v>
      </c>
      <c r="G3030" s="1">
        <f t="shared" si="142"/>
        <v>103.10412100000001</v>
      </c>
    </row>
    <row r="3031" spans="1:7" x14ac:dyDescent="0.3">
      <c r="A3031">
        <v>30290</v>
      </c>
      <c r="B3031">
        <v>1058.8</v>
      </c>
      <c r="C3031">
        <v>111.572</v>
      </c>
      <c r="D3031" s="15">
        <f t="shared" si="143"/>
        <v>1.7500000000012506E-4</v>
      </c>
      <c r="E3031" s="14">
        <f t="shared" si="141"/>
        <v>4.3406587924469983E-5</v>
      </c>
      <c r="F3031">
        <v>102.80800000000001</v>
      </c>
      <c r="G3031" s="1">
        <f t="shared" si="142"/>
        <v>103.102991</v>
      </c>
    </row>
    <row r="3032" spans="1:7" x14ac:dyDescent="0.3">
      <c r="A3032">
        <v>30300</v>
      </c>
      <c r="B3032">
        <v>1057.5999999999999</v>
      </c>
      <c r="C3032">
        <v>111.57</v>
      </c>
      <c r="D3032" s="15">
        <f t="shared" si="143"/>
        <v>1.5000000000000568E-4</v>
      </c>
      <c r="E3032" s="14">
        <f t="shared" si="141"/>
        <v>4.3396418102999992E-5</v>
      </c>
      <c r="F3032">
        <v>102.795</v>
      </c>
      <c r="G3032" s="1">
        <f t="shared" si="142"/>
        <v>103.101861</v>
      </c>
    </row>
    <row r="3033" spans="1:7" x14ac:dyDescent="0.3">
      <c r="A3033">
        <v>30310</v>
      </c>
      <c r="B3033">
        <v>1056.4000000000001</v>
      </c>
      <c r="C3033">
        <v>111.568</v>
      </c>
      <c r="D3033" s="15">
        <f t="shared" si="143"/>
        <v>1.7500000000012506E-4</v>
      </c>
      <c r="E3033" s="14">
        <f t="shared" si="141"/>
        <v>4.3386260964869988E-5</v>
      </c>
      <c r="F3033">
        <v>102.782</v>
      </c>
      <c r="G3033" s="1">
        <f t="shared" si="142"/>
        <v>103.100731</v>
      </c>
    </row>
    <row r="3034" spans="1:7" x14ac:dyDescent="0.3">
      <c r="A3034">
        <v>30320</v>
      </c>
      <c r="B3034">
        <v>1055.2</v>
      </c>
      <c r="C3034">
        <v>111.56699999999999</v>
      </c>
      <c r="D3034" s="15">
        <f t="shared" si="143"/>
        <v>1.7499999999976979E-4</v>
      </c>
      <c r="E3034" s="14">
        <f t="shared" si="141"/>
        <v>4.3376116510079985E-5</v>
      </c>
      <c r="F3034">
        <v>102.76900000000001</v>
      </c>
      <c r="G3034" s="1">
        <f t="shared" si="142"/>
        <v>103.09960100000001</v>
      </c>
    </row>
    <row r="3035" spans="1:7" x14ac:dyDescent="0.3">
      <c r="A3035">
        <v>30330</v>
      </c>
      <c r="B3035">
        <v>1054</v>
      </c>
      <c r="C3035">
        <v>111.565</v>
      </c>
      <c r="D3035" s="15">
        <f t="shared" si="143"/>
        <v>1.5000000000000568E-4</v>
      </c>
      <c r="E3035" s="14">
        <f t="shared" si="141"/>
        <v>4.3365984738629997E-5</v>
      </c>
      <c r="F3035">
        <v>102.75700000000001</v>
      </c>
      <c r="G3035" s="1">
        <f t="shared" si="142"/>
        <v>103.098471</v>
      </c>
    </row>
    <row r="3036" spans="1:7" x14ac:dyDescent="0.3">
      <c r="A3036">
        <v>30340</v>
      </c>
      <c r="B3036">
        <v>1052.9000000000001</v>
      </c>
      <c r="C3036">
        <v>111.563</v>
      </c>
      <c r="D3036" s="15">
        <f t="shared" si="143"/>
        <v>1.7499999999976979E-4</v>
      </c>
      <c r="E3036" s="14">
        <f t="shared" si="141"/>
        <v>4.3355865650519982E-5</v>
      </c>
      <c r="F3036">
        <v>102.744</v>
      </c>
      <c r="G3036" s="1">
        <f t="shared" si="142"/>
        <v>103.097341</v>
      </c>
    </row>
    <row r="3037" spans="1:7" x14ac:dyDescent="0.3">
      <c r="A3037">
        <v>30350</v>
      </c>
      <c r="B3037">
        <v>1051.7</v>
      </c>
      <c r="C3037">
        <v>111.562</v>
      </c>
      <c r="D3037" s="15">
        <f t="shared" si="143"/>
        <v>1.7499999999976979E-4</v>
      </c>
      <c r="E3037" s="14">
        <f t="shared" si="141"/>
        <v>4.3345759245749983E-5</v>
      </c>
      <c r="F3037">
        <v>102.73099999999999</v>
      </c>
      <c r="G3037" s="1">
        <f t="shared" si="142"/>
        <v>103.096211</v>
      </c>
    </row>
    <row r="3038" spans="1:7" x14ac:dyDescent="0.3">
      <c r="A3038">
        <v>30360</v>
      </c>
      <c r="B3038">
        <v>1050.5</v>
      </c>
      <c r="C3038">
        <v>111.56</v>
      </c>
      <c r="D3038" s="15">
        <f t="shared" si="143"/>
        <v>1.5000000000000568E-4</v>
      </c>
      <c r="E3038" s="14">
        <f t="shared" si="141"/>
        <v>4.3335665524320011E-5</v>
      </c>
      <c r="F3038">
        <v>102.718</v>
      </c>
      <c r="G3038" s="1">
        <f t="shared" si="142"/>
        <v>103.09508100000001</v>
      </c>
    </row>
    <row r="3039" spans="1:7" x14ac:dyDescent="0.3">
      <c r="A3039">
        <v>30370</v>
      </c>
      <c r="B3039">
        <v>1049.3</v>
      </c>
      <c r="C3039">
        <v>111.55800000000001</v>
      </c>
      <c r="D3039" s="15">
        <f t="shared" si="143"/>
        <v>1.7499999999976979E-4</v>
      </c>
      <c r="E3039" s="14">
        <f t="shared" si="141"/>
        <v>4.3325584486229987E-5</v>
      </c>
      <c r="F3039">
        <v>102.706</v>
      </c>
      <c r="G3039" s="1">
        <f t="shared" si="142"/>
        <v>103.093951</v>
      </c>
    </row>
    <row r="3040" spans="1:7" x14ac:dyDescent="0.3">
      <c r="A3040">
        <v>30380</v>
      </c>
      <c r="B3040">
        <v>1048.2</v>
      </c>
      <c r="C3040">
        <v>111.557</v>
      </c>
      <c r="D3040" s="15">
        <f t="shared" si="143"/>
        <v>1.7500000000012506E-4</v>
      </c>
      <c r="E3040" s="14">
        <f t="shared" si="141"/>
        <v>4.3315516131479991E-5</v>
      </c>
      <c r="F3040">
        <v>102.693</v>
      </c>
      <c r="G3040" s="1">
        <f t="shared" si="142"/>
        <v>103.092821</v>
      </c>
    </row>
    <row r="3041" spans="1:7" x14ac:dyDescent="0.3">
      <c r="A3041">
        <v>30390</v>
      </c>
      <c r="B3041">
        <v>1047</v>
      </c>
      <c r="C3041">
        <v>111.55500000000001</v>
      </c>
      <c r="D3041" s="15">
        <f t="shared" si="143"/>
        <v>1.5000000000000568E-4</v>
      </c>
      <c r="E3041" s="14">
        <f t="shared" si="141"/>
        <v>4.3305460460069995E-5</v>
      </c>
      <c r="F3041">
        <v>102.681</v>
      </c>
      <c r="G3041" s="1">
        <f t="shared" si="142"/>
        <v>103.091691</v>
      </c>
    </row>
    <row r="3042" spans="1:7" x14ac:dyDescent="0.3">
      <c r="A3042">
        <v>30400</v>
      </c>
      <c r="B3042">
        <v>1045.9000000000001</v>
      </c>
      <c r="C3042">
        <v>111.553</v>
      </c>
      <c r="D3042" s="15">
        <f t="shared" si="143"/>
        <v>1.7500000000012506E-4</v>
      </c>
      <c r="E3042" s="14">
        <f t="shared" si="141"/>
        <v>4.3295417472000001E-5</v>
      </c>
      <c r="F3042">
        <v>102.66800000000001</v>
      </c>
      <c r="G3042" s="1">
        <f t="shared" si="142"/>
        <v>103.09056100000001</v>
      </c>
    </row>
    <row r="3043" spans="1:7" x14ac:dyDescent="0.3">
      <c r="A3043">
        <v>30410</v>
      </c>
      <c r="B3043">
        <v>1044.7</v>
      </c>
      <c r="C3043">
        <v>111.55200000000001</v>
      </c>
      <c r="D3043" s="15">
        <f t="shared" si="143"/>
        <v>1.7500000000012506E-4</v>
      </c>
      <c r="E3043" s="14">
        <f t="shared" si="141"/>
        <v>4.3285387167269981E-5</v>
      </c>
      <c r="F3043">
        <v>102.65600000000001</v>
      </c>
      <c r="G3043" s="1">
        <f t="shared" si="142"/>
        <v>103.089431</v>
      </c>
    </row>
    <row r="3044" spans="1:7" x14ac:dyDescent="0.3">
      <c r="A3044">
        <v>30420</v>
      </c>
      <c r="B3044">
        <v>1043.5999999999999</v>
      </c>
      <c r="C3044">
        <v>111.55</v>
      </c>
      <c r="D3044" s="15">
        <f t="shared" si="143"/>
        <v>1.5000000000000568E-4</v>
      </c>
      <c r="E3044" s="14">
        <f t="shared" si="141"/>
        <v>4.3275369545880003E-5</v>
      </c>
      <c r="F3044">
        <v>102.643</v>
      </c>
      <c r="G3044" s="1">
        <f t="shared" si="142"/>
        <v>103.088301</v>
      </c>
    </row>
    <row r="3045" spans="1:7" x14ac:dyDescent="0.3">
      <c r="A3045">
        <v>30430</v>
      </c>
      <c r="B3045">
        <v>1042.4000000000001</v>
      </c>
      <c r="C3045">
        <v>111.548</v>
      </c>
      <c r="D3045" s="15">
        <f t="shared" si="143"/>
        <v>1.7500000000012506E-4</v>
      </c>
      <c r="E3045" s="14">
        <f t="shared" si="141"/>
        <v>4.3265364607829998E-5</v>
      </c>
      <c r="F3045">
        <v>102.63</v>
      </c>
      <c r="G3045" s="1">
        <f t="shared" si="142"/>
        <v>103.087171</v>
      </c>
    </row>
    <row r="3046" spans="1:7" x14ac:dyDescent="0.3">
      <c r="A3046">
        <v>30440</v>
      </c>
      <c r="B3046">
        <v>1041.2</v>
      </c>
      <c r="C3046">
        <v>111.547</v>
      </c>
      <c r="D3046" s="15">
        <f t="shared" si="143"/>
        <v>1.5000000000000568E-4</v>
      </c>
      <c r="E3046" s="14">
        <f t="shared" si="141"/>
        <v>4.3255372353119981E-5</v>
      </c>
      <c r="F3046">
        <v>102.61799999999999</v>
      </c>
      <c r="G3046" s="1">
        <f t="shared" si="142"/>
        <v>103.08604100000001</v>
      </c>
    </row>
    <row r="3047" spans="1:7" x14ac:dyDescent="0.3">
      <c r="A3047">
        <v>30450</v>
      </c>
      <c r="B3047">
        <v>1040.0999999999999</v>
      </c>
      <c r="C3047">
        <v>111.545</v>
      </c>
      <c r="D3047" s="15">
        <f t="shared" si="143"/>
        <v>1.5000000000000568E-4</v>
      </c>
      <c r="E3047" s="14">
        <f t="shared" si="141"/>
        <v>4.324539278175002E-5</v>
      </c>
      <c r="F3047">
        <v>102.605</v>
      </c>
      <c r="G3047" s="1">
        <f t="shared" si="142"/>
        <v>103.08491100000001</v>
      </c>
    </row>
    <row r="3048" spans="1:7" x14ac:dyDescent="0.3">
      <c r="A3048">
        <v>30460</v>
      </c>
      <c r="B3048">
        <v>1038.9000000000001</v>
      </c>
      <c r="C3048">
        <v>111.544</v>
      </c>
      <c r="D3048" s="15">
        <f t="shared" si="143"/>
        <v>1.7499999999976979E-4</v>
      </c>
      <c r="E3048" s="14">
        <f t="shared" si="141"/>
        <v>4.3235425893720005E-5</v>
      </c>
      <c r="F3048">
        <v>102.592</v>
      </c>
      <c r="G3048" s="1">
        <f t="shared" si="142"/>
        <v>103.083781</v>
      </c>
    </row>
    <row r="3049" spans="1:7" x14ac:dyDescent="0.3">
      <c r="A3049">
        <v>30470</v>
      </c>
      <c r="B3049">
        <v>1037.7</v>
      </c>
      <c r="C3049">
        <v>111.542</v>
      </c>
      <c r="D3049" s="15">
        <f t="shared" si="143"/>
        <v>1.5000000000000568E-4</v>
      </c>
      <c r="E3049" s="14">
        <f t="shared" si="141"/>
        <v>4.3225471689029992E-5</v>
      </c>
      <c r="F3049">
        <v>102.57899999999999</v>
      </c>
      <c r="G3049" s="1">
        <f t="shared" si="142"/>
        <v>103.082651</v>
      </c>
    </row>
    <row r="3050" spans="1:7" x14ac:dyDescent="0.3">
      <c r="A3050">
        <v>30480</v>
      </c>
      <c r="B3050">
        <v>1036.5999999999999</v>
      </c>
      <c r="C3050">
        <v>111.54</v>
      </c>
      <c r="D3050" s="15">
        <f t="shared" si="143"/>
        <v>1.7499999999976979E-4</v>
      </c>
      <c r="E3050" s="14">
        <f t="shared" si="141"/>
        <v>4.3215530167679979E-5</v>
      </c>
      <c r="F3050">
        <v>102.56699999999999</v>
      </c>
      <c r="G3050" s="1">
        <f t="shared" si="142"/>
        <v>103.08152100000001</v>
      </c>
    </row>
    <row r="3051" spans="1:7" x14ac:dyDescent="0.3">
      <c r="A3051">
        <v>30490</v>
      </c>
      <c r="B3051">
        <v>1035.4000000000001</v>
      </c>
      <c r="C3051">
        <v>111.539</v>
      </c>
      <c r="D3051" s="15">
        <f t="shared" si="143"/>
        <v>1.5000000000000568E-4</v>
      </c>
      <c r="E3051" s="14">
        <f t="shared" si="141"/>
        <v>4.3205601329669995E-5</v>
      </c>
      <c r="F3051">
        <v>102.554</v>
      </c>
      <c r="G3051" s="1">
        <f t="shared" si="142"/>
        <v>103.08039100000001</v>
      </c>
    </row>
    <row r="3052" spans="1:7" x14ac:dyDescent="0.3">
      <c r="A3052">
        <v>30500</v>
      </c>
      <c r="B3052">
        <v>1034.3</v>
      </c>
      <c r="C3052">
        <v>111.53700000000001</v>
      </c>
      <c r="D3052" s="15">
        <f t="shared" si="143"/>
        <v>1.5000000000000568E-4</v>
      </c>
      <c r="E3052" s="14">
        <f t="shared" si="141"/>
        <v>4.3195685174999984E-5</v>
      </c>
      <c r="F3052">
        <v>102.541</v>
      </c>
      <c r="G3052" s="1">
        <f t="shared" si="142"/>
        <v>103.079261</v>
      </c>
    </row>
    <row r="3053" spans="1:7" x14ac:dyDescent="0.3">
      <c r="A3053">
        <v>30510</v>
      </c>
      <c r="B3053">
        <v>1033.2</v>
      </c>
      <c r="C3053">
        <v>111.536</v>
      </c>
      <c r="D3053" s="15">
        <f t="shared" si="143"/>
        <v>1.7500000000012506E-4</v>
      </c>
      <c r="E3053" s="14">
        <f t="shared" si="141"/>
        <v>4.3185781703669975E-5</v>
      </c>
      <c r="F3053">
        <v>102.529</v>
      </c>
      <c r="G3053" s="1">
        <f t="shared" si="142"/>
        <v>103.078131</v>
      </c>
    </row>
    <row r="3054" spans="1:7" x14ac:dyDescent="0.3">
      <c r="A3054">
        <v>30520</v>
      </c>
      <c r="B3054">
        <v>1032</v>
      </c>
      <c r="C3054">
        <v>111.53400000000001</v>
      </c>
      <c r="D3054" s="15">
        <f t="shared" si="143"/>
        <v>1.5000000000000568E-4</v>
      </c>
      <c r="E3054" s="14">
        <f t="shared" si="141"/>
        <v>4.3175890915679994E-5</v>
      </c>
      <c r="F3054">
        <v>102.51600000000001</v>
      </c>
      <c r="G3054" s="1">
        <f t="shared" si="142"/>
        <v>103.077001</v>
      </c>
    </row>
    <row r="3055" spans="1:7" x14ac:dyDescent="0.3">
      <c r="A3055">
        <v>30530</v>
      </c>
      <c r="B3055">
        <v>1030.9000000000001</v>
      </c>
      <c r="C3055">
        <v>111.532</v>
      </c>
      <c r="D3055" s="15">
        <f t="shared" si="143"/>
        <v>1.7500000000012506E-4</v>
      </c>
      <c r="E3055" s="14">
        <f t="shared" si="141"/>
        <v>4.3166012811029987E-5</v>
      </c>
      <c r="F3055">
        <v>102.503</v>
      </c>
      <c r="G3055" s="1">
        <f t="shared" si="142"/>
        <v>103.07587100000001</v>
      </c>
    </row>
    <row r="3056" spans="1:7" x14ac:dyDescent="0.3">
      <c r="A3056">
        <v>30540</v>
      </c>
      <c r="B3056">
        <v>1029.7</v>
      </c>
      <c r="C3056">
        <v>111.53100000000001</v>
      </c>
      <c r="D3056" s="15">
        <f t="shared" si="143"/>
        <v>1.5000000000000568E-4</v>
      </c>
      <c r="E3056" s="14">
        <f t="shared" si="141"/>
        <v>4.3156147389719981E-5</v>
      </c>
      <c r="F3056">
        <v>102.49</v>
      </c>
      <c r="G3056" s="1">
        <f t="shared" si="142"/>
        <v>103.074741</v>
      </c>
    </row>
    <row r="3057" spans="1:7" x14ac:dyDescent="0.3">
      <c r="A3057">
        <v>30550</v>
      </c>
      <c r="B3057">
        <v>1028.5999999999999</v>
      </c>
      <c r="C3057">
        <v>111.529</v>
      </c>
      <c r="D3057" s="15">
        <f t="shared" si="143"/>
        <v>1.5000000000000568E-4</v>
      </c>
      <c r="E3057" s="14">
        <f t="shared" si="141"/>
        <v>4.3146294651750004E-5</v>
      </c>
      <c r="F3057">
        <v>102.47799999999999</v>
      </c>
      <c r="G3057" s="1">
        <f t="shared" si="142"/>
        <v>103.073611</v>
      </c>
    </row>
    <row r="3058" spans="1:7" x14ac:dyDescent="0.3">
      <c r="A3058">
        <v>30560</v>
      </c>
      <c r="B3058">
        <v>1027.5</v>
      </c>
      <c r="C3058">
        <v>111.52800000000001</v>
      </c>
      <c r="D3058" s="15">
        <f t="shared" si="143"/>
        <v>1.7500000000012506E-4</v>
      </c>
      <c r="E3058" s="14">
        <f t="shared" si="141"/>
        <v>4.313645459712E-5</v>
      </c>
      <c r="F3058">
        <v>102.465</v>
      </c>
      <c r="G3058" s="1">
        <f t="shared" si="142"/>
        <v>103.072481</v>
      </c>
    </row>
    <row r="3059" spans="1:7" x14ac:dyDescent="0.3">
      <c r="A3059">
        <v>30570</v>
      </c>
      <c r="B3059">
        <v>1026.3</v>
      </c>
      <c r="C3059">
        <v>111.526</v>
      </c>
      <c r="D3059" s="15">
        <f t="shared" si="143"/>
        <v>1.5000000000000568E-4</v>
      </c>
      <c r="E3059" s="14">
        <f t="shared" si="141"/>
        <v>4.3126627225829997E-5</v>
      </c>
      <c r="F3059">
        <v>102.452</v>
      </c>
      <c r="G3059" s="1">
        <f t="shared" si="142"/>
        <v>103.07135100000001</v>
      </c>
    </row>
    <row r="3060" spans="1:7" x14ac:dyDescent="0.3">
      <c r="A3060">
        <v>30580</v>
      </c>
      <c r="B3060">
        <v>1025.2</v>
      </c>
      <c r="C3060">
        <v>111.524</v>
      </c>
      <c r="D3060" s="15">
        <f t="shared" si="143"/>
        <v>1.7500000000012506E-4</v>
      </c>
      <c r="E3060" s="14">
        <f t="shared" si="141"/>
        <v>4.3116812537879996E-5</v>
      </c>
      <c r="F3060">
        <v>102.441</v>
      </c>
      <c r="G3060" s="1">
        <f t="shared" si="142"/>
        <v>103.070221</v>
      </c>
    </row>
    <row r="3061" spans="1:7" x14ac:dyDescent="0.3">
      <c r="A3061">
        <v>30590</v>
      </c>
      <c r="B3061">
        <v>1024.0999999999999</v>
      </c>
      <c r="C3061">
        <v>111.523</v>
      </c>
      <c r="D3061" s="15">
        <f t="shared" si="143"/>
        <v>1.5000000000000568E-4</v>
      </c>
      <c r="E3061" s="14">
        <f t="shared" si="141"/>
        <v>4.3107010533269995E-5</v>
      </c>
      <c r="F3061">
        <v>102.428</v>
      </c>
      <c r="G3061" s="1">
        <f t="shared" si="142"/>
        <v>103.069091</v>
      </c>
    </row>
    <row r="3062" spans="1:7" x14ac:dyDescent="0.3">
      <c r="A3062">
        <v>30600</v>
      </c>
      <c r="B3062">
        <v>1022.9</v>
      </c>
      <c r="C3062">
        <v>111.521</v>
      </c>
      <c r="D3062" s="15">
        <f t="shared" si="143"/>
        <v>1.5000000000000568E-4</v>
      </c>
      <c r="E3062" s="14">
        <f t="shared" si="141"/>
        <v>4.3097221211999982E-5</v>
      </c>
      <c r="F3062">
        <v>102.41500000000001</v>
      </c>
      <c r="G3062" s="1">
        <f t="shared" si="142"/>
        <v>103.067961</v>
      </c>
    </row>
    <row r="3063" spans="1:7" x14ac:dyDescent="0.3">
      <c r="A3063">
        <v>30610</v>
      </c>
      <c r="B3063">
        <v>1021.8</v>
      </c>
      <c r="C3063">
        <v>111.52</v>
      </c>
      <c r="D3063" s="15">
        <f t="shared" si="143"/>
        <v>1.5000000000000568E-4</v>
      </c>
      <c r="E3063" s="14">
        <f t="shared" si="141"/>
        <v>4.3087444574069997E-5</v>
      </c>
      <c r="F3063">
        <v>102.40300000000001</v>
      </c>
      <c r="G3063" s="1">
        <f t="shared" si="142"/>
        <v>103.06683100000001</v>
      </c>
    </row>
    <row r="3064" spans="1:7" x14ac:dyDescent="0.3">
      <c r="A3064">
        <v>30620</v>
      </c>
      <c r="B3064">
        <v>1020.7</v>
      </c>
      <c r="C3064">
        <v>111.518</v>
      </c>
      <c r="D3064" s="15">
        <f t="shared" si="143"/>
        <v>1.5000000000000568E-4</v>
      </c>
      <c r="E3064" s="14">
        <f t="shared" si="141"/>
        <v>4.307768061948E-5</v>
      </c>
      <c r="F3064">
        <v>102.39</v>
      </c>
      <c r="G3064" s="1">
        <f t="shared" si="142"/>
        <v>103.065701</v>
      </c>
    </row>
    <row r="3065" spans="1:7" x14ac:dyDescent="0.3">
      <c r="A3065">
        <v>30630</v>
      </c>
      <c r="B3065">
        <v>1019.6</v>
      </c>
      <c r="C3065">
        <v>111.517</v>
      </c>
      <c r="D3065" s="15">
        <f t="shared" si="143"/>
        <v>1.5000000000000568E-4</v>
      </c>
      <c r="E3065" s="14">
        <f t="shared" si="141"/>
        <v>4.3067929348229977E-5</v>
      </c>
      <c r="F3065">
        <v>102.377</v>
      </c>
      <c r="G3065" s="1">
        <f t="shared" si="142"/>
        <v>103.064571</v>
      </c>
    </row>
    <row r="3066" spans="1:7" x14ac:dyDescent="0.3">
      <c r="A3066">
        <v>30640</v>
      </c>
      <c r="B3066">
        <v>1018.4</v>
      </c>
      <c r="C3066">
        <v>111.515</v>
      </c>
      <c r="D3066" s="15">
        <f t="shared" si="143"/>
        <v>1.5000000000000568E-4</v>
      </c>
      <c r="E3066" s="14">
        <f t="shared" si="141"/>
        <v>4.3058190760320009E-5</v>
      </c>
      <c r="F3066">
        <v>102.36499999999999</v>
      </c>
      <c r="G3066" s="1">
        <f t="shared" si="142"/>
        <v>103.063441</v>
      </c>
    </row>
    <row r="3067" spans="1:7" x14ac:dyDescent="0.3">
      <c r="A3067">
        <v>30650</v>
      </c>
      <c r="B3067">
        <v>1017.3</v>
      </c>
      <c r="C3067">
        <v>111.514</v>
      </c>
      <c r="D3067" s="15">
        <f t="shared" si="143"/>
        <v>1.5000000000000568E-4</v>
      </c>
      <c r="E3067" s="14">
        <f t="shared" si="141"/>
        <v>4.3048464855750002E-5</v>
      </c>
      <c r="F3067">
        <v>102.352</v>
      </c>
      <c r="G3067" s="1">
        <f t="shared" si="142"/>
        <v>103.06231100000001</v>
      </c>
    </row>
    <row r="3068" spans="1:7" x14ac:dyDescent="0.3">
      <c r="A3068">
        <v>30660</v>
      </c>
      <c r="B3068">
        <v>1016.2</v>
      </c>
      <c r="C3068">
        <v>111.512</v>
      </c>
      <c r="D3068" s="15">
        <f t="shared" si="143"/>
        <v>1.5000000000000568E-4</v>
      </c>
      <c r="E3068" s="14">
        <f t="shared" si="141"/>
        <v>4.3038751634519995E-5</v>
      </c>
      <c r="F3068">
        <v>102.339</v>
      </c>
      <c r="G3068" s="1">
        <f t="shared" si="142"/>
        <v>103.061181</v>
      </c>
    </row>
    <row r="3069" spans="1:7" x14ac:dyDescent="0.3">
      <c r="A3069">
        <v>30670</v>
      </c>
      <c r="B3069">
        <v>1015.1</v>
      </c>
      <c r="C3069">
        <v>111.511</v>
      </c>
      <c r="D3069" s="15">
        <f t="shared" si="143"/>
        <v>1.5000000000000568E-4</v>
      </c>
      <c r="E3069" s="14">
        <f t="shared" si="141"/>
        <v>4.3029051096629976E-5</v>
      </c>
      <c r="F3069">
        <v>102.327</v>
      </c>
      <c r="G3069" s="1">
        <f t="shared" si="142"/>
        <v>103.060051</v>
      </c>
    </row>
    <row r="3070" spans="1:7" x14ac:dyDescent="0.3">
      <c r="A3070">
        <v>30680</v>
      </c>
      <c r="B3070">
        <v>1014</v>
      </c>
      <c r="C3070">
        <v>111.509</v>
      </c>
      <c r="D3070" s="15">
        <f t="shared" si="143"/>
        <v>1.5000000000000568E-4</v>
      </c>
      <c r="E3070" s="14">
        <f t="shared" si="141"/>
        <v>4.3019363242079999E-5</v>
      </c>
      <c r="F3070">
        <v>102.31399999999999</v>
      </c>
      <c r="G3070" s="1">
        <f t="shared" si="142"/>
        <v>103.058921</v>
      </c>
    </row>
    <row r="3071" spans="1:7" x14ac:dyDescent="0.3">
      <c r="A3071">
        <v>30690</v>
      </c>
      <c r="B3071">
        <v>1012.8</v>
      </c>
      <c r="C3071">
        <v>111.508</v>
      </c>
      <c r="D3071" s="15">
        <f t="shared" si="143"/>
        <v>1.5000000000000568E-4</v>
      </c>
      <c r="E3071" s="14">
        <f t="shared" si="141"/>
        <v>4.3009688070869996E-5</v>
      </c>
      <c r="F3071">
        <v>102.301</v>
      </c>
      <c r="G3071" s="1">
        <f t="shared" si="142"/>
        <v>103.05779100000001</v>
      </c>
    </row>
    <row r="3072" spans="1:7" x14ac:dyDescent="0.3">
      <c r="A3072">
        <v>30700</v>
      </c>
      <c r="B3072">
        <v>1011.7</v>
      </c>
      <c r="C3072">
        <v>111.506</v>
      </c>
      <c r="D3072" s="15">
        <f t="shared" si="143"/>
        <v>1.5000000000000568E-4</v>
      </c>
      <c r="E3072" s="14">
        <f t="shared" si="141"/>
        <v>4.3000025582999981E-5</v>
      </c>
      <c r="F3072">
        <v>102.289</v>
      </c>
      <c r="G3072" s="1">
        <f t="shared" si="142"/>
        <v>103.05666100000001</v>
      </c>
    </row>
    <row r="3073" spans="1:7" x14ac:dyDescent="0.3">
      <c r="A3073">
        <v>30710</v>
      </c>
      <c r="B3073">
        <v>1010.6</v>
      </c>
      <c r="C3073">
        <v>111.505</v>
      </c>
      <c r="D3073" s="15">
        <f t="shared" si="143"/>
        <v>1.7499999999976979E-4</v>
      </c>
      <c r="E3073" s="14">
        <f t="shared" si="141"/>
        <v>4.2990375778469993E-5</v>
      </c>
      <c r="F3073">
        <v>102.276</v>
      </c>
      <c r="G3073" s="1">
        <f t="shared" si="142"/>
        <v>103.055531</v>
      </c>
    </row>
    <row r="3074" spans="1:7" x14ac:dyDescent="0.3">
      <c r="A3074">
        <v>30720</v>
      </c>
      <c r="B3074">
        <v>1009.5</v>
      </c>
      <c r="C3074">
        <v>111.503</v>
      </c>
      <c r="D3074" s="15">
        <f t="shared" si="143"/>
        <v>1.5000000000000568E-4</v>
      </c>
      <c r="E3074" s="14">
        <f t="shared" ref="E3074:E3137" si="144">0.0000000000000634167*A3074*A3074 - 0.0000000048594*A3074 + 0.000132414</f>
        <v>4.298073865727998E-5</v>
      </c>
      <c r="F3074">
        <v>102.26300000000001</v>
      </c>
      <c r="G3074" s="1">
        <f t="shared" si="142"/>
        <v>103.054401</v>
      </c>
    </row>
    <row r="3075" spans="1:7" x14ac:dyDescent="0.3">
      <c r="A3075">
        <v>30730</v>
      </c>
      <c r="B3075">
        <v>1008.4</v>
      </c>
      <c r="C3075">
        <v>111.501</v>
      </c>
      <c r="D3075" s="15">
        <f t="shared" si="143"/>
        <v>1.5000000000000568E-4</v>
      </c>
      <c r="E3075" s="14">
        <f t="shared" si="144"/>
        <v>4.2971114219429981E-5</v>
      </c>
      <c r="F3075">
        <v>102.251</v>
      </c>
      <c r="G3075" s="1">
        <f t="shared" ref="G3075:G3138" si="145">-0.000113*A3075 + 106.525761</f>
        <v>103.05327100000001</v>
      </c>
    </row>
    <row r="3076" spans="1:7" x14ac:dyDescent="0.3">
      <c r="A3076">
        <v>30740</v>
      </c>
      <c r="B3076">
        <v>1007.3</v>
      </c>
      <c r="C3076">
        <v>111.5</v>
      </c>
      <c r="D3076" s="15">
        <f t="shared" si="143"/>
        <v>1.5000000000000568E-4</v>
      </c>
      <c r="E3076" s="14">
        <f t="shared" si="144"/>
        <v>4.2961502464920011E-5</v>
      </c>
      <c r="F3076">
        <v>102.238</v>
      </c>
      <c r="G3076" s="1">
        <f t="shared" si="145"/>
        <v>103.05214100000001</v>
      </c>
    </row>
    <row r="3077" spans="1:7" x14ac:dyDescent="0.3">
      <c r="A3077">
        <v>30750</v>
      </c>
      <c r="B3077">
        <v>1006.2</v>
      </c>
      <c r="C3077">
        <v>111.499</v>
      </c>
      <c r="D3077" s="15">
        <f t="shared" ref="D3077:D3140" si="146">(C3075-C3079)/(A3079-A3075)</f>
        <v>1.2500000000024159E-4</v>
      </c>
      <c r="E3077" s="14">
        <f t="shared" si="144"/>
        <v>4.2951903393750001E-5</v>
      </c>
      <c r="F3077">
        <v>102.22499999999999</v>
      </c>
      <c r="G3077" s="1">
        <f t="shared" si="145"/>
        <v>103.051011</v>
      </c>
    </row>
    <row r="3078" spans="1:7" x14ac:dyDescent="0.3">
      <c r="A3078">
        <v>30760</v>
      </c>
      <c r="B3078">
        <v>1005.1</v>
      </c>
      <c r="C3078">
        <v>111.497</v>
      </c>
      <c r="D3078" s="15">
        <f t="shared" si="146"/>
        <v>1.5000000000000568E-4</v>
      </c>
      <c r="E3078" s="14">
        <f t="shared" si="144"/>
        <v>4.2942317005919992E-5</v>
      </c>
      <c r="F3078">
        <v>102.21299999999999</v>
      </c>
      <c r="G3078" s="1">
        <f t="shared" si="145"/>
        <v>103.049881</v>
      </c>
    </row>
    <row r="3079" spans="1:7" x14ac:dyDescent="0.3">
      <c r="A3079">
        <v>30770</v>
      </c>
      <c r="B3079">
        <v>1003.9</v>
      </c>
      <c r="C3079">
        <v>111.496</v>
      </c>
      <c r="D3079" s="15">
        <f t="shared" si="146"/>
        <v>1.5000000000000568E-4</v>
      </c>
      <c r="E3079" s="14">
        <f t="shared" si="144"/>
        <v>4.2932743301430011E-5</v>
      </c>
      <c r="F3079">
        <v>102.2</v>
      </c>
      <c r="G3079" s="1">
        <f t="shared" si="145"/>
        <v>103.04875100000001</v>
      </c>
    </row>
    <row r="3080" spans="1:7" x14ac:dyDescent="0.3">
      <c r="A3080">
        <v>30780</v>
      </c>
      <c r="B3080">
        <v>1002.6</v>
      </c>
      <c r="C3080">
        <v>111.494</v>
      </c>
      <c r="D3080" s="15">
        <f t="shared" si="146"/>
        <v>1.5000000000000568E-4</v>
      </c>
      <c r="E3080" s="14">
        <f t="shared" si="144"/>
        <v>4.2923182280280004E-5</v>
      </c>
      <c r="F3080">
        <v>102.187</v>
      </c>
      <c r="G3080" s="1">
        <f t="shared" si="145"/>
        <v>103.04762100000001</v>
      </c>
    </row>
    <row r="3081" spans="1:7" x14ac:dyDescent="0.3">
      <c r="A3081">
        <v>30790</v>
      </c>
      <c r="B3081">
        <v>1001.4</v>
      </c>
      <c r="C3081">
        <v>111.49299999999999</v>
      </c>
      <c r="D3081" s="15">
        <f t="shared" si="146"/>
        <v>1.5000000000000568E-4</v>
      </c>
      <c r="E3081" s="14">
        <f t="shared" si="144"/>
        <v>4.2913633942469985E-5</v>
      </c>
      <c r="F3081">
        <v>102.175</v>
      </c>
      <c r="G3081" s="1">
        <f t="shared" si="145"/>
        <v>103.046491</v>
      </c>
    </row>
    <row r="3082" spans="1:7" x14ac:dyDescent="0.3">
      <c r="A3082">
        <v>30800</v>
      </c>
      <c r="B3082">
        <v>1000.2</v>
      </c>
      <c r="C3082">
        <v>111.491</v>
      </c>
      <c r="D3082" s="15">
        <f t="shared" si="146"/>
        <v>1.5000000000000568E-4</v>
      </c>
      <c r="E3082" s="14">
        <f t="shared" si="144"/>
        <v>4.2904098287999994E-5</v>
      </c>
      <c r="F3082">
        <v>102.16200000000001</v>
      </c>
      <c r="G3082" s="1">
        <f t="shared" si="145"/>
        <v>103.045361</v>
      </c>
    </row>
    <row r="3083" spans="1:7" x14ac:dyDescent="0.3">
      <c r="A3083">
        <v>30810</v>
      </c>
      <c r="B3083">
        <v>999</v>
      </c>
      <c r="C3083">
        <v>111.49</v>
      </c>
      <c r="D3083" s="15">
        <f t="shared" si="146"/>
        <v>1.5000000000000568E-4</v>
      </c>
      <c r="E3083" s="14">
        <f t="shared" si="144"/>
        <v>4.289457531686999E-5</v>
      </c>
      <c r="F3083">
        <v>102.149</v>
      </c>
      <c r="G3083" s="1">
        <f t="shared" si="145"/>
        <v>103.044231</v>
      </c>
    </row>
    <row r="3084" spans="1:7" x14ac:dyDescent="0.3">
      <c r="A3084">
        <v>30820</v>
      </c>
      <c r="B3084">
        <v>997.7</v>
      </c>
      <c r="C3084">
        <v>111.488</v>
      </c>
      <c r="D3084" s="15">
        <f t="shared" si="146"/>
        <v>1.5000000000000568E-4</v>
      </c>
      <c r="E3084" s="14">
        <f t="shared" si="144"/>
        <v>4.2885065029079988E-5</v>
      </c>
      <c r="F3084">
        <v>102.137</v>
      </c>
      <c r="G3084" s="1">
        <f t="shared" si="145"/>
        <v>103.04310100000001</v>
      </c>
    </row>
    <row r="3085" spans="1:7" x14ac:dyDescent="0.3">
      <c r="A3085">
        <v>30830</v>
      </c>
      <c r="B3085">
        <v>996.5</v>
      </c>
      <c r="C3085">
        <v>111.48699999999999</v>
      </c>
      <c r="D3085" s="15">
        <f t="shared" si="146"/>
        <v>1.5000000000000568E-4</v>
      </c>
      <c r="E3085" s="14">
        <f t="shared" si="144"/>
        <v>4.287556742463E-5</v>
      </c>
      <c r="F3085">
        <v>102.124</v>
      </c>
      <c r="G3085" s="1">
        <f t="shared" si="145"/>
        <v>103.041971</v>
      </c>
    </row>
    <row r="3086" spans="1:7" x14ac:dyDescent="0.3">
      <c r="A3086">
        <v>30840</v>
      </c>
      <c r="B3086">
        <v>995.3</v>
      </c>
      <c r="C3086">
        <v>111.485</v>
      </c>
      <c r="D3086" s="15">
        <f t="shared" si="146"/>
        <v>1.5000000000000568E-4</v>
      </c>
      <c r="E3086" s="14">
        <f t="shared" si="144"/>
        <v>4.2866082503520013E-5</v>
      </c>
      <c r="F3086">
        <v>102.111</v>
      </c>
      <c r="G3086" s="1">
        <f t="shared" si="145"/>
        <v>103.040841</v>
      </c>
    </row>
    <row r="3087" spans="1:7" x14ac:dyDescent="0.3">
      <c r="A3087">
        <v>30850</v>
      </c>
      <c r="B3087">
        <v>994.1</v>
      </c>
      <c r="C3087">
        <v>111.48399999999999</v>
      </c>
      <c r="D3087" s="15">
        <f t="shared" si="146"/>
        <v>1.5000000000000568E-4</v>
      </c>
      <c r="E3087" s="14">
        <f t="shared" si="144"/>
        <v>4.2856610265749987E-5</v>
      </c>
      <c r="F3087">
        <v>102.098</v>
      </c>
      <c r="G3087" s="1">
        <f t="shared" si="145"/>
        <v>103.039711</v>
      </c>
    </row>
    <row r="3088" spans="1:7" x14ac:dyDescent="0.3">
      <c r="A3088">
        <v>30860</v>
      </c>
      <c r="B3088">
        <v>992.9</v>
      </c>
      <c r="C3088">
        <v>111.482</v>
      </c>
      <c r="D3088" s="15">
        <f t="shared" si="146"/>
        <v>1.2499999999988632E-4</v>
      </c>
      <c r="E3088" s="14">
        <f t="shared" si="144"/>
        <v>4.2847150711319989E-5</v>
      </c>
      <c r="F3088">
        <v>102.08499999999999</v>
      </c>
      <c r="G3088" s="1">
        <f t="shared" si="145"/>
        <v>103.03858100000001</v>
      </c>
    </row>
    <row r="3089" spans="1:7" x14ac:dyDescent="0.3">
      <c r="A3089">
        <v>30870</v>
      </c>
      <c r="B3089">
        <v>991.6</v>
      </c>
      <c r="C3089">
        <v>111.48099999999999</v>
      </c>
      <c r="D3089" s="15">
        <f t="shared" si="146"/>
        <v>1.5000000000000568E-4</v>
      </c>
      <c r="E3089" s="14">
        <f t="shared" si="144"/>
        <v>4.2837703840229992E-5</v>
      </c>
      <c r="F3089">
        <v>102.07299999999999</v>
      </c>
      <c r="G3089" s="1">
        <f t="shared" si="145"/>
        <v>103.037451</v>
      </c>
    </row>
    <row r="3090" spans="1:7" x14ac:dyDescent="0.3">
      <c r="A3090">
        <v>30880</v>
      </c>
      <c r="B3090">
        <v>990</v>
      </c>
      <c r="C3090">
        <v>111.48</v>
      </c>
      <c r="D3090" s="15">
        <f t="shared" si="146"/>
        <v>1.2499999999988632E-4</v>
      </c>
      <c r="E3090" s="14">
        <f t="shared" si="144"/>
        <v>4.2828269652479996E-5</v>
      </c>
      <c r="F3090">
        <v>102.06</v>
      </c>
      <c r="G3090" s="1">
        <f t="shared" si="145"/>
        <v>103.036321</v>
      </c>
    </row>
    <row r="3091" spans="1:7" x14ac:dyDescent="0.3">
      <c r="A3091">
        <v>30890</v>
      </c>
      <c r="B3091">
        <v>988.2</v>
      </c>
      <c r="C3091">
        <v>111.47799999999999</v>
      </c>
      <c r="D3091" s="15">
        <f t="shared" si="146"/>
        <v>1.5000000000000568E-4</v>
      </c>
      <c r="E3091" s="14">
        <f t="shared" si="144"/>
        <v>4.2818848148069974E-5</v>
      </c>
      <c r="F3091">
        <v>102.047</v>
      </c>
      <c r="G3091" s="1">
        <f t="shared" si="145"/>
        <v>103.035191</v>
      </c>
    </row>
    <row r="3092" spans="1:7" x14ac:dyDescent="0.3">
      <c r="A3092">
        <v>30900</v>
      </c>
      <c r="B3092">
        <v>986.6</v>
      </c>
      <c r="C3092">
        <v>111.477</v>
      </c>
      <c r="D3092" s="15">
        <f t="shared" si="146"/>
        <v>1.5000000000000568E-4</v>
      </c>
      <c r="E3092" s="14">
        <f t="shared" si="144"/>
        <v>4.2809439327000007E-5</v>
      </c>
      <c r="F3092">
        <v>102.035</v>
      </c>
      <c r="G3092" s="1">
        <f t="shared" si="145"/>
        <v>103.03406100000001</v>
      </c>
    </row>
    <row r="3093" spans="1:7" x14ac:dyDescent="0.3">
      <c r="A3093">
        <v>30910</v>
      </c>
      <c r="B3093">
        <v>984.8</v>
      </c>
      <c r="C3093">
        <v>111.47499999999999</v>
      </c>
      <c r="D3093" s="15">
        <f t="shared" si="146"/>
        <v>1.5000000000000568E-4</v>
      </c>
      <c r="E3093" s="14">
        <f t="shared" si="144"/>
        <v>4.2800043189269988E-5</v>
      </c>
      <c r="F3093">
        <v>102.02200000000001</v>
      </c>
      <c r="G3093" s="1">
        <f t="shared" si="145"/>
        <v>103.032931</v>
      </c>
    </row>
    <row r="3094" spans="1:7" x14ac:dyDescent="0.3">
      <c r="A3094">
        <v>30920</v>
      </c>
      <c r="B3094">
        <v>983.2</v>
      </c>
      <c r="C3094">
        <v>111.474</v>
      </c>
      <c r="D3094" s="15">
        <f t="shared" si="146"/>
        <v>1.5000000000000568E-4</v>
      </c>
      <c r="E3094" s="14">
        <f t="shared" si="144"/>
        <v>4.2790659734879982E-5</v>
      </c>
      <c r="F3094">
        <v>102.01</v>
      </c>
      <c r="G3094" s="1">
        <f t="shared" si="145"/>
        <v>103.031801</v>
      </c>
    </row>
    <row r="3095" spans="1:7" x14ac:dyDescent="0.3">
      <c r="A3095">
        <v>30930</v>
      </c>
      <c r="B3095">
        <v>981.5</v>
      </c>
      <c r="C3095">
        <v>111.47199999999999</v>
      </c>
      <c r="D3095" s="15">
        <f t="shared" si="146"/>
        <v>1.2499999999988632E-4</v>
      </c>
      <c r="E3095" s="14">
        <f t="shared" si="144"/>
        <v>4.2781288963830006E-5</v>
      </c>
      <c r="F3095">
        <v>101.997</v>
      </c>
      <c r="G3095" s="1">
        <f t="shared" si="145"/>
        <v>103.030671</v>
      </c>
    </row>
    <row r="3096" spans="1:7" x14ac:dyDescent="0.3">
      <c r="A3096">
        <v>30940</v>
      </c>
      <c r="B3096">
        <v>979.7</v>
      </c>
      <c r="C3096">
        <v>111.471</v>
      </c>
      <c r="D3096" s="15">
        <f t="shared" si="146"/>
        <v>1.5000000000000568E-4</v>
      </c>
      <c r="E3096" s="14">
        <f t="shared" si="144"/>
        <v>4.2771930876120003E-5</v>
      </c>
      <c r="F3096">
        <v>101.98399999999999</v>
      </c>
      <c r="G3096" s="1">
        <f t="shared" si="145"/>
        <v>103.02954100000001</v>
      </c>
    </row>
    <row r="3097" spans="1:7" x14ac:dyDescent="0.3">
      <c r="A3097">
        <v>30950</v>
      </c>
      <c r="B3097">
        <v>978</v>
      </c>
      <c r="C3097">
        <v>111.47</v>
      </c>
      <c r="D3097" s="15">
        <f t="shared" si="146"/>
        <v>1.2499999999988632E-4</v>
      </c>
      <c r="E3097" s="14">
        <f t="shared" si="144"/>
        <v>4.2762585471749987E-5</v>
      </c>
      <c r="F3097">
        <v>101.97199999999999</v>
      </c>
      <c r="G3097" s="1">
        <f t="shared" si="145"/>
        <v>103.02841100000001</v>
      </c>
    </row>
    <row r="3098" spans="1:7" x14ac:dyDescent="0.3">
      <c r="A3098">
        <v>30960</v>
      </c>
      <c r="B3098">
        <v>976.2</v>
      </c>
      <c r="C3098">
        <v>111.468</v>
      </c>
      <c r="D3098" s="15">
        <f t="shared" si="146"/>
        <v>1.5000000000000568E-4</v>
      </c>
      <c r="E3098" s="14">
        <f t="shared" si="144"/>
        <v>4.2753252750720014E-5</v>
      </c>
      <c r="F3098">
        <v>101.959</v>
      </c>
      <c r="G3098" s="1">
        <f t="shared" si="145"/>
        <v>103.027281</v>
      </c>
    </row>
    <row r="3099" spans="1:7" x14ac:dyDescent="0.3">
      <c r="A3099">
        <v>30970</v>
      </c>
      <c r="B3099">
        <v>974.6</v>
      </c>
      <c r="C3099">
        <v>111.467</v>
      </c>
      <c r="D3099" s="15">
        <f t="shared" si="146"/>
        <v>1.5000000000000568E-4</v>
      </c>
      <c r="E3099" s="14">
        <f t="shared" si="144"/>
        <v>4.2743932713030001E-5</v>
      </c>
      <c r="F3099">
        <v>101.947</v>
      </c>
      <c r="G3099" s="1">
        <f t="shared" si="145"/>
        <v>103.026151</v>
      </c>
    </row>
    <row r="3100" spans="1:7" x14ac:dyDescent="0.3">
      <c r="A3100">
        <v>30980</v>
      </c>
      <c r="B3100">
        <v>972.9</v>
      </c>
      <c r="C3100">
        <v>111.465</v>
      </c>
      <c r="D3100" s="15">
        <f t="shared" si="146"/>
        <v>1.2500000000024159E-4</v>
      </c>
      <c r="E3100" s="14">
        <f t="shared" si="144"/>
        <v>4.2734625358679989E-5</v>
      </c>
      <c r="F3100">
        <v>101.934</v>
      </c>
      <c r="G3100" s="1">
        <f t="shared" si="145"/>
        <v>103.02502100000001</v>
      </c>
    </row>
    <row r="3101" spans="1:7" x14ac:dyDescent="0.3">
      <c r="A3101">
        <v>30990</v>
      </c>
      <c r="B3101">
        <v>971.2</v>
      </c>
      <c r="C3101">
        <v>111.464</v>
      </c>
      <c r="D3101" s="15">
        <f t="shared" si="146"/>
        <v>1.5000000000000568E-4</v>
      </c>
      <c r="E3101" s="14">
        <f t="shared" si="144"/>
        <v>4.2725330687670005E-5</v>
      </c>
      <c r="F3101">
        <v>101.92100000000001</v>
      </c>
      <c r="G3101" s="1">
        <f t="shared" si="145"/>
        <v>103.02389100000001</v>
      </c>
    </row>
    <row r="3102" spans="1:7" x14ac:dyDescent="0.3">
      <c r="A3102">
        <v>31000</v>
      </c>
      <c r="B3102">
        <v>969.5</v>
      </c>
      <c r="C3102">
        <v>111.46299999999999</v>
      </c>
      <c r="D3102" s="15">
        <f t="shared" si="146"/>
        <v>1.2500000000024159E-4</v>
      </c>
      <c r="E3102" s="14">
        <f t="shared" si="144"/>
        <v>4.2716048699999995E-5</v>
      </c>
      <c r="F3102">
        <v>101.90900000000001</v>
      </c>
      <c r="G3102" s="1">
        <f t="shared" si="145"/>
        <v>103.022761</v>
      </c>
    </row>
    <row r="3103" spans="1:7" x14ac:dyDescent="0.3">
      <c r="A3103">
        <v>31010</v>
      </c>
      <c r="B3103">
        <v>967.8</v>
      </c>
      <c r="C3103">
        <v>111.461</v>
      </c>
      <c r="D3103" s="15">
        <f t="shared" si="146"/>
        <v>1.2499999999988632E-4</v>
      </c>
      <c r="E3103" s="14">
        <f t="shared" si="144"/>
        <v>4.2706779395669986E-5</v>
      </c>
      <c r="F3103">
        <v>101.896</v>
      </c>
      <c r="G3103" s="1">
        <f t="shared" si="145"/>
        <v>103.021631</v>
      </c>
    </row>
    <row r="3104" spans="1:7" x14ac:dyDescent="0.3">
      <c r="A3104">
        <v>31020</v>
      </c>
      <c r="B3104">
        <v>966.1</v>
      </c>
      <c r="C3104">
        <v>111.46</v>
      </c>
      <c r="D3104" s="15">
        <f t="shared" si="146"/>
        <v>1.5000000000000568E-4</v>
      </c>
      <c r="E3104" s="14">
        <f t="shared" si="144"/>
        <v>4.2697522774680005E-5</v>
      </c>
      <c r="F3104">
        <v>101.884</v>
      </c>
      <c r="G3104" s="1">
        <f t="shared" si="145"/>
        <v>103.020501</v>
      </c>
    </row>
    <row r="3105" spans="1:7" x14ac:dyDescent="0.3">
      <c r="A3105">
        <v>31030</v>
      </c>
      <c r="B3105">
        <v>956.4</v>
      </c>
      <c r="C3105">
        <v>111.459</v>
      </c>
      <c r="D3105" s="15">
        <f t="shared" si="146"/>
        <v>1.2499999999988632E-4</v>
      </c>
      <c r="E3105" s="14">
        <f t="shared" si="144"/>
        <v>4.2688278837029999E-5</v>
      </c>
      <c r="F3105">
        <v>101.875</v>
      </c>
      <c r="G3105" s="1">
        <f t="shared" si="145"/>
        <v>103.01937100000001</v>
      </c>
    </row>
    <row r="3106" spans="1:7" x14ac:dyDescent="0.3">
      <c r="A3106">
        <v>31040</v>
      </c>
      <c r="B3106">
        <v>956.4</v>
      </c>
      <c r="C3106">
        <v>111.45699999999999</v>
      </c>
      <c r="D3106" s="15">
        <f t="shared" si="146"/>
        <v>1.2499999999988632E-4</v>
      </c>
      <c r="E3106" s="14">
        <f t="shared" si="144"/>
        <v>4.2679047582719993E-5</v>
      </c>
      <c r="F3106">
        <v>101.883</v>
      </c>
      <c r="G3106" s="1">
        <f t="shared" si="145"/>
        <v>103.018241</v>
      </c>
    </row>
    <row r="3107" spans="1:7" x14ac:dyDescent="0.3">
      <c r="A3107">
        <v>31050</v>
      </c>
      <c r="B3107">
        <v>956.4</v>
      </c>
      <c r="C3107">
        <v>111.456</v>
      </c>
      <c r="D3107" s="15">
        <f t="shared" si="146"/>
        <v>1.5000000000000568E-4</v>
      </c>
      <c r="E3107" s="14">
        <f t="shared" si="144"/>
        <v>4.2669829011749989E-5</v>
      </c>
      <c r="F3107">
        <v>101.893</v>
      </c>
      <c r="G3107" s="1">
        <f t="shared" si="145"/>
        <v>103.017111</v>
      </c>
    </row>
    <row r="3108" spans="1:7" x14ac:dyDescent="0.3">
      <c r="A3108">
        <v>31060</v>
      </c>
      <c r="B3108">
        <v>956.4</v>
      </c>
      <c r="C3108">
        <v>111.455</v>
      </c>
      <c r="D3108" s="15">
        <f t="shared" si="146"/>
        <v>1.2499999999988632E-4</v>
      </c>
      <c r="E3108" s="14">
        <f t="shared" si="144"/>
        <v>4.2660623124119999E-5</v>
      </c>
      <c r="F3108">
        <v>101.901</v>
      </c>
      <c r="G3108" s="1">
        <f t="shared" si="145"/>
        <v>103.015981</v>
      </c>
    </row>
    <row r="3109" spans="1:7" x14ac:dyDescent="0.3">
      <c r="A3109">
        <v>31070</v>
      </c>
      <c r="B3109">
        <v>956.4</v>
      </c>
      <c r="C3109">
        <v>111.453</v>
      </c>
      <c r="D3109" s="15">
        <f t="shared" si="146"/>
        <v>1.2500000000024159E-4</v>
      </c>
      <c r="E3109" s="14">
        <f t="shared" si="144"/>
        <v>4.2651429919829997E-5</v>
      </c>
      <c r="F3109">
        <v>101.91</v>
      </c>
      <c r="G3109" s="1">
        <f t="shared" si="145"/>
        <v>103.01485100000001</v>
      </c>
    </row>
    <row r="3110" spans="1:7" x14ac:dyDescent="0.3">
      <c r="A3110">
        <v>31080</v>
      </c>
      <c r="B3110">
        <v>956.3</v>
      </c>
      <c r="C3110">
        <v>111.452</v>
      </c>
      <c r="D3110" s="15">
        <f t="shared" si="146"/>
        <v>1.5000000000000568E-4</v>
      </c>
      <c r="E3110" s="14">
        <f t="shared" si="144"/>
        <v>4.2642249398879982E-5</v>
      </c>
      <c r="F3110">
        <v>101.919</v>
      </c>
      <c r="G3110" s="1">
        <f t="shared" si="145"/>
        <v>103.013721</v>
      </c>
    </row>
    <row r="3111" spans="1:7" x14ac:dyDescent="0.3">
      <c r="A3111">
        <v>31090</v>
      </c>
      <c r="B3111">
        <v>956.3</v>
      </c>
      <c r="C3111">
        <v>111.45099999999999</v>
      </c>
      <c r="D3111" s="15">
        <f t="shared" si="146"/>
        <v>1.2500000000024159E-4</v>
      </c>
      <c r="E3111" s="14">
        <f t="shared" si="144"/>
        <v>4.2633081561269996E-5</v>
      </c>
      <c r="F3111">
        <v>101.92700000000001</v>
      </c>
      <c r="G3111" s="1">
        <f t="shared" si="145"/>
        <v>103.012591</v>
      </c>
    </row>
    <row r="3112" spans="1:7" x14ac:dyDescent="0.3">
      <c r="A3112">
        <v>31100</v>
      </c>
      <c r="B3112">
        <v>956.3</v>
      </c>
      <c r="C3112">
        <v>111.449</v>
      </c>
      <c r="D3112" s="15">
        <f t="shared" si="146"/>
        <v>1.2499999999988632E-4</v>
      </c>
      <c r="E3112" s="14">
        <f t="shared" si="144"/>
        <v>4.2623926406999997E-5</v>
      </c>
      <c r="F3112">
        <v>101.93600000000001</v>
      </c>
      <c r="G3112" s="1">
        <f t="shared" si="145"/>
        <v>103.011461</v>
      </c>
    </row>
    <row r="3113" spans="1:7" x14ac:dyDescent="0.3">
      <c r="A3113">
        <v>31110</v>
      </c>
      <c r="B3113">
        <v>956.3</v>
      </c>
      <c r="C3113">
        <v>111.44799999999999</v>
      </c>
      <c r="D3113" s="15">
        <f t="shared" si="146"/>
        <v>1.5000000000000568E-4</v>
      </c>
      <c r="E3113" s="14">
        <f t="shared" si="144"/>
        <v>4.2614783936069985E-5</v>
      </c>
      <c r="F3113">
        <v>101.94499999999999</v>
      </c>
      <c r="G3113" s="1">
        <f t="shared" si="145"/>
        <v>103.01033100000001</v>
      </c>
    </row>
    <row r="3114" spans="1:7" x14ac:dyDescent="0.3">
      <c r="A3114">
        <v>31120</v>
      </c>
      <c r="B3114">
        <v>956.2</v>
      </c>
      <c r="C3114">
        <v>111.447</v>
      </c>
      <c r="D3114" s="15">
        <f t="shared" si="146"/>
        <v>1.2499999999988632E-4</v>
      </c>
      <c r="E3114" s="14">
        <f t="shared" si="144"/>
        <v>4.2605654148480002E-5</v>
      </c>
      <c r="F3114">
        <v>101.95399999999999</v>
      </c>
      <c r="G3114" s="1">
        <f t="shared" si="145"/>
        <v>103.009201</v>
      </c>
    </row>
    <row r="3115" spans="1:7" x14ac:dyDescent="0.3">
      <c r="A3115">
        <v>31130</v>
      </c>
      <c r="B3115">
        <v>956.2</v>
      </c>
      <c r="C3115">
        <v>111.44499999999999</v>
      </c>
      <c r="D3115" s="15">
        <f t="shared" si="146"/>
        <v>1.2499999999988632E-4</v>
      </c>
      <c r="E3115" s="14">
        <f t="shared" si="144"/>
        <v>4.2596537044229993E-5</v>
      </c>
      <c r="F3115">
        <v>101.96299999999999</v>
      </c>
      <c r="G3115" s="1">
        <f t="shared" si="145"/>
        <v>103.008071</v>
      </c>
    </row>
    <row r="3116" spans="1:7" x14ac:dyDescent="0.3">
      <c r="A3116">
        <v>31140</v>
      </c>
      <c r="B3116">
        <v>956.2</v>
      </c>
      <c r="C3116">
        <v>111.444</v>
      </c>
      <c r="D3116" s="15">
        <f t="shared" si="146"/>
        <v>1.5000000000000568E-4</v>
      </c>
      <c r="E3116" s="14">
        <f t="shared" si="144"/>
        <v>4.2587432623319985E-5</v>
      </c>
      <c r="F3116">
        <v>101.97199999999999</v>
      </c>
      <c r="G3116" s="1">
        <f t="shared" si="145"/>
        <v>103.006941</v>
      </c>
    </row>
    <row r="3117" spans="1:7" x14ac:dyDescent="0.3">
      <c r="A3117">
        <v>31150</v>
      </c>
      <c r="B3117">
        <v>956.2</v>
      </c>
      <c r="C3117">
        <v>111.443</v>
      </c>
      <c r="D3117" s="15">
        <f t="shared" si="146"/>
        <v>1.2499999999988632E-4</v>
      </c>
      <c r="E3117" s="14">
        <f t="shared" si="144"/>
        <v>4.2578340885750005E-5</v>
      </c>
      <c r="F3117">
        <v>101.98</v>
      </c>
      <c r="G3117" s="1">
        <f t="shared" si="145"/>
        <v>103.00581100000001</v>
      </c>
    </row>
    <row r="3118" spans="1:7" x14ac:dyDescent="0.3">
      <c r="A3118">
        <v>31160</v>
      </c>
      <c r="B3118">
        <v>956.1</v>
      </c>
      <c r="C3118">
        <v>111.441</v>
      </c>
      <c r="D3118" s="15">
        <f t="shared" si="146"/>
        <v>1.5000000000000568E-4</v>
      </c>
      <c r="E3118" s="14">
        <f t="shared" si="144"/>
        <v>4.2569261831519999E-5</v>
      </c>
      <c r="F3118">
        <v>101.989</v>
      </c>
      <c r="G3118" s="1">
        <f t="shared" si="145"/>
        <v>103.00468100000001</v>
      </c>
    </row>
    <row r="3119" spans="1:7" x14ac:dyDescent="0.3">
      <c r="A3119">
        <v>31170</v>
      </c>
      <c r="B3119">
        <v>956.1</v>
      </c>
      <c r="C3119">
        <v>111.44</v>
      </c>
      <c r="D3119" s="15">
        <f t="shared" si="146"/>
        <v>1.5000000000000568E-4</v>
      </c>
      <c r="E3119" s="14">
        <f t="shared" si="144"/>
        <v>4.2560195460629994E-5</v>
      </c>
      <c r="F3119">
        <v>101.998</v>
      </c>
      <c r="G3119" s="1">
        <f t="shared" si="145"/>
        <v>103.003551</v>
      </c>
    </row>
    <row r="3120" spans="1:7" x14ac:dyDescent="0.3">
      <c r="A3120">
        <v>31180</v>
      </c>
      <c r="B3120">
        <v>956</v>
      </c>
      <c r="C3120">
        <v>111.438</v>
      </c>
      <c r="D3120" s="15">
        <f t="shared" si="146"/>
        <v>1.2499999999988632E-4</v>
      </c>
      <c r="E3120" s="14">
        <f t="shared" si="144"/>
        <v>4.2551141773080004E-5</v>
      </c>
      <c r="F3120">
        <v>102.00700000000001</v>
      </c>
      <c r="G3120" s="1">
        <f t="shared" si="145"/>
        <v>103.002421</v>
      </c>
    </row>
    <row r="3121" spans="1:7" x14ac:dyDescent="0.3">
      <c r="A3121">
        <v>31190</v>
      </c>
      <c r="B3121">
        <v>955.9</v>
      </c>
      <c r="C3121">
        <v>111.437</v>
      </c>
      <c r="D3121" s="15">
        <f t="shared" si="146"/>
        <v>1.5000000000000568E-4</v>
      </c>
      <c r="E3121" s="14">
        <f t="shared" si="144"/>
        <v>4.2542100768870001E-5</v>
      </c>
      <c r="F3121">
        <v>102.01600000000001</v>
      </c>
      <c r="G3121" s="1">
        <f t="shared" si="145"/>
        <v>103.00129100000001</v>
      </c>
    </row>
    <row r="3122" spans="1:7" x14ac:dyDescent="0.3">
      <c r="A3122">
        <v>31200</v>
      </c>
      <c r="B3122">
        <v>955.8</v>
      </c>
      <c r="C3122">
        <v>111.43600000000001</v>
      </c>
      <c r="D3122" s="15">
        <f t="shared" si="146"/>
        <v>1.2499999999988632E-4</v>
      </c>
      <c r="E3122" s="14">
        <f t="shared" si="144"/>
        <v>4.2533072447999986E-5</v>
      </c>
      <c r="F3122">
        <v>102.024</v>
      </c>
      <c r="G3122" s="1">
        <f t="shared" si="145"/>
        <v>103.00016100000001</v>
      </c>
    </row>
    <row r="3123" spans="1:7" x14ac:dyDescent="0.3">
      <c r="A3123">
        <v>31210</v>
      </c>
      <c r="B3123">
        <v>955.7</v>
      </c>
      <c r="C3123">
        <v>111.434</v>
      </c>
      <c r="D3123" s="15">
        <f t="shared" si="146"/>
        <v>1.2499999999988632E-4</v>
      </c>
      <c r="E3123" s="14">
        <f t="shared" si="144"/>
        <v>4.2524056810469999E-5</v>
      </c>
      <c r="F3123">
        <v>102.03400000000001</v>
      </c>
      <c r="G3123" s="1">
        <f t="shared" si="145"/>
        <v>102.999031</v>
      </c>
    </row>
    <row r="3124" spans="1:7" x14ac:dyDescent="0.3">
      <c r="A3124">
        <v>31220</v>
      </c>
      <c r="B3124">
        <v>955.5</v>
      </c>
      <c r="C3124">
        <v>111.43300000000001</v>
      </c>
      <c r="D3124" s="15">
        <f t="shared" si="146"/>
        <v>1.5000000000000568E-4</v>
      </c>
      <c r="E3124" s="14">
        <f t="shared" si="144"/>
        <v>4.251505385628E-5</v>
      </c>
      <c r="F3124">
        <v>102.042</v>
      </c>
      <c r="G3124" s="1">
        <f t="shared" si="145"/>
        <v>102.997901</v>
      </c>
    </row>
    <row r="3125" spans="1:7" x14ac:dyDescent="0.3">
      <c r="A3125">
        <v>31230</v>
      </c>
      <c r="B3125">
        <v>955.5</v>
      </c>
      <c r="C3125">
        <v>111.432</v>
      </c>
      <c r="D3125" s="15">
        <f t="shared" si="146"/>
        <v>1.2499999999988632E-4</v>
      </c>
      <c r="E3125" s="14">
        <f t="shared" si="144"/>
        <v>4.2506063585429988E-5</v>
      </c>
      <c r="F3125">
        <v>102.05</v>
      </c>
      <c r="G3125" s="1">
        <f t="shared" si="145"/>
        <v>102.99677100000001</v>
      </c>
    </row>
    <row r="3126" spans="1:7" x14ac:dyDescent="0.3">
      <c r="A3126">
        <v>31240</v>
      </c>
      <c r="B3126">
        <v>955.4</v>
      </c>
      <c r="C3126">
        <v>111.43</v>
      </c>
      <c r="D3126" s="15">
        <f t="shared" si="146"/>
        <v>1.5000000000000568E-4</v>
      </c>
      <c r="E3126" s="14">
        <f t="shared" si="144"/>
        <v>4.2497085997920018E-5</v>
      </c>
      <c r="F3126">
        <v>102.06</v>
      </c>
      <c r="G3126" s="1">
        <f t="shared" si="145"/>
        <v>102.99564100000001</v>
      </c>
    </row>
    <row r="3127" spans="1:7" x14ac:dyDescent="0.3">
      <c r="A3127">
        <v>31250</v>
      </c>
      <c r="B3127">
        <v>955.4</v>
      </c>
      <c r="C3127">
        <v>111.429</v>
      </c>
      <c r="D3127" s="15">
        <f t="shared" si="146"/>
        <v>1.5000000000000568E-4</v>
      </c>
      <c r="E3127" s="14">
        <f t="shared" si="144"/>
        <v>4.2488121093750008E-5</v>
      </c>
      <c r="F3127">
        <v>102.068</v>
      </c>
      <c r="G3127" s="1">
        <f t="shared" si="145"/>
        <v>102.994511</v>
      </c>
    </row>
    <row r="3128" spans="1:7" x14ac:dyDescent="0.3">
      <c r="A3128">
        <v>31260</v>
      </c>
      <c r="B3128">
        <v>955.2</v>
      </c>
      <c r="C3128">
        <v>111.42700000000001</v>
      </c>
      <c r="D3128" s="15">
        <f t="shared" si="146"/>
        <v>1.2500000000024159E-4</v>
      </c>
      <c r="E3128" s="14">
        <f t="shared" si="144"/>
        <v>4.2479168872919999E-5</v>
      </c>
      <c r="F3128">
        <v>102.078</v>
      </c>
      <c r="G3128" s="1">
        <f t="shared" si="145"/>
        <v>102.993381</v>
      </c>
    </row>
    <row r="3129" spans="1:7" x14ac:dyDescent="0.3">
      <c r="A3129">
        <v>31270</v>
      </c>
      <c r="B3129">
        <v>955.1</v>
      </c>
      <c r="C3129">
        <v>111.426</v>
      </c>
      <c r="D3129" s="15">
        <f t="shared" si="146"/>
        <v>1.5000000000000568E-4</v>
      </c>
      <c r="E3129" s="14">
        <f t="shared" si="144"/>
        <v>4.2470229335429978E-5</v>
      </c>
      <c r="F3129">
        <v>102.086</v>
      </c>
      <c r="G3129" s="1">
        <f t="shared" si="145"/>
        <v>102.99225100000001</v>
      </c>
    </row>
    <row r="3130" spans="1:7" x14ac:dyDescent="0.3">
      <c r="A3130">
        <v>31280</v>
      </c>
      <c r="B3130">
        <v>955</v>
      </c>
      <c r="C3130">
        <v>111.425</v>
      </c>
      <c r="D3130" s="15">
        <f t="shared" si="146"/>
        <v>1.2500000000024159E-4</v>
      </c>
      <c r="E3130" s="14">
        <f t="shared" si="144"/>
        <v>4.2461302481279999E-5</v>
      </c>
      <c r="F3130">
        <v>102.09399999999999</v>
      </c>
      <c r="G3130" s="1">
        <f t="shared" si="145"/>
        <v>102.99112100000001</v>
      </c>
    </row>
    <row r="3131" spans="1:7" x14ac:dyDescent="0.3">
      <c r="A3131">
        <v>31290</v>
      </c>
      <c r="B3131">
        <v>954.9</v>
      </c>
      <c r="C3131">
        <v>111.423</v>
      </c>
      <c r="D3131" s="15">
        <f t="shared" si="146"/>
        <v>1.5000000000000568E-4</v>
      </c>
      <c r="E3131" s="14">
        <f t="shared" si="144"/>
        <v>4.2452388310469994E-5</v>
      </c>
      <c r="F3131">
        <v>102.104</v>
      </c>
      <c r="G3131" s="1">
        <f t="shared" si="145"/>
        <v>102.989991</v>
      </c>
    </row>
    <row r="3132" spans="1:7" x14ac:dyDescent="0.3">
      <c r="A3132">
        <v>31300</v>
      </c>
      <c r="B3132">
        <v>954.8</v>
      </c>
      <c r="C3132">
        <v>111.422</v>
      </c>
      <c r="D3132" s="15">
        <f t="shared" si="146"/>
        <v>1.5000000000000568E-4</v>
      </c>
      <c r="E3132" s="14">
        <f t="shared" si="144"/>
        <v>4.2443486822999976E-5</v>
      </c>
      <c r="F3132">
        <v>102.11199999999999</v>
      </c>
      <c r="G3132" s="1">
        <f t="shared" si="145"/>
        <v>102.988861</v>
      </c>
    </row>
    <row r="3133" spans="1:7" x14ac:dyDescent="0.3">
      <c r="A3133">
        <v>31310</v>
      </c>
      <c r="B3133">
        <v>954.7</v>
      </c>
      <c r="C3133">
        <v>111.42</v>
      </c>
      <c r="D3133" s="15">
        <f t="shared" si="146"/>
        <v>1.2499999999988632E-4</v>
      </c>
      <c r="E3133" s="14">
        <f t="shared" si="144"/>
        <v>4.243459801887E-5</v>
      </c>
      <c r="F3133">
        <v>102.121</v>
      </c>
      <c r="G3133" s="1">
        <f t="shared" si="145"/>
        <v>102.987731</v>
      </c>
    </row>
    <row r="3134" spans="1:7" x14ac:dyDescent="0.3">
      <c r="A3134">
        <v>31320</v>
      </c>
      <c r="B3134">
        <v>954.7</v>
      </c>
      <c r="C3134">
        <v>111.419</v>
      </c>
      <c r="D3134" s="15">
        <f t="shared" si="146"/>
        <v>1.5000000000000568E-4</v>
      </c>
      <c r="E3134" s="14">
        <f t="shared" si="144"/>
        <v>4.2425721898079984E-5</v>
      </c>
      <c r="F3134">
        <v>102.13</v>
      </c>
      <c r="G3134" s="1">
        <f t="shared" si="145"/>
        <v>102.98660100000001</v>
      </c>
    </row>
    <row r="3135" spans="1:7" x14ac:dyDescent="0.3">
      <c r="A3135">
        <v>31330</v>
      </c>
      <c r="B3135">
        <v>954.5</v>
      </c>
      <c r="C3135">
        <v>111.41800000000001</v>
      </c>
      <c r="D3135" s="15">
        <f t="shared" si="146"/>
        <v>1.2499999999988632E-4</v>
      </c>
      <c r="E3135" s="14">
        <f t="shared" si="144"/>
        <v>4.2416858460629983E-5</v>
      </c>
      <c r="F3135">
        <v>102.139</v>
      </c>
      <c r="G3135" s="1">
        <f t="shared" si="145"/>
        <v>102.985471</v>
      </c>
    </row>
    <row r="3136" spans="1:7" x14ac:dyDescent="0.3">
      <c r="A3136">
        <v>31340</v>
      </c>
      <c r="B3136">
        <v>954.5</v>
      </c>
      <c r="C3136">
        <v>111.416</v>
      </c>
      <c r="D3136" s="15">
        <f t="shared" si="146"/>
        <v>1.5000000000000568E-4</v>
      </c>
      <c r="E3136" s="14">
        <f t="shared" si="144"/>
        <v>4.2408007706520011E-5</v>
      </c>
      <c r="F3136">
        <v>102.148</v>
      </c>
      <c r="G3136" s="1">
        <f t="shared" si="145"/>
        <v>102.984341</v>
      </c>
    </row>
    <row r="3137" spans="1:7" x14ac:dyDescent="0.3">
      <c r="A3137">
        <v>31350</v>
      </c>
      <c r="B3137">
        <v>954.4</v>
      </c>
      <c r="C3137">
        <v>111.41500000000001</v>
      </c>
      <c r="D3137" s="15">
        <f t="shared" si="146"/>
        <v>1.5000000000000568E-4</v>
      </c>
      <c r="E3137" s="14">
        <f t="shared" si="144"/>
        <v>4.2399169635749998E-5</v>
      </c>
      <c r="F3137">
        <v>102.15600000000001</v>
      </c>
      <c r="G3137" s="1">
        <f t="shared" si="145"/>
        <v>102.983211</v>
      </c>
    </row>
    <row r="3138" spans="1:7" x14ac:dyDescent="0.3">
      <c r="A3138">
        <v>31360</v>
      </c>
      <c r="B3138">
        <v>954.3</v>
      </c>
      <c r="C3138">
        <v>111.413</v>
      </c>
      <c r="D3138" s="15">
        <f t="shared" si="146"/>
        <v>1.2499999999988632E-4</v>
      </c>
      <c r="E3138" s="14">
        <f t="shared" ref="E3138:E3201" si="147">0.0000000000000634167*A3138*A3138 - 0.0000000048594*A3138 + 0.000132414</f>
        <v>4.2390344248319987E-5</v>
      </c>
      <c r="F3138">
        <v>102.16500000000001</v>
      </c>
      <c r="G3138" s="1">
        <f t="shared" si="145"/>
        <v>102.98208100000001</v>
      </c>
    </row>
    <row r="3139" spans="1:7" x14ac:dyDescent="0.3">
      <c r="A3139">
        <v>31370</v>
      </c>
      <c r="B3139">
        <v>954.2</v>
      </c>
      <c r="C3139">
        <v>111.41200000000001</v>
      </c>
      <c r="D3139" s="15">
        <f t="shared" si="146"/>
        <v>1.5000000000000568E-4</v>
      </c>
      <c r="E3139" s="14">
        <f t="shared" si="147"/>
        <v>4.2381531544230004E-5</v>
      </c>
      <c r="F3139">
        <v>102.17400000000001</v>
      </c>
      <c r="G3139" s="1">
        <f t="shared" ref="G3139:G3202" si="148">-0.000113*A3139 + 106.525761</f>
        <v>102.980951</v>
      </c>
    </row>
    <row r="3140" spans="1:7" x14ac:dyDescent="0.3">
      <c r="A3140">
        <v>31380</v>
      </c>
      <c r="B3140">
        <v>954.1</v>
      </c>
      <c r="C3140">
        <v>111.411</v>
      </c>
      <c r="D3140" s="15">
        <f t="shared" si="146"/>
        <v>1.2499999999988632E-4</v>
      </c>
      <c r="E3140" s="14">
        <f t="shared" si="147"/>
        <v>4.2372731523479995E-5</v>
      </c>
      <c r="F3140">
        <v>102.18300000000001</v>
      </c>
      <c r="G3140" s="1">
        <f t="shared" si="148"/>
        <v>102.979821</v>
      </c>
    </row>
    <row r="3141" spans="1:7" x14ac:dyDescent="0.3">
      <c r="A3141">
        <v>31390</v>
      </c>
      <c r="B3141">
        <v>954</v>
      </c>
      <c r="C3141">
        <v>111.40900000000001</v>
      </c>
      <c r="D3141" s="15">
        <f t="shared" ref="D3141:D3204" si="149">(C3139-C3143)/(A3143-A3139)</f>
        <v>1.5000000000000568E-4</v>
      </c>
      <c r="E3141" s="14">
        <f t="shared" si="147"/>
        <v>4.2363944186069987E-5</v>
      </c>
      <c r="F3141">
        <v>102.19199999999999</v>
      </c>
      <c r="G3141" s="1">
        <f t="shared" si="148"/>
        <v>102.978691</v>
      </c>
    </row>
    <row r="3142" spans="1:7" x14ac:dyDescent="0.3">
      <c r="A3142">
        <v>31400</v>
      </c>
      <c r="B3142">
        <v>953.9</v>
      </c>
      <c r="C3142">
        <v>111.408</v>
      </c>
      <c r="D3142" s="15">
        <f t="shared" si="149"/>
        <v>1.5000000000000568E-4</v>
      </c>
      <c r="E3142" s="14">
        <f t="shared" si="147"/>
        <v>4.2355169532000007E-5</v>
      </c>
      <c r="F3142">
        <v>102.2</v>
      </c>
      <c r="G3142" s="1">
        <f t="shared" si="148"/>
        <v>102.97756100000001</v>
      </c>
    </row>
    <row r="3143" spans="1:7" x14ac:dyDescent="0.3">
      <c r="A3143">
        <v>31410</v>
      </c>
      <c r="B3143">
        <v>953.9</v>
      </c>
      <c r="C3143">
        <v>111.40600000000001</v>
      </c>
      <c r="D3143" s="15">
        <f t="shared" si="149"/>
        <v>1.2500000000024159E-4</v>
      </c>
      <c r="E3143" s="14">
        <f t="shared" si="147"/>
        <v>4.2346407561269988E-5</v>
      </c>
      <c r="F3143">
        <v>102.209</v>
      </c>
      <c r="G3143" s="1">
        <f t="shared" si="148"/>
        <v>102.97643100000001</v>
      </c>
    </row>
    <row r="3144" spans="1:7" x14ac:dyDescent="0.3">
      <c r="A3144">
        <v>31420</v>
      </c>
      <c r="B3144">
        <v>953.7</v>
      </c>
      <c r="C3144">
        <v>111.405</v>
      </c>
      <c r="D3144" s="15">
        <f t="shared" si="149"/>
        <v>1.5000000000000568E-4</v>
      </c>
      <c r="E3144" s="14">
        <f t="shared" si="147"/>
        <v>4.2337658273879983E-5</v>
      </c>
      <c r="F3144">
        <v>102.218</v>
      </c>
      <c r="G3144" s="1">
        <f t="shared" si="148"/>
        <v>102.975301</v>
      </c>
    </row>
    <row r="3145" spans="1:7" x14ac:dyDescent="0.3">
      <c r="A3145">
        <v>31430</v>
      </c>
      <c r="B3145">
        <v>953.7</v>
      </c>
      <c r="C3145">
        <v>111.404</v>
      </c>
      <c r="D3145" s="15">
        <f t="shared" si="149"/>
        <v>1.2500000000024159E-4</v>
      </c>
      <c r="E3145" s="14">
        <f t="shared" si="147"/>
        <v>4.2328921669830007E-5</v>
      </c>
      <c r="F3145">
        <v>102.227</v>
      </c>
      <c r="G3145" s="1">
        <f t="shared" si="148"/>
        <v>102.974171</v>
      </c>
    </row>
    <row r="3146" spans="1:7" x14ac:dyDescent="0.3">
      <c r="A3146">
        <v>31440</v>
      </c>
      <c r="B3146">
        <v>953.6</v>
      </c>
      <c r="C3146">
        <v>111.402</v>
      </c>
      <c r="D3146" s="15">
        <f t="shared" si="149"/>
        <v>1.5000000000000568E-4</v>
      </c>
      <c r="E3146" s="14">
        <f t="shared" si="147"/>
        <v>4.2320197749120005E-5</v>
      </c>
      <c r="F3146">
        <v>102.235</v>
      </c>
      <c r="G3146" s="1">
        <f t="shared" si="148"/>
        <v>102.97304100000001</v>
      </c>
    </row>
    <row r="3147" spans="1:7" x14ac:dyDescent="0.3">
      <c r="A3147">
        <v>31450</v>
      </c>
      <c r="B3147">
        <v>953.6</v>
      </c>
      <c r="C3147">
        <v>111.401</v>
      </c>
      <c r="D3147" s="15">
        <f t="shared" si="149"/>
        <v>1.5000000000000568E-4</v>
      </c>
      <c r="E3147" s="14">
        <f t="shared" si="147"/>
        <v>4.231148651174999E-5</v>
      </c>
      <c r="F3147">
        <v>102.245</v>
      </c>
      <c r="G3147" s="1">
        <f t="shared" si="148"/>
        <v>102.97191100000001</v>
      </c>
    </row>
    <row r="3148" spans="1:7" x14ac:dyDescent="0.3">
      <c r="A3148">
        <v>31460</v>
      </c>
      <c r="B3148">
        <v>953.5</v>
      </c>
      <c r="C3148">
        <v>111.399</v>
      </c>
      <c r="D3148" s="15">
        <f t="shared" si="149"/>
        <v>1.5000000000000568E-4</v>
      </c>
      <c r="E3148" s="14">
        <f t="shared" si="147"/>
        <v>4.2302787957719989E-5</v>
      </c>
      <c r="F3148">
        <v>102.253</v>
      </c>
      <c r="G3148" s="1">
        <f t="shared" si="148"/>
        <v>102.970781</v>
      </c>
    </row>
    <row r="3149" spans="1:7" x14ac:dyDescent="0.3">
      <c r="A3149">
        <v>31470</v>
      </c>
      <c r="B3149">
        <v>953.5</v>
      </c>
      <c r="C3149">
        <v>111.398</v>
      </c>
      <c r="D3149" s="15">
        <f t="shared" si="149"/>
        <v>1.5000000000000568E-4</v>
      </c>
      <c r="E3149" s="14">
        <f t="shared" si="147"/>
        <v>4.2294102087030004E-5</v>
      </c>
      <c r="F3149">
        <v>102.262</v>
      </c>
      <c r="G3149" s="1">
        <f t="shared" si="148"/>
        <v>102.969651</v>
      </c>
    </row>
    <row r="3150" spans="1:7" x14ac:dyDescent="0.3">
      <c r="A3150">
        <v>31480</v>
      </c>
      <c r="B3150">
        <v>953.4</v>
      </c>
      <c r="C3150">
        <v>111.396</v>
      </c>
      <c r="D3150" s="15">
        <f t="shared" si="149"/>
        <v>1.2499999999988632E-4</v>
      </c>
      <c r="E3150" s="14">
        <f t="shared" si="147"/>
        <v>4.2285428899679992E-5</v>
      </c>
      <c r="F3150">
        <v>102.271</v>
      </c>
      <c r="G3150" s="1">
        <f t="shared" si="148"/>
        <v>102.96852100000001</v>
      </c>
    </row>
    <row r="3151" spans="1:7" x14ac:dyDescent="0.3">
      <c r="A3151">
        <v>31490</v>
      </c>
      <c r="B3151">
        <v>953.1</v>
      </c>
      <c r="C3151">
        <v>111.395</v>
      </c>
      <c r="D3151" s="15">
        <f t="shared" si="149"/>
        <v>1.5000000000000568E-4</v>
      </c>
      <c r="E3151" s="14">
        <f t="shared" si="147"/>
        <v>4.2276768395669982E-5</v>
      </c>
      <c r="F3151">
        <v>102.279</v>
      </c>
      <c r="G3151" s="1">
        <f t="shared" si="148"/>
        <v>102.96739100000001</v>
      </c>
    </row>
    <row r="3152" spans="1:7" x14ac:dyDescent="0.3">
      <c r="A3152">
        <v>31500</v>
      </c>
      <c r="B3152">
        <v>953.1</v>
      </c>
      <c r="C3152">
        <v>111.39400000000001</v>
      </c>
      <c r="D3152" s="15">
        <f t="shared" si="149"/>
        <v>1.2499999999988632E-4</v>
      </c>
      <c r="E3152" s="14">
        <f t="shared" si="147"/>
        <v>4.2268120574999999E-5</v>
      </c>
      <c r="F3152">
        <v>102.289</v>
      </c>
      <c r="G3152" s="1">
        <f t="shared" si="148"/>
        <v>102.966261</v>
      </c>
    </row>
    <row r="3153" spans="1:7" x14ac:dyDescent="0.3">
      <c r="A3153">
        <v>31510</v>
      </c>
      <c r="B3153">
        <v>952.8</v>
      </c>
      <c r="C3153">
        <v>111.392</v>
      </c>
      <c r="D3153" s="15">
        <f t="shared" si="149"/>
        <v>1.5000000000000568E-4</v>
      </c>
      <c r="E3153" s="14">
        <f t="shared" si="147"/>
        <v>4.2259485437669991E-5</v>
      </c>
      <c r="F3153">
        <v>102.297</v>
      </c>
      <c r="G3153" s="1">
        <f t="shared" si="148"/>
        <v>102.965131</v>
      </c>
    </row>
    <row r="3154" spans="1:7" x14ac:dyDescent="0.3">
      <c r="A3154">
        <v>31520</v>
      </c>
      <c r="B3154">
        <v>952.7</v>
      </c>
      <c r="C3154">
        <v>111.39100000000001</v>
      </c>
      <c r="D3154" s="15">
        <f t="shared" si="149"/>
        <v>1.5000000000000568E-4</v>
      </c>
      <c r="E3154" s="14">
        <f t="shared" si="147"/>
        <v>4.2250862983679984E-5</v>
      </c>
      <c r="F3154">
        <v>102.306</v>
      </c>
      <c r="G3154" s="1">
        <f t="shared" si="148"/>
        <v>102.964001</v>
      </c>
    </row>
    <row r="3155" spans="1:7" x14ac:dyDescent="0.3">
      <c r="A3155">
        <v>31530</v>
      </c>
      <c r="B3155">
        <v>952.4</v>
      </c>
      <c r="C3155">
        <v>111.389</v>
      </c>
      <c r="D3155" s="15">
        <f t="shared" si="149"/>
        <v>1.5000000000000568E-4</v>
      </c>
      <c r="E3155" s="14">
        <f t="shared" si="147"/>
        <v>4.2242253213029991E-5</v>
      </c>
      <c r="F3155">
        <v>102.315</v>
      </c>
      <c r="G3155" s="1">
        <f t="shared" si="148"/>
        <v>102.96287100000001</v>
      </c>
    </row>
    <row r="3156" spans="1:7" x14ac:dyDescent="0.3">
      <c r="A3156">
        <v>31540</v>
      </c>
      <c r="B3156">
        <v>952.3</v>
      </c>
      <c r="C3156">
        <v>111.38800000000001</v>
      </c>
      <c r="D3156" s="15">
        <f t="shared" si="149"/>
        <v>1.5000000000000568E-4</v>
      </c>
      <c r="E3156" s="14">
        <f t="shared" si="147"/>
        <v>4.2233656125719999E-5</v>
      </c>
      <c r="F3156">
        <v>102.32299999999999</v>
      </c>
      <c r="G3156" s="1">
        <f t="shared" si="148"/>
        <v>102.961741</v>
      </c>
    </row>
    <row r="3157" spans="1:7" x14ac:dyDescent="0.3">
      <c r="A3157">
        <v>31550</v>
      </c>
      <c r="B3157">
        <v>952.1</v>
      </c>
      <c r="C3157">
        <v>111.386</v>
      </c>
      <c r="D3157" s="15">
        <f t="shared" si="149"/>
        <v>1.5000000000000568E-4</v>
      </c>
      <c r="E3157" s="14">
        <f t="shared" si="147"/>
        <v>4.2225071721749995E-5</v>
      </c>
      <c r="F3157">
        <v>102.333</v>
      </c>
      <c r="G3157" s="1">
        <f t="shared" si="148"/>
        <v>102.960611</v>
      </c>
    </row>
    <row r="3158" spans="1:7" x14ac:dyDescent="0.3">
      <c r="A3158">
        <v>31560</v>
      </c>
      <c r="B3158">
        <v>951.9</v>
      </c>
      <c r="C3158">
        <v>111.38500000000001</v>
      </c>
      <c r="D3158" s="15">
        <f t="shared" si="149"/>
        <v>1.5000000000000568E-4</v>
      </c>
      <c r="E3158" s="14">
        <f t="shared" si="147"/>
        <v>4.2216500001120006E-5</v>
      </c>
      <c r="F3158">
        <v>102.34099999999999</v>
      </c>
      <c r="G3158" s="1">
        <f t="shared" si="148"/>
        <v>102.959481</v>
      </c>
    </row>
    <row r="3159" spans="1:7" x14ac:dyDescent="0.3">
      <c r="A3159">
        <v>31570</v>
      </c>
      <c r="B3159">
        <v>951.7</v>
      </c>
      <c r="C3159">
        <v>111.383</v>
      </c>
      <c r="D3159" s="15">
        <f t="shared" si="149"/>
        <v>1.5000000000000568E-4</v>
      </c>
      <c r="E3159" s="14">
        <f t="shared" si="147"/>
        <v>4.2207940963829991E-5</v>
      </c>
      <c r="F3159">
        <v>102.35</v>
      </c>
      <c r="G3159" s="1">
        <f t="shared" si="148"/>
        <v>102.95835100000001</v>
      </c>
    </row>
    <row r="3160" spans="1:7" x14ac:dyDescent="0.3">
      <c r="A3160">
        <v>31580</v>
      </c>
      <c r="B3160">
        <v>951.6</v>
      </c>
      <c r="C3160">
        <v>111.38200000000001</v>
      </c>
      <c r="D3160" s="15">
        <f t="shared" si="149"/>
        <v>1.5000000000000568E-4</v>
      </c>
      <c r="E3160" s="14">
        <f t="shared" si="147"/>
        <v>4.219939460987999E-5</v>
      </c>
      <c r="F3160">
        <v>102.35899999999999</v>
      </c>
      <c r="G3160" s="1">
        <f t="shared" si="148"/>
        <v>102.957221</v>
      </c>
    </row>
    <row r="3161" spans="1:7" x14ac:dyDescent="0.3">
      <c r="A3161">
        <v>31590</v>
      </c>
      <c r="B3161">
        <v>951.3</v>
      </c>
      <c r="C3161">
        <v>111.38</v>
      </c>
      <c r="D3161" s="15">
        <f t="shared" si="149"/>
        <v>1.2499999999988632E-4</v>
      </c>
      <c r="E3161" s="14">
        <f t="shared" si="147"/>
        <v>4.2190860939270004E-5</v>
      </c>
      <c r="F3161">
        <v>102.367</v>
      </c>
      <c r="G3161" s="1">
        <f t="shared" si="148"/>
        <v>102.956091</v>
      </c>
    </row>
    <row r="3162" spans="1:7" x14ac:dyDescent="0.3">
      <c r="A3162">
        <v>31600</v>
      </c>
      <c r="B3162">
        <v>951.1</v>
      </c>
      <c r="C3162">
        <v>111.379</v>
      </c>
      <c r="D3162" s="15">
        <f t="shared" si="149"/>
        <v>1.5000000000000568E-4</v>
      </c>
      <c r="E3162" s="14">
        <f t="shared" si="147"/>
        <v>4.2182339951999992E-5</v>
      </c>
      <c r="F3162">
        <v>102.377</v>
      </c>
      <c r="G3162" s="1">
        <f t="shared" si="148"/>
        <v>102.954961</v>
      </c>
    </row>
    <row r="3163" spans="1:7" x14ac:dyDescent="0.3">
      <c r="A3163">
        <v>31610</v>
      </c>
      <c r="B3163">
        <v>950.9</v>
      </c>
      <c r="C3163">
        <v>111.378</v>
      </c>
      <c r="D3163" s="15">
        <f t="shared" si="149"/>
        <v>1.2499999999988632E-4</v>
      </c>
      <c r="E3163" s="14">
        <f t="shared" si="147"/>
        <v>4.2173831648069981E-5</v>
      </c>
      <c r="F3163">
        <v>102.38500000000001</v>
      </c>
      <c r="G3163" s="1">
        <f t="shared" si="148"/>
        <v>102.95383100000001</v>
      </c>
    </row>
    <row r="3164" spans="1:7" x14ac:dyDescent="0.3">
      <c r="A3164">
        <v>31620</v>
      </c>
      <c r="B3164">
        <v>950.6</v>
      </c>
      <c r="C3164">
        <v>111.376</v>
      </c>
      <c r="D3164" s="15">
        <f t="shared" si="149"/>
        <v>1.5000000000000568E-4</v>
      </c>
      <c r="E3164" s="14">
        <f t="shared" si="147"/>
        <v>4.2165336027479998E-5</v>
      </c>
      <c r="F3164">
        <v>102.39400000000001</v>
      </c>
      <c r="G3164" s="1">
        <f t="shared" si="148"/>
        <v>102.952701</v>
      </c>
    </row>
    <row r="3165" spans="1:7" x14ac:dyDescent="0.3">
      <c r="A3165">
        <v>31630</v>
      </c>
      <c r="B3165">
        <v>950.6</v>
      </c>
      <c r="C3165">
        <v>111.375</v>
      </c>
      <c r="D3165" s="15">
        <f t="shared" si="149"/>
        <v>1.5000000000000568E-4</v>
      </c>
      <c r="E3165" s="14">
        <f t="shared" si="147"/>
        <v>4.2156853090230003E-5</v>
      </c>
      <c r="F3165">
        <v>102.40300000000001</v>
      </c>
      <c r="G3165" s="1">
        <f t="shared" si="148"/>
        <v>102.951571</v>
      </c>
    </row>
    <row r="3166" spans="1:7" x14ac:dyDescent="0.3">
      <c r="A3166">
        <v>31640</v>
      </c>
      <c r="B3166">
        <v>950.3</v>
      </c>
      <c r="C3166">
        <v>111.373</v>
      </c>
      <c r="D3166" s="15">
        <f t="shared" si="149"/>
        <v>1.5000000000000568E-4</v>
      </c>
      <c r="E3166" s="14">
        <f t="shared" si="147"/>
        <v>4.2148382836319995E-5</v>
      </c>
      <c r="F3166">
        <v>102.411</v>
      </c>
      <c r="G3166" s="1">
        <f t="shared" si="148"/>
        <v>102.950441</v>
      </c>
    </row>
    <row r="3167" spans="1:7" x14ac:dyDescent="0.3">
      <c r="A3167">
        <v>31650</v>
      </c>
      <c r="B3167">
        <v>950.2</v>
      </c>
      <c r="C3167">
        <v>111.372</v>
      </c>
      <c r="D3167" s="15">
        <f t="shared" si="149"/>
        <v>1.5000000000000568E-4</v>
      </c>
      <c r="E3167" s="14">
        <f t="shared" si="147"/>
        <v>4.2139925265749988E-5</v>
      </c>
      <c r="F3167">
        <v>102.42100000000001</v>
      </c>
      <c r="G3167" s="1">
        <f t="shared" si="148"/>
        <v>102.94931100000001</v>
      </c>
    </row>
    <row r="3168" spans="1:7" x14ac:dyDescent="0.3">
      <c r="A3168">
        <v>31660</v>
      </c>
      <c r="B3168">
        <v>949.9</v>
      </c>
      <c r="C3168">
        <v>111.37</v>
      </c>
      <c r="D3168" s="15">
        <f t="shared" si="149"/>
        <v>1.5000000000000568E-4</v>
      </c>
      <c r="E3168" s="14">
        <f t="shared" si="147"/>
        <v>4.2131480378519996E-5</v>
      </c>
      <c r="F3168">
        <v>102.429</v>
      </c>
      <c r="G3168" s="1">
        <f t="shared" si="148"/>
        <v>102.94818100000001</v>
      </c>
    </row>
    <row r="3169" spans="1:7" x14ac:dyDescent="0.3">
      <c r="A3169">
        <v>31670</v>
      </c>
      <c r="B3169">
        <v>949.8</v>
      </c>
      <c r="C3169">
        <v>111.369</v>
      </c>
      <c r="D3169" s="15">
        <f t="shared" si="149"/>
        <v>1.5000000000000568E-4</v>
      </c>
      <c r="E3169" s="14">
        <f t="shared" si="147"/>
        <v>4.2123048174629992E-5</v>
      </c>
      <c r="F3169">
        <v>102.438</v>
      </c>
      <c r="G3169" s="1">
        <f t="shared" si="148"/>
        <v>102.947051</v>
      </c>
    </row>
    <row r="3170" spans="1:7" x14ac:dyDescent="0.3">
      <c r="A3170">
        <v>31680</v>
      </c>
      <c r="B3170">
        <v>949.6</v>
      </c>
      <c r="C3170">
        <v>111.367</v>
      </c>
      <c r="D3170" s="15">
        <f t="shared" si="149"/>
        <v>1.5000000000000568E-4</v>
      </c>
      <c r="E3170" s="14">
        <f t="shared" si="147"/>
        <v>4.2114628654079989E-5</v>
      </c>
      <c r="F3170">
        <v>102.447</v>
      </c>
      <c r="G3170" s="1">
        <f t="shared" si="148"/>
        <v>102.945921</v>
      </c>
    </row>
    <row r="3171" spans="1:7" x14ac:dyDescent="0.3">
      <c r="A3171">
        <v>31690</v>
      </c>
      <c r="B3171">
        <v>949.5</v>
      </c>
      <c r="C3171">
        <v>111.366</v>
      </c>
      <c r="D3171" s="15">
        <f t="shared" si="149"/>
        <v>1.5000000000000568E-4</v>
      </c>
      <c r="E3171" s="14">
        <f t="shared" si="147"/>
        <v>4.210622181687E-5</v>
      </c>
      <c r="F3171">
        <v>102.456</v>
      </c>
      <c r="G3171" s="1">
        <f t="shared" si="148"/>
        <v>102.94479100000001</v>
      </c>
    </row>
    <row r="3172" spans="1:7" x14ac:dyDescent="0.3">
      <c r="A3172">
        <v>31700</v>
      </c>
      <c r="B3172">
        <v>949.3</v>
      </c>
      <c r="C3172">
        <v>111.364</v>
      </c>
      <c r="D3172" s="15">
        <f t="shared" si="149"/>
        <v>1.5000000000000568E-4</v>
      </c>
      <c r="E3172" s="14">
        <f t="shared" si="147"/>
        <v>4.2097827662999985E-5</v>
      </c>
      <c r="F3172">
        <v>102.465</v>
      </c>
      <c r="G3172" s="1">
        <f t="shared" si="148"/>
        <v>102.94366100000001</v>
      </c>
    </row>
    <row r="3173" spans="1:7" x14ac:dyDescent="0.3">
      <c r="A3173">
        <v>31710</v>
      </c>
      <c r="B3173">
        <v>949.1</v>
      </c>
      <c r="C3173">
        <v>111.363</v>
      </c>
      <c r="D3173" s="15">
        <f t="shared" si="149"/>
        <v>1.5000000000000568E-4</v>
      </c>
      <c r="E3173" s="14">
        <f t="shared" si="147"/>
        <v>4.2089446192469985E-5</v>
      </c>
      <c r="F3173">
        <v>102.473</v>
      </c>
      <c r="G3173" s="1">
        <f t="shared" si="148"/>
        <v>102.942531</v>
      </c>
    </row>
    <row r="3174" spans="1:7" x14ac:dyDescent="0.3">
      <c r="A3174">
        <v>31720</v>
      </c>
      <c r="B3174">
        <v>948.9</v>
      </c>
      <c r="C3174">
        <v>111.361</v>
      </c>
      <c r="D3174" s="15">
        <f t="shared" si="149"/>
        <v>1.5000000000000568E-4</v>
      </c>
      <c r="E3174" s="14">
        <f t="shared" si="147"/>
        <v>4.208107740528E-5</v>
      </c>
      <c r="F3174">
        <v>102.482</v>
      </c>
      <c r="G3174" s="1">
        <f t="shared" si="148"/>
        <v>102.941401</v>
      </c>
    </row>
    <row r="3175" spans="1:7" x14ac:dyDescent="0.3">
      <c r="A3175">
        <v>31730</v>
      </c>
      <c r="B3175">
        <v>948.8</v>
      </c>
      <c r="C3175">
        <v>111.36</v>
      </c>
      <c r="D3175" s="15">
        <f t="shared" si="149"/>
        <v>1.5000000000000568E-4</v>
      </c>
      <c r="E3175" s="14">
        <f t="shared" si="147"/>
        <v>4.2072721301430002E-5</v>
      </c>
      <c r="F3175">
        <v>102.491</v>
      </c>
      <c r="G3175" s="1">
        <f t="shared" si="148"/>
        <v>102.940271</v>
      </c>
    </row>
    <row r="3176" spans="1:7" x14ac:dyDescent="0.3">
      <c r="A3176">
        <v>31740</v>
      </c>
      <c r="B3176">
        <v>948.5</v>
      </c>
      <c r="C3176">
        <v>111.358</v>
      </c>
      <c r="D3176" s="15">
        <f t="shared" si="149"/>
        <v>1.5000000000000568E-4</v>
      </c>
      <c r="E3176" s="14">
        <f t="shared" si="147"/>
        <v>4.2064377880919991E-5</v>
      </c>
      <c r="F3176">
        <v>102.5</v>
      </c>
      <c r="G3176" s="1">
        <f t="shared" si="148"/>
        <v>102.93914100000001</v>
      </c>
    </row>
    <row r="3177" spans="1:7" x14ac:dyDescent="0.3">
      <c r="A3177">
        <v>31750</v>
      </c>
      <c r="B3177">
        <v>948.3</v>
      </c>
      <c r="C3177">
        <v>111.357</v>
      </c>
      <c r="D3177" s="15">
        <f t="shared" si="149"/>
        <v>1.5000000000000568E-4</v>
      </c>
      <c r="E3177" s="14">
        <f t="shared" si="147"/>
        <v>4.2056047143750009E-5</v>
      </c>
      <c r="F3177">
        <v>102.508</v>
      </c>
      <c r="G3177" s="1">
        <f t="shared" si="148"/>
        <v>102.938011</v>
      </c>
    </row>
    <row r="3178" spans="1:7" x14ac:dyDescent="0.3">
      <c r="A3178">
        <v>31760</v>
      </c>
      <c r="B3178">
        <v>948.2</v>
      </c>
      <c r="C3178">
        <v>111.355</v>
      </c>
      <c r="D3178" s="15">
        <f t="shared" si="149"/>
        <v>1.5000000000000568E-4</v>
      </c>
      <c r="E3178" s="14">
        <f t="shared" si="147"/>
        <v>4.2047729089920001E-5</v>
      </c>
      <c r="F3178">
        <v>102.517</v>
      </c>
      <c r="G3178" s="1">
        <f t="shared" si="148"/>
        <v>102.936881</v>
      </c>
    </row>
    <row r="3179" spans="1:7" x14ac:dyDescent="0.3">
      <c r="A3179">
        <v>31770</v>
      </c>
      <c r="B3179">
        <v>948</v>
      </c>
      <c r="C3179">
        <v>111.354</v>
      </c>
      <c r="D3179" s="15">
        <f t="shared" si="149"/>
        <v>1.5000000000000568E-4</v>
      </c>
      <c r="E3179" s="14">
        <f t="shared" si="147"/>
        <v>4.2039423719429994E-5</v>
      </c>
      <c r="F3179">
        <v>102.526</v>
      </c>
      <c r="G3179" s="1">
        <f t="shared" si="148"/>
        <v>102.935751</v>
      </c>
    </row>
    <row r="3180" spans="1:7" x14ac:dyDescent="0.3">
      <c r="A3180">
        <v>31780</v>
      </c>
      <c r="B3180">
        <v>948</v>
      </c>
      <c r="C3180">
        <v>111.352</v>
      </c>
      <c r="D3180" s="15">
        <f t="shared" si="149"/>
        <v>1.5000000000000568E-4</v>
      </c>
      <c r="E3180" s="14">
        <f t="shared" si="147"/>
        <v>4.2031131032280002E-5</v>
      </c>
      <c r="F3180">
        <v>102.535</v>
      </c>
      <c r="G3180" s="1">
        <f t="shared" si="148"/>
        <v>102.93462100000001</v>
      </c>
    </row>
    <row r="3181" spans="1:7" x14ac:dyDescent="0.3">
      <c r="A3181">
        <v>31790</v>
      </c>
      <c r="B3181">
        <v>947.8</v>
      </c>
      <c r="C3181">
        <v>111.351</v>
      </c>
      <c r="D3181" s="15">
        <f t="shared" si="149"/>
        <v>1.5000000000000568E-4</v>
      </c>
      <c r="E3181" s="14">
        <f t="shared" si="147"/>
        <v>4.2022851028469997E-5</v>
      </c>
      <c r="F3181">
        <v>102.544</v>
      </c>
      <c r="G3181" s="1">
        <f t="shared" si="148"/>
        <v>102.933491</v>
      </c>
    </row>
    <row r="3182" spans="1:7" x14ac:dyDescent="0.3">
      <c r="A3182">
        <v>31800</v>
      </c>
      <c r="B3182">
        <v>947.6</v>
      </c>
      <c r="C3182">
        <v>111.349</v>
      </c>
      <c r="D3182" s="15">
        <f t="shared" si="149"/>
        <v>1.5000000000000568E-4</v>
      </c>
      <c r="E3182" s="14">
        <f t="shared" si="147"/>
        <v>4.2014583707999979E-5</v>
      </c>
      <c r="F3182">
        <v>102.55200000000001</v>
      </c>
      <c r="G3182" s="1">
        <f t="shared" si="148"/>
        <v>102.932361</v>
      </c>
    </row>
    <row r="3183" spans="1:7" x14ac:dyDescent="0.3">
      <c r="A3183">
        <v>31810</v>
      </c>
      <c r="B3183">
        <v>947.5</v>
      </c>
      <c r="C3183">
        <v>111.348</v>
      </c>
      <c r="D3183" s="15">
        <f t="shared" si="149"/>
        <v>1.5000000000000568E-4</v>
      </c>
      <c r="E3183" s="14">
        <f t="shared" si="147"/>
        <v>4.2006329070870004E-5</v>
      </c>
      <c r="F3183">
        <v>102.56100000000001</v>
      </c>
      <c r="G3183" s="1">
        <f t="shared" si="148"/>
        <v>102.931231</v>
      </c>
    </row>
    <row r="3184" spans="1:7" x14ac:dyDescent="0.3">
      <c r="A3184">
        <v>31820</v>
      </c>
      <c r="B3184">
        <v>947.3</v>
      </c>
      <c r="C3184">
        <v>111.346</v>
      </c>
      <c r="D3184" s="15">
        <f t="shared" si="149"/>
        <v>1.5000000000000568E-4</v>
      </c>
      <c r="E3184" s="14">
        <f t="shared" si="147"/>
        <v>4.1998087117079989E-5</v>
      </c>
      <c r="F3184">
        <v>102.57</v>
      </c>
      <c r="G3184" s="1">
        <f t="shared" si="148"/>
        <v>102.93010100000001</v>
      </c>
    </row>
    <row r="3185" spans="1:7" x14ac:dyDescent="0.3">
      <c r="A3185">
        <v>31830</v>
      </c>
      <c r="B3185">
        <v>947.1</v>
      </c>
      <c r="C3185">
        <v>111.345</v>
      </c>
      <c r="D3185" s="15">
        <f t="shared" si="149"/>
        <v>1.5000000000000568E-4</v>
      </c>
      <c r="E3185" s="14">
        <f t="shared" si="147"/>
        <v>4.1989857846630002E-5</v>
      </c>
      <c r="F3185">
        <v>102.57899999999999</v>
      </c>
      <c r="G3185" s="1">
        <f t="shared" si="148"/>
        <v>102.928971</v>
      </c>
    </row>
    <row r="3186" spans="1:7" x14ac:dyDescent="0.3">
      <c r="A3186">
        <v>31840</v>
      </c>
      <c r="B3186">
        <v>946.9</v>
      </c>
      <c r="C3186">
        <v>111.343</v>
      </c>
      <c r="D3186" s="15">
        <f t="shared" si="149"/>
        <v>1.5000000000000568E-4</v>
      </c>
      <c r="E3186" s="14">
        <f t="shared" si="147"/>
        <v>4.1981641259519989E-5</v>
      </c>
      <c r="F3186">
        <v>102.58799999999999</v>
      </c>
      <c r="G3186" s="1">
        <f t="shared" si="148"/>
        <v>102.927841</v>
      </c>
    </row>
    <row r="3187" spans="1:7" x14ac:dyDescent="0.3">
      <c r="A3187">
        <v>31850</v>
      </c>
      <c r="B3187">
        <v>946.7</v>
      </c>
      <c r="C3187">
        <v>111.342</v>
      </c>
      <c r="D3187" s="15">
        <f t="shared" si="149"/>
        <v>1.5000000000000568E-4</v>
      </c>
      <c r="E3187" s="14">
        <f t="shared" si="147"/>
        <v>4.1973437355750004E-5</v>
      </c>
      <c r="F3187">
        <v>102.596</v>
      </c>
      <c r="G3187" s="1">
        <f t="shared" si="148"/>
        <v>102.926711</v>
      </c>
    </row>
    <row r="3188" spans="1:7" x14ac:dyDescent="0.3">
      <c r="A3188">
        <v>31860</v>
      </c>
      <c r="B3188">
        <v>946.4</v>
      </c>
      <c r="C3188">
        <v>111.34</v>
      </c>
      <c r="D3188" s="15">
        <f t="shared" si="149"/>
        <v>1.5000000000000568E-4</v>
      </c>
      <c r="E3188" s="14">
        <f t="shared" si="147"/>
        <v>4.1965246135319993E-5</v>
      </c>
      <c r="F3188">
        <v>102.60599999999999</v>
      </c>
      <c r="G3188" s="1">
        <f t="shared" si="148"/>
        <v>102.92558100000001</v>
      </c>
    </row>
    <row r="3189" spans="1:7" x14ac:dyDescent="0.3">
      <c r="A3189">
        <v>31870</v>
      </c>
      <c r="B3189">
        <v>946.3</v>
      </c>
      <c r="C3189">
        <v>111.339</v>
      </c>
      <c r="D3189" s="15">
        <f t="shared" si="149"/>
        <v>1.5000000000000568E-4</v>
      </c>
      <c r="E3189" s="14">
        <f t="shared" si="147"/>
        <v>4.1957067598229984E-5</v>
      </c>
      <c r="F3189">
        <v>102.614</v>
      </c>
      <c r="G3189" s="1">
        <f t="shared" si="148"/>
        <v>102.924451</v>
      </c>
    </row>
    <row r="3190" spans="1:7" x14ac:dyDescent="0.3">
      <c r="A3190">
        <v>31880</v>
      </c>
      <c r="B3190">
        <v>946.1</v>
      </c>
      <c r="C3190">
        <v>111.337</v>
      </c>
      <c r="D3190" s="15">
        <f t="shared" si="149"/>
        <v>1.5000000000000568E-4</v>
      </c>
      <c r="E3190" s="14">
        <f t="shared" si="147"/>
        <v>4.1948901744480002E-5</v>
      </c>
      <c r="F3190">
        <v>102.623</v>
      </c>
      <c r="G3190" s="1">
        <f t="shared" si="148"/>
        <v>102.923321</v>
      </c>
    </row>
    <row r="3191" spans="1:7" x14ac:dyDescent="0.3">
      <c r="A3191">
        <v>31890</v>
      </c>
      <c r="B3191">
        <v>945.9</v>
      </c>
      <c r="C3191">
        <v>111.336</v>
      </c>
      <c r="D3191" s="15">
        <f t="shared" si="149"/>
        <v>1.5000000000000568E-4</v>
      </c>
      <c r="E3191" s="14">
        <f t="shared" si="147"/>
        <v>4.1940748574069995E-5</v>
      </c>
      <c r="F3191">
        <v>102.63200000000001</v>
      </c>
      <c r="G3191" s="1">
        <f t="shared" si="148"/>
        <v>102.922191</v>
      </c>
    </row>
    <row r="3192" spans="1:7" x14ac:dyDescent="0.3">
      <c r="A3192">
        <v>31900</v>
      </c>
      <c r="B3192">
        <v>945.7</v>
      </c>
      <c r="C3192">
        <v>111.334</v>
      </c>
      <c r="D3192" s="15">
        <f t="shared" si="149"/>
        <v>1.5000000000000568E-4</v>
      </c>
      <c r="E3192" s="14">
        <f t="shared" si="147"/>
        <v>4.1932608086999975E-5</v>
      </c>
      <c r="F3192">
        <v>102.64</v>
      </c>
      <c r="G3192" s="1">
        <f t="shared" si="148"/>
        <v>102.92106100000001</v>
      </c>
    </row>
    <row r="3193" spans="1:7" x14ac:dyDescent="0.3">
      <c r="A3193">
        <v>31910</v>
      </c>
      <c r="B3193">
        <v>945.5</v>
      </c>
      <c r="C3193">
        <v>111.333</v>
      </c>
      <c r="D3193" s="15">
        <f t="shared" si="149"/>
        <v>1.7500000000012506E-4</v>
      </c>
      <c r="E3193" s="14">
        <f t="shared" si="147"/>
        <v>4.1924480283269996E-5</v>
      </c>
      <c r="F3193">
        <v>102.65</v>
      </c>
      <c r="G3193" s="1">
        <f t="shared" si="148"/>
        <v>102.91993100000001</v>
      </c>
    </row>
    <row r="3194" spans="1:7" x14ac:dyDescent="0.3">
      <c r="A3194">
        <v>31920</v>
      </c>
      <c r="B3194">
        <v>945.3</v>
      </c>
      <c r="C3194">
        <v>111.331</v>
      </c>
      <c r="D3194" s="15">
        <f t="shared" si="149"/>
        <v>1.5000000000000568E-4</v>
      </c>
      <c r="E3194" s="14">
        <f t="shared" si="147"/>
        <v>4.1916365162879992E-5</v>
      </c>
      <c r="F3194">
        <v>102.658</v>
      </c>
      <c r="G3194" s="1">
        <f t="shared" si="148"/>
        <v>102.918801</v>
      </c>
    </row>
    <row r="3195" spans="1:7" x14ac:dyDescent="0.3">
      <c r="A3195">
        <v>31930</v>
      </c>
      <c r="B3195">
        <v>945.1</v>
      </c>
      <c r="C3195">
        <v>111.32899999999999</v>
      </c>
      <c r="D3195" s="15">
        <f t="shared" si="149"/>
        <v>1.7500000000012506E-4</v>
      </c>
      <c r="E3195" s="14">
        <f t="shared" si="147"/>
        <v>4.1908262725829989E-5</v>
      </c>
      <c r="F3195">
        <v>102.667</v>
      </c>
      <c r="G3195" s="1">
        <f t="shared" si="148"/>
        <v>102.917671</v>
      </c>
    </row>
    <row r="3196" spans="1:7" x14ac:dyDescent="0.3">
      <c r="A3196">
        <v>31940</v>
      </c>
      <c r="B3196">
        <v>945</v>
      </c>
      <c r="C3196">
        <v>111.328</v>
      </c>
      <c r="D3196" s="15">
        <f t="shared" si="149"/>
        <v>1.5000000000000568E-4</v>
      </c>
      <c r="E3196" s="14">
        <f t="shared" si="147"/>
        <v>4.1900172972120014E-5</v>
      </c>
      <c r="F3196">
        <v>102.676</v>
      </c>
      <c r="G3196" s="1">
        <f t="shared" si="148"/>
        <v>102.91654100000001</v>
      </c>
    </row>
    <row r="3197" spans="1:7" x14ac:dyDescent="0.3">
      <c r="A3197">
        <v>31950</v>
      </c>
      <c r="B3197">
        <v>944.8</v>
      </c>
      <c r="C3197">
        <v>111.32599999999999</v>
      </c>
      <c r="D3197" s="15">
        <f t="shared" si="149"/>
        <v>1.5000000000000568E-4</v>
      </c>
      <c r="E3197" s="14">
        <f t="shared" si="147"/>
        <v>4.189209590175E-5</v>
      </c>
      <c r="F3197">
        <v>102.684</v>
      </c>
      <c r="G3197" s="1">
        <f t="shared" si="148"/>
        <v>102.91541100000001</v>
      </c>
    </row>
    <row r="3198" spans="1:7" x14ac:dyDescent="0.3">
      <c r="A3198">
        <v>31960</v>
      </c>
      <c r="B3198">
        <v>944.6</v>
      </c>
      <c r="C3198">
        <v>111.325</v>
      </c>
      <c r="D3198" s="15">
        <f t="shared" si="149"/>
        <v>1.5000000000000568E-4</v>
      </c>
      <c r="E3198" s="14">
        <f t="shared" si="147"/>
        <v>4.1884031514719986E-5</v>
      </c>
      <c r="F3198">
        <v>102.694</v>
      </c>
      <c r="G3198" s="1">
        <f t="shared" si="148"/>
        <v>102.914281</v>
      </c>
    </row>
    <row r="3199" spans="1:7" x14ac:dyDescent="0.3">
      <c r="A3199">
        <v>31970</v>
      </c>
      <c r="B3199">
        <v>944.4</v>
      </c>
      <c r="C3199">
        <v>111.32299999999999</v>
      </c>
      <c r="D3199" s="15">
        <f t="shared" si="149"/>
        <v>1.5000000000000568E-4</v>
      </c>
      <c r="E3199" s="14">
        <f t="shared" si="147"/>
        <v>4.1875979811030001E-5</v>
      </c>
      <c r="F3199">
        <v>102.702</v>
      </c>
      <c r="G3199" s="1">
        <f t="shared" si="148"/>
        <v>102.913151</v>
      </c>
    </row>
    <row r="3200" spans="1:7" x14ac:dyDescent="0.3">
      <c r="A3200">
        <v>31980</v>
      </c>
      <c r="B3200">
        <v>945.7</v>
      </c>
      <c r="C3200">
        <v>111.322</v>
      </c>
      <c r="D3200" s="15">
        <f t="shared" si="149"/>
        <v>1.5000000000000568E-4</v>
      </c>
      <c r="E3200" s="14">
        <f t="shared" si="147"/>
        <v>4.186794079067999E-5</v>
      </c>
      <c r="F3200">
        <v>102.685</v>
      </c>
      <c r="G3200" s="1">
        <f t="shared" si="148"/>
        <v>102.91202100000001</v>
      </c>
    </row>
    <row r="3201" spans="1:7" x14ac:dyDescent="0.3">
      <c r="A3201">
        <v>31990</v>
      </c>
      <c r="B3201">
        <v>946</v>
      </c>
      <c r="C3201">
        <v>111.32</v>
      </c>
      <c r="D3201" s="15">
        <f t="shared" si="149"/>
        <v>1.5000000000000568E-4</v>
      </c>
      <c r="E3201" s="14">
        <f t="shared" si="147"/>
        <v>4.185991445366998E-5</v>
      </c>
      <c r="F3201">
        <v>102.667</v>
      </c>
      <c r="G3201" s="1">
        <f t="shared" si="148"/>
        <v>102.91089100000001</v>
      </c>
    </row>
    <row r="3202" spans="1:7" x14ac:dyDescent="0.3">
      <c r="A3202">
        <v>32000</v>
      </c>
      <c r="B3202">
        <v>946.5</v>
      </c>
      <c r="C3202">
        <v>111.319</v>
      </c>
      <c r="D3202" s="15">
        <f t="shared" si="149"/>
        <v>1.7500000000012506E-4</v>
      </c>
      <c r="E3202" s="14">
        <f t="shared" ref="E3202:E3265" si="150">0.0000000000000634167*A3202*A3202 - 0.0000000048594*A3202 + 0.000132414</f>
        <v>4.1851900799999998E-5</v>
      </c>
      <c r="F3202">
        <v>102.64700000000001</v>
      </c>
      <c r="G3202" s="1">
        <f t="shared" si="148"/>
        <v>102.909761</v>
      </c>
    </row>
    <row r="3203" spans="1:7" x14ac:dyDescent="0.3">
      <c r="A3203">
        <v>32010</v>
      </c>
      <c r="B3203">
        <v>947</v>
      </c>
      <c r="C3203">
        <v>111.31699999999999</v>
      </c>
      <c r="D3203" s="15">
        <f t="shared" si="149"/>
        <v>1.5000000000000568E-4</v>
      </c>
      <c r="E3203" s="14">
        <f t="shared" si="150"/>
        <v>4.184389982966999E-5</v>
      </c>
      <c r="F3203">
        <v>102.628</v>
      </c>
      <c r="G3203" s="1">
        <f t="shared" ref="G3203:G3266" si="151">-0.000113*A3203 + 106.525761</f>
        <v>102.908631</v>
      </c>
    </row>
    <row r="3204" spans="1:7" x14ac:dyDescent="0.3">
      <c r="A3204">
        <v>32020</v>
      </c>
      <c r="B3204">
        <v>947.6</v>
      </c>
      <c r="C3204">
        <v>111.315</v>
      </c>
      <c r="D3204" s="15">
        <f t="shared" si="149"/>
        <v>1.7500000000012506E-4</v>
      </c>
      <c r="E3204" s="14">
        <f t="shared" si="150"/>
        <v>4.1835911542679983E-5</v>
      </c>
      <c r="F3204">
        <v>102.60899999999999</v>
      </c>
      <c r="G3204" s="1">
        <f t="shared" si="151"/>
        <v>102.907501</v>
      </c>
    </row>
    <row r="3205" spans="1:7" x14ac:dyDescent="0.3">
      <c r="A3205">
        <v>32030</v>
      </c>
      <c r="B3205">
        <v>948.3</v>
      </c>
      <c r="C3205">
        <v>111.31399999999999</v>
      </c>
      <c r="D3205" s="15">
        <f t="shared" ref="D3205:D3268" si="152">(C3203-C3207)/(A3207-A3203)</f>
        <v>1.4999999999965041E-4</v>
      </c>
      <c r="E3205" s="14">
        <f t="shared" si="150"/>
        <v>4.1827935939029991E-5</v>
      </c>
      <c r="F3205">
        <v>102.589</v>
      </c>
      <c r="G3205" s="1">
        <f t="shared" si="151"/>
        <v>102.90637100000001</v>
      </c>
    </row>
    <row r="3206" spans="1:7" x14ac:dyDescent="0.3">
      <c r="A3206">
        <v>32040</v>
      </c>
      <c r="B3206">
        <v>948.8</v>
      </c>
      <c r="C3206">
        <v>111.312</v>
      </c>
      <c r="D3206" s="15">
        <f t="shared" si="152"/>
        <v>1.5000000000000568E-4</v>
      </c>
      <c r="E3206" s="14">
        <f t="shared" si="150"/>
        <v>4.181997301872E-5</v>
      </c>
      <c r="F3206">
        <v>102.57</v>
      </c>
      <c r="G3206" s="1">
        <f t="shared" si="151"/>
        <v>102.905241</v>
      </c>
    </row>
    <row r="3207" spans="1:7" x14ac:dyDescent="0.3">
      <c r="A3207">
        <v>32050</v>
      </c>
      <c r="B3207">
        <v>949.5</v>
      </c>
      <c r="C3207">
        <v>111.31100000000001</v>
      </c>
      <c r="D3207" s="15">
        <f t="shared" si="152"/>
        <v>1.7499999999976979E-4</v>
      </c>
      <c r="E3207" s="14">
        <f t="shared" si="150"/>
        <v>4.1812022781749996E-5</v>
      </c>
      <c r="F3207">
        <v>102.551</v>
      </c>
      <c r="G3207" s="1">
        <f t="shared" si="151"/>
        <v>102.904111</v>
      </c>
    </row>
    <row r="3208" spans="1:7" x14ac:dyDescent="0.3">
      <c r="A3208">
        <v>32060</v>
      </c>
      <c r="B3208">
        <v>950.2</v>
      </c>
      <c r="C3208">
        <v>111.309</v>
      </c>
      <c r="D3208" s="15">
        <f t="shared" si="152"/>
        <v>1.5000000000000568E-4</v>
      </c>
      <c r="E3208" s="14">
        <f t="shared" si="150"/>
        <v>4.180408522811998E-5</v>
      </c>
      <c r="F3208">
        <v>102.532</v>
      </c>
      <c r="G3208" s="1">
        <f t="shared" si="151"/>
        <v>102.902981</v>
      </c>
    </row>
    <row r="3209" spans="1:7" x14ac:dyDescent="0.3">
      <c r="A3209">
        <v>32070</v>
      </c>
      <c r="B3209">
        <v>950.9</v>
      </c>
      <c r="C3209">
        <v>111.307</v>
      </c>
      <c r="D3209" s="15">
        <f t="shared" si="152"/>
        <v>1.7500000000012506E-4</v>
      </c>
      <c r="E3209" s="14">
        <f t="shared" si="150"/>
        <v>4.1796160357830006E-5</v>
      </c>
      <c r="F3209">
        <v>102.512</v>
      </c>
      <c r="G3209" s="1">
        <f t="shared" si="151"/>
        <v>102.90185100000001</v>
      </c>
    </row>
    <row r="3210" spans="1:7" x14ac:dyDescent="0.3">
      <c r="A3210">
        <v>32080</v>
      </c>
      <c r="B3210">
        <v>951.7</v>
      </c>
      <c r="C3210">
        <v>111.306</v>
      </c>
      <c r="D3210" s="15">
        <f t="shared" si="152"/>
        <v>1.7499999999976979E-4</v>
      </c>
      <c r="E3210" s="14">
        <f t="shared" si="150"/>
        <v>4.1788248170879992E-5</v>
      </c>
      <c r="F3210">
        <v>102.49299999999999</v>
      </c>
      <c r="G3210" s="1">
        <f t="shared" si="151"/>
        <v>102.900721</v>
      </c>
    </row>
    <row r="3211" spans="1:7" x14ac:dyDescent="0.3">
      <c r="A3211">
        <v>32090</v>
      </c>
      <c r="B3211">
        <v>952.4</v>
      </c>
      <c r="C3211">
        <v>111.304</v>
      </c>
      <c r="D3211" s="15">
        <f t="shared" si="152"/>
        <v>1.5000000000000568E-4</v>
      </c>
      <c r="E3211" s="14">
        <f t="shared" si="150"/>
        <v>4.1780348667269979E-5</v>
      </c>
      <c r="F3211">
        <v>102.474</v>
      </c>
      <c r="G3211" s="1">
        <f t="shared" si="151"/>
        <v>102.899591</v>
      </c>
    </row>
    <row r="3212" spans="1:7" x14ac:dyDescent="0.3">
      <c r="A3212">
        <v>32100</v>
      </c>
      <c r="B3212">
        <v>953.1</v>
      </c>
      <c r="C3212">
        <v>111.30200000000001</v>
      </c>
      <c r="D3212" s="15">
        <f t="shared" si="152"/>
        <v>1.7499999999976979E-4</v>
      </c>
      <c r="E3212" s="14">
        <f t="shared" si="150"/>
        <v>4.1772461846999995E-5</v>
      </c>
      <c r="F3212">
        <v>102.45399999999999</v>
      </c>
      <c r="G3212" s="1">
        <f t="shared" si="151"/>
        <v>102.898461</v>
      </c>
    </row>
    <row r="3213" spans="1:7" x14ac:dyDescent="0.3">
      <c r="A3213">
        <v>32110</v>
      </c>
      <c r="B3213">
        <v>954</v>
      </c>
      <c r="C3213">
        <v>111.301</v>
      </c>
      <c r="D3213" s="15">
        <f t="shared" si="152"/>
        <v>1.7500000000012506E-4</v>
      </c>
      <c r="E3213" s="14">
        <f t="shared" si="150"/>
        <v>4.1764587710069984E-5</v>
      </c>
      <c r="F3213">
        <v>102.43600000000001</v>
      </c>
      <c r="G3213" s="1">
        <f t="shared" si="151"/>
        <v>102.89733100000001</v>
      </c>
    </row>
    <row r="3214" spans="1:7" x14ac:dyDescent="0.3">
      <c r="A3214">
        <v>32120</v>
      </c>
      <c r="B3214">
        <v>954.7</v>
      </c>
      <c r="C3214">
        <v>111.29900000000001</v>
      </c>
      <c r="D3214" s="15">
        <f t="shared" si="152"/>
        <v>1.7500000000012506E-4</v>
      </c>
      <c r="E3214" s="14">
        <f t="shared" si="150"/>
        <v>4.1756726256479974E-5</v>
      </c>
      <c r="F3214">
        <v>102.416</v>
      </c>
      <c r="G3214" s="1">
        <f t="shared" si="151"/>
        <v>102.896201</v>
      </c>
    </row>
    <row r="3215" spans="1:7" x14ac:dyDescent="0.3">
      <c r="A3215">
        <v>32130</v>
      </c>
      <c r="B3215">
        <v>955.7</v>
      </c>
      <c r="C3215">
        <v>111.297</v>
      </c>
      <c r="D3215" s="15">
        <f t="shared" si="152"/>
        <v>1.7500000000012506E-4</v>
      </c>
      <c r="E3215" s="14">
        <f t="shared" si="150"/>
        <v>4.1748877486230007E-5</v>
      </c>
      <c r="F3215">
        <v>102.396</v>
      </c>
      <c r="G3215" s="1">
        <f t="shared" si="151"/>
        <v>102.895071</v>
      </c>
    </row>
    <row r="3216" spans="1:7" x14ac:dyDescent="0.3">
      <c r="A3216">
        <v>32140</v>
      </c>
      <c r="B3216">
        <v>956.6</v>
      </c>
      <c r="C3216">
        <v>111.295</v>
      </c>
      <c r="D3216" s="15">
        <f t="shared" si="152"/>
        <v>1.7500000000012506E-4</v>
      </c>
      <c r="E3216" s="14">
        <f t="shared" si="150"/>
        <v>4.1741041399319999E-5</v>
      </c>
      <c r="F3216">
        <v>102.378</v>
      </c>
      <c r="G3216" s="1">
        <f t="shared" si="151"/>
        <v>102.893941</v>
      </c>
    </row>
    <row r="3217" spans="1:7" x14ac:dyDescent="0.3">
      <c r="A3217">
        <v>32150</v>
      </c>
      <c r="B3217">
        <v>957.4</v>
      </c>
      <c r="C3217">
        <v>111.294</v>
      </c>
      <c r="D3217" s="15">
        <f t="shared" si="152"/>
        <v>1.7499999999976979E-4</v>
      </c>
      <c r="E3217" s="14">
        <f t="shared" si="150"/>
        <v>4.1733217995749993E-5</v>
      </c>
      <c r="F3217">
        <v>102.358</v>
      </c>
      <c r="G3217" s="1">
        <f t="shared" si="151"/>
        <v>102.89281100000001</v>
      </c>
    </row>
    <row r="3218" spans="1:7" x14ac:dyDescent="0.3">
      <c r="A3218">
        <v>32160</v>
      </c>
      <c r="B3218">
        <v>958.2</v>
      </c>
      <c r="C3218">
        <v>111.292</v>
      </c>
      <c r="D3218" s="15">
        <f t="shared" si="152"/>
        <v>1.7500000000012506E-4</v>
      </c>
      <c r="E3218" s="14">
        <f t="shared" si="150"/>
        <v>4.1725407275520002E-5</v>
      </c>
      <c r="F3218">
        <v>102.33799999999999</v>
      </c>
      <c r="G3218" s="1">
        <f t="shared" si="151"/>
        <v>102.89168100000001</v>
      </c>
    </row>
    <row r="3219" spans="1:7" x14ac:dyDescent="0.3">
      <c r="A3219">
        <v>32170</v>
      </c>
      <c r="B3219">
        <v>959</v>
      </c>
      <c r="C3219">
        <v>111.29</v>
      </c>
      <c r="D3219" s="15">
        <f t="shared" si="152"/>
        <v>1.7499999999976979E-4</v>
      </c>
      <c r="E3219" s="14">
        <f t="shared" si="150"/>
        <v>4.1717609238629998E-5</v>
      </c>
      <c r="F3219">
        <v>102.32</v>
      </c>
      <c r="G3219" s="1">
        <f t="shared" si="151"/>
        <v>102.890551</v>
      </c>
    </row>
    <row r="3220" spans="1:7" x14ac:dyDescent="0.3">
      <c r="A3220">
        <v>32180</v>
      </c>
      <c r="B3220">
        <v>959.9</v>
      </c>
      <c r="C3220">
        <v>111.288</v>
      </c>
      <c r="D3220" s="15">
        <f t="shared" si="152"/>
        <v>1.7500000000012506E-4</v>
      </c>
      <c r="E3220" s="14">
        <f t="shared" si="150"/>
        <v>4.1709823885079981E-5</v>
      </c>
      <c r="F3220">
        <v>102.3</v>
      </c>
      <c r="G3220" s="1">
        <f t="shared" si="151"/>
        <v>102.889421</v>
      </c>
    </row>
    <row r="3221" spans="1:7" x14ac:dyDescent="0.3">
      <c r="A3221">
        <v>32190</v>
      </c>
      <c r="B3221">
        <v>960.8</v>
      </c>
      <c r="C3221">
        <v>111.28700000000001</v>
      </c>
      <c r="D3221" s="15">
        <f t="shared" si="152"/>
        <v>1.7500000000012506E-4</v>
      </c>
      <c r="E3221" s="14">
        <f t="shared" si="150"/>
        <v>4.1702051214870007E-5</v>
      </c>
      <c r="F3221">
        <v>102.28100000000001</v>
      </c>
      <c r="G3221" s="1">
        <f t="shared" si="151"/>
        <v>102.88829100000001</v>
      </c>
    </row>
    <row r="3222" spans="1:7" x14ac:dyDescent="0.3">
      <c r="A3222">
        <v>32200</v>
      </c>
      <c r="B3222">
        <v>961.8</v>
      </c>
      <c r="C3222">
        <v>111.285</v>
      </c>
      <c r="D3222" s="15">
        <f t="shared" si="152"/>
        <v>1.7499999999976979E-4</v>
      </c>
      <c r="E3222" s="14">
        <f t="shared" si="150"/>
        <v>4.1694291227999992E-5</v>
      </c>
      <c r="F3222">
        <v>102.262</v>
      </c>
      <c r="G3222" s="1">
        <f t="shared" si="151"/>
        <v>102.88716100000001</v>
      </c>
    </row>
    <row r="3223" spans="1:7" x14ac:dyDescent="0.3">
      <c r="A3223">
        <v>32210</v>
      </c>
      <c r="B3223">
        <v>962.8</v>
      </c>
      <c r="C3223">
        <v>111.283</v>
      </c>
      <c r="D3223" s="15">
        <f t="shared" si="152"/>
        <v>1.7500000000012506E-4</v>
      </c>
      <c r="E3223" s="14">
        <f t="shared" si="150"/>
        <v>4.1686543924469979E-5</v>
      </c>
      <c r="F3223">
        <v>102.242</v>
      </c>
      <c r="G3223" s="1">
        <f t="shared" si="151"/>
        <v>102.886031</v>
      </c>
    </row>
    <row r="3224" spans="1:7" x14ac:dyDescent="0.3">
      <c r="A3224">
        <v>32220</v>
      </c>
      <c r="B3224">
        <v>963.9</v>
      </c>
      <c r="C3224">
        <v>111.28100000000001</v>
      </c>
      <c r="D3224" s="15">
        <f t="shared" si="152"/>
        <v>1.7499999999976979E-4</v>
      </c>
      <c r="E3224" s="14">
        <f t="shared" si="150"/>
        <v>4.167880930427998E-5</v>
      </c>
      <c r="F3224">
        <v>102.223</v>
      </c>
      <c r="G3224" s="1">
        <f t="shared" si="151"/>
        <v>102.884901</v>
      </c>
    </row>
    <row r="3225" spans="1:7" x14ac:dyDescent="0.3">
      <c r="A3225">
        <v>32230</v>
      </c>
      <c r="B3225">
        <v>965</v>
      </c>
      <c r="C3225">
        <v>111.28</v>
      </c>
      <c r="D3225" s="15">
        <f t="shared" si="152"/>
        <v>1.7500000000012506E-4</v>
      </c>
      <c r="E3225" s="14">
        <f t="shared" si="150"/>
        <v>4.167108736743001E-5</v>
      </c>
      <c r="F3225">
        <v>102.20399999999999</v>
      </c>
      <c r="G3225" s="1">
        <f t="shared" si="151"/>
        <v>102.883771</v>
      </c>
    </row>
    <row r="3226" spans="1:7" x14ac:dyDescent="0.3">
      <c r="A3226">
        <v>32240</v>
      </c>
      <c r="B3226">
        <v>966</v>
      </c>
      <c r="C3226">
        <v>111.27800000000001</v>
      </c>
      <c r="D3226" s="15">
        <f t="shared" si="152"/>
        <v>1.7500000000012506E-4</v>
      </c>
      <c r="E3226" s="14">
        <f t="shared" si="150"/>
        <v>4.166337811392E-5</v>
      </c>
      <c r="F3226">
        <v>102.185</v>
      </c>
      <c r="G3226" s="1">
        <f t="shared" si="151"/>
        <v>102.88264100000001</v>
      </c>
    </row>
    <row r="3227" spans="1:7" x14ac:dyDescent="0.3">
      <c r="A3227">
        <v>32250</v>
      </c>
      <c r="B3227">
        <v>967.2</v>
      </c>
      <c r="C3227">
        <v>111.276</v>
      </c>
      <c r="D3227" s="15">
        <f t="shared" si="152"/>
        <v>1.9999999999988915E-4</v>
      </c>
      <c r="E3227" s="14">
        <f t="shared" si="150"/>
        <v>4.1655681543749991E-5</v>
      </c>
      <c r="F3227">
        <v>102.16500000000001</v>
      </c>
      <c r="G3227" s="1">
        <f t="shared" si="151"/>
        <v>102.881511</v>
      </c>
    </row>
    <row r="3228" spans="1:7" x14ac:dyDescent="0.3">
      <c r="A3228">
        <v>32260</v>
      </c>
      <c r="B3228">
        <v>968.5</v>
      </c>
      <c r="C3228">
        <v>111.274</v>
      </c>
      <c r="D3228" s="15">
        <f t="shared" si="152"/>
        <v>1.7500000000012506E-4</v>
      </c>
      <c r="E3228" s="14">
        <f t="shared" si="150"/>
        <v>4.1647997656919997E-5</v>
      </c>
      <c r="F3228">
        <v>102.146</v>
      </c>
      <c r="G3228" s="1">
        <f t="shared" si="151"/>
        <v>102.880381</v>
      </c>
    </row>
    <row r="3229" spans="1:7" x14ac:dyDescent="0.3">
      <c r="A3229">
        <v>32270</v>
      </c>
      <c r="B3229">
        <v>969.7</v>
      </c>
      <c r="C3229">
        <v>111.27200000000001</v>
      </c>
      <c r="D3229" s="15">
        <f t="shared" si="152"/>
        <v>1.7499999999976979E-4</v>
      </c>
      <c r="E3229" s="14">
        <f t="shared" si="150"/>
        <v>4.1640326453429991E-5</v>
      </c>
      <c r="F3229">
        <v>102.127</v>
      </c>
      <c r="G3229" s="1">
        <f t="shared" si="151"/>
        <v>102.879251</v>
      </c>
    </row>
    <row r="3230" spans="1:7" x14ac:dyDescent="0.3">
      <c r="A3230">
        <v>32280</v>
      </c>
      <c r="B3230">
        <v>971.2</v>
      </c>
      <c r="C3230">
        <v>111.271</v>
      </c>
      <c r="D3230" s="15">
        <f t="shared" si="152"/>
        <v>1.7500000000012506E-4</v>
      </c>
      <c r="E3230" s="14">
        <f t="shared" si="150"/>
        <v>4.1632667933279985E-5</v>
      </c>
      <c r="F3230">
        <v>102.107</v>
      </c>
      <c r="G3230" s="1">
        <f t="shared" si="151"/>
        <v>102.87812100000001</v>
      </c>
    </row>
    <row r="3231" spans="1:7" x14ac:dyDescent="0.3">
      <c r="A3231">
        <v>32290</v>
      </c>
      <c r="B3231">
        <v>972.6</v>
      </c>
      <c r="C3231">
        <v>111.26900000000001</v>
      </c>
      <c r="D3231" s="15">
        <f t="shared" si="152"/>
        <v>1.7500000000012506E-4</v>
      </c>
      <c r="E3231" s="14">
        <f t="shared" si="150"/>
        <v>4.1625022096469994E-5</v>
      </c>
      <c r="F3231">
        <v>102.08799999999999</v>
      </c>
      <c r="G3231" s="1">
        <f t="shared" si="151"/>
        <v>102.876991</v>
      </c>
    </row>
    <row r="3232" spans="1:7" x14ac:dyDescent="0.3">
      <c r="A3232">
        <v>32300</v>
      </c>
      <c r="B3232">
        <v>974.1</v>
      </c>
      <c r="C3232">
        <v>111.267</v>
      </c>
      <c r="D3232" s="15">
        <f t="shared" si="152"/>
        <v>1.9999999999988915E-4</v>
      </c>
      <c r="E3232" s="14">
        <f t="shared" si="150"/>
        <v>4.1617388942999991E-5</v>
      </c>
      <c r="F3232">
        <v>102.069</v>
      </c>
      <c r="G3232" s="1">
        <f t="shared" si="151"/>
        <v>102.875861</v>
      </c>
    </row>
    <row r="3233" spans="1:7" x14ac:dyDescent="0.3">
      <c r="A3233">
        <v>32310</v>
      </c>
      <c r="B3233">
        <v>975.5</v>
      </c>
      <c r="C3233">
        <v>111.265</v>
      </c>
      <c r="D3233" s="15">
        <f t="shared" si="152"/>
        <v>2.0000000000024442E-4</v>
      </c>
      <c r="E3233" s="14">
        <f t="shared" si="150"/>
        <v>4.1609768472869975E-5</v>
      </c>
      <c r="F3233">
        <v>102.04900000000001</v>
      </c>
      <c r="G3233" s="1">
        <f t="shared" si="151"/>
        <v>102.874731</v>
      </c>
    </row>
    <row r="3234" spans="1:7" x14ac:dyDescent="0.3">
      <c r="A3234">
        <v>32320</v>
      </c>
      <c r="B3234">
        <v>976.8</v>
      </c>
      <c r="C3234">
        <v>111.26300000000001</v>
      </c>
      <c r="D3234" s="15">
        <f t="shared" si="152"/>
        <v>1.7499999999976979E-4</v>
      </c>
      <c r="E3234" s="14">
        <f t="shared" si="150"/>
        <v>4.1602160686080001E-5</v>
      </c>
      <c r="F3234">
        <v>102.03100000000001</v>
      </c>
      <c r="G3234" s="1">
        <f t="shared" si="151"/>
        <v>102.87360100000001</v>
      </c>
    </row>
    <row r="3235" spans="1:7" x14ac:dyDescent="0.3">
      <c r="A3235">
        <v>32330</v>
      </c>
      <c r="B3235">
        <v>978.1</v>
      </c>
      <c r="C3235">
        <v>111.261</v>
      </c>
      <c r="D3235" s="15">
        <f t="shared" si="152"/>
        <v>1.7500000000012506E-4</v>
      </c>
      <c r="E3235" s="14">
        <f t="shared" si="150"/>
        <v>4.1594565582630001E-5</v>
      </c>
      <c r="F3235">
        <v>102.011</v>
      </c>
      <c r="G3235" s="1">
        <f t="shared" si="151"/>
        <v>102.872471</v>
      </c>
    </row>
    <row r="3236" spans="1:7" x14ac:dyDescent="0.3">
      <c r="A3236">
        <v>32340</v>
      </c>
      <c r="B3236">
        <v>979.5</v>
      </c>
      <c r="C3236">
        <v>111.26</v>
      </c>
      <c r="D3236" s="15">
        <f t="shared" si="152"/>
        <v>1.7500000000012506E-4</v>
      </c>
      <c r="E3236" s="14">
        <f t="shared" si="150"/>
        <v>4.1586983162519988E-5</v>
      </c>
      <c r="F3236">
        <v>101.992</v>
      </c>
      <c r="G3236" s="1">
        <f t="shared" si="151"/>
        <v>102.871341</v>
      </c>
    </row>
    <row r="3237" spans="1:7" x14ac:dyDescent="0.3">
      <c r="A3237">
        <v>32350</v>
      </c>
      <c r="B3237">
        <v>980.9</v>
      </c>
      <c r="C3237">
        <v>111.258</v>
      </c>
      <c r="D3237" s="15">
        <f t="shared" si="152"/>
        <v>1.7499999999976979E-4</v>
      </c>
      <c r="E3237" s="14">
        <f t="shared" si="150"/>
        <v>4.1579413425750004E-5</v>
      </c>
      <c r="F3237">
        <v>101.973</v>
      </c>
      <c r="G3237" s="1">
        <f t="shared" si="151"/>
        <v>102.870211</v>
      </c>
    </row>
    <row r="3238" spans="1:7" x14ac:dyDescent="0.3">
      <c r="A3238">
        <v>32360</v>
      </c>
      <c r="B3238">
        <v>982.5</v>
      </c>
      <c r="C3238">
        <v>111.256</v>
      </c>
      <c r="D3238" s="15">
        <f t="shared" si="152"/>
        <v>2.0000000000024442E-4</v>
      </c>
      <c r="E3238" s="14">
        <f t="shared" si="150"/>
        <v>4.1571856372319994E-5</v>
      </c>
      <c r="F3238">
        <v>101.953</v>
      </c>
      <c r="G3238" s="1">
        <f t="shared" si="151"/>
        <v>102.86908100000001</v>
      </c>
    </row>
    <row r="3239" spans="1:7" x14ac:dyDescent="0.3">
      <c r="A3239">
        <v>32370</v>
      </c>
      <c r="B3239">
        <v>984.1</v>
      </c>
      <c r="C3239">
        <v>111.254</v>
      </c>
      <c r="D3239" s="15">
        <f t="shared" si="152"/>
        <v>1.9999999999988915E-4</v>
      </c>
      <c r="E3239" s="14">
        <f t="shared" si="150"/>
        <v>4.1564312002229984E-5</v>
      </c>
      <c r="F3239">
        <v>101.934</v>
      </c>
      <c r="G3239" s="1">
        <f t="shared" si="151"/>
        <v>102.86795100000001</v>
      </c>
    </row>
    <row r="3240" spans="1:7" x14ac:dyDescent="0.3">
      <c r="A3240">
        <v>32380</v>
      </c>
      <c r="B3240">
        <v>986.5</v>
      </c>
      <c r="C3240">
        <v>111.252</v>
      </c>
      <c r="D3240" s="15">
        <f t="shared" si="152"/>
        <v>1.9999999999988915E-4</v>
      </c>
      <c r="E3240" s="14">
        <f t="shared" si="150"/>
        <v>4.1556780315480003E-5</v>
      </c>
      <c r="F3240">
        <v>101.91500000000001</v>
      </c>
      <c r="G3240" s="1">
        <f t="shared" si="151"/>
        <v>102.866821</v>
      </c>
    </row>
    <row r="3241" spans="1:7" x14ac:dyDescent="0.3">
      <c r="A3241">
        <v>32390</v>
      </c>
      <c r="B3241">
        <v>988.5</v>
      </c>
      <c r="C3241">
        <v>111.25</v>
      </c>
      <c r="D3241" s="15">
        <f t="shared" si="152"/>
        <v>2.0000000000024442E-4</v>
      </c>
      <c r="E3241" s="14">
        <f t="shared" si="150"/>
        <v>4.1549261312069996E-5</v>
      </c>
      <c r="F3241">
        <v>101.895</v>
      </c>
      <c r="G3241" s="1">
        <f t="shared" si="151"/>
        <v>102.865691</v>
      </c>
    </row>
    <row r="3242" spans="1:7" x14ac:dyDescent="0.3">
      <c r="A3242">
        <v>32400</v>
      </c>
      <c r="B3242">
        <v>990.5</v>
      </c>
      <c r="C3242">
        <v>111.248</v>
      </c>
      <c r="D3242" s="15">
        <f t="shared" si="152"/>
        <v>1.7499999999976979E-4</v>
      </c>
      <c r="E3242" s="14">
        <f t="shared" si="150"/>
        <v>4.154175499199999E-5</v>
      </c>
      <c r="F3242">
        <v>101.877</v>
      </c>
      <c r="G3242" s="1">
        <f t="shared" si="151"/>
        <v>102.86456100000001</v>
      </c>
    </row>
    <row r="3243" spans="1:7" x14ac:dyDescent="0.3">
      <c r="A3243">
        <v>32410</v>
      </c>
      <c r="B3243">
        <v>992.8</v>
      </c>
      <c r="C3243">
        <v>111.246</v>
      </c>
      <c r="D3243" s="15">
        <f t="shared" si="152"/>
        <v>1.7500000000012506E-4</v>
      </c>
      <c r="E3243" s="14">
        <f t="shared" si="150"/>
        <v>4.1534261355269972E-5</v>
      </c>
      <c r="F3243">
        <v>101.857</v>
      </c>
      <c r="G3243" s="1">
        <f t="shared" si="151"/>
        <v>102.86343100000001</v>
      </c>
    </row>
    <row r="3244" spans="1:7" x14ac:dyDescent="0.3">
      <c r="A3244">
        <v>32420</v>
      </c>
      <c r="B3244">
        <v>994.7</v>
      </c>
      <c r="C3244">
        <v>111.245</v>
      </c>
      <c r="D3244" s="15">
        <f t="shared" si="152"/>
        <v>1.7500000000012506E-4</v>
      </c>
      <c r="E3244" s="14">
        <f t="shared" si="150"/>
        <v>4.1526780401879995E-5</v>
      </c>
      <c r="F3244">
        <v>101.837</v>
      </c>
      <c r="G3244" s="1">
        <f t="shared" si="151"/>
        <v>102.862301</v>
      </c>
    </row>
    <row r="3245" spans="1:7" x14ac:dyDescent="0.3">
      <c r="A3245">
        <v>32430</v>
      </c>
      <c r="B3245">
        <v>996.8</v>
      </c>
      <c r="C3245">
        <v>111.24299999999999</v>
      </c>
      <c r="D3245" s="15">
        <f t="shared" si="152"/>
        <v>1.7499999999976979E-4</v>
      </c>
      <c r="E3245" s="14">
        <f t="shared" si="150"/>
        <v>4.1519312131829992E-5</v>
      </c>
      <c r="F3245">
        <v>101.819</v>
      </c>
      <c r="G3245" s="1">
        <f t="shared" si="151"/>
        <v>102.861171</v>
      </c>
    </row>
    <row r="3246" spans="1:7" x14ac:dyDescent="0.3">
      <c r="A3246">
        <v>32440</v>
      </c>
      <c r="B3246">
        <v>999.1</v>
      </c>
      <c r="C3246">
        <v>111.241</v>
      </c>
      <c r="D3246" s="15">
        <f t="shared" si="152"/>
        <v>2.0000000000024442E-4</v>
      </c>
      <c r="E3246" s="14">
        <f t="shared" si="150"/>
        <v>4.1511856545119991E-5</v>
      </c>
      <c r="F3246">
        <v>101.79900000000001</v>
      </c>
      <c r="G3246" s="1">
        <f t="shared" si="151"/>
        <v>102.86004100000001</v>
      </c>
    </row>
    <row r="3247" spans="1:7" x14ac:dyDescent="0.3">
      <c r="A3247">
        <v>32450</v>
      </c>
      <c r="B3247">
        <v>1001.5</v>
      </c>
      <c r="C3247">
        <v>111.239</v>
      </c>
      <c r="D3247" s="15">
        <f t="shared" si="152"/>
        <v>1.9999999999988915E-4</v>
      </c>
      <c r="E3247" s="14">
        <f t="shared" si="150"/>
        <v>4.1504413641750004E-5</v>
      </c>
      <c r="F3247">
        <v>101.78</v>
      </c>
      <c r="G3247" s="1">
        <f t="shared" si="151"/>
        <v>102.85891100000001</v>
      </c>
    </row>
    <row r="3248" spans="1:7" x14ac:dyDescent="0.3">
      <c r="A3248">
        <v>32460</v>
      </c>
      <c r="B3248">
        <v>1004.1</v>
      </c>
      <c r="C3248">
        <v>111.23699999999999</v>
      </c>
      <c r="D3248" s="15">
        <f t="shared" si="152"/>
        <v>1.9999999999988915E-4</v>
      </c>
      <c r="E3248" s="14">
        <f t="shared" si="150"/>
        <v>4.1496983421719991E-5</v>
      </c>
      <c r="F3248">
        <v>101.761</v>
      </c>
      <c r="G3248" s="1">
        <f t="shared" si="151"/>
        <v>102.857781</v>
      </c>
    </row>
    <row r="3249" spans="1:7" x14ac:dyDescent="0.3">
      <c r="A3249">
        <v>32470</v>
      </c>
      <c r="B3249">
        <v>1008.2</v>
      </c>
      <c r="C3249">
        <v>111.235</v>
      </c>
      <c r="D3249" s="15">
        <f t="shared" si="152"/>
        <v>2.0000000000024442E-4</v>
      </c>
      <c r="E3249" s="14">
        <f t="shared" si="150"/>
        <v>4.1489565885029979E-5</v>
      </c>
      <c r="F3249">
        <v>101.741</v>
      </c>
      <c r="G3249" s="1">
        <f t="shared" si="151"/>
        <v>102.856651</v>
      </c>
    </row>
    <row r="3250" spans="1:7" x14ac:dyDescent="0.3">
      <c r="A3250">
        <v>32480</v>
      </c>
      <c r="B3250">
        <v>1014.2</v>
      </c>
      <c r="C3250">
        <v>111.233</v>
      </c>
      <c r="D3250" s="15">
        <f t="shared" si="152"/>
        <v>1.7499999999976979E-4</v>
      </c>
      <c r="E3250" s="14">
        <f t="shared" si="150"/>
        <v>4.1482161031679995E-5</v>
      </c>
      <c r="F3250">
        <v>101.72199999999999</v>
      </c>
      <c r="G3250" s="1">
        <f t="shared" si="151"/>
        <v>102.85552100000001</v>
      </c>
    </row>
    <row r="3251" spans="1:7" x14ac:dyDescent="0.3">
      <c r="A3251">
        <v>32490</v>
      </c>
      <c r="B3251">
        <v>1018.2</v>
      </c>
      <c r="C3251">
        <v>111.23099999999999</v>
      </c>
      <c r="D3251" s="15">
        <f t="shared" si="152"/>
        <v>1.7500000000012506E-4</v>
      </c>
      <c r="E3251" s="14">
        <f t="shared" si="150"/>
        <v>4.1474768861669985E-5</v>
      </c>
      <c r="F3251">
        <v>101.703</v>
      </c>
      <c r="G3251" s="1">
        <f t="shared" si="151"/>
        <v>102.85439100000001</v>
      </c>
    </row>
    <row r="3252" spans="1:7" x14ac:dyDescent="0.3">
      <c r="A3252">
        <v>32500</v>
      </c>
      <c r="B3252">
        <v>1021.4</v>
      </c>
      <c r="C3252">
        <v>111.23</v>
      </c>
      <c r="D3252" s="15">
        <f t="shared" si="152"/>
        <v>1.7500000000012506E-4</v>
      </c>
      <c r="E3252" s="14">
        <f t="shared" si="150"/>
        <v>4.1467389374999977E-5</v>
      </c>
      <c r="F3252">
        <v>101.684</v>
      </c>
      <c r="G3252" s="1">
        <f t="shared" si="151"/>
        <v>102.853261</v>
      </c>
    </row>
    <row r="3253" spans="1:7" x14ac:dyDescent="0.3">
      <c r="A3253">
        <v>32510</v>
      </c>
      <c r="B3253">
        <v>1024</v>
      </c>
      <c r="C3253">
        <v>111.22799999999999</v>
      </c>
      <c r="D3253" s="15">
        <f t="shared" si="152"/>
        <v>1.7499999999976979E-4</v>
      </c>
      <c r="E3253" s="14">
        <f t="shared" si="150"/>
        <v>4.1460022571669996E-5</v>
      </c>
      <c r="F3253">
        <v>101.664</v>
      </c>
      <c r="G3253" s="1">
        <f t="shared" si="151"/>
        <v>102.852131</v>
      </c>
    </row>
    <row r="3254" spans="1:7" x14ac:dyDescent="0.3">
      <c r="A3254">
        <v>32520</v>
      </c>
      <c r="B3254">
        <v>1027.8</v>
      </c>
      <c r="C3254">
        <v>111.226</v>
      </c>
      <c r="D3254" s="15">
        <f t="shared" si="152"/>
        <v>2.0000000000024442E-4</v>
      </c>
      <c r="E3254" s="14">
        <f t="shared" si="150"/>
        <v>4.145266845167999E-5</v>
      </c>
      <c r="F3254">
        <v>101.645</v>
      </c>
      <c r="G3254" s="1">
        <f t="shared" si="151"/>
        <v>102.851001</v>
      </c>
    </row>
    <row r="3255" spans="1:7" x14ac:dyDescent="0.3">
      <c r="A3255">
        <v>32530</v>
      </c>
      <c r="B3255">
        <v>1039.0999999999999</v>
      </c>
      <c r="C3255">
        <v>111.224</v>
      </c>
      <c r="D3255" s="15">
        <f t="shared" si="152"/>
        <v>1.9999999999988915E-4</v>
      </c>
      <c r="E3255" s="14">
        <f t="shared" si="150"/>
        <v>4.1445327015029998E-5</v>
      </c>
      <c r="F3255">
        <v>101.626</v>
      </c>
      <c r="G3255" s="1">
        <f t="shared" si="151"/>
        <v>102.84987100000001</v>
      </c>
    </row>
    <row r="3256" spans="1:7" x14ac:dyDescent="0.3">
      <c r="A3256">
        <v>32540</v>
      </c>
      <c r="B3256">
        <v>1043.2</v>
      </c>
      <c r="C3256">
        <v>111.22199999999999</v>
      </c>
      <c r="D3256" s="15">
        <f t="shared" si="152"/>
        <v>1.9999999999988915E-4</v>
      </c>
      <c r="E3256" s="14">
        <f t="shared" si="150"/>
        <v>4.1437998261720008E-5</v>
      </c>
      <c r="F3256">
        <v>101.60599999999999</v>
      </c>
      <c r="G3256" s="1">
        <f t="shared" si="151"/>
        <v>102.848741</v>
      </c>
    </row>
    <row r="3257" spans="1:7" x14ac:dyDescent="0.3">
      <c r="A3257">
        <v>32550</v>
      </c>
      <c r="B3257">
        <v>1047.5999999999999</v>
      </c>
      <c r="C3257">
        <v>111.22</v>
      </c>
      <c r="D3257" s="15">
        <f t="shared" si="152"/>
        <v>2.0000000000024442E-4</v>
      </c>
      <c r="E3257" s="14">
        <f t="shared" si="150"/>
        <v>4.1430682191750004E-5</v>
      </c>
      <c r="F3257">
        <v>101.58799999999999</v>
      </c>
      <c r="G3257" s="1">
        <f t="shared" si="151"/>
        <v>102.847611</v>
      </c>
    </row>
    <row r="3258" spans="1:7" x14ac:dyDescent="0.3">
      <c r="A3258">
        <v>32560</v>
      </c>
      <c r="B3258">
        <v>1053</v>
      </c>
      <c r="C3258">
        <v>111.218</v>
      </c>
      <c r="D3258" s="15">
        <f t="shared" si="152"/>
        <v>1.9999999999988915E-4</v>
      </c>
      <c r="E3258" s="14">
        <f t="shared" si="150"/>
        <v>4.1423378805119989E-5</v>
      </c>
      <c r="F3258">
        <v>101.568</v>
      </c>
      <c r="G3258" s="1">
        <f t="shared" si="151"/>
        <v>102.846481</v>
      </c>
    </row>
    <row r="3259" spans="1:7" x14ac:dyDescent="0.3">
      <c r="A3259">
        <v>32570</v>
      </c>
      <c r="B3259">
        <v>1068.5</v>
      </c>
      <c r="C3259">
        <v>111.21599999999999</v>
      </c>
      <c r="D3259" s="15">
        <f t="shared" si="152"/>
        <v>1.7500000000012506E-4</v>
      </c>
      <c r="E3259" s="14">
        <f t="shared" si="150"/>
        <v>4.1416088101830001E-5</v>
      </c>
      <c r="F3259">
        <v>101.548</v>
      </c>
      <c r="G3259" s="1">
        <f t="shared" si="151"/>
        <v>102.84535100000001</v>
      </c>
    </row>
    <row r="3260" spans="1:7" x14ac:dyDescent="0.3">
      <c r="A3260">
        <v>32580</v>
      </c>
      <c r="B3260">
        <v>1080.5999999999999</v>
      </c>
      <c r="C3260">
        <v>111.214</v>
      </c>
      <c r="D3260" s="15">
        <f t="shared" si="152"/>
        <v>1.7500000000012506E-4</v>
      </c>
      <c r="E3260" s="14">
        <f t="shared" si="150"/>
        <v>4.1408810081880001E-5</v>
      </c>
      <c r="F3260">
        <v>101.53</v>
      </c>
      <c r="G3260" s="1">
        <f t="shared" si="151"/>
        <v>102.844221</v>
      </c>
    </row>
    <row r="3261" spans="1:7" x14ac:dyDescent="0.3">
      <c r="A3261">
        <v>32590</v>
      </c>
      <c r="B3261">
        <v>1087.3</v>
      </c>
      <c r="C3261">
        <v>111.21299999999999</v>
      </c>
      <c r="D3261" s="15">
        <f t="shared" si="152"/>
        <v>1.7499999999976979E-4</v>
      </c>
      <c r="E3261" s="14">
        <f t="shared" si="150"/>
        <v>4.1401544745269989E-5</v>
      </c>
      <c r="F3261">
        <v>101.51</v>
      </c>
      <c r="G3261" s="1">
        <f t="shared" si="151"/>
        <v>102.843091</v>
      </c>
    </row>
    <row r="3262" spans="1:7" x14ac:dyDescent="0.3">
      <c r="A3262">
        <v>32600</v>
      </c>
      <c r="B3262">
        <v>1098.8</v>
      </c>
      <c r="C3262">
        <v>111.211</v>
      </c>
      <c r="D3262" s="15">
        <f t="shared" si="152"/>
        <v>1.7500000000012506E-4</v>
      </c>
      <c r="E3262" s="14">
        <f t="shared" si="150"/>
        <v>4.1394292091999978E-5</v>
      </c>
      <c r="F3262">
        <v>101.491</v>
      </c>
      <c r="G3262" s="1">
        <f t="shared" si="151"/>
        <v>102.841961</v>
      </c>
    </row>
    <row r="3263" spans="1:7" x14ac:dyDescent="0.3">
      <c r="A3263">
        <v>32610</v>
      </c>
      <c r="B3263">
        <v>1114.8</v>
      </c>
      <c r="C3263">
        <v>111.209</v>
      </c>
      <c r="D3263" s="15">
        <f t="shared" si="152"/>
        <v>1.9999999999988915E-4</v>
      </c>
      <c r="E3263" s="14">
        <f t="shared" si="150"/>
        <v>4.1387052122069995E-5</v>
      </c>
      <c r="F3263">
        <v>101.47199999999999</v>
      </c>
      <c r="G3263" s="1">
        <f t="shared" si="151"/>
        <v>102.84083100000001</v>
      </c>
    </row>
    <row r="3264" spans="1:7" x14ac:dyDescent="0.3">
      <c r="A3264">
        <v>32620</v>
      </c>
      <c r="B3264">
        <v>1134</v>
      </c>
      <c r="C3264">
        <v>111.20699999999999</v>
      </c>
      <c r="D3264" s="15">
        <f t="shared" si="152"/>
        <v>1.9999999999988915E-4</v>
      </c>
      <c r="E3264" s="14">
        <f t="shared" si="150"/>
        <v>4.1379824835479999E-5</v>
      </c>
      <c r="F3264">
        <v>101.452</v>
      </c>
      <c r="G3264" s="1">
        <f t="shared" si="151"/>
        <v>102.83970100000001</v>
      </c>
    </row>
    <row r="3265" spans="1:7" x14ac:dyDescent="0.3">
      <c r="A3265">
        <v>32630</v>
      </c>
      <c r="B3265">
        <v>1140.3</v>
      </c>
      <c r="C3265">
        <v>111.205</v>
      </c>
      <c r="D3265" s="15">
        <f t="shared" si="152"/>
        <v>2.0000000000024442E-4</v>
      </c>
      <c r="E3265" s="14">
        <f t="shared" si="150"/>
        <v>4.1372610232229991E-5</v>
      </c>
      <c r="F3265">
        <v>101.43300000000001</v>
      </c>
      <c r="G3265" s="1">
        <f t="shared" si="151"/>
        <v>102.838571</v>
      </c>
    </row>
    <row r="3266" spans="1:7" x14ac:dyDescent="0.3">
      <c r="A3266">
        <v>32640</v>
      </c>
      <c r="B3266">
        <v>1153.2</v>
      </c>
      <c r="C3266">
        <v>111.203</v>
      </c>
      <c r="D3266" s="15">
        <f t="shared" si="152"/>
        <v>1.9999999999988915E-4</v>
      </c>
      <c r="E3266" s="14">
        <f t="shared" ref="E3266:E3329" si="153">0.0000000000000634167*A3266*A3266 - 0.0000000048594*A3266 + 0.000132414</f>
        <v>4.1365408312319998E-5</v>
      </c>
      <c r="F3266">
        <v>101.413</v>
      </c>
      <c r="G3266" s="1">
        <f t="shared" si="151"/>
        <v>102.837441</v>
      </c>
    </row>
    <row r="3267" spans="1:7" x14ac:dyDescent="0.3">
      <c r="A3267">
        <v>32650</v>
      </c>
      <c r="B3267">
        <v>1159.5</v>
      </c>
      <c r="C3267">
        <v>111.20099999999999</v>
      </c>
      <c r="D3267" s="15">
        <f t="shared" si="152"/>
        <v>1.7500000000012506E-4</v>
      </c>
      <c r="E3267" s="14">
        <f t="shared" si="153"/>
        <v>4.1358219075749992E-5</v>
      </c>
      <c r="F3267">
        <v>101.395</v>
      </c>
      <c r="G3267" s="1">
        <f t="shared" ref="G3267:G3330" si="154">-0.000113*A3267 + 106.525761</f>
        <v>102.83631100000001</v>
      </c>
    </row>
    <row r="3268" spans="1:7" x14ac:dyDescent="0.3">
      <c r="A3268">
        <v>32660</v>
      </c>
      <c r="B3268">
        <v>1162.0999999999999</v>
      </c>
      <c r="C3268">
        <v>111.199</v>
      </c>
      <c r="D3268" s="15">
        <f t="shared" si="152"/>
        <v>1.7500000000012506E-4</v>
      </c>
      <c r="E3268" s="14">
        <f t="shared" si="153"/>
        <v>4.1351042522519988E-5</v>
      </c>
      <c r="F3268">
        <v>101.375</v>
      </c>
      <c r="G3268" s="1">
        <f t="shared" si="154"/>
        <v>102.83518100000001</v>
      </c>
    </row>
    <row r="3269" spans="1:7" x14ac:dyDescent="0.3">
      <c r="A3269">
        <v>32670</v>
      </c>
      <c r="B3269">
        <v>1164.8</v>
      </c>
      <c r="C3269">
        <v>111.19799999999999</v>
      </c>
      <c r="D3269" s="15">
        <f t="shared" ref="D3269:D3332" si="155">(C3267-C3271)/(A3271-A3267)</f>
        <v>1.7499999999976979E-4</v>
      </c>
      <c r="E3269" s="14">
        <f t="shared" si="153"/>
        <v>4.1343878652629998E-5</v>
      </c>
      <c r="F3269">
        <v>101.35599999999999</v>
      </c>
      <c r="G3269" s="1">
        <f t="shared" si="154"/>
        <v>102.834051</v>
      </c>
    </row>
    <row r="3270" spans="1:7" x14ac:dyDescent="0.3">
      <c r="A3270">
        <v>32680</v>
      </c>
      <c r="B3270">
        <v>1167.5</v>
      </c>
      <c r="C3270">
        <v>111.196</v>
      </c>
      <c r="D3270" s="15">
        <f t="shared" si="155"/>
        <v>1.5000000000000568E-4</v>
      </c>
      <c r="E3270" s="14">
        <f t="shared" si="153"/>
        <v>4.1336727466079995E-5</v>
      </c>
      <c r="F3270">
        <v>101.336</v>
      </c>
      <c r="G3270" s="1">
        <f t="shared" si="154"/>
        <v>102.832921</v>
      </c>
    </row>
    <row r="3271" spans="1:7" x14ac:dyDescent="0.3">
      <c r="A3271">
        <v>32690</v>
      </c>
      <c r="B3271">
        <v>1170.2</v>
      </c>
      <c r="C3271">
        <v>111.194</v>
      </c>
      <c r="D3271" s="15">
        <f t="shared" si="155"/>
        <v>1.7499999999976979E-4</v>
      </c>
      <c r="E3271" s="14">
        <f t="shared" si="153"/>
        <v>4.132958896286998E-5</v>
      </c>
      <c r="F3271">
        <v>101.31699999999999</v>
      </c>
      <c r="G3271" s="1">
        <f t="shared" si="154"/>
        <v>102.83179100000001</v>
      </c>
    </row>
    <row r="3272" spans="1:7" x14ac:dyDescent="0.3">
      <c r="A3272">
        <v>32700</v>
      </c>
      <c r="B3272">
        <v>1172.9000000000001</v>
      </c>
      <c r="C3272">
        <v>111.193</v>
      </c>
      <c r="D3272" s="15">
        <f t="shared" si="155"/>
        <v>1.5000000000000568E-4</v>
      </c>
      <c r="E3272" s="14">
        <f t="shared" si="153"/>
        <v>4.1322463142999993E-5</v>
      </c>
      <c r="F3272">
        <v>101.298</v>
      </c>
      <c r="G3272" s="1">
        <f t="shared" si="154"/>
        <v>102.83066100000001</v>
      </c>
    </row>
    <row r="3273" spans="1:7" x14ac:dyDescent="0.3">
      <c r="A3273">
        <v>32710</v>
      </c>
      <c r="B3273">
        <v>1175.7</v>
      </c>
      <c r="C3273">
        <v>111.191</v>
      </c>
      <c r="D3273" s="15">
        <f t="shared" si="155"/>
        <v>1.5000000000000568E-4</v>
      </c>
      <c r="E3273" s="14">
        <f t="shared" si="153"/>
        <v>4.1315350006469994E-5</v>
      </c>
      <c r="F3273">
        <v>101.279</v>
      </c>
      <c r="G3273" s="1">
        <f t="shared" si="154"/>
        <v>102.829531</v>
      </c>
    </row>
    <row r="3274" spans="1:7" x14ac:dyDescent="0.3">
      <c r="A3274">
        <v>32720</v>
      </c>
      <c r="B3274">
        <v>1176.3</v>
      </c>
      <c r="C3274">
        <v>111.19</v>
      </c>
      <c r="D3274" s="15">
        <f t="shared" si="155"/>
        <v>1.7499999999976979E-4</v>
      </c>
      <c r="E3274" s="14">
        <f t="shared" si="153"/>
        <v>4.1308249553279996E-5</v>
      </c>
      <c r="F3274">
        <v>101.271</v>
      </c>
      <c r="G3274" s="1">
        <f t="shared" si="154"/>
        <v>102.828401</v>
      </c>
    </row>
    <row r="3275" spans="1:7" x14ac:dyDescent="0.3">
      <c r="A3275">
        <v>32730</v>
      </c>
      <c r="B3275">
        <v>1176.5999999999999</v>
      </c>
      <c r="C3275">
        <v>111.188</v>
      </c>
      <c r="D3275" s="15">
        <f t="shared" si="155"/>
        <v>1.5000000000000568E-4</v>
      </c>
      <c r="E3275" s="14">
        <f t="shared" si="153"/>
        <v>4.1301161783430013E-5</v>
      </c>
      <c r="F3275">
        <v>101.268</v>
      </c>
      <c r="G3275" s="1">
        <f t="shared" si="154"/>
        <v>102.827271</v>
      </c>
    </row>
    <row r="3276" spans="1:7" x14ac:dyDescent="0.3">
      <c r="A3276">
        <v>32740</v>
      </c>
      <c r="B3276">
        <v>1177</v>
      </c>
      <c r="C3276">
        <v>111.18600000000001</v>
      </c>
      <c r="D3276" s="15">
        <f t="shared" si="155"/>
        <v>1.7499999999976979E-4</v>
      </c>
      <c r="E3276" s="14">
        <f t="shared" si="153"/>
        <v>4.1294086696920003E-5</v>
      </c>
      <c r="F3276">
        <v>101.26600000000001</v>
      </c>
      <c r="G3276" s="1">
        <f t="shared" si="154"/>
        <v>102.82614100000001</v>
      </c>
    </row>
    <row r="3277" spans="1:7" x14ac:dyDescent="0.3">
      <c r="A3277">
        <v>32750</v>
      </c>
      <c r="B3277">
        <v>1177.4000000000001</v>
      </c>
      <c r="C3277">
        <v>111.185</v>
      </c>
      <c r="D3277" s="15">
        <f t="shared" si="155"/>
        <v>1.5000000000000568E-4</v>
      </c>
      <c r="E3277" s="14">
        <f t="shared" si="153"/>
        <v>4.1287024293749995E-5</v>
      </c>
      <c r="F3277">
        <v>101.26300000000001</v>
      </c>
      <c r="G3277" s="1">
        <f t="shared" si="154"/>
        <v>102.825011</v>
      </c>
    </row>
    <row r="3278" spans="1:7" x14ac:dyDescent="0.3">
      <c r="A3278">
        <v>32760</v>
      </c>
      <c r="B3278">
        <v>1177.7</v>
      </c>
      <c r="C3278">
        <v>111.18300000000001</v>
      </c>
      <c r="D3278" s="15">
        <f t="shared" si="155"/>
        <v>1.5000000000000568E-4</v>
      </c>
      <c r="E3278" s="14">
        <f t="shared" si="153"/>
        <v>4.1279974573920001E-5</v>
      </c>
      <c r="F3278">
        <v>101.261</v>
      </c>
      <c r="G3278" s="1">
        <f t="shared" si="154"/>
        <v>102.823881</v>
      </c>
    </row>
    <row r="3279" spans="1:7" x14ac:dyDescent="0.3">
      <c r="A3279">
        <v>32770</v>
      </c>
      <c r="B3279">
        <v>1178.0999999999999</v>
      </c>
      <c r="C3279">
        <v>111.182</v>
      </c>
      <c r="D3279" s="15">
        <f t="shared" si="155"/>
        <v>1.5000000000000568E-4</v>
      </c>
      <c r="E3279" s="14">
        <f t="shared" si="153"/>
        <v>4.1272937537429995E-5</v>
      </c>
      <c r="F3279">
        <v>101.25700000000001</v>
      </c>
      <c r="G3279" s="1">
        <f t="shared" si="154"/>
        <v>102.822751</v>
      </c>
    </row>
    <row r="3280" spans="1:7" x14ac:dyDescent="0.3">
      <c r="A3280">
        <v>32780</v>
      </c>
      <c r="B3280">
        <v>1178.5</v>
      </c>
      <c r="C3280">
        <v>111.18</v>
      </c>
      <c r="D3280" s="15">
        <f t="shared" si="155"/>
        <v>1.5000000000000568E-4</v>
      </c>
      <c r="E3280" s="14">
        <f t="shared" si="153"/>
        <v>4.126591318427999E-5</v>
      </c>
      <c r="F3280">
        <v>101.255</v>
      </c>
      <c r="G3280" s="1">
        <f t="shared" si="154"/>
        <v>102.82162100000001</v>
      </c>
    </row>
    <row r="3281" spans="1:7" x14ac:dyDescent="0.3">
      <c r="A3281">
        <v>32790</v>
      </c>
      <c r="B3281">
        <v>1178.9000000000001</v>
      </c>
      <c r="C3281">
        <v>111.179</v>
      </c>
      <c r="D3281" s="15">
        <f t="shared" si="155"/>
        <v>1.5000000000000568E-4</v>
      </c>
      <c r="E3281" s="14">
        <f t="shared" si="153"/>
        <v>4.1258901514469972E-5</v>
      </c>
      <c r="F3281">
        <v>101.252</v>
      </c>
      <c r="G3281" s="1">
        <f t="shared" si="154"/>
        <v>102.820491</v>
      </c>
    </row>
    <row r="3282" spans="1:7" x14ac:dyDescent="0.3">
      <c r="A3282">
        <v>32800</v>
      </c>
      <c r="B3282">
        <v>1179.3</v>
      </c>
      <c r="C3282">
        <v>111.17700000000001</v>
      </c>
      <c r="D3282" s="15">
        <f t="shared" si="155"/>
        <v>1.5000000000000568E-4</v>
      </c>
      <c r="E3282" s="14">
        <f t="shared" si="153"/>
        <v>4.1251902527999996E-5</v>
      </c>
      <c r="F3282">
        <v>101.249</v>
      </c>
      <c r="G3282" s="1">
        <f t="shared" si="154"/>
        <v>102.819361</v>
      </c>
    </row>
    <row r="3283" spans="1:7" x14ac:dyDescent="0.3">
      <c r="A3283">
        <v>32810</v>
      </c>
      <c r="B3283">
        <v>1179.5999999999999</v>
      </c>
      <c r="C3283">
        <v>111.176</v>
      </c>
      <c r="D3283" s="15">
        <f t="shared" si="155"/>
        <v>1.5000000000000568E-4</v>
      </c>
      <c r="E3283" s="14">
        <f t="shared" si="153"/>
        <v>4.1244916224869981E-5</v>
      </c>
      <c r="F3283">
        <v>101.247</v>
      </c>
      <c r="G3283" s="1">
        <f t="shared" si="154"/>
        <v>102.818231</v>
      </c>
    </row>
    <row r="3284" spans="1:7" x14ac:dyDescent="0.3">
      <c r="A3284">
        <v>32820</v>
      </c>
      <c r="B3284">
        <v>1180.0999999999999</v>
      </c>
      <c r="C3284">
        <v>111.17400000000001</v>
      </c>
      <c r="D3284" s="15">
        <f t="shared" si="155"/>
        <v>1.2500000000024159E-4</v>
      </c>
      <c r="E3284" s="14">
        <f t="shared" si="153"/>
        <v>4.1237942605079994E-5</v>
      </c>
      <c r="F3284">
        <v>101.244</v>
      </c>
      <c r="G3284" s="1">
        <f t="shared" si="154"/>
        <v>102.81710100000001</v>
      </c>
    </row>
    <row r="3285" spans="1:7" x14ac:dyDescent="0.3">
      <c r="A3285">
        <v>32830</v>
      </c>
      <c r="B3285">
        <v>1180.5</v>
      </c>
      <c r="C3285">
        <v>111.173</v>
      </c>
      <c r="D3285" s="15">
        <f t="shared" si="155"/>
        <v>1.5000000000000568E-4</v>
      </c>
      <c r="E3285" s="14">
        <f t="shared" si="153"/>
        <v>4.1230981668630007E-5</v>
      </c>
      <c r="F3285">
        <v>101.241</v>
      </c>
      <c r="G3285" s="1">
        <f t="shared" si="154"/>
        <v>102.815971</v>
      </c>
    </row>
    <row r="3286" spans="1:7" x14ac:dyDescent="0.3">
      <c r="A3286">
        <v>32840</v>
      </c>
      <c r="B3286">
        <v>1180.9000000000001</v>
      </c>
      <c r="C3286">
        <v>111.172</v>
      </c>
      <c r="D3286" s="15">
        <f t="shared" si="155"/>
        <v>1.2500000000024159E-4</v>
      </c>
      <c r="E3286" s="14">
        <f t="shared" si="153"/>
        <v>4.1224033415519995E-5</v>
      </c>
      <c r="F3286">
        <v>101.238</v>
      </c>
      <c r="G3286" s="1">
        <f t="shared" si="154"/>
        <v>102.814841</v>
      </c>
    </row>
    <row r="3287" spans="1:7" x14ac:dyDescent="0.3">
      <c r="A3287">
        <v>32850</v>
      </c>
      <c r="B3287">
        <v>1177.9000000000001</v>
      </c>
      <c r="C3287">
        <v>111.17</v>
      </c>
      <c r="D3287" s="15">
        <f t="shared" si="155"/>
        <v>1.5000000000000568E-4</v>
      </c>
      <c r="E3287" s="14">
        <f t="shared" si="153"/>
        <v>4.1217097845749984E-5</v>
      </c>
      <c r="F3287">
        <v>101.236</v>
      </c>
      <c r="G3287" s="1">
        <f t="shared" si="154"/>
        <v>102.813711</v>
      </c>
    </row>
    <row r="3288" spans="1:7" x14ac:dyDescent="0.3">
      <c r="A3288">
        <v>32860</v>
      </c>
      <c r="B3288">
        <v>1175.9000000000001</v>
      </c>
      <c r="C3288">
        <v>111.169</v>
      </c>
      <c r="D3288" s="15">
        <f t="shared" si="155"/>
        <v>1.5000000000000568E-4</v>
      </c>
      <c r="E3288" s="14">
        <f t="shared" si="153"/>
        <v>4.1210174959320001E-5</v>
      </c>
      <c r="F3288">
        <v>101.233</v>
      </c>
      <c r="G3288" s="1">
        <f t="shared" si="154"/>
        <v>102.81258100000001</v>
      </c>
    </row>
    <row r="3289" spans="1:7" x14ac:dyDescent="0.3">
      <c r="A3289">
        <v>32870</v>
      </c>
      <c r="B3289">
        <v>1175.4000000000001</v>
      </c>
      <c r="C3289">
        <v>111.167</v>
      </c>
      <c r="D3289" s="15">
        <f t="shared" si="155"/>
        <v>1.2499999999988632E-4</v>
      </c>
      <c r="E3289" s="14">
        <f t="shared" si="153"/>
        <v>4.1203264756229993E-5</v>
      </c>
      <c r="F3289">
        <v>101.23</v>
      </c>
      <c r="G3289" s="1">
        <f t="shared" si="154"/>
        <v>102.81145100000001</v>
      </c>
    </row>
    <row r="3290" spans="1:7" x14ac:dyDescent="0.3">
      <c r="A3290">
        <v>32880</v>
      </c>
      <c r="B3290">
        <v>1173.0999999999999</v>
      </c>
      <c r="C3290">
        <v>111.166</v>
      </c>
      <c r="D3290" s="15">
        <f t="shared" si="155"/>
        <v>1.5000000000000568E-4</v>
      </c>
      <c r="E3290" s="14">
        <f t="shared" si="153"/>
        <v>4.1196367236479985E-5</v>
      </c>
      <c r="F3290">
        <v>101.22799999999999</v>
      </c>
      <c r="G3290" s="1">
        <f t="shared" si="154"/>
        <v>102.810321</v>
      </c>
    </row>
    <row r="3291" spans="1:7" x14ac:dyDescent="0.3">
      <c r="A3291">
        <v>32890</v>
      </c>
      <c r="B3291">
        <v>1171</v>
      </c>
      <c r="C3291">
        <v>111.16500000000001</v>
      </c>
      <c r="D3291" s="15">
        <f t="shared" si="155"/>
        <v>1.2499999999988632E-4</v>
      </c>
      <c r="E3291" s="14">
        <f t="shared" si="153"/>
        <v>4.1189482400070005E-5</v>
      </c>
      <c r="F3291">
        <v>101.22499999999999</v>
      </c>
      <c r="G3291" s="1">
        <f t="shared" si="154"/>
        <v>102.809191</v>
      </c>
    </row>
    <row r="3292" spans="1:7" x14ac:dyDescent="0.3">
      <c r="A3292">
        <v>32900</v>
      </c>
      <c r="B3292">
        <v>1169.7</v>
      </c>
      <c r="C3292">
        <v>111.163</v>
      </c>
      <c r="D3292" s="15">
        <f t="shared" si="155"/>
        <v>1.5000000000000568E-4</v>
      </c>
      <c r="E3292" s="14">
        <f t="shared" si="153"/>
        <v>4.1182610246999986E-5</v>
      </c>
      <c r="F3292">
        <v>101.22199999999999</v>
      </c>
      <c r="G3292" s="1">
        <f t="shared" si="154"/>
        <v>102.80806100000001</v>
      </c>
    </row>
    <row r="3293" spans="1:7" x14ac:dyDescent="0.3">
      <c r="A3293">
        <v>32910</v>
      </c>
      <c r="B3293">
        <v>1169.0999999999999</v>
      </c>
      <c r="C3293">
        <v>111.16200000000001</v>
      </c>
      <c r="D3293" s="15">
        <f t="shared" si="155"/>
        <v>1.5000000000000568E-4</v>
      </c>
      <c r="E3293" s="14">
        <f t="shared" si="153"/>
        <v>4.1175750777269982E-5</v>
      </c>
      <c r="F3293">
        <v>101.22</v>
      </c>
      <c r="G3293" s="1">
        <f t="shared" si="154"/>
        <v>102.80693100000001</v>
      </c>
    </row>
    <row r="3294" spans="1:7" x14ac:dyDescent="0.3">
      <c r="A3294">
        <v>32920</v>
      </c>
      <c r="B3294">
        <v>1168.7</v>
      </c>
      <c r="C3294">
        <v>111.16</v>
      </c>
      <c r="D3294" s="15">
        <f t="shared" si="155"/>
        <v>1.2499999999988632E-4</v>
      </c>
      <c r="E3294" s="14">
        <f t="shared" si="153"/>
        <v>4.1168903990880006E-5</v>
      </c>
      <c r="F3294">
        <v>101.217</v>
      </c>
      <c r="G3294" s="1">
        <f t="shared" si="154"/>
        <v>102.805801</v>
      </c>
    </row>
    <row r="3295" spans="1:7" x14ac:dyDescent="0.3">
      <c r="A3295">
        <v>32930</v>
      </c>
      <c r="B3295">
        <v>1168.5</v>
      </c>
      <c r="C3295">
        <v>111.15900000000001</v>
      </c>
      <c r="D3295" s="15">
        <f t="shared" si="155"/>
        <v>1.5000000000000568E-4</v>
      </c>
      <c r="E3295" s="14">
        <f t="shared" si="153"/>
        <v>4.1162069887830003E-5</v>
      </c>
      <c r="F3295">
        <v>101.214</v>
      </c>
      <c r="G3295" s="1">
        <f t="shared" si="154"/>
        <v>102.804671</v>
      </c>
    </row>
    <row r="3296" spans="1:7" x14ac:dyDescent="0.3">
      <c r="A3296">
        <v>32940</v>
      </c>
      <c r="B3296">
        <v>1168.4000000000001</v>
      </c>
      <c r="C3296">
        <v>111.158</v>
      </c>
      <c r="D3296" s="15">
        <f t="shared" si="155"/>
        <v>1.2499999999988632E-4</v>
      </c>
      <c r="E3296" s="14">
        <f t="shared" si="153"/>
        <v>4.1155248468119988E-5</v>
      </c>
      <c r="F3296">
        <v>101.211</v>
      </c>
      <c r="G3296" s="1">
        <f t="shared" si="154"/>
        <v>102.80354100000001</v>
      </c>
    </row>
    <row r="3297" spans="1:7" x14ac:dyDescent="0.3">
      <c r="A3297">
        <v>32950</v>
      </c>
      <c r="B3297">
        <v>1168.3</v>
      </c>
      <c r="C3297">
        <v>111.15600000000001</v>
      </c>
      <c r="D3297" s="15">
        <f t="shared" si="155"/>
        <v>1.2500000000024159E-4</v>
      </c>
      <c r="E3297" s="14">
        <f t="shared" si="153"/>
        <v>4.1148439731750002E-5</v>
      </c>
      <c r="F3297">
        <v>101.209</v>
      </c>
      <c r="G3297" s="1">
        <f t="shared" si="154"/>
        <v>102.80241100000001</v>
      </c>
    </row>
    <row r="3298" spans="1:7" x14ac:dyDescent="0.3">
      <c r="A3298">
        <v>32960</v>
      </c>
      <c r="B3298">
        <v>1168.3</v>
      </c>
      <c r="C3298">
        <v>111.155</v>
      </c>
      <c r="D3298" s="15">
        <f t="shared" si="155"/>
        <v>1.2499999999988632E-4</v>
      </c>
      <c r="E3298" s="14">
        <f t="shared" si="153"/>
        <v>4.1141643678720003E-5</v>
      </c>
      <c r="F3298">
        <v>101.206</v>
      </c>
      <c r="G3298" s="1">
        <f t="shared" si="154"/>
        <v>102.801281</v>
      </c>
    </row>
    <row r="3299" spans="1:7" x14ac:dyDescent="0.3">
      <c r="A3299">
        <v>32970</v>
      </c>
      <c r="B3299">
        <v>1168.5</v>
      </c>
      <c r="C3299">
        <v>111.154</v>
      </c>
      <c r="D3299" s="15">
        <f t="shared" si="155"/>
        <v>1.2500000000024159E-4</v>
      </c>
      <c r="E3299" s="14">
        <f t="shared" si="153"/>
        <v>4.1134860309029991E-5</v>
      </c>
      <c r="F3299">
        <v>101.203</v>
      </c>
      <c r="G3299" s="1">
        <f t="shared" si="154"/>
        <v>102.800151</v>
      </c>
    </row>
    <row r="3300" spans="1:7" x14ac:dyDescent="0.3">
      <c r="A3300">
        <v>32980</v>
      </c>
      <c r="B3300">
        <v>1168.7</v>
      </c>
      <c r="C3300">
        <v>111.15300000000001</v>
      </c>
      <c r="D3300" s="15">
        <f t="shared" si="155"/>
        <v>1.2499999999988632E-4</v>
      </c>
      <c r="E3300" s="14">
        <f t="shared" si="153"/>
        <v>4.1128089622680008E-5</v>
      </c>
      <c r="F3300">
        <v>101.2</v>
      </c>
      <c r="G3300" s="1">
        <f t="shared" si="154"/>
        <v>102.799021</v>
      </c>
    </row>
    <row r="3301" spans="1:7" x14ac:dyDescent="0.3">
      <c r="A3301">
        <v>32990</v>
      </c>
      <c r="B3301">
        <v>1168.9000000000001</v>
      </c>
      <c r="C3301">
        <v>111.151</v>
      </c>
      <c r="D3301" s="15">
        <f t="shared" si="155"/>
        <v>1.2499999999988632E-4</v>
      </c>
      <c r="E3301" s="14">
        <f t="shared" si="153"/>
        <v>4.1121331619669999E-5</v>
      </c>
      <c r="F3301">
        <v>101.19799999999999</v>
      </c>
      <c r="G3301" s="1">
        <f t="shared" si="154"/>
        <v>102.79789100000001</v>
      </c>
    </row>
    <row r="3302" spans="1:7" x14ac:dyDescent="0.3">
      <c r="A3302">
        <v>33000</v>
      </c>
      <c r="B3302">
        <v>1169.2</v>
      </c>
      <c r="C3302">
        <v>111.15</v>
      </c>
      <c r="D3302" s="15">
        <f t="shared" si="155"/>
        <v>1.2500000000024159E-4</v>
      </c>
      <c r="E3302" s="14">
        <f t="shared" si="153"/>
        <v>4.1114586299999991E-5</v>
      </c>
      <c r="F3302">
        <v>101.19499999999999</v>
      </c>
      <c r="G3302" s="1">
        <f t="shared" si="154"/>
        <v>102.796761</v>
      </c>
    </row>
    <row r="3303" spans="1:7" x14ac:dyDescent="0.3">
      <c r="A3303">
        <v>33010</v>
      </c>
      <c r="B3303">
        <v>1169.5999999999999</v>
      </c>
      <c r="C3303">
        <v>111.149</v>
      </c>
      <c r="D3303" s="15">
        <f t="shared" si="155"/>
        <v>1.2499999999988632E-4</v>
      </c>
      <c r="E3303" s="14">
        <f t="shared" si="153"/>
        <v>4.110785366366997E-5</v>
      </c>
      <c r="F3303">
        <v>101.19199999999999</v>
      </c>
      <c r="G3303" s="1">
        <f t="shared" si="154"/>
        <v>102.795631</v>
      </c>
    </row>
    <row r="3304" spans="1:7" x14ac:dyDescent="0.3">
      <c r="A3304">
        <v>33020</v>
      </c>
      <c r="B3304">
        <v>1170</v>
      </c>
      <c r="C3304">
        <v>111.148</v>
      </c>
      <c r="D3304" s="15">
        <f t="shared" si="155"/>
        <v>1.2500000000024159E-4</v>
      </c>
      <c r="E3304" s="14">
        <f t="shared" si="153"/>
        <v>4.1101133710680005E-5</v>
      </c>
      <c r="F3304">
        <v>101.18899999999999</v>
      </c>
      <c r="G3304" s="1">
        <f t="shared" si="154"/>
        <v>102.794501</v>
      </c>
    </row>
    <row r="3305" spans="1:7" x14ac:dyDescent="0.3">
      <c r="A3305">
        <v>33030</v>
      </c>
      <c r="B3305">
        <v>1170.4000000000001</v>
      </c>
      <c r="C3305">
        <v>111.146</v>
      </c>
      <c r="D3305" s="15">
        <f t="shared" si="155"/>
        <v>1.2499999999988632E-4</v>
      </c>
      <c r="E3305" s="14">
        <f t="shared" si="153"/>
        <v>4.109442644103E-5</v>
      </c>
      <c r="F3305">
        <v>101.187</v>
      </c>
      <c r="G3305" s="1">
        <f t="shared" si="154"/>
        <v>102.79337100000001</v>
      </c>
    </row>
    <row r="3306" spans="1:7" x14ac:dyDescent="0.3">
      <c r="A3306">
        <v>33040</v>
      </c>
      <c r="B3306">
        <v>1170.8</v>
      </c>
      <c r="C3306">
        <v>111.145</v>
      </c>
      <c r="D3306" s="15">
        <f t="shared" si="155"/>
        <v>1.2499999999988632E-4</v>
      </c>
      <c r="E3306" s="14">
        <f t="shared" si="153"/>
        <v>4.1087731854719982E-5</v>
      </c>
      <c r="F3306">
        <v>101.184</v>
      </c>
      <c r="G3306" s="1">
        <f t="shared" si="154"/>
        <v>102.792241</v>
      </c>
    </row>
    <row r="3307" spans="1:7" x14ac:dyDescent="0.3">
      <c r="A3307">
        <v>33050</v>
      </c>
      <c r="B3307">
        <v>1171.4000000000001</v>
      </c>
      <c r="C3307">
        <v>111.14400000000001</v>
      </c>
      <c r="D3307" s="15">
        <f t="shared" si="155"/>
        <v>1.0000000000012221E-4</v>
      </c>
      <c r="E3307" s="14">
        <f t="shared" si="153"/>
        <v>4.1081049951750007E-5</v>
      </c>
      <c r="F3307">
        <v>101.181</v>
      </c>
      <c r="G3307" s="1">
        <f t="shared" si="154"/>
        <v>102.791111</v>
      </c>
    </row>
    <row r="3308" spans="1:7" x14ac:dyDescent="0.3">
      <c r="A3308">
        <v>33060</v>
      </c>
      <c r="B3308">
        <v>1171.9000000000001</v>
      </c>
      <c r="C3308">
        <v>111.143</v>
      </c>
      <c r="D3308" s="15">
        <f t="shared" si="155"/>
        <v>9.9999999999766942E-5</v>
      </c>
      <c r="E3308" s="14">
        <f t="shared" si="153"/>
        <v>4.1074380732119992E-5</v>
      </c>
      <c r="F3308">
        <v>101.178</v>
      </c>
      <c r="G3308" s="1">
        <f t="shared" si="154"/>
        <v>102.789981</v>
      </c>
    </row>
    <row r="3309" spans="1:7" x14ac:dyDescent="0.3">
      <c r="A3309">
        <v>33070</v>
      </c>
      <c r="B3309">
        <v>1172.5</v>
      </c>
      <c r="C3309">
        <v>111.142</v>
      </c>
      <c r="D3309" s="15">
        <f t="shared" si="155"/>
        <v>1.2500000000024159E-4</v>
      </c>
      <c r="E3309" s="14">
        <f t="shared" si="153"/>
        <v>4.1067724195829978E-5</v>
      </c>
      <c r="F3309">
        <v>101.176</v>
      </c>
      <c r="G3309" s="1">
        <f t="shared" si="154"/>
        <v>102.78885100000001</v>
      </c>
    </row>
    <row r="3310" spans="1:7" x14ac:dyDescent="0.3">
      <c r="A3310">
        <v>33080</v>
      </c>
      <c r="B3310">
        <v>1173.0999999999999</v>
      </c>
      <c r="C3310">
        <v>111.14100000000001</v>
      </c>
      <c r="D3310" s="15">
        <f t="shared" si="155"/>
        <v>1.2499999999988632E-4</v>
      </c>
      <c r="E3310" s="14">
        <f t="shared" si="153"/>
        <v>4.1061080342880005E-5</v>
      </c>
      <c r="F3310">
        <v>101.173</v>
      </c>
      <c r="G3310" s="1">
        <f t="shared" si="154"/>
        <v>102.787721</v>
      </c>
    </row>
    <row r="3311" spans="1:7" x14ac:dyDescent="0.3">
      <c r="A3311">
        <v>33090</v>
      </c>
      <c r="B3311">
        <v>1173.7</v>
      </c>
      <c r="C3311">
        <v>111.139</v>
      </c>
      <c r="D3311" s="15">
        <f t="shared" si="155"/>
        <v>1.2499999999988632E-4</v>
      </c>
      <c r="E3311" s="14">
        <f t="shared" si="153"/>
        <v>4.1054449173269993E-5</v>
      </c>
      <c r="F3311">
        <v>101.17</v>
      </c>
      <c r="G3311" s="1">
        <f t="shared" si="154"/>
        <v>102.786591</v>
      </c>
    </row>
    <row r="3312" spans="1:7" x14ac:dyDescent="0.3">
      <c r="A3312">
        <v>33100</v>
      </c>
      <c r="B3312">
        <v>1174.3</v>
      </c>
      <c r="C3312">
        <v>111.13800000000001</v>
      </c>
      <c r="D3312" s="15">
        <f t="shared" si="155"/>
        <v>1.2500000000024159E-4</v>
      </c>
      <c r="E3312" s="14">
        <f t="shared" si="153"/>
        <v>4.1047830686999983E-5</v>
      </c>
      <c r="F3312">
        <v>101.16800000000001</v>
      </c>
      <c r="G3312" s="1">
        <f t="shared" si="154"/>
        <v>102.785461</v>
      </c>
    </row>
    <row r="3313" spans="1:7" x14ac:dyDescent="0.3">
      <c r="A3313">
        <v>33110</v>
      </c>
      <c r="B3313">
        <v>1175</v>
      </c>
      <c r="C3313">
        <v>111.137</v>
      </c>
      <c r="D3313" s="15">
        <f t="shared" si="155"/>
        <v>9.9999999999766942E-5</v>
      </c>
      <c r="E3313" s="14">
        <f t="shared" si="153"/>
        <v>4.104122488407E-5</v>
      </c>
      <c r="F3313">
        <v>101.16500000000001</v>
      </c>
      <c r="G3313" s="1">
        <f t="shared" si="154"/>
        <v>102.78433100000001</v>
      </c>
    </row>
    <row r="3314" spans="1:7" x14ac:dyDescent="0.3">
      <c r="A3314">
        <v>33120</v>
      </c>
      <c r="B3314">
        <v>1175.5999999999999</v>
      </c>
      <c r="C3314">
        <v>111.136</v>
      </c>
      <c r="D3314" s="15">
        <f t="shared" si="155"/>
        <v>1.0000000000012221E-4</v>
      </c>
      <c r="E3314" s="14">
        <f t="shared" si="153"/>
        <v>4.1034631764480005E-5</v>
      </c>
      <c r="F3314">
        <v>101.16200000000001</v>
      </c>
      <c r="G3314" s="1">
        <f t="shared" si="154"/>
        <v>102.78320100000001</v>
      </c>
    </row>
    <row r="3315" spans="1:7" x14ac:dyDescent="0.3">
      <c r="A3315">
        <v>33130</v>
      </c>
      <c r="B3315">
        <v>1176.3</v>
      </c>
      <c r="C3315">
        <v>111.13500000000001</v>
      </c>
      <c r="D3315" s="15">
        <f t="shared" si="155"/>
        <v>1.0000000000012221E-4</v>
      </c>
      <c r="E3315" s="14">
        <f t="shared" si="153"/>
        <v>4.1028051328229997E-5</v>
      </c>
      <c r="F3315">
        <v>101.16</v>
      </c>
      <c r="G3315" s="1">
        <f t="shared" si="154"/>
        <v>102.782071</v>
      </c>
    </row>
    <row r="3316" spans="1:7" x14ac:dyDescent="0.3">
      <c r="A3316">
        <v>33140</v>
      </c>
      <c r="B3316">
        <v>1177</v>
      </c>
      <c r="C3316">
        <v>111.134</v>
      </c>
      <c r="D3316" s="15">
        <f t="shared" si="155"/>
        <v>9.9999999999766942E-5</v>
      </c>
      <c r="E3316" s="14">
        <f t="shared" si="153"/>
        <v>4.1021483575320004E-5</v>
      </c>
      <c r="F3316">
        <v>101.157</v>
      </c>
      <c r="G3316" s="1">
        <f t="shared" si="154"/>
        <v>102.780941</v>
      </c>
    </row>
    <row r="3317" spans="1:7" x14ac:dyDescent="0.3">
      <c r="A3317">
        <v>33150</v>
      </c>
      <c r="B3317">
        <v>1177.8</v>
      </c>
      <c r="C3317">
        <v>111.133</v>
      </c>
      <c r="D3317" s="15">
        <f t="shared" si="155"/>
        <v>1.0000000000012221E-4</v>
      </c>
      <c r="E3317" s="14">
        <f t="shared" si="153"/>
        <v>4.1014928505749999E-5</v>
      </c>
      <c r="F3317">
        <v>101.154</v>
      </c>
      <c r="G3317" s="1">
        <f t="shared" si="154"/>
        <v>102.77981100000001</v>
      </c>
    </row>
    <row r="3318" spans="1:7" x14ac:dyDescent="0.3">
      <c r="A3318">
        <v>33160</v>
      </c>
      <c r="B3318">
        <v>1178.5</v>
      </c>
      <c r="C3318">
        <v>111.13200000000001</v>
      </c>
      <c r="D3318" s="15">
        <f t="shared" si="155"/>
        <v>1.2499999999988632E-4</v>
      </c>
      <c r="E3318" s="14">
        <f t="shared" si="153"/>
        <v>4.1008386119519995E-5</v>
      </c>
      <c r="F3318">
        <v>101.151</v>
      </c>
      <c r="G3318" s="1">
        <f t="shared" si="154"/>
        <v>102.77868100000001</v>
      </c>
    </row>
    <row r="3319" spans="1:7" x14ac:dyDescent="0.3">
      <c r="A3319">
        <v>33170</v>
      </c>
      <c r="B3319">
        <v>1179.3</v>
      </c>
      <c r="C3319">
        <v>111.131</v>
      </c>
      <c r="D3319" s="15">
        <f t="shared" si="155"/>
        <v>1.2499999999988632E-4</v>
      </c>
      <c r="E3319" s="14">
        <f t="shared" si="153"/>
        <v>4.1001856416630005E-5</v>
      </c>
      <c r="F3319">
        <v>101.149</v>
      </c>
      <c r="G3319" s="1">
        <f t="shared" si="154"/>
        <v>102.777551</v>
      </c>
    </row>
    <row r="3320" spans="1:7" x14ac:dyDescent="0.3">
      <c r="A3320">
        <v>33180</v>
      </c>
      <c r="B3320">
        <v>1180</v>
      </c>
      <c r="C3320">
        <v>111.129</v>
      </c>
      <c r="D3320" s="15">
        <f t="shared" si="155"/>
        <v>1.2500000000024159E-4</v>
      </c>
      <c r="E3320" s="14">
        <f t="shared" si="153"/>
        <v>4.099533939707999E-5</v>
      </c>
      <c r="F3320">
        <v>101.146</v>
      </c>
      <c r="G3320" s="1">
        <f t="shared" si="154"/>
        <v>102.776421</v>
      </c>
    </row>
    <row r="3321" spans="1:7" x14ac:dyDescent="0.3">
      <c r="A3321">
        <v>33190</v>
      </c>
      <c r="B3321">
        <v>1180.7</v>
      </c>
      <c r="C3321">
        <v>111.128</v>
      </c>
      <c r="D3321" s="15">
        <f t="shared" si="155"/>
        <v>1.2499999999988632E-4</v>
      </c>
      <c r="E3321" s="14">
        <f t="shared" si="153"/>
        <v>4.0988835060869989E-5</v>
      </c>
      <c r="F3321">
        <v>101.143</v>
      </c>
      <c r="G3321" s="1">
        <f t="shared" si="154"/>
        <v>102.77529100000001</v>
      </c>
    </row>
    <row r="3322" spans="1:7" x14ac:dyDescent="0.3">
      <c r="A3322">
        <v>33200</v>
      </c>
      <c r="B3322">
        <v>1181.5999999999999</v>
      </c>
      <c r="C3322">
        <v>111.127</v>
      </c>
      <c r="D3322" s="15">
        <f t="shared" si="155"/>
        <v>1.0000000000012221E-4</v>
      </c>
      <c r="E3322" s="14">
        <f t="shared" si="153"/>
        <v>4.0982343407999975E-5</v>
      </c>
      <c r="F3322">
        <v>101.14100000000001</v>
      </c>
      <c r="G3322" s="1">
        <f t="shared" si="154"/>
        <v>102.77416100000001</v>
      </c>
    </row>
    <row r="3323" spans="1:7" x14ac:dyDescent="0.3">
      <c r="A3323">
        <v>33210</v>
      </c>
      <c r="B3323">
        <v>1182.4000000000001</v>
      </c>
      <c r="C3323">
        <v>111.126</v>
      </c>
      <c r="D3323" s="15">
        <f t="shared" si="155"/>
        <v>1.0000000000012221E-4</v>
      </c>
      <c r="E3323" s="14">
        <f t="shared" si="153"/>
        <v>4.097586443846999E-5</v>
      </c>
      <c r="F3323">
        <v>101.137</v>
      </c>
      <c r="G3323" s="1">
        <f t="shared" si="154"/>
        <v>102.773031</v>
      </c>
    </row>
    <row r="3324" spans="1:7" x14ac:dyDescent="0.3">
      <c r="A3324">
        <v>33220</v>
      </c>
      <c r="B3324">
        <v>1183.2</v>
      </c>
      <c r="C3324">
        <v>111.125</v>
      </c>
      <c r="D3324" s="15">
        <f t="shared" si="155"/>
        <v>9.9999999999766942E-5</v>
      </c>
      <c r="E3324" s="14">
        <f t="shared" si="153"/>
        <v>4.0969398152279992E-5</v>
      </c>
      <c r="F3324">
        <v>101.13500000000001</v>
      </c>
      <c r="G3324" s="1">
        <f t="shared" si="154"/>
        <v>102.771901</v>
      </c>
    </row>
    <row r="3325" spans="1:7" x14ac:dyDescent="0.3">
      <c r="A3325">
        <v>33230</v>
      </c>
      <c r="B3325">
        <v>1184</v>
      </c>
      <c r="C3325">
        <v>111.124</v>
      </c>
      <c r="D3325" s="15">
        <f t="shared" si="155"/>
        <v>1.0000000000012221E-4</v>
      </c>
      <c r="E3325" s="14">
        <f t="shared" si="153"/>
        <v>4.0962944549429982E-5</v>
      </c>
      <c r="F3325">
        <v>101.13200000000001</v>
      </c>
      <c r="G3325" s="1">
        <f t="shared" si="154"/>
        <v>102.770771</v>
      </c>
    </row>
    <row r="3326" spans="1:7" x14ac:dyDescent="0.3">
      <c r="A3326">
        <v>33240</v>
      </c>
      <c r="B3326">
        <v>1184.8</v>
      </c>
      <c r="C3326">
        <v>111.123</v>
      </c>
      <c r="D3326" s="15">
        <f t="shared" si="155"/>
        <v>1.0000000000012221E-4</v>
      </c>
      <c r="E3326" s="14">
        <f t="shared" si="153"/>
        <v>4.095650362992E-5</v>
      </c>
      <c r="F3326">
        <v>101.13</v>
      </c>
      <c r="G3326" s="1">
        <f t="shared" si="154"/>
        <v>102.76964100000001</v>
      </c>
    </row>
    <row r="3327" spans="1:7" x14ac:dyDescent="0.3">
      <c r="A3327">
        <v>33250</v>
      </c>
      <c r="B3327">
        <v>1185.5999999999999</v>
      </c>
      <c r="C3327">
        <v>111.122</v>
      </c>
      <c r="D3327" s="15">
        <f t="shared" si="155"/>
        <v>9.9999999999766942E-5</v>
      </c>
      <c r="E3327" s="14">
        <f t="shared" si="153"/>
        <v>4.0950075393749992E-5</v>
      </c>
      <c r="F3327">
        <v>101.127</v>
      </c>
      <c r="G3327" s="1">
        <f t="shared" si="154"/>
        <v>102.768511</v>
      </c>
    </row>
    <row r="3328" spans="1:7" x14ac:dyDescent="0.3">
      <c r="A3328">
        <v>33260</v>
      </c>
      <c r="B3328">
        <v>1186.5999999999999</v>
      </c>
      <c r="C3328">
        <v>111.121</v>
      </c>
      <c r="D3328" s="15">
        <f t="shared" si="155"/>
        <v>1.0000000000012221E-4</v>
      </c>
      <c r="E3328" s="14">
        <f t="shared" si="153"/>
        <v>4.0943659840919985E-5</v>
      </c>
      <c r="F3328">
        <v>101.124</v>
      </c>
      <c r="G3328" s="1">
        <f t="shared" si="154"/>
        <v>102.767381</v>
      </c>
    </row>
    <row r="3329" spans="1:7" x14ac:dyDescent="0.3">
      <c r="A3329">
        <v>33270</v>
      </c>
      <c r="B3329">
        <v>1187.4000000000001</v>
      </c>
      <c r="C3329">
        <v>111.12</v>
      </c>
      <c r="D3329" s="15">
        <f t="shared" si="155"/>
        <v>1.0000000000012221E-4</v>
      </c>
      <c r="E3329" s="14">
        <f t="shared" si="153"/>
        <v>4.0937256971430007E-5</v>
      </c>
      <c r="F3329">
        <v>101.122</v>
      </c>
      <c r="G3329" s="1">
        <f t="shared" si="154"/>
        <v>102.766251</v>
      </c>
    </row>
    <row r="3330" spans="1:7" x14ac:dyDescent="0.3">
      <c r="A3330">
        <v>33280</v>
      </c>
      <c r="B3330">
        <v>1188.3</v>
      </c>
      <c r="C3330">
        <v>111.119</v>
      </c>
      <c r="D3330" s="15">
        <f t="shared" si="155"/>
        <v>9.9999999999766942E-5</v>
      </c>
      <c r="E3330" s="14">
        <f t="shared" ref="E3330:E3393" si="156">0.0000000000000634167*A3330*A3330 - 0.0000000048594*A3330 + 0.000132414</f>
        <v>4.0930866785279988E-5</v>
      </c>
      <c r="F3330">
        <v>101.11799999999999</v>
      </c>
      <c r="G3330" s="1">
        <f t="shared" si="154"/>
        <v>102.76512100000001</v>
      </c>
    </row>
    <row r="3331" spans="1:7" x14ac:dyDescent="0.3">
      <c r="A3331">
        <v>33290</v>
      </c>
      <c r="B3331">
        <v>1189.0999999999999</v>
      </c>
      <c r="C3331">
        <v>111.11799999999999</v>
      </c>
      <c r="D3331" s="15">
        <f t="shared" si="155"/>
        <v>7.5000000000002839E-5</v>
      </c>
      <c r="E3331" s="14">
        <f t="shared" si="156"/>
        <v>4.0924489282469985E-5</v>
      </c>
      <c r="F3331">
        <v>101.116</v>
      </c>
      <c r="G3331" s="1">
        <f t="shared" ref="G3331:G3394" si="157">-0.000113*A3331 + 106.525761</f>
        <v>102.763991</v>
      </c>
    </row>
    <row r="3332" spans="1:7" x14ac:dyDescent="0.3">
      <c r="A3332">
        <v>33300</v>
      </c>
      <c r="B3332">
        <v>1190</v>
      </c>
      <c r="C3332">
        <v>111.117</v>
      </c>
      <c r="D3332" s="15">
        <f t="shared" si="155"/>
        <v>7.5000000000002839E-5</v>
      </c>
      <c r="E3332" s="14">
        <f t="shared" si="156"/>
        <v>4.0918124462999996E-5</v>
      </c>
      <c r="F3332">
        <v>101.113</v>
      </c>
      <c r="G3332" s="1">
        <f t="shared" si="157"/>
        <v>102.762861</v>
      </c>
    </row>
    <row r="3333" spans="1:7" x14ac:dyDescent="0.3">
      <c r="A3333">
        <v>33310</v>
      </c>
      <c r="B3333">
        <v>1190.9000000000001</v>
      </c>
      <c r="C3333">
        <v>111.117</v>
      </c>
      <c r="D3333" s="15">
        <f t="shared" ref="D3333:D3396" si="158">(C3331-C3335)/(A3335-A3331)</f>
        <v>7.5000000000002839E-5</v>
      </c>
      <c r="E3333" s="14">
        <f t="shared" si="156"/>
        <v>4.0911772326869994E-5</v>
      </c>
      <c r="F3333">
        <v>101.111</v>
      </c>
      <c r="G3333" s="1">
        <f t="shared" si="157"/>
        <v>102.761731</v>
      </c>
    </row>
    <row r="3334" spans="1:7" x14ac:dyDescent="0.3">
      <c r="A3334">
        <v>33320</v>
      </c>
      <c r="B3334">
        <v>1191.8</v>
      </c>
      <c r="C3334">
        <v>111.116</v>
      </c>
      <c r="D3334" s="15">
        <f t="shared" si="158"/>
        <v>7.5000000000002839E-5</v>
      </c>
      <c r="E3334" s="14">
        <f t="shared" si="156"/>
        <v>4.0905432874079994E-5</v>
      </c>
      <c r="F3334">
        <v>101.107</v>
      </c>
      <c r="G3334" s="1">
        <f t="shared" si="157"/>
        <v>102.76060100000001</v>
      </c>
    </row>
    <row r="3335" spans="1:7" x14ac:dyDescent="0.3">
      <c r="A3335">
        <v>33330</v>
      </c>
      <c r="B3335">
        <v>1192.7</v>
      </c>
      <c r="C3335">
        <v>111.11499999999999</v>
      </c>
      <c r="D3335" s="15">
        <f t="shared" si="158"/>
        <v>1.0000000000012221E-4</v>
      </c>
      <c r="E3335" s="14">
        <f t="shared" si="156"/>
        <v>4.0899106104630008E-5</v>
      </c>
      <c r="F3335">
        <v>101.105</v>
      </c>
      <c r="G3335" s="1">
        <f t="shared" si="157"/>
        <v>102.759471</v>
      </c>
    </row>
    <row r="3336" spans="1:7" x14ac:dyDescent="0.3">
      <c r="A3336">
        <v>33340</v>
      </c>
      <c r="B3336">
        <v>1193.5999999999999</v>
      </c>
      <c r="C3336">
        <v>111.114</v>
      </c>
      <c r="D3336" s="15">
        <f t="shared" si="158"/>
        <v>1.0000000000012221E-4</v>
      </c>
      <c r="E3336" s="14">
        <f t="shared" si="156"/>
        <v>4.0892792018519997E-5</v>
      </c>
      <c r="F3336">
        <v>101.102</v>
      </c>
      <c r="G3336" s="1">
        <f t="shared" si="157"/>
        <v>102.758341</v>
      </c>
    </row>
    <row r="3337" spans="1:7" x14ac:dyDescent="0.3">
      <c r="A3337">
        <v>33350</v>
      </c>
      <c r="B3337">
        <v>1194.5</v>
      </c>
      <c r="C3337">
        <v>111.113</v>
      </c>
      <c r="D3337" s="15">
        <f t="shared" si="158"/>
        <v>9.9999999999766942E-5</v>
      </c>
      <c r="E3337" s="14">
        <f t="shared" si="156"/>
        <v>4.0886490615749986E-5</v>
      </c>
      <c r="F3337">
        <v>101.1</v>
      </c>
      <c r="G3337" s="1">
        <f t="shared" si="157"/>
        <v>102.757211</v>
      </c>
    </row>
    <row r="3338" spans="1:7" x14ac:dyDescent="0.3">
      <c r="A3338">
        <v>33360</v>
      </c>
      <c r="B3338">
        <v>1195.4000000000001</v>
      </c>
      <c r="C3338">
        <v>111.11199999999999</v>
      </c>
      <c r="D3338" s="15">
        <f t="shared" si="158"/>
        <v>1.0000000000012221E-4</v>
      </c>
      <c r="E3338" s="14">
        <f t="shared" si="156"/>
        <v>4.0880201896320004E-5</v>
      </c>
      <c r="F3338">
        <v>101.09699999999999</v>
      </c>
      <c r="G3338" s="1">
        <f t="shared" si="157"/>
        <v>102.75608100000001</v>
      </c>
    </row>
    <row r="3339" spans="1:7" x14ac:dyDescent="0.3">
      <c r="A3339">
        <v>33370</v>
      </c>
      <c r="B3339">
        <v>1196.3</v>
      </c>
      <c r="C3339">
        <v>111.111</v>
      </c>
      <c r="D3339" s="15">
        <f t="shared" si="158"/>
        <v>1.0000000000012221E-4</v>
      </c>
      <c r="E3339" s="14">
        <f t="shared" si="156"/>
        <v>4.0873925860229995E-5</v>
      </c>
      <c r="F3339">
        <v>101.09399999999999</v>
      </c>
      <c r="G3339" s="1">
        <f t="shared" si="157"/>
        <v>102.75495100000001</v>
      </c>
    </row>
    <row r="3340" spans="1:7" x14ac:dyDescent="0.3">
      <c r="A3340">
        <v>33380</v>
      </c>
      <c r="B3340">
        <v>1197.2</v>
      </c>
      <c r="C3340">
        <v>111.11</v>
      </c>
      <c r="D3340" s="15">
        <f t="shared" si="158"/>
        <v>7.5000000000002839E-5</v>
      </c>
      <c r="E3340" s="14">
        <f t="shared" si="156"/>
        <v>4.0867662507479988E-5</v>
      </c>
      <c r="F3340">
        <v>101.092</v>
      </c>
      <c r="G3340" s="1">
        <f t="shared" si="157"/>
        <v>102.753821</v>
      </c>
    </row>
    <row r="3341" spans="1:7" x14ac:dyDescent="0.3">
      <c r="A3341">
        <v>33390</v>
      </c>
      <c r="B3341">
        <v>1198.0999999999999</v>
      </c>
      <c r="C3341">
        <v>111.10899999999999</v>
      </c>
      <c r="D3341" s="15">
        <f t="shared" si="158"/>
        <v>7.5000000000002839E-5</v>
      </c>
      <c r="E3341" s="14">
        <f t="shared" si="156"/>
        <v>4.0861411838069982E-5</v>
      </c>
      <c r="F3341">
        <v>101.089</v>
      </c>
      <c r="G3341" s="1">
        <f t="shared" si="157"/>
        <v>102.752691</v>
      </c>
    </row>
    <row r="3342" spans="1:7" x14ac:dyDescent="0.3">
      <c r="A3342">
        <v>33400</v>
      </c>
      <c r="B3342">
        <v>1199.0999999999999</v>
      </c>
      <c r="C3342">
        <v>111.10899999999999</v>
      </c>
      <c r="D3342" s="15">
        <f t="shared" si="158"/>
        <v>7.5000000000002839E-5</v>
      </c>
      <c r="E3342" s="14">
        <f t="shared" si="156"/>
        <v>4.085517385199999E-5</v>
      </c>
      <c r="F3342">
        <v>101.086</v>
      </c>
      <c r="G3342" s="1">
        <f t="shared" si="157"/>
        <v>102.75156100000001</v>
      </c>
    </row>
    <row r="3343" spans="1:7" x14ac:dyDescent="0.3">
      <c r="A3343">
        <v>33410</v>
      </c>
      <c r="B3343">
        <v>1200</v>
      </c>
      <c r="C3343">
        <v>111.108</v>
      </c>
      <c r="D3343" s="15">
        <f t="shared" si="158"/>
        <v>7.5000000000002839E-5</v>
      </c>
      <c r="E3343" s="14">
        <f t="shared" si="156"/>
        <v>4.0848948549269986E-5</v>
      </c>
      <c r="F3343">
        <v>101.083</v>
      </c>
      <c r="G3343" s="1">
        <f t="shared" si="157"/>
        <v>102.75043100000001</v>
      </c>
    </row>
    <row r="3344" spans="1:7" x14ac:dyDescent="0.3">
      <c r="A3344">
        <v>33420</v>
      </c>
      <c r="B3344">
        <v>1200.9000000000001</v>
      </c>
      <c r="C3344">
        <v>111.107</v>
      </c>
      <c r="D3344" s="15">
        <f t="shared" si="158"/>
        <v>9.9999999999766942E-5</v>
      </c>
      <c r="E3344" s="14">
        <f t="shared" si="156"/>
        <v>4.0842735929879983E-5</v>
      </c>
      <c r="F3344">
        <v>101.081</v>
      </c>
      <c r="G3344" s="1">
        <f t="shared" si="157"/>
        <v>102.749301</v>
      </c>
    </row>
    <row r="3345" spans="1:7" x14ac:dyDescent="0.3">
      <c r="A3345">
        <v>33430</v>
      </c>
      <c r="B3345">
        <v>1201.9000000000001</v>
      </c>
      <c r="C3345">
        <v>111.10599999999999</v>
      </c>
      <c r="D3345" s="15">
        <f t="shared" si="158"/>
        <v>1.0000000000012221E-4</v>
      </c>
      <c r="E3345" s="14">
        <f t="shared" si="156"/>
        <v>4.0836535993830008E-5</v>
      </c>
      <c r="F3345">
        <v>101.078</v>
      </c>
      <c r="G3345" s="1">
        <f t="shared" si="157"/>
        <v>102.748171</v>
      </c>
    </row>
    <row r="3346" spans="1:7" x14ac:dyDescent="0.3">
      <c r="A3346">
        <v>33440</v>
      </c>
      <c r="B3346">
        <v>1202.8</v>
      </c>
      <c r="C3346">
        <v>111.105</v>
      </c>
      <c r="D3346" s="15">
        <f t="shared" si="158"/>
        <v>7.5000000000002839E-5</v>
      </c>
      <c r="E3346" s="14">
        <f t="shared" si="156"/>
        <v>4.0830348741119994E-5</v>
      </c>
      <c r="F3346">
        <v>101.07599999999999</v>
      </c>
      <c r="G3346" s="1">
        <f t="shared" si="157"/>
        <v>102.747041</v>
      </c>
    </row>
    <row r="3347" spans="1:7" x14ac:dyDescent="0.3">
      <c r="A3347">
        <v>33450</v>
      </c>
      <c r="B3347">
        <v>1203.5</v>
      </c>
      <c r="C3347">
        <v>111.104</v>
      </c>
      <c r="D3347" s="15">
        <f t="shared" si="158"/>
        <v>7.5000000000002839E-5</v>
      </c>
      <c r="E3347" s="14">
        <f t="shared" si="156"/>
        <v>4.0824174171749981E-5</v>
      </c>
      <c r="F3347">
        <v>101.08</v>
      </c>
      <c r="G3347" s="1">
        <f t="shared" si="157"/>
        <v>102.74591100000001</v>
      </c>
    </row>
    <row r="3348" spans="1:7" x14ac:dyDescent="0.3">
      <c r="A3348">
        <v>33460</v>
      </c>
      <c r="B3348">
        <v>1207.5</v>
      </c>
      <c r="C3348">
        <v>111.104</v>
      </c>
      <c r="D3348" s="15">
        <f t="shared" si="158"/>
        <v>7.5000000000002839E-5</v>
      </c>
      <c r="E3348" s="14">
        <f t="shared" si="156"/>
        <v>4.0818012285720009E-5</v>
      </c>
      <c r="F3348">
        <v>101.11799999999999</v>
      </c>
      <c r="G3348" s="1">
        <f t="shared" si="157"/>
        <v>102.744781</v>
      </c>
    </row>
    <row r="3349" spans="1:7" x14ac:dyDescent="0.3">
      <c r="A3349">
        <v>33470</v>
      </c>
      <c r="B3349">
        <v>1211.3</v>
      </c>
      <c r="C3349">
        <v>111.10299999999999</v>
      </c>
      <c r="D3349" s="15">
        <f t="shared" si="158"/>
        <v>7.5000000000002839E-5</v>
      </c>
      <c r="E3349" s="14">
        <f t="shared" si="156"/>
        <v>4.0811863083029998E-5</v>
      </c>
      <c r="F3349">
        <v>101.15600000000001</v>
      </c>
      <c r="G3349" s="1">
        <f t="shared" si="157"/>
        <v>102.743651</v>
      </c>
    </row>
    <row r="3350" spans="1:7" x14ac:dyDescent="0.3">
      <c r="A3350">
        <v>33480</v>
      </c>
      <c r="B3350">
        <v>1215.4000000000001</v>
      </c>
      <c r="C3350">
        <v>111.102</v>
      </c>
      <c r="D3350" s="15">
        <f t="shared" si="158"/>
        <v>1.0000000000012221E-4</v>
      </c>
      <c r="E3350" s="14">
        <f t="shared" si="156"/>
        <v>4.0805726563679988E-5</v>
      </c>
      <c r="F3350">
        <v>101.193</v>
      </c>
      <c r="G3350" s="1">
        <f t="shared" si="157"/>
        <v>102.742521</v>
      </c>
    </row>
    <row r="3351" spans="1:7" x14ac:dyDescent="0.3">
      <c r="A3351">
        <v>33490</v>
      </c>
      <c r="B3351">
        <v>1219.3</v>
      </c>
      <c r="C3351">
        <v>111.101</v>
      </c>
      <c r="D3351" s="15">
        <f t="shared" si="158"/>
        <v>9.9999999999766942E-5</v>
      </c>
      <c r="E3351" s="14">
        <f t="shared" si="156"/>
        <v>4.0799602727669993E-5</v>
      </c>
      <c r="F3351">
        <v>101.23</v>
      </c>
      <c r="G3351" s="1">
        <f t="shared" si="157"/>
        <v>102.74139100000001</v>
      </c>
    </row>
    <row r="3352" spans="1:7" x14ac:dyDescent="0.3">
      <c r="A3352">
        <v>33500</v>
      </c>
      <c r="B3352">
        <v>1223.3</v>
      </c>
      <c r="C3352">
        <v>111.1</v>
      </c>
      <c r="D3352" s="15">
        <f t="shared" si="158"/>
        <v>7.5000000000002839E-5</v>
      </c>
      <c r="E3352" s="14">
        <f t="shared" si="156"/>
        <v>4.0793491574999985E-5</v>
      </c>
      <c r="F3352">
        <v>101.268</v>
      </c>
      <c r="G3352" s="1">
        <f t="shared" si="157"/>
        <v>102.740261</v>
      </c>
    </row>
    <row r="3353" spans="1:7" x14ac:dyDescent="0.3">
      <c r="A3353">
        <v>33510</v>
      </c>
      <c r="B3353">
        <v>1227.2</v>
      </c>
      <c r="C3353">
        <v>111.099</v>
      </c>
      <c r="D3353" s="15">
        <f t="shared" si="158"/>
        <v>7.5000000000002839E-5</v>
      </c>
      <c r="E3353" s="14">
        <f t="shared" si="156"/>
        <v>4.0787393105669979E-5</v>
      </c>
      <c r="F3353">
        <v>101.306</v>
      </c>
      <c r="G3353" s="1">
        <f t="shared" si="157"/>
        <v>102.739131</v>
      </c>
    </row>
    <row r="3354" spans="1:7" x14ac:dyDescent="0.3">
      <c r="A3354">
        <v>33520</v>
      </c>
      <c r="B3354">
        <v>1231.2</v>
      </c>
      <c r="C3354">
        <v>111.099</v>
      </c>
      <c r="D3354" s="15">
        <f t="shared" si="158"/>
        <v>7.5000000000002839E-5</v>
      </c>
      <c r="E3354" s="14">
        <f t="shared" si="156"/>
        <v>4.0781307319680014E-5</v>
      </c>
      <c r="F3354">
        <v>101.343</v>
      </c>
      <c r="G3354" s="1">
        <f t="shared" si="157"/>
        <v>102.738001</v>
      </c>
    </row>
    <row r="3355" spans="1:7" x14ac:dyDescent="0.3">
      <c r="A3355">
        <v>33530</v>
      </c>
      <c r="B3355">
        <v>1235.2</v>
      </c>
      <c r="C3355">
        <v>111.098</v>
      </c>
      <c r="D3355" s="15">
        <f t="shared" si="158"/>
        <v>7.5000000000002839E-5</v>
      </c>
      <c r="E3355" s="14">
        <f t="shared" si="156"/>
        <v>4.0775234217029996E-5</v>
      </c>
      <c r="F3355">
        <v>101.381</v>
      </c>
      <c r="G3355" s="1">
        <f t="shared" si="157"/>
        <v>102.73687100000001</v>
      </c>
    </row>
    <row r="3356" spans="1:7" x14ac:dyDescent="0.3">
      <c r="A3356">
        <v>33540</v>
      </c>
      <c r="B3356">
        <v>1239.0999999999999</v>
      </c>
      <c r="C3356">
        <v>111.09699999999999</v>
      </c>
      <c r="D3356" s="15">
        <f t="shared" si="158"/>
        <v>7.5000000000002839E-5</v>
      </c>
      <c r="E3356" s="14">
        <f t="shared" si="156"/>
        <v>4.0769173797719992E-5</v>
      </c>
      <c r="F3356">
        <v>101.41800000000001</v>
      </c>
      <c r="G3356" s="1">
        <f t="shared" si="157"/>
        <v>102.735741</v>
      </c>
    </row>
    <row r="3357" spans="1:7" x14ac:dyDescent="0.3">
      <c r="A3357">
        <v>33550</v>
      </c>
      <c r="B3357">
        <v>1243.0999999999999</v>
      </c>
      <c r="C3357">
        <v>111.096</v>
      </c>
      <c r="D3357" s="15">
        <f t="shared" si="158"/>
        <v>7.5000000000002839E-5</v>
      </c>
      <c r="E3357" s="14">
        <f t="shared" si="156"/>
        <v>4.0763126061750003E-5</v>
      </c>
      <c r="F3357">
        <v>101.456</v>
      </c>
      <c r="G3357" s="1">
        <f t="shared" si="157"/>
        <v>102.734611</v>
      </c>
    </row>
    <row r="3358" spans="1:7" x14ac:dyDescent="0.3">
      <c r="A3358">
        <v>33560</v>
      </c>
      <c r="B3358">
        <v>1247</v>
      </c>
      <c r="C3358">
        <v>111.096</v>
      </c>
      <c r="D3358" s="15">
        <f t="shared" si="158"/>
        <v>7.5000000000002839E-5</v>
      </c>
      <c r="E3358" s="14">
        <f t="shared" si="156"/>
        <v>4.0757091009120002E-5</v>
      </c>
      <c r="F3358">
        <v>101.49299999999999</v>
      </c>
      <c r="G3358" s="1">
        <f t="shared" si="157"/>
        <v>102.733481</v>
      </c>
    </row>
    <row r="3359" spans="1:7" x14ac:dyDescent="0.3">
      <c r="A3359">
        <v>33570</v>
      </c>
      <c r="B3359">
        <v>1250.9000000000001</v>
      </c>
      <c r="C3359">
        <v>111.095</v>
      </c>
      <c r="D3359" s="15">
        <f t="shared" si="158"/>
        <v>7.5000000000002839E-5</v>
      </c>
      <c r="E3359" s="14">
        <f t="shared" si="156"/>
        <v>4.0751068639829989E-5</v>
      </c>
      <c r="F3359">
        <v>101.53100000000001</v>
      </c>
      <c r="G3359" s="1">
        <f t="shared" si="157"/>
        <v>102.73235100000001</v>
      </c>
    </row>
    <row r="3360" spans="1:7" x14ac:dyDescent="0.3">
      <c r="A3360">
        <v>33580</v>
      </c>
      <c r="B3360">
        <v>1255</v>
      </c>
      <c r="C3360">
        <v>111.09399999999999</v>
      </c>
      <c r="D3360" s="15">
        <f t="shared" si="158"/>
        <v>1.0000000000012221E-4</v>
      </c>
      <c r="E3360" s="14">
        <f t="shared" si="156"/>
        <v>4.0745058953879976E-5</v>
      </c>
      <c r="F3360">
        <v>101.568</v>
      </c>
      <c r="G3360" s="1">
        <f t="shared" si="157"/>
        <v>102.73122100000001</v>
      </c>
    </row>
    <row r="3361" spans="1:7" x14ac:dyDescent="0.3">
      <c r="A3361">
        <v>33590</v>
      </c>
      <c r="B3361">
        <v>1259</v>
      </c>
      <c r="C3361">
        <v>111.093</v>
      </c>
      <c r="D3361" s="15">
        <f t="shared" si="158"/>
        <v>7.5000000000002839E-5</v>
      </c>
      <c r="E3361" s="14">
        <f t="shared" si="156"/>
        <v>4.0739061951269992E-5</v>
      </c>
      <c r="F3361">
        <v>101.60599999999999</v>
      </c>
      <c r="G3361" s="1">
        <f t="shared" si="157"/>
        <v>102.730091</v>
      </c>
    </row>
    <row r="3362" spans="1:7" x14ac:dyDescent="0.3">
      <c r="A3362">
        <v>33600</v>
      </c>
      <c r="B3362">
        <v>1262.9000000000001</v>
      </c>
      <c r="C3362">
        <v>111.092</v>
      </c>
      <c r="D3362" s="15">
        <f t="shared" si="158"/>
        <v>7.5000000000002839E-5</v>
      </c>
      <c r="E3362" s="14">
        <f t="shared" si="156"/>
        <v>4.0733077631999981E-5</v>
      </c>
      <c r="F3362">
        <v>101.643</v>
      </c>
      <c r="G3362" s="1">
        <f t="shared" si="157"/>
        <v>102.728961</v>
      </c>
    </row>
    <row r="3363" spans="1:7" x14ac:dyDescent="0.3">
      <c r="A3363">
        <v>33610</v>
      </c>
      <c r="B3363">
        <v>1267</v>
      </c>
      <c r="C3363">
        <v>111.092</v>
      </c>
      <c r="D3363" s="15">
        <f t="shared" si="158"/>
        <v>7.5000000000002839E-5</v>
      </c>
      <c r="E3363" s="14">
        <f t="shared" si="156"/>
        <v>4.0727105996069985E-5</v>
      </c>
      <c r="F3363">
        <v>101.681</v>
      </c>
      <c r="G3363" s="1">
        <f t="shared" si="157"/>
        <v>102.72783100000001</v>
      </c>
    </row>
    <row r="3364" spans="1:7" x14ac:dyDescent="0.3">
      <c r="A3364">
        <v>33620</v>
      </c>
      <c r="B3364">
        <v>1271</v>
      </c>
      <c r="C3364">
        <v>111.09099999999999</v>
      </c>
      <c r="D3364" s="15">
        <f t="shared" si="158"/>
        <v>7.5000000000002839E-5</v>
      </c>
      <c r="E3364" s="14">
        <f t="shared" si="156"/>
        <v>4.0721147043480004E-5</v>
      </c>
      <c r="F3364">
        <v>101.71899999999999</v>
      </c>
      <c r="G3364" s="1">
        <f t="shared" si="157"/>
        <v>102.72670100000001</v>
      </c>
    </row>
    <row r="3365" spans="1:7" x14ac:dyDescent="0.3">
      <c r="A3365">
        <v>33630</v>
      </c>
      <c r="B3365">
        <v>1274.9000000000001</v>
      </c>
      <c r="C3365">
        <v>111.09</v>
      </c>
      <c r="D3365" s="15">
        <f t="shared" si="158"/>
        <v>7.5000000000002839E-5</v>
      </c>
      <c r="E3365" s="14">
        <f t="shared" si="156"/>
        <v>4.0715200774229997E-5</v>
      </c>
      <c r="F3365">
        <v>101.755</v>
      </c>
      <c r="G3365" s="1">
        <f t="shared" si="157"/>
        <v>102.725571</v>
      </c>
    </row>
    <row r="3366" spans="1:7" x14ac:dyDescent="0.3">
      <c r="A3366">
        <v>33640</v>
      </c>
      <c r="B3366">
        <v>1278.8</v>
      </c>
      <c r="C3366">
        <v>111.089</v>
      </c>
      <c r="D3366" s="15">
        <f t="shared" si="158"/>
        <v>7.5000000000002839E-5</v>
      </c>
      <c r="E3366" s="14">
        <f t="shared" si="156"/>
        <v>4.0709267188319991E-5</v>
      </c>
      <c r="F3366">
        <v>101.79300000000001</v>
      </c>
      <c r="G3366" s="1">
        <f t="shared" si="157"/>
        <v>102.724441</v>
      </c>
    </row>
    <row r="3367" spans="1:7" x14ac:dyDescent="0.3">
      <c r="A3367">
        <v>33650</v>
      </c>
      <c r="B3367">
        <v>1282.7</v>
      </c>
      <c r="C3367">
        <v>111.089</v>
      </c>
      <c r="D3367" s="15">
        <f t="shared" si="158"/>
        <v>7.5000000000002839E-5</v>
      </c>
      <c r="E3367" s="14">
        <f t="shared" si="156"/>
        <v>4.070334628575E-5</v>
      </c>
      <c r="F3367">
        <v>101.831</v>
      </c>
      <c r="G3367" s="1">
        <f t="shared" si="157"/>
        <v>102.72331100000001</v>
      </c>
    </row>
    <row r="3368" spans="1:7" x14ac:dyDescent="0.3">
      <c r="A3368">
        <v>33660</v>
      </c>
      <c r="B3368">
        <v>1286.5999999999999</v>
      </c>
      <c r="C3368">
        <v>111.08799999999999</v>
      </c>
      <c r="D3368" s="15">
        <f t="shared" si="158"/>
        <v>7.5000000000002839E-5</v>
      </c>
      <c r="E3368" s="14">
        <f t="shared" si="156"/>
        <v>4.0697438066519996E-5</v>
      </c>
      <c r="F3368">
        <v>101.869</v>
      </c>
      <c r="G3368" s="1">
        <f t="shared" si="157"/>
        <v>102.72218100000001</v>
      </c>
    </row>
    <row r="3369" spans="1:7" x14ac:dyDescent="0.3">
      <c r="A3369">
        <v>33670</v>
      </c>
      <c r="B3369">
        <v>1290.5</v>
      </c>
      <c r="C3369">
        <v>111.087</v>
      </c>
      <c r="D3369" s="15">
        <f t="shared" si="158"/>
        <v>7.5000000000002839E-5</v>
      </c>
      <c r="E3369" s="14">
        <f t="shared" si="156"/>
        <v>4.069154253062998E-5</v>
      </c>
      <c r="F3369">
        <v>101.905</v>
      </c>
      <c r="G3369" s="1">
        <f t="shared" si="157"/>
        <v>102.721051</v>
      </c>
    </row>
    <row r="3370" spans="1:7" x14ac:dyDescent="0.3">
      <c r="A3370">
        <v>33680</v>
      </c>
      <c r="B3370">
        <v>1294.5</v>
      </c>
      <c r="C3370">
        <v>111.086</v>
      </c>
      <c r="D3370" s="15">
        <f t="shared" si="158"/>
        <v>7.5000000000002839E-5</v>
      </c>
      <c r="E3370" s="14">
        <f t="shared" si="156"/>
        <v>4.0685659678080005E-5</v>
      </c>
      <c r="F3370">
        <v>101.943</v>
      </c>
      <c r="G3370" s="1">
        <f t="shared" si="157"/>
        <v>102.719921</v>
      </c>
    </row>
    <row r="3371" spans="1:7" x14ac:dyDescent="0.3">
      <c r="A3371">
        <v>33690</v>
      </c>
      <c r="B3371">
        <v>1298.4000000000001</v>
      </c>
      <c r="C3371">
        <v>111.086</v>
      </c>
      <c r="D3371" s="15">
        <f t="shared" si="158"/>
        <v>7.5000000000002839E-5</v>
      </c>
      <c r="E3371" s="14">
        <f t="shared" si="156"/>
        <v>4.0679789508869991E-5</v>
      </c>
      <c r="F3371">
        <v>101.98099999999999</v>
      </c>
      <c r="G3371" s="1">
        <f t="shared" si="157"/>
        <v>102.71879100000001</v>
      </c>
    </row>
    <row r="3372" spans="1:7" x14ac:dyDescent="0.3">
      <c r="A3372">
        <v>33700</v>
      </c>
      <c r="B3372">
        <v>1302.3</v>
      </c>
      <c r="C3372">
        <v>111.08499999999999</v>
      </c>
      <c r="D3372" s="15">
        <f t="shared" si="158"/>
        <v>7.5000000000002839E-5</v>
      </c>
      <c r="E3372" s="14">
        <f t="shared" si="156"/>
        <v>4.0673932022999978E-5</v>
      </c>
      <c r="F3372">
        <v>102.01900000000001</v>
      </c>
      <c r="G3372" s="1">
        <f t="shared" si="157"/>
        <v>102.71766100000001</v>
      </c>
    </row>
    <row r="3373" spans="1:7" x14ac:dyDescent="0.3">
      <c r="A3373">
        <v>33710</v>
      </c>
      <c r="B3373">
        <v>1306.0999999999999</v>
      </c>
      <c r="C3373">
        <v>111.084</v>
      </c>
      <c r="D3373" s="15">
        <f t="shared" si="158"/>
        <v>7.5000000000002839E-5</v>
      </c>
      <c r="E3373" s="14">
        <f t="shared" si="156"/>
        <v>4.0668087220470007E-5</v>
      </c>
      <c r="F3373">
        <v>102.056</v>
      </c>
      <c r="G3373" s="1">
        <f t="shared" si="157"/>
        <v>102.716531</v>
      </c>
    </row>
    <row r="3374" spans="1:7" x14ac:dyDescent="0.3">
      <c r="A3374">
        <v>33720</v>
      </c>
      <c r="B3374">
        <v>1310</v>
      </c>
      <c r="C3374">
        <v>111.083</v>
      </c>
      <c r="D3374" s="15">
        <f t="shared" si="158"/>
        <v>7.5000000000002839E-5</v>
      </c>
      <c r="E3374" s="14">
        <f t="shared" si="156"/>
        <v>4.0662255101279996E-5</v>
      </c>
      <c r="F3374">
        <v>102.093</v>
      </c>
      <c r="G3374" s="1">
        <f t="shared" si="157"/>
        <v>102.715401</v>
      </c>
    </row>
    <row r="3375" spans="1:7" x14ac:dyDescent="0.3">
      <c r="A3375">
        <v>33730</v>
      </c>
      <c r="B3375">
        <v>1314</v>
      </c>
      <c r="C3375">
        <v>111.083</v>
      </c>
      <c r="D3375" s="15">
        <f t="shared" si="158"/>
        <v>7.5000000000002839E-5</v>
      </c>
      <c r="E3375" s="14">
        <f t="shared" si="156"/>
        <v>4.0656435665429986E-5</v>
      </c>
      <c r="F3375">
        <v>102.131</v>
      </c>
      <c r="G3375" s="1">
        <f t="shared" si="157"/>
        <v>102.714271</v>
      </c>
    </row>
    <row r="3376" spans="1:7" x14ac:dyDescent="0.3">
      <c r="A3376">
        <v>33740</v>
      </c>
      <c r="B3376">
        <v>1317.8</v>
      </c>
      <c r="C3376">
        <v>111.08199999999999</v>
      </c>
      <c r="D3376" s="15">
        <f t="shared" si="158"/>
        <v>4.9999999999883471E-5</v>
      </c>
      <c r="E3376" s="14">
        <f t="shared" si="156"/>
        <v>4.0650628912920005E-5</v>
      </c>
      <c r="F3376">
        <v>102.16800000000001</v>
      </c>
      <c r="G3376" s="1">
        <f t="shared" si="157"/>
        <v>102.71314100000001</v>
      </c>
    </row>
    <row r="3377" spans="1:7" x14ac:dyDescent="0.3">
      <c r="A3377">
        <v>33750</v>
      </c>
      <c r="B3377">
        <v>1321.7</v>
      </c>
      <c r="C3377">
        <v>111.081</v>
      </c>
      <c r="D3377" s="15">
        <f t="shared" si="158"/>
        <v>7.5000000000002839E-5</v>
      </c>
      <c r="E3377" s="14">
        <f t="shared" si="156"/>
        <v>4.0644834843749997E-5</v>
      </c>
      <c r="F3377">
        <v>102.206</v>
      </c>
      <c r="G3377" s="1">
        <f t="shared" si="157"/>
        <v>102.712011</v>
      </c>
    </row>
    <row r="3378" spans="1:7" x14ac:dyDescent="0.3">
      <c r="A3378">
        <v>33760</v>
      </c>
      <c r="B3378">
        <v>1325.6</v>
      </c>
      <c r="C3378">
        <v>111.081</v>
      </c>
      <c r="D3378" s="15">
        <f t="shared" si="158"/>
        <v>7.5000000000002839E-5</v>
      </c>
      <c r="E3378" s="14">
        <f t="shared" si="156"/>
        <v>4.0639053457919991E-5</v>
      </c>
      <c r="F3378">
        <v>102.244</v>
      </c>
      <c r="G3378" s="1">
        <f t="shared" si="157"/>
        <v>102.710881</v>
      </c>
    </row>
    <row r="3379" spans="1:7" x14ac:dyDescent="0.3">
      <c r="A3379">
        <v>33770</v>
      </c>
      <c r="B3379">
        <v>1329.5</v>
      </c>
      <c r="C3379">
        <v>111.08</v>
      </c>
      <c r="D3379" s="15">
        <f t="shared" si="158"/>
        <v>7.5000000000002839E-5</v>
      </c>
      <c r="E3379" s="14">
        <f t="shared" si="156"/>
        <v>4.0633284755429985E-5</v>
      </c>
      <c r="F3379">
        <v>102.28100000000001</v>
      </c>
      <c r="G3379" s="1">
        <f t="shared" si="157"/>
        <v>102.709751</v>
      </c>
    </row>
    <row r="3380" spans="1:7" x14ac:dyDescent="0.3">
      <c r="A3380">
        <v>33780</v>
      </c>
      <c r="B3380">
        <v>1333.4</v>
      </c>
      <c r="C3380">
        <v>111.07899999999999</v>
      </c>
      <c r="D3380" s="15">
        <f t="shared" si="158"/>
        <v>7.5000000000002839E-5</v>
      </c>
      <c r="E3380" s="14">
        <f t="shared" si="156"/>
        <v>4.0627528736279995E-5</v>
      </c>
      <c r="F3380">
        <v>102.318</v>
      </c>
      <c r="G3380" s="1">
        <f t="shared" si="157"/>
        <v>102.70862100000001</v>
      </c>
    </row>
    <row r="3381" spans="1:7" x14ac:dyDescent="0.3">
      <c r="A3381">
        <v>33790</v>
      </c>
      <c r="B3381">
        <v>1337.3</v>
      </c>
      <c r="C3381">
        <v>111.078</v>
      </c>
      <c r="D3381" s="15">
        <f t="shared" si="158"/>
        <v>7.5000000000002839E-5</v>
      </c>
      <c r="E3381" s="14">
        <f t="shared" si="156"/>
        <v>4.0621785400469991E-5</v>
      </c>
      <c r="F3381">
        <v>102.35599999999999</v>
      </c>
      <c r="G3381" s="1">
        <f t="shared" si="157"/>
        <v>102.707491</v>
      </c>
    </row>
    <row r="3382" spans="1:7" x14ac:dyDescent="0.3">
      <c r="A3382">
        <v>33800</v>
      </c>
      <c r="B3382">
        <v>1341.1</v>
      </c>
      <c r="C3382">
        <v>111.078</v>
      </c>
      <c r="D3382" s="15">
        <f t="shared" si="158"/>
        <v>7.5000000000002839E-5</v>
      </c>
      <c r="E3382" s="14">
        <f t="shared" si="156"/>
        <v>4.0616054747999976E-5</v>
      </c>
      <c r="F3382">
        <v>102.39400000000001</v>
      </c>
      <c r="G3382" s="1">
        <f t="shared" si="157"/>
        <v>102.706361</v>
      </c>
    </row>
    <row r="3383" spans="1:7" x14ac:dyDescent="0.3">
      <c r="A3383">
        <v>33810</v>
      </c>
      <c r="B3383">
        <v>1344.9</v>
      </c>
      <c r="C3383">
        <v>111.077</v>
      </c>
      <c r="D3383" s="15">
        <f t="shared" si="158"/>
        <v>5.0000000000238744E-5</v>
      </c>
      <c r="E3383" s="14">
        <f t="shared" si="156"/>
        <v>4.0610336778870002E-5</v>
      </c>
      <c r="F3383">
        <v>102.432</v>
      </c>
      <c r="G3383" s="1">
        <f t="shared" si="157"/>
        <v>102.705231</v>
      </c>
    </row>
    <row r="3384" spans="1:7" x14ac:dyDescent="0.3">
      <c r="A3384">
        <v>33820</v>
      </c>
      <c r="B3384">
        <v>1348.7</v>
      </c>
      <c r="C3384">
        <v>111.07599999999999</v>
      </c>
      <c r="D3384" s="15">
        <f t="shared" si="158"/>
        <v>7.5000000000002839E-5</v>
      </c>
      <c r="E3384" s="14">
        <f t="shared" si="156"/>
        <v>4.0604631493080002E-5</v>
      </c>
      <c r="F3384">
        <v>102.468</v>
      </c>
      <c r="G3384" s="1">
        <f t="shared" si="157"/>
        <v>102.70410100000001</v>
      </c>
    </row>
    <row r="3385" spans="1:7" x14ac:dyDescent="0.3">
      <c r="A3385">
        <v>33830</v>
      </c>
      <c r="B3385">
        <v>1352.4</v>
      </c>
      <c r="C3385">
        <v>111.07599999999999</v>
      </c>
      <c r="D3385" s="15">
        <f t="shared" si="158"/>
        <v>7.5000000000002839E-5</v>
      </c>
      <c r="E3385" s="14">
        <f t="shared" si="156"/>
        <v>4.059893889062999E-5</v>
      </c>
      <c r="F3385">
        <v>102.506</v>
      </c>
      <c r="G3385" s="1">
        <f t="shared" si="157"/>
        <v>102.70297100000001</v>
      </c>
    </row>
    <row r="3386" spans="1:7" x14ac:dyDescent="0.3">
      <c r="A3386">
        <v>33840</v>
      </c>
      <c r="B3386">
        <v>1355.9</v>
      </c>
      <c r="C3386">
        <v>111.075</v>
      </c>
      <c r="D3386" s="15">
        <f t="shared" si="158"/>
        <v>7.5000000000002839E-5</v>
      </c>
      <c r="E3386" s="14">
        <f t="shared" si="156"/>
        <v>4.0593258971520006E-5</v>
      </c>
      <c r="F3386">
        <v>102.544</v>
      </c>
      <c r="G3386" s="1">
        <f t="shared" si="157"/>
        <v>102.701841</v>
      </c>
    </row>
    <row r="3387" spans="1:7" x14ac:dyDescent="0.3">
      <c r="A3387">
        <v>33850</v>
      </c>
      <c r="B3387">
        <v>1359.6</v>
      </c>
      <c r="C3387">
        <v>111.074</v>
      </c>
      <c r="D3387" s="15">
        <f t="shared" si="158"/>
        <v>7.5000000000002839E-5</v>
      </c>
      <c r="E3387" s="14">
        <f t="shared" si="156"/>
        <v>4.0587591735749995E-5</v>
      </c>
      <c r="F3387">
        <v>102.581</v>
      </c>
      <c r="G3387" s="1">
        <f t="shared" si="157"/>
        <v>102.700711</v>
      </c>
    </row>
    <row r="3388" spans="1:7" x14ac:dyDescent="0.3">
      <c r="A3388">
        <v>33860</v>
      </c>
      <c r="B3388">
        <v>1363.2</v>
      </c>
      <c r="C3388">
        <v>111.07299999999999</v>
      </c>
      <c r="D3388" s="15">
        <f t="shared" si="158"/>
        <v>7.5000000000002839E-5</v>
      </c>
      <c r="E3388" s="14">
        <f t="shared" si="156"/>
        <v>4.0581937183319986E-5</v>
      </c>
      <c r="F3388">
        <v>102.619</v>
      </c>
      <c r="G3388" s="1">
        <f t="shared" si="157"/>
        <v>102.69958100000001</v>
      </c>
    </row>
    <row r="3389" spans="1:7" x14ac:dyDescent="0.3">
      <c r="A3389">
        <v>33870</v>
      </c>
      <c r="B3389">
        <v>1366.8</v>
      </c>
      <c r="C3389">
        <v>111.07299999999999</v>
      </c>
      <c r="D3389" s="15">
        <f t="shared" si="158"/>
        <v>7.5000000000002839E-5</v>
      </c>
      <c r="E3389" s="14">
        <f t="shared" si="156"/>
        <v>4.0576295314230005E-5</v>
      </c>
      <c r="F3389">
        <v>102.65600000000001</v>
      </c>
      <c r="G3389" s="1">
        <f t="shared" si="157"/>
        <v>102.69845100000001</v>
      </c>
    </row>
    <row r="3390" spans="1:7" x14ac:dyDescent="0.3">
      <c r="A3390">
        <v>33880</v>
      </c>
      <c r="B3390">
        <v>1370.6</v>
      </c>
      <c r="C3390">
        <v>111.072</v>
      </c>
      <c r="D3390" s="15">
        <f t="shared" si="158"/>
        <v>4.9999999999883471E-5</v>
      </c>
      <c r="E3390" s="14">
        <f t="shared" si="156"/>
        <v>4.0570666128479985E-5</v>
      </c>
      <c r="F3390">
        <v>102.694</v>
      </c>
      <c r="G3390" s="1">
        <f t="shared" si="157"/>
        <v>102.697321</v>
      </c>
    </row>
    <row r="3391" spans="1:7" x14ac:dyDescent="0.3">
      <c r="A3391">
        <v>33890</v>
      </c>
      <c r="B3391">
        <v>1374.3</v>
      </c>
      <c r="C3391">
        <v>111.071</v>
      </c>
      <c r="D3391" s="15">
        <f t="shared" si="158"/>
        <v>7.5000000000002839E-5</v>
      </c>
      <c r="E3391" s="14">
        <f t="shared" si="156"/>
        <v>4.0565049626069979E-5</v>
      </c>
      <c r="F3391">
        <v>102.73099999999999</v>
      </c>
      <c r="G3391" s="1">
        <f t="shared" si="157"/>
        <v>102.696191</v>
      </c>
    </row>
    <row r="3392" spans="1:7" x14ac:dyDescent="0.3">
      <c r="A3392">
        <v>33900</v>
      </c>
      <c r="B3392">
        <v>1378.1</v>
      </c>
      <c r="C3392">
        <v>111.071</v>
      </c>
      <c r="D3392" s="15">
        <f t="shared" si="158"/>
        <v>7.5000000000002839E-5</v>
      </c>
      <c r="E3392" s="14">
        <f t="shared" si="156"/>
        <v>4.0559445807000002E-5</v>
      </c>
      <c r="F3392">
        <v>102.76900000000001</v>
      </c>
      <c r="G3392" s="1">
        <f t="shared" si="157"/>
        <v>102.69506100000001</v>
      </c>
    </row>
    <row r="3393" spans="1:7" x14ac:dyDescent="0.3">
      <c r="A3393">
        <v>33910</v>
      </c>
      <c r="B3393">
        <v>1381.7</v>
      </c>
      <c r="C3393">
        <v>111.07</v>
      </c>
      <c r="D3393" s="15">
        <f t="shared" si="158"/>
        <v>4.9999999999883471E-5</v>
      </c>
      <c r="E3393" s="14">
        <f t="shared" si="156"/>
        <v>4.0553854671269998E-5</v>
      </c>
      <c r="F3393">
        <v>102.807</v>
      </c>
      <c r="G3393" s="1">
        <f t="shared" si="157"/>
        <v>102.69393100000001</v>
      </c>
    </row>
    <row r="3394" spans="1:7" x14ac:dyDescent="0.3">
      <c r="A3394">
        <v>33920</v>
      </c>
      <c r="B3394">
        <v>1385.5</v>
      </c>
      <c r="C3394">
        <v>111.069</v>
      </c>
      <c r="D3394" s="15">
        <f t="shared" si="158"/>
        <v>7.5000000000002839E-5</v>
      </c>
      <c r="E3394" s="14">
        <f t="shared" ref="E3394:E3457" si="159">0.0000000000000634167*A3394*A3394 - 0.0000000048594*A3394 + 0.000132414</f>
        <v>4.0548276218879995E-5</v>
      </c>
      <c r="F3394">
        <v>102.843</v>
      </c>
      <c r="G3394" s="1">
        <f t="shared" si="157"/>
        <v>102.692801</v>
      </c>
    </row>
    <row r="3395" spans="1:7" x14ac:dyDescent="0.3">
      <c r="A3395">
        <v>33930</v>
      </c>
      <c r="B3395">
        <v>1389.2</v>
      </c>
      <c r="C3395">
        <v>111.069</v>
      </c>
      <c r="D3395" s="15">
        <f t="shared" si="158"/>
        <v>7.5000000000002839E-5</v>
      </c>
      <c r="E3395" s="14">
        <f t="shared" si="159"/>
        <v>4.0542710449830007E-5</v>
      </c>
      <c r="F3395">
        <v>102.881</v>
      </c>
      <c r="G3395" s="1">
        <f t="shared" ref="G3395:G3458" si="160">-0.000113*A3395 + 106.525761</f>
        <v>102.691671</v>
      </c>
    </row>
    <row r="3396" spans="1:7" x14ac:dyDescent="0.3">
      <c r="A3396">
        <v>33940</v>
      </c>
      <c r="B3396">
        <v>1393</v>
      </c>
      <c r="C3396">
        <v>111.068</v>
      </c>
      <c r="D3396" s="15">
        <f t="shared" si="158"/>
        <v>5.0000000000238744E-5</v>
      </c>
      <c r="E3396" s="14">
        <f t="shared" si="159"/>
        <v>4.0537157364119994E-5</v>
      </c>
      <c r="F3396">
        <v>102.919</v>
      </c>
      <c r="G3396" s="1">
        <f t="shared" si="160"/>
        <v>102.690541</v>
      </c>
    </row>
    <row r="3397" spans="1:7" x14ac:dyDescent="0.3">
      <c r="A3397">
        <v>33950</v>
      </c>
      <c r="B3397">
        <v>1396.5</v>
      </c>
      <c r="C3397">
        <v>111.06699999999999</v>
      </c>
      <c r="D3397" s="15">
        <f t="shared" ref="D3397:D3460" si="161">(C3395-C3399)/(A3399-A3395)</f>
        <v>7.5000000000002839E-5</v>
      </c>
      <c r="E3397" s="14">
        <f t="shared" si="159"/>
        <v>4.0531616961749994E-5</v>
      </c>
      <c r="F3397">
        <v>102.95699999999999</v>
      </c>
      <c r="G3397" s="1">
        <f t="shared" si="160"/>
        <v>102.68941100000001</v>
      </c>
    </row>
    <row r="3398" spans="1:7" x14ac:dyDescent="0.3">
      <c r="A3398">
        <v>33960</v>
      </c>
      <c r="B3398">
        <v>1400.2</v>
      </c>
      <c r="C3398">
        <v>111.06699999999999</v>
      </c>
      <c r="D3398" s="15">
        <f t="shared" si="161"/>
        <v>7.5000000000002839E-5</v>
      </c>
      <c r="E3398" s="14">
        <f t="shared" si="159"/>
        <v>4.0526089242719983E-5</v>
      </c>
      <c r="F3398">
        <v>102.994</v>
      </c>
      <c r="G3398" s="1">
        <f t="shared" si="160"/>
        <v>102.688281</v>
      </c>
    </row>
    <row r="3399" spans="1:7" x14ac:dyDescent="0.3">
      <c r="A3399">
        <v>33970</v>
      </c>
      <c r="B3399">
        <v>1403.7</v>
      </c>
      <c r="C3399">
        <v>111.066</v>
      </c>
      <c r="D3399" s="15">
        <f t="shared" si="161"/>
        <v>7.5000000000002839E-5</v>
      </c>
      <c r="E3399" s="14">
        <f t="shared" si="159"/>
        <v>4.0520574207029999E-5</v>
      </c>
      <c r="F3399">
        <v>103.03100000000001</v>
      </c>
      <c r="G3399" s="1">
        <f t="shared" si="160"/>
        <v>102.687151</v>
      </c>
    </row>
    <row r="3400" spans="1:7" x14ac:dyDescent="0.3">
      <c r="A3400">
        <v>33980</v>
      </c>
      <c r="B3400">
        <v>1407.6</v>
      </c>
      <c r="C3400">
        <v>111.065</v>
      </c>
      <c r="D3400" s="15">
        <f t="shared" si="161"/>
        <v>7.5000000000002839E-5</v>
      </c>
      <c r="E3400" s="14">
        <f t="shared" si="159"/>
        <v>4.051507185467999E-5</v>
      </c>
      <c r="F3400">
        <v>103.069</v>
      </c>
      <c r="G3400" s="1">
        <f t="shared" si="160"/>
        <v>102.686021</v>
      </c>
    </row>
    <row r="3401" spans="1:7" x14ac:dyDescent="0.3">
      <c r="A3401">
        <v>33990</v>
      </c>
      <c r="B3401">
        <v>1411</v>
      </c>
      <c r="C3401">
        <v>111.06399999999999</v>
      </c>
      <c r="D3401" s="15">
        <f t="shared" si="161"/>
        <v>7.5000000000002839E-5</v>
      </c>
      <c r="E3401" s="14">
        <f t="shared" si="159"/>
        <v>4.0509582185669981E-5</v>
      </c>
      <c r="F3401">
        <v>103.10599999999999</v>
      </c>
      <c r="G3401" s="1">
        <f t="shared" si="160"/>
        <v>102.68489100000001</v>
      </c>
    </row>
    <row r="3402" spans="1:7" x14ac:dyDescent="0.3">
      <c r="A3402">
        <v>34000</v>
      </c>
      <c r="B3402">
        <v>1414.7</v>
      </c>
      <c r="C3402">
        <v>111.06399999999999</v>
      </c>
      <c r="D3402" s="15">
        <f t="shared" si="161"/>
        <v>7.5000000000002839E-5</v>
      </c>
      <c r="E3402" s="14">
        <f t="shared" si="159"/>
        <v>4.0504105200000001E-5</v>
      </c>
      <c r="F3402">
        <v>103.14400000000001</v>
      </c>
      <c r="G3402" s="1">
        <f t="shared" si="160"/>
        <v>102.683761</v>
      </c>
    </row>
    <row r="3403" spans="1:7" x14ac:dyDescent="0.3">
      <c r="A3403">
        <v>34010</v>
      </c>
      <c r="B3403">
        <v>1418.4</v>
      </c>
      <c r="C3403">
        <v>111.063</v>
      </c>
      <c r="D3403" s="15">
        <f t="shared" si="161"/>
        <v>4.9999999999883471E-5</v>
      </c>
      <c r="E3403" s="14">
        <f t="shared" si="159"/>
        <v>4.0498640897669995E-5</v>
      </c>
      <c r="F3403">
        <v>103.182</v>
      </c>
      <c r="G3403" s="1">
        <f t="shared" si="160"/>
        <v>102.682631</v>
      </c>
    </row>
    <row r="3404" spans="1:7" x14ac:dyDescent="0.3">
      <c r="A3404">
        <v>34020</v>
      </c>
      <c r="B3404">
        <v>1422.1</v>
      </c>
      <c r="C3404">
        <v>111.062</v>
      </c>
      <c r="D3404" s="15">
        <f t="shared" si="161"/>
        <v>7.4999999999647574E-5</v>
      </c>
      <c r="E3404" s="14">
        <f t="shared" si="159"/>
        <v>4.049318927867999E-5</v>
      </c>
      <c r="F3404">
        <v>103.21899999999999</v>
      </c>
      <c r="G3404" s="1">
        <f t="shared" si="160"/>
        <v>102.681501</v>
      </c>
    </row>
    <row r="3405" spans="1:7" x14ac:dyDescent="0.3">
      <c r="A3405">
        <v>34030</v>
      </c>
      <c r="B3405">
        <v>1425.9</v>
      </c>
      <c r="C3405">
        <v>111.062</v>
      </c>
      <c r="D3405" s="15">
        <f t="shared" si="161"/>
        <v>7.5000000000002839E-5</v>
      </c>
      <c r="E3405" s="14">
        <f t="shared" si="159"/>
        <v>4.0487750343029999E-5</v>
      </c>
      <c r="F3405">
        <v>103.256</v>
      </c>
      <c r="G3405" s="1">
        <f t="shared" si="160"/>
        <v>102.68037100000001</v>
      </c>
    </row>
    <row r="3406" spans="1:7" x14ac:dyDescent="0.3">
      <c r="A3406">
        <v>34040</v>
      </c>
      <c r="B3406">
        <v>1429.6</v>
      </c>
      <c r="C3406">
        <v>111.06100000000001</v>
      </c>
      <c r="D3406" s="15">
        <f t="shared" si="161"/>
        <v>4.9999999999883471E-5</v>
      </c>
      <c r="E3406" s="14">
        <f t="shared" si="159"/>
        <v>4.0482324090719996E-5</v>
      </c>
      <c r="F3406">
        <v>103.294</v>
      </c>
      <c r="G3406" s="1">
        <f t="shared" si="160"/>
        <v>102.679241</v>
      </c>
    </row>
    <row r="3407" spans="1:7" x14ac:dyDescent="0.3">
      <c r="A3407">
        <v>34050</v>
      </c>
      <c r="B3407">
        <v>1433.4</v>
      </c>
      <c r="C3407">
        <v>111.06</v>
      </c>
      <c r="D3407" s="15">
        <f t="shared" si="161"/>
        <v>7.5000000000002839E-5</v>
      </c>
      <c r="E3407" s="14">
        <f t="shared" si="159"/>
        <v>4.0476910521749981E-5</v>
      </c>
      <c r="F3407">
        <v>103.33199999999999</v>
      </c>
      <c r="G3407" s="1">
        <f t="shared" si="160"/>
        <v>102.678111</v>
      </c>
    </row>
    <row r="3408" spans="1:7" x14ac:dyDescent="0.3">
      <c r="A3408">
        <v>34060</v>
      </c>
      <c r="B3408">
        <v>1437.1</v>
      </c>
      <c r="C3408">
        <v>111.06</v>
      </c>
      <c r="D3408" s="15">
        <f t="shared" si="161"/>
        <v>7.5000000000002839E-5</v>
      </c>
      <c r="E3408" s="14">
        <f t="shared" si="159"/>
        <v>4.0471509636120007E-5</v>
      </c>
      <c r="F3408">
        <v>103.369</v>
      </c>
      <c r="G3408" s="1">
        <f t="shared" si="160"/>
        <v>102.676981</v>
      </c>
    </row>
    <row r="3409" spans="1:7" x14ac:dyDescent="0.3">
      <c r="A3409">
        <v>34070</v>
      </c>
      <c r="B3409">
        <v>1441</v>
      </c>
      <c r="C3409">
        <v>111.059</v>
      </c>
      <c r="D3409" s="15">
        <f t="shared" si="161"/>
        <v>4.9999999999883471E-5</v>
      </c>
      <c r="E3409" s="14">
        <f t="shared" si="159"/>
        <v>4.0466121433829994E-5</v>
      </c>
      <c r="F3409">
        <v>103.40600000000001</v>
      </c>
      <c r="G3409" s="1">
        <f t="shared" si="160"/>
        <v>102.67585100000001</v>
      </c>
    </row>
    <row r="3410" spans="1:7" x14ac:dyDescent="0.3">
      <c r="A3410">
        <v>34080</v>
      </c>
      <c r="B3410">
        <v>1444.9</v>
      </c>
      <c r="C3410">
        <v>111.05800000000001</v>
      </c>
      <c r="D3410" s="15">
        <f t="shared" si="161"/>
        <v>7.5000000000002839E-5</v>
      </c>
      <c r="E3410" s="14">
        <f t="shared" si="159"/>
        <v>4.0460745914879982E-5</v>
      </c>
      <c r="F3410">
        <v>103.444</v>
      </c>
      <c r="G3410" s="1">
        <f t="shared" si="160"/>
        <v>102.67472100000001</v>
      </c>
    </row>
    <row r="3411" spans="1:7" x14ac:dyDescent="0.3">
      <c r="A3411">
        <v>34090</v>
      </c>
      <c r="B3411">
        <v>1448.7</v>
      </c>
      <c r="C3411">
        <v>111.05800000000001</v>
      </c>
      <c r="D3411" s="15">
        <f t="shared" si="161"/>
        <v>7.5000000000002839E-5</v>
      </c>
      <c r="E3411" s="14">
        <f t="shared" si="159"/>
        <v>4.0455383079269998E-5</v>
      </c>
      <c r="F3411">
        <v>103.482</v>
      </c>
      <c r="G3411" s="1">
        <f t="shared" si="160"/>
        <v>102.673591</v>
      </c>
    </row>
    <row r="3412" spans="1:7" x14ac:dyDescent="0.3">
      <c r="A3412">
        <v>34100</v>
      </c>
      <c r="B3412">
        <v>1452.6</v>
      </c>
      <c r="C3412">
        <v>111.057</v>
      </c>
      <c r="D3412" s="15">
        <f t="shared" si="161"/>
        <v>5.0000000000238744E-5</v>
      </c>
      <c r="E3412" s="14">
        <f t="shared" si="159"/>
        <v>4.0450032926999988E-5</v>
      </c>
      <c r="F3412">
        <v>103.51900000000001</v>
      </c>
      <c r="G3412" s="1">
        <f t="shared" si="160"/>
        <v>102.672461</v>
      </c>
    </row>
    <row r="3413" spans="1:7" x14ac:dyDescent="0.3">
      <c r="A3413">
        <v>34110</v>
      </c>
      <c r="B3413">
        <v>1456.5</v>
      </c>
      <c r="C3413">
        <v>111.056</v>
      </c>
      <c r="D3413" s="15">
        <f t="shared" si="161"/>
        <v>7.5000000000002839E-5</v>
      </c>
      <c r="E3413" s="14">
        <f t="shared" si="159"/>
        <v>4.0444695458069992E-5</v>
      </c>
      <c r="F3413">
        <v>103.557</v>
      </c>
      <c r="G3413" s="1">
        <f t="shared" si="160"/>
        <v>102.67133100000001</v>
      </c>
    </row>
    <row r="3414" spans="1:7" x14ac:dyDescent="0.3">
      <c r="A3414">
        <v>34120</v>
      </c>
      <c r="B3414">
        <v>1460.3</v>
      </c>
      <c r="C3414">
        <v>111.056</v>
      </c>
      <c r="D3414" s="15">
        <f t="shared" si="161"/>
        <v>7.5000000000002839E-5</v>
      </c>
      <c r="E3414" s="14">
        <f t="shared" si="159"/>
        <v>4.0439370672480012E-5</v>
      </c>
      <c r="F3414">
        <v>103.595</v>
      </c>
      <c r="G3414" s="1">
        <f t="shared" si="160"/>
        <v>102.67020100000001</v>
      </c>
    </row>
    <row r="3415" spans="1:7" x14ac:dyDescent="0.3">
      <c r="A3415">
        <v>34130</v>
      </c>
      <c r="B3415">
        <v>1464.2</v>
      </c>
      <c r="C3415">
        <v>111.05500000000001</v>
      </c>
      <c r="D3415" s="15">
        <f t="shared" si="161"/>
        <v>4.9999999999883471E-5</v>
      </c>
      <c r="E3415" s="14">
        <f t="shared" si="159"/>
        <v>4.0434058570230005E-5</v>
      </c>
      <c r="F3415">
        <v>103.631</v>
      </c>
      <c r="G3415" s="1">
        <f t="shared" si="160"/>
        <v>102.669071</v>
      </c>
    </row>
    <row r="3416" spans="1:7" x14ac:dyDescent="0.3">
      <c r="A3416">
        <v>34140</v>
      </c>
      <c r="B3416">
        <v>1467.9</v>
      </c>
      <c r="C3416">
        <v>111.054</v>
      </c>
      <c r="D3416" s="15">
        <f t="shared" si="161"/>
        <v>7.5000000000002839E-5</v>
      </c>
      <c r="E3416" s="14">
        <f t="shared" si="159"/>
        <v>4.0428759151319986E-5</v>
      </c>
      <c r="F3416">
        <v>103.669</v>
      </c>
      <c r="G3416" s="1">
        <f t="shared" si="160"/>
        <v>102.667941</v>
      </c>
    </row>
    <row r="3417" spans="1:7" x14ac:dyDescent="0.3">
      <c r="A3417">
        <v>34150</v>
      </c>
      <c r="B3417">
        <v>1470.6</v>
      </c>
      <c r="C3417">
        <v>111.054</v>
      </c>
      <c r="D3417" s="15">
        <f t="shared" si="161"/>
        <v>7.5000000000002839E-5</v>
      </c>
      <c r="E3417" s="14">
        <f t="shared" si="159"/>
        <v>4.0423472415749981E-5</v>
      </c>
      <c r="F3417">
        <v>103.702</v>
      </c>
      <c r="G3417" s="1">
        <f t="shared" si="160"/>
        <v>102.66681100000001</v>
      </c>
    </row>
    <row r="3418" spans="1:7" x14ac:dyDescent="0.3">
      <c r="A3418">
        <v>34160</v>
      </c>
      <c r="B3418">
        <v>1469.8</v>
      </c>
      <c r="C3418">
        <v>111.053</v>
      </c>
      <c r="D3418" s="15">
        <f t="shared" si="161"/>
        <v>4.9999999999883471E-5</v>
      </c>
      <c r="E3418" s="14">
        <f t="shared" si="159"/>
        <v>4.0418198363519991E-5</v>
      </c>
      <c r="F3418">
        <v>103.688</v>
      </c>
      <c r="G3418" s="1">
        <f t="shared" si="160"/>
        <v>102.66568100000001</v>
      </c>
    </row>
    <row r="3419" spans="1:7" x14ac:dyDescent="0.3">
      <c r="A3419">
        <v>34170</v>
      </c>
      <c r="B3419">
        <v>1469</v>
      </c>
      <c r="C3419">
        <v>111.05200000000001</v>
      </c>
      <c r="D3419" s="15">
        <f t="shared" si="161"/>
        <v>7.5000000000002839E-5</v>
      </c>
      <c r="E3419" s="14">
        <f t="shared" si="159"/>
        <v>4.0412936994629989E-5</v>
      </c>
      <c r="F3419">
        <v>103.67400000000001</v>
      </c>
      <c r="G3419" s="1">
        <f t="shared" si="160"/>
        <v>102.664551</v>
      </c>
    </row>
    <row r="3420" spans="1:7" x14ac:dyDescent="0.3">
      <c r="A3420">
        <v>34180</v>
      </c>
      <c r="B3420">
        <v>1468.2</v>
      </c>
      <c r="C3420">
        <v>111.05200000000001</v>
      </c>
      <c r="D3420" s="15">
        <f t="shared" si="161"/>
        <v>7.5000000000002839E-5</v>
      </c>
      <c r="E3420" s="14">
        <f t="shared" si="159"/>
        <v>4.0407688309079974E-5</v>
      </c>
      <c r="F3420">
        <v>103.65900000000001</v>
      </c>
      <c r="G3420" s="1">
        <f t="shared" si="160"/>
        <v>102.663421</v>
      </c>
    </row>
    <row r="3421" spans="1:7" x14ac:dyDescent="0.3">
      <c r="A3421">
        <v>34190</v>
      </c>
      <c r="B3421">
        <v>1467.4</v>
      </c>
      <c r="C3421">
        <v>111.051</v>
      </c>
      <c r="D3421" s="15">
        <f t="shared" si="161"/>
        <v>5.0000000000238744E-5</v>
      </c>
      <c r="E3421" s="14">
        <f t="shared" si="159"/>
        <v>4.0402452306870001E-5</v>
      </c>
      <c r="F3421">
        <v>103.645</v>
      </c>
      <c r="G3421" s="1">
        <f t="shared" si="160"/>
        <v>102.662291</v>
      </c>
    </row>
    <row r="3422" spans="1:7" x14ac:dyDescent="0.3">
      <c r="A3422">
        <v>34200</v>
      </c>
      <c r="B3422">
        <v>1466.6</v>
      </c>
      <c r="C3422">
        <v>111.05</v>
      </c>
      <c r="D3422" s="15">
        <f t="shared" si="161"/>
        <v>7.5000000000002839E-5</v>
      </c>
      <c r="E3422" s="14">
        <f t="shared" si="159"/>
        <v>4.0397228987999989E-5</v>
      </c>
      <c r="F3422">
        <v>103.631</v>
      </c>
      <c r="G3422" s="1">
        <f t="shared" si="160"/>
        <v>102.66116100000001</v>
      </c>
    </row>
    <row r="3423" spans="1:7" x14ac:dyDescent="0.3">
      <c r="A3423">
        <v>34210</v>
      </c>
      <c r="B3423">
        <v>1465.9</v>
      </c>
      <c r="C3423">
        <v>111.05</v>
      </c>
      <c r="D3423" s="15">
        <f t="shared" si="161"/>
        <v>7.5000000000002839E-5</v>
      </c>
      <c r="E3423" s="14">
        <f t="shared" si="159"/>
        <v>4.0392018352469991E-5</v>
      </c>
      <c r="F3423">
        <v>103.617</v>
      </c>
      <c r="G3423" s="1">
        <f t="shared" si="160"/>
        <v>102.660031</v>
      </c>
    </row>
    <row r="3424" spans="1:7" x14ac:dyDescent="0.3">
      <c r="A3424">
        <v>34220</v>
      </c>
      <c r="B3424">
        <v>1465.2</v>
      </c>
      <c r="C3424">
        <v>111.04900000000001</v>
      </c>
      <c r="D3424" s="15">
        <f t="shared" si="161"/>
        <v>4.9999999999883471E-5</v>
      </c>
      <c r="E3424" s="14">
        <f t="shared" si="159"/>
        <v>4.0386820400280008E-5</v>
      </c>
      <c r="F3424">
        <v>103.60299999999999</v>
      </c>
      <c r="G3424" s="1">
        <f t="shared" si="160"/>
        <v>102.658901</v>
      </c>
    </row>
    <row r="3425" spans="1:7" x14ac:dyDescent="0.3">
      <c r="A3425">
        <v>34230</v>
      </c>
      <c r="B3425">
        <v>1464.4</v>
      </c>
      <c r="C3425">
        <v>111.048</v>
      </c>
      <c r="D3425" s="15">
        <f t="shared" si="161"/>
        <v>7.5000000000002839E-5</v>
      </c>
      <c r="E3425" s="14">
        <f t="shared" si="159"/>
        <v>4.0381635131429998E-5</v>
      </c>
      <c r="F3425">
        <v>103.58799999999999</v>
      </c>
      <c r="G3425" s="1">
        <f t="shared" si="160"/>
        <v>102.657771</v>
      </c>
    </row>
    <row r="3426" spans="1:7" x14ac:dyDescent="0.3">
      <c r="A3426">
        <v>34240</v>
      </c>
      <c r="B3426">
        <v>1463.7</v>
      </c>
      <c r="C3426">
        <v>111.048</v>
      </c>
      <c r="D3426" s="15">
        <f t="shared" si="161"/>
        <v>7.5000000000002839E-5</v>
      </c>
      <c r="E3426" s="14">
        <f t="shared" si="159"/>
        <v>4.037646254591999E-5</v>
      </c>
      <c r="F3426">
        <v>103.574</v>
      </c>
      <c r="G3426" s="1">
        <f t="shared" si="160"/>
        <v>102.65664100000001</v>
      </c>
    </row>
    <row r="3427" spans="1:7" x14ac:dyDescent="0.3">
      <c r="A3427">
        <v>34250</v>
      </c>
      <c r="B3427">
        <v>1463</v>
      </c>
      <c r="C3427">
        <v>111.047</v>
      </c>
      <c r="D3427" s="15">
        <f t="shared" si="161"/>
        <v>4.9999999999883471E-5</v>
      </c>
      <c r="E3427" s="14">
        <f t="shared" si="159"/>
        <v>4.037130264375001E-5</v>
      </c>
      <c r="F3427">
        <v>103.56</v>
      </c>
      <c r="G3427" s="1">
        <f t="shared" si="160"/>
        <v>102.655511</v>
      </c>
    </row>
    <row r="3428" spans="1:7" x14ac:dyDescent="0.3">
      <c r="A3428">
        <v>34260</v>
      </c>
      <c r="B3428">
        <v>1462.4</v>
      </c>
      <c r="C3428">
        <v>111.04600000000001</v>
      </c>
      <c r="D3428" s="15">
        <f t="shared" si="161"/>
        <v>7.5000000000002839E-5</v>
      </c>
      <c r="E3428" s="14">
        <f t="shared" si="159"/>
        <v>4.036615542491999E-5</v>
      </c>
      <c r="F3428">
        <v>103.54600000000001</v>
      </c>
      <c r="G3428" s="1">
        <f t="shared" si="160"/>
        <v>102.654381</v>
      </c>
    </row>
    <row r="3429" spans="1:7" x14ac:dyDescent="0.3">
      <c r="A3429">
        <v>34270</v>
      </c>
      <c r="B3429">
        <v>1461.7</v>
      </c>
      <c r="C3429">
        <v>111.04600000000001</v>
      </c>
      <c r="D3429" s="15">
        <f t="shared" si="161"/>
        <v>7.5000000000002839E-5</v>
      </c>
      <c r="E3429" s="14">
        <f t="shared" si="159"/>
        <v>4.0361020889429985E-5</v>
      </c>
      <c r="F3429">
        <v>103.532</v>
      </c>
      <c r="G3429" s="1">
        <f t="shared" si="160"/>
        <v>102.653251</v>
      </c>
    </row>
    <row r="3430" spans="1:7" x14ac:dyDescent="0.3">
      <c r="A3430">
        <v>34280</v>
      </c>
      <c r="B3430">
        <v>1461.1</v>
      </c>
      <c r="C3430">
        <v>111.045</v>
      </c>
      <c r="D3430" s="15">
        <f t="shared" si="161"/>
        <v>7.5000000000002839E-5</v>
      </c>
      <c r="E3430" s="14">
        <f t="shared" si="159"/>
        <v>4.0355899037279995E-5</v>
      </c>
      <c r="F3430">
        <v>103.517</v>
      </c>
      <c r="G3430" s="1">
        <f t="shared" si="160"/>
        <v>102.65212100000001</v>
      </c>
    </row>
    <row r="3431" spans="1:7" x14ac:dyDescent="0.3">
      <c r="A3431">
        <v>34290</v>
      </c>
      <c r="B3431">
        <v>1460.5</v>
      </c>
      <c r="C3431">
        <v>111.044</v>
      </c>
      <c r="D3431" s="15">
        <f t="shared" si="161"/>
        <v>7.5000000000002839E-5</v>
      </c>
      <c r="E3431" s="14">
        <f t="shared" si="159"/>
        <v>4.0350789868469992E-5</v>
      </c>
      <c r="F3431">
        <v>103.503</v>
      </c>
      <c r="G3431" s="1">
        <f t="shared" si="160"/>
        <v>102.650991</v>
      </c>
    </row>
    <row r="3432" spans="1:7" x14ac:dyDescent="0.3">
      <c r="A3432">
        <v>34300</v>
      </c>
      <c r="B3432">
        <v>1459.9</v>
      </c>
      <c r="C3432">
        <v>111.04300000000001</v>
      </c>
      <c r="D3432" s="15">
        <f t="shared" si="161"/>
        <v>7.5000000000002839E-5</v>
      </c>
      <c r="E3432" s="14">
        <f t="shared" si="159"/>
        <v>4.0345693382999977E-5</v>
      </c>
      <c r="F3432">
        <v>103.489</v>
      </c>
      <c r="G3432" s="1">
        <f t="shared" si="160"/>
        <v>102.649861</v>
      </c>
    </row>
    <row r="3433" spans="1:7" x14ac:dyDescent="0.3">
      <c r="A3433">
        <v>34310</v>
      </c>
      <c r="B3433">
        <v>1459.3</v>
      </c>
      <c r="C3433">
        <v>111.04300000000001</v>
      </c>
      <c r="D3433" s="15">
        <f t="shared" si="161"/>
        <v>7.5000000000002839E-5</v>
      </c>
      <c r="E3433" s="14">
        <f t="shared" si="159"/>
        <v>4.0340609580870017E-5</v>
      </c>
      <c r="F3433">
        <v>103.47499999999999</v>
      </c>
      <c r="G3433" s="1">
        <f t="shared" si="160"/>
        <v>102.648731</v>
      </c>
    </row>
    <row r="3434" spans="1:7" x14ac:dyDescent="0.3">
      <c r="A3434">
        <v>34320</v>
      </c>
      <c r="B3434">
        <v>1458.9</v>
      </c>
      <c r="C3434">
        <v>111.042</v>
      </c>
      <c r="D3434" s="15">
        <f t="shared" si="161"/>
        <v>5.0000000000238744E-5</v>
      </c>
      <c r="E3434" s="14">
        <f t="shared" si="159"/>
        <v>4.0335538462080004E-5</v>
      </c>
      <c r="F3434">
        <v>103.461</v>
      </c>
      <c r="G3434" s="1">
        <f t="shared" si="160"/>
        <v>102.64760100000001</v>
      </c>
    </row>
    <row r="3435" spans="1:7" x14ac:dyDescent="0.3">
      <c r="A3435">
        <v>34330</v>
      </c>
      <c r="B3435">
        <v>1458.3</v>
      </c>
      <c r="C3435">
        <v>111.041</v>
      </c>
      <c r="D3435" s="15">
        <f t="shared" si="161"/>
        <v>7.5000000000002839E-5</v>
      </c>
      <c r="E3435" s="14">
        <f t="shared" si="159"/>
        <v>4.0330480026629992E-5</v>
      </c>
      <c r="F3435">
        <v>103.446</v>
      </c>
      <c r="G3435" s="1">
        <f t="shared" si="160"/>
        <v>102.64647100000001</v>
      </c>
    </row>
    <row r="3436" spans="1:7" x14ac:dyDescent="0.3">
      <c r="A3436">
        <v>34340</v>
      </c>
      <c r="B3436">
        <v>1457.8</v>
      </c>
      <c r="C3436">
        <v>111.041</v>
      </c>
      <c r="D3436" s="15">
        <f t="shared" si="161"/>
        <v>7.5000000000002839E-5</v>
      </c>
      <c r="E3436" s="14">
        <f t="shared" si="159"/>
        <v>4.0325434274519981E-5</v>
      </c>
      <c r="F3436">
        <v>103.432</v>
      </c>
      <c r="G3436" s="1">
        <f t="shared" si="160"/>
        <v>102.645341</v>
      </c>
    </row>
    <row r="3437" spans="1:7" x14ac:dyDescent="0.3">
      <c r="A3437">
        <v>34350</v>
      </c>
      <c r="B3437">
        <v>1457.4</v>
      </c>
      <c r="C3437">
        <v>111.04</v>
      </c>
      <c r="D3437" s="15">
        <f t="shared" si="161"/>
        <v>7.5000000000002839E-5</v>
      </c>
      <c r="E3437" s="14">
        <f t="shared" si="159"/>
        <v>4.0320401205749999E-5</v>
      </c>
      <c r="F3437">
        <v>103.41800000000001</v>
      </c>
      <c r="G3437" s="1">
        <f t="shared" si="160"/>
        <v>102.644211</v>
      </c>
    </row>
    <row r="3438" spans="1:7" x14ac:dyDescent="0.3">
      <c r="A3438">
        <v>34360</v>
      </c>
      <c r="B3438">
        <v>1456.9</v>
      </c>
      <c r="C3438">
        <v>111.039</v>
      </c>
      <c r="D3438" s="15">
        <f t="shared" si="161"/>
        <v>7.5000000000002839E-5</v>
      </c>
      <c r="E3438" s="14">
        <f t="shared" si="159"/>
        <v>4.031538082031999E-5</v>
      </c>
      <c r="F3438">
        <v>103.404</v>
      </c>
      <c r="G3438" s="1">
        <f t="shared" si="160"/>
        <v>102.64308100000001</v>
      </c>
    </row>
    <row r="3439" spans="1:7" x14ac:dyDescent="0.3">
      <c r="A3439">
        <v>34370</v>
      </c>
      <c r="B3439">
        <v>1456.5</v>
      </c>
      <c r="C3439">
        <v>111.038</v>
      </c>
      <c r="D3439" s="15">
        <f t="shared" si="161"/>
        <v>7.5000000000002839E-5</v>
      </c>
      <c r="E3439" s="14">
        <f t="shared" si="159"/>
        <v>4.0310373118229983E-5</v>
      </c>
      <c r="F3439">
        <v>103.39</v>
      </c>
      <c r="G3439" s="1">
        <f t="shared" si="160"/>
        <v>102.64195100000001</v>
      </c>
    </row>
    <row r="3440" spans="1:7" x14ac:dyDescent="0.3">
      <c r="A3440">
        <v>34380</v>
      </c>
      <c r="B3440">
        <v>1456.1</v>
      </c>
      <c r="C3440">
        <v>111.038</v>
      </c>
      <c r="D3440" s="15">
        <f t="shared" si="161"/>
        <v>7.5000000000002839E-5</v>
      </c>
      <c r="E3440" s="14">
        <f t="shared" si="159"/>
        <v>4.030537809947999E-5</v>
      </c>
      <c r="F3440">
        <v>103.375</v>
      </c>
      <c r="G3440" s="1">
        <f t="shared" si="160"/>
        <v>102.640821</v>
      </c>
    </row>
    <row r="3441" spans="1:7" x14ac:dyDescent="0.3">
      <c r="A3441">
        <v>34390</v>
      </c>
      <c r="B3441">
        <v>1455.4</v>
      </c>
      <c r="C3441">
        <v>111.03700000000001</v>
      </c>
      <c r="D3441" s="15">
        <f t="shared" si="161"/>
        <v>7.5000000000002839E-5</v>
      </c>
      <c r="E3441" s="14">
        <f t="shared" si="159"/>
        <v>4.0300395764069984E-5</v>
      </c>
      <c r="F3441">
        <v>103.361</v>
      </c>
      <c r="G3441" s="1">
        <f t="shared" si="160"/>
        <v>102.639691</v>
      </c>
    </row>
    <row r="3442" spans="1:7" x14ac:dyDescent="0.3">
      <c r="A3442">
        <v>34400</v>
      </c>
      <c r="B3442">
        <v>1453.9</v>
      </c>
      <c r="C3442">
        <v>111.036</v>
      </c>
      <c r="D3442" s="15">
        <f t="shared" si="161"/>
        <v>7.5000000000002839E-5</v>
      </c>
      <c r="E3442" s="14">
        <f t="shared" si="159"/>
        <v>4.029542611199998E-5</v>
      </c>
      <c r="F3442">
        <v>103.34699999999999</v>
      </c>
      <c r="G3442" s="1">
        <f t="shared" si="160"/>
        <v>102.63856100000001</v>
      </c>
    </row>
    <row r="3443" spans="1:7" x14ac:dyDescent="0.3">
      <c r="A3443">
        <v>34410</v>
      </c>
      <c r="B3443">
        <v>1452.6</v>
      </c>
      <c r="C3443">
        <v>111.035</v>
      </c>
      <c r="D3443" s="15">
        <f t="shared" si="161"/>
        <v>7.5000000000002839E-5</v>
      </c>
      <c r="E3443" s="14">
        <f t="shared" si="159"/>
        <v>4.0290469143270004E-5</v>
      </c>
      <c r="F3443">
        <v>103.333</v>
      </c>
      <c r="G3443" s="1">
        <f t="shared" si="160"/>
        <v>102.63743100000001</v>
      </c>
    </row>
    <row r="3444" spans="1:7" x14ac:dyDescent="0.3">
      <c r="A3444">
        <v>34420</v>
      </c>
      <c r="B3444">
        <v>1451.1</v>
      </c>
      <c r="C3444">
        <v>111.035</v>
      </c>
      <c r="D3444" s="15">
        <f t="shared" si="161"/>
        <v>7.5000000000002839E-5</v>
      </c>
      <c r="E3444" s="14">
        <f t="shared" si="159"/>
        <v>4.0285524857880002E-5</v>
      </c>
      <c r="F3444">
        <v>103.319</v>
      </c>
      <c r="G3444" s="1">
        <f t="shared" si="160"/>
        <v>102.636301</v>
      </c>
    </row>
    <row r="3445" spans="1:7" x14ac:dyDescent="0.3">
      <c r="A3445">
        <v>34430</v>
      </c>
      <c r="B3445">
        <v>1449.3</v>
      </c>
      <c r="C3445">
        <v>111.03400000000001</v>
      </c>
      <c r="D3445" s="15">
        <f t="shared" si="161"/>
        <v>4.9999999999883471E-5</v>
      </c>
      <c r="E3445" s="14">
        <f t="shared" si="159"/>
        <v>4.0280593255829987E-5</v>
      </c>
      <c r="F3445">
        <v>103.304</v>
      </c>
      <c r="G3445" s="1">
        <f t="shared" si="160"/>
        <v>102.635171</v>
      </c>
    </row>
    <row r="3446" spans="1:7" x14ac:dyDescent="0.3">
      <c r="A3446">
        <v>34440</v>
      </c>
      <c r="B3446">
        <v>1447.8</v>
      </c>
      <c r="C3446">
        <v>111.033</v>
      </c>
      <c r="D3446" s="15">
        <f t="shared" si="161"/>
        <v>7.5000000000002839E-5</v>
      </c>
      <c r="E3446" s="14">
        <f t="shared" si="159"/>
        <v>4.0275674337120001E-5</v>
      </c>
      <c r="F3446">
        <v>103.29</v>
      </c>
      <c r="G3446" s="1">
        <f t="shared" si="160"/>
        <v>102.634041</v>
      </c>
    </row>
    <row r="3447" spans="1:7" x14ac:dyDescent="0.3">
      <c r="A3447">
        <v>34450</v>
      </c>
      <c r="B3447">
        <v>1446.3</v>
      </c>
      <c r="C3447">
        <v>111.033</v>
      </c>
      <c r="D3447" s="15">
        <f t="shared" si="161"/>
        <v>7.5000000000002839E-5</v>
      </c>
      <c r="E3447" s="14">
        <f t="shared" si="159"/>
        <v>4.0270768101749989E-5</v>
      </c>
      <c r="F3447">
        <v>103.276</v>
      </c>
      <c r="G3447" s="1">
        <f t="shared" si="160"/>
        <v>102.63291100000001</v>
      </c>
    </row>
    <row r="3448" spans="1:7" x14ac:dyDescent="0.3">
      <c r="A3448">
        <v>34460</v>
      </c>
      <c r="B3448">
        <v>1445.3</v>
      </c>
      <c r="C3448">
        <v>111.032</v>
      </c>
      <c r="D3448" s="15">
        <f t="shared" si="161"/>
        <v>7.5000000000002839E-5</v>
      </c>
      <c r="E3448" s="14">
        <f t="shared" si="159"/>
        <v>4.0265874549719991E-5</v>
      </c>
      <c r="F3448">
        <v>103.262</v>
      </c>
      <c r="G3448" s="1">
        <f t="shared" si="160"/>
        <v>102.631781</v>
      </c>
    </row>
    <row r="3449" spans="1:7" x14ac:dyDescent="0.3">
      <c r="A3449">
        <v>34470</v>
      </c>
      <c r="B3449">
        <v>1444.6</v>
      </c>
      <c r="C3449">
        <v>111.03100000000001</v>
      </c>
      <c r="D3449" s="15">
        <f t="shared" si="161"/>
        <v>7.5000000000002839E-5</v>
      </c>
      <c r="E3449" s="14">
        <f t="shared" si="159"/>
        <v>4.0260993681030008E-5</v>
      </c>
      <c r="F3449">
        <v>103.247</v>
      </c>
      <c r="G3449" s="1">
        <f t="shared" si="160"/>
        <v>102.630651</v>
      </c>
    </row>
    <row r="3450" spans="1:7" x14ac:dyDescent="0.3">
      <c r="A3450">
        <v>34480</v>
      </c>
      <c r="B3450">
        <v>1444</v>
      </c>
      <c r="C3450">
        <v>111.03</v>
      </c>
      <c r="D3450" s="15">
        <f t="shared" si="161"/>
        <v>7.5000000000002839E-5</v>
      </c>
      <c r="E3450" s="14">
        <f t="shared" si="159"/>
        <v>4.0256125495679985E-5</v>
      </c>
      <c r="F3450">
        <v>103.233</v>
      </c>
      <c r="G3450" s="1">
        <f t="shared" si="160"/>
        <v>102.629521</v>
      </c>
    </row>
    <row r="3451" spans="1:7" x14ac:dyDescent="0.3">
      <c r="A3451">
        <v>34490</v>
      </c>
      <c r="B3451">
        <v>1443.5</v>
      </c>
      <c r="C3451">
        <v>111.03</v>
      </c>
      <c r="D3451" s="15">
        <f t="shared" si="161"/>
        <v>7.5000000000002839E-5</v>
      </c>
      <c r="E3451" s="14">
        <f t="shared" si="159"/>
        <v>4.0251269993669977E-5</v>
      </c>
      <c r="F3451">
        <v>103.21899999999999</v>
      </c>
      <c r="G3451" s="1">
        <f t="shared" si="160"/>
        <v>102.62839100000001</v>
      </c>
    </row>
    <row r="3452" spans="1:7" x14ac:dyDescent="0.3">
      <c r="A3452">
        <v>34500</v>
      </c>
      <c r="B3452">
        <v>1443</v>
      </c>
      <c r="C3452">
        <v>111.029</v>
      </c>
      <c r="D3452" s="15">
        <f t="shared" si="161"/>
        <v>4.9999999999883471E-5</v>
      </c>
      <c r="E3452" s="14">
        <f t="shared" si="159"/>
        <v>4.0246427174999997E-5</v>
      </c>
      <c r="F3452">
        <v>103.205</v>
      </c>
      <c r="G3452" s="1">
        <f t="shared" si="160"/>
        <v>102.627261</v>
      </c>
    </row>
    <row r="3453" spans="1:7" x14ac:dyDescent="0.3">
      <c r="A3453">
        <v>34510</v>
      </c>
      <c r="B3453">
        <v>1442.5</v>
      </c>
      <c r="C3453">
        <v>111.02800000000001</v>
      </c>
      <c r="D3453" s="15">
        <f t="shared" si="161"/>
        <v>7.5000000000002839E-5</v>
      </c>
      <c r="E3453" s="14">
        <f t="shared" si="159"/>
        <v>4.0241597039670005E-5</v>
      </c>
      <c r="F3453">
        <v>103.191</v>
      </c>
      <c r="G3453" s="1">
        <f t="shared" si="160"/>
        <v>102.626131</v>
      </c>
    </row>
    <row r="3454" spans="1:7" x14ac:dyDescent="0.3">
      <c r="A3454">
        <v>34520</v>
      </c>
      <c r="B3454">
        <v>1442.2</v>
      </c>
      <c r="C3454">
        <v>111.02800000000001</v>
      </c>
      <c r="D3454" s="15">
        <f t="shared" si="161"/>
        <v>7.5000000000002839E-5</v>
      </c>
      <c r="E3454" s="14">
        <f t="shared" si="159"/>
        <v>4.0236779587679987E-5</v>
      </c>
      <c r="F3454">
        <v>103.17700000000001</v>
      </c>
      <c r="G3454" s="1">
        <f t="shared" si="160"/>
        <v>102.625001</v>
      </c>
    </row>
    <row r="3455" spans="1:7" x14ac:dyDescent="0.3">
      <c r="A3455">
        <v>34530</v>
      </c>
      <c r="B3455">
        <v>1441.7</v>
      </c>
      <c r="C3455">
        <v>111.027</v>
      </c>
      <c r="D3455" s="15">
        <f t="shared" si="161"/>
        <v>7.5000000000002839E-5</v>
      </c>
      <c r="E3455" s="14">
        <f t="shared" si="159"/>
        <v>4.0231974819029983E-5</v>
      </c>
      <c r="F3455">
        <v>103.163</v>
      </c>
      <c r="G3455" s="1">
        <f t="shared" si="160"/>
        <v>102.62387100000001</v>
      </c>
    </row>
    <row r="3456" spans="1:7" x14ac:dyDescent="0.3">
      <c r="A3456">
        <v>34540</v>
      </c>
      <c r="B3456">
        <v>1441.4</v>
      </c>
      <c r="C3456">
        <v>111.026</v>
      </c>
      <c r="D3456" s="15">
        <f t="shared" si="161"/>
        <v>7.5000000000002839E-5</v>
      </c>
      <c r="E3456" s="14">
        <f t="shared" si="159"/>
        <v>4.0227182733719994E-5</v>
      </c>
      <c r="F3456">
        <v>103.149</v>
      </c>
      <c r="G3456" s="1">
        <f t="shared" si="160"/>
        <v>102.622741</v>
      </c>
    </row>
    <row r="3457" spans="1:7" x14ac:dyDescent="0.3">
      <c r="A3457">
        <v>34550</v>
      </c>
      <c r="B3457">
        <v>1441.1</v>
      </c>
      <c r="C3457">
        <v>111.02500000000001</v>
      </c>
      <c r="D3457" s="15">
        <f t="shared" si="161"/>
        <v>7.5000000000002839E-5</v>
      </c>
      <c r="E3457" s="14">
        <f t="shared" si="159"/>
        <v>4.0222403331749993E-5</v>
      </c>
      <c r="F3457">
        <v>103.13500000000001</v>
      </c>
      <c r="G3457" s="1">
        <f t="shared" si="160"/>
        <v>102.621611</v>
      </c>
    </row>
    <row r="3458" spans="1:7" x14ac:dyDescent="0.3">
      <c r="A3458">
        <v>34560</v>
      </c>
      <c r="B3458">
        <v>1441</v>
      </c>
      <c r="C3458">
        <v>111.02500000000001</v>
      </c>
      <c r="D3458" s="15">
        <f t="shared" si="161"/>
        <v>7.5000000000002839E-5</v>
      </c>
      <c r="E3458" s="14">
        <f t="shared" ref="E3458:E3498" si="162">0.0000000000000634167*A3458*A3458 - 0.0000000048594*A3458 + 0.000132414</f>
        <v>4.0217636613119979E-5</v>
      </c>
      <c r="F3458">
        <v>103.121</v>
      </c>
      <c r="G3458" s="1">
        <f t="shared" si="160"/>
        <v>102.620481</v>
      </c>
    </row>
    <row r="3459" spans="1:7" x14ac:dyDescent="0.3">
      <c r="A3459">
        <v>34570</v>
      </c>
      <c r="B3459">
        <v>1441</v>
      </c>
      <c r="C3459">
        <v>111.024</v>
      </c>
      <c r="D3459" s="15">
        <f t="shared" si="161"/>
        <v>5.0000000000238744E-5</v>
      </c>
      <c r="E3459" s="14">
        <f t="shared" si="162"/>
        <v>4.0212882577829993E-5</v>
      </c>
      <c r="F3459">
        <v>103.10599999999999</v>
      </c>
      <c r="G3459" s="1">
        <f t="shared" ref="G3459:G3498" si="163">-0.000113*A3459 + 106.525761</f>
        <v>102.61935100000001</v>
      </c>
    </row>
    <row r="3460" spans="1:7" x14ac:dyDescent="0.3">
      <c r="A3460">
        <v>34580</v>
      </c>
      <c r="B3460">
        <v>1441</v>
      </c>
      <c r="C3460">
        <v>111.023</v>
      </c>
      <c r="D3460" s="15">
        <f t="shared" si="161"/>
        <v>7.5000000000002839E-5</v>
      </c>
      <c r="E3460" s="14">
        <f t="shared" si="162"/>
        <v>4.0208141225879981E-5</v>
      </c>
      <c r="F3460">
        <v>103.092</v>
      </c>
      <c r="G3460" s="1">
        <f t="shared" si="163"/>
        <v>102.61822100000001</v>
      </c>
    </row>
    <row r="3461" spans="1:7" x14ac:dyDescent="0.3">
      <c r="A3461">
        <v>34590</v>
      </c>
      <c r="B3461">
        <v>1441.1</v>
      </c>
      <c r="C3461">
        <v>111.023</v>
      </c>
      <c r="D3461" s="15">
        <f t="shared" ref="D3461:D3496" si="164">(C3459-C3463)/(A3463-A3459)</f>
        <v>7.5000000000002839E-5</v>
      </c>
      <c r="E3461" s="14">
        <f t="shared" si="162"/>
        <v>4.0203412557269971E-5</v>
      </c>
      <c r="F3461">
        <v>103.078</v>
      </c>
      <c r="G3461" s="1">
        <f t="shared" si="163"/>
        <v>102.617091</v>
      </c>
    </row>
    <row r="3462" spans="1:7" x14ac:dyDescent="0.3">
      <c r="A3462">
        <v>34600</v>
      </c>
      <c r="B3462">
        <v>1441.4</v>
      </c>
      <c r="C3462">
        <v>111.02200000000001</v>
      </c>
      <c r="D3462" s="15">
        <f t="shared" si="164"/>
        <v>4.9999999999883471E-5</v>
      </c>
      <c r="E3462" s="14">
        <f t="shared" si="162"/>
        <v>4.0198696572000002E-5</v>
      </c>
      <c r="F3462">
        <v>103.06399999999999</v>
      </c>
      <c r="G3462" s="1">
        <f t="shared" si="163"/>
        <v>102.615961</v>
      </c>
    </row>
    <row r="3463" spans="1:7" x14ac:dyDescent="0.3">
      <c r="A3463">
        <v>34610</v>
      </c>
      <c r="B3463">
        <v>1441.7</v>
      </c>
      <c r="C3463">
        <v>111.021</v>
      </c>
      <c r="D3463" s="15">
        <f t="shared" si="164"/>
        <v>7.5000000000002839E-5</v>
      </c>
      <c r="E3463" s="14">
        <f t="shared" si="162"/>
        <v>4.0193993270069993E-5</v>
      </c>
      <c r="F3463">
        <v>103.05</v>
      </c>
      <c r="G3463" s="1">
        <f t="shared" si="163"/>
        <v>102.61483100000001</v>
      </c>
    </row>
    <row r="3464" spans="1:7" x14ac:dyDescent="0.3">
      <c r="A3464">
        <v>34620</v>
      </c>
      <c r="B3464">
        <v>1442</v>
      </c>
      <c r="C3464">
        <v>111.021</v>
      </c>
      <c r="D3464" s="15">
        <f t="shared" si="164"/>
        <v>7.5000000000002839E-5</v>
      </c>
      <c r="E3464" s="14">
        <f t="shared" si="162"/>
        <v>4.0189302651479986E-5</v>
      </c>
      <c r="F3464">
        <v>103.035</v>
      </c>
      <c r="G3464" s="1">
        <f t="shared" si="163"/>
        <v>102.61370100000001</v>
      </c>
    </row>
    <row r="3465" spans="1:7" x14ac:dyDescent="0.3">
      <c r="A3465">
        <v>34630</v>
      </c>
      <c r="B3465">
        <v>1442.5</v>
      </c>
      <c r="C3465">
        <v>111.02</v>
      </c>
      <c r="D3465" s="15">
        <f t="shared" si="164"/>
        <v>4.9999999999883471E-5</v>
      </c>
      <c r="E3465" s="14">
        <f t="shared" si="162"/>
        <v>4.0184624716230007E-5</v>
      </c>
      <c r="F3465">
        <v>103.021</v>
      </c>
      <c r="G3465" s="1">
        <f t="shared" si="163"/>
        <v>102.612571</v>
      </c>
    </row>
    <row r="3466" spans="1:7" x14ac:dyDescent="0.3">
      <c r="A3466">
        <v>34640</v>
      </c>
      <c r="B3466">
        <v>1442.9</v>
      </c>
      <c r="C3466">
        <v>111.01900000000001</v>
      </c>
      <c r="D3466" s="15">
        <f t="shared" si="164"/>
        <v>7.5000000000002839E-5</v>
      </c>
      <c r="E3466" s="14">
        <f t="shared" si="162"/>
        <v>4.0179959464320002E-5</v>
      </c>
      <c r="F3466">
        <v>103.00700000000001</v>
      </c>
      <c r="G3466" s="1">
        <f t="shared" si="163"/>
        <v>102.611441</v>
      </c>
    </row>
    <row r="3467" spans="1:7" x14ac:dyDescent="0.3">
      <c r="A3467">
        <v>34650</v>
      </c>
      <c r="B3467">
        <v>1443.6</v>
      </c>
      <c r="C3467">
        <v>111.01900000000001</v>
      </c>
      <c r="D3467" s="15">
        <f t="shared" si="164"/>
        <v>7.5000000000002839E-5</v>
      </c>
      <c r="E3467" s="14">
        <f t="shared" si="162"/>
        <v>4.0175306895749984E-5</v>
      </c>
      <c r="F3467">
        <v>102.99299999999999</v>
      </c>
      <c r="G3467" s="1">
        <f t="shared" si="163"/>
        <v>102.610311</v>
      </c>
    </row>
    <row r="3468" spans="1:7" x14ac:dyDescent="0.3">
      <c r="A3468">
        <v>34660</v>
      </c>
      <c r="B3468">
        <v>1444.2</v>
      </c>
      <c r="C3468">
        <v>111.018</v>
      </c>
      <c r="D3468" s="15">
        <f t="shared" si="164"/>
        <v>5.0000000000238744E-5</v>
      </c>
      <c r="E3468" s="14">
        <f t="shared" si="162"/>
        <v>4.0170667010520008E-5</v>
      </c>
      <c r="F3468">
        <v>102.979</v>
      </c>
      <c r="G3468" s="1">
        <f t="shared" si="163"/>
        <v>102.60918100000001</v>
      </c>
    </row>
    <row r="3469" spans="1:7" x14ac:dyDescent="0.3">
      <c r="A3469">
        <v>34670</v>
      </c>
      <c r="B3469">
        <v>1445</v>
      </c>
      <c r="C3469">
        <v>111.017</v>
      </c>
      <c r="D3469" s="15">
        <f t="shared" si="164"/>
        <v>7.5000000000002839E-5</v>
      </c>
      <c r="E3469" s="14">
        <f t="shared" si="162"/>
        <v>4.0166039808629993E-5</v>
      </c>
      <c r="F3469">
        <v>102.964</v>
      </c>
      <c r="G3469" s="1">
        <f t="shared" si="163"/>
        <v>102.608051</v>
      </c>
    </row>
    <row r="3470" spans="1:7" x14ac:dyDescent="0.3">
      <c r="A3470">
        <v>34680</v>
      </c>
      <c r="B3470">
        <v>1445.8</v>
      </c>
      <c r="C3470">
        <v>111.017</v>
      </c>
      <c r="D3470" s="15">
        <f t="shared" si="164"/>
        <v>7.5000000000002839E-5</v>
      </c>
      <c r="E3470" s="14">
        <f t="shared" si="162"/>
        <v>4.0161425290079978E-5</v>
      </c>
      <c r="F3470">
        <v>102.95</v>
      </c>
      <c r="G3470" s="1">
        <f t="shared" si="163"/>
        <v>102.606921</v>
      </c>
    </row>
    <row r="3471" spans="1:7" x14ac:dyDescent="0.3">
      <c r="A3471">
        <v>34690</v>
      </c>
      <c r="B3471">
        <v>1446.6</v>
      </c>
      <c r="C3471">
        <v>111.01600000000001</v>
      </c>
      <c r="D3471" s="15">
        <f t="shared" si="164"/>
        <v>4.9999999999883471E-5</v>
      </c>
      <c r="E3471" s="14">
        <f t="shared" si="162"/>
        <v>4.0156823454870006E-5</v>
      </c>
      <c r="F3471">
        <v>102.93600000000001</v>
      </c>
      <c r="G3471" s="1">
        <f t="shared" si="163"/>
        <v>102.605791</v>
      </c>
    </row>
    <row r="3472" spans="1:7" x14ac:dyDescent="0.3">
      <c r="A3472">
        <v>34700</v>
      </c>
      <c r="B3472">
        <v>1447.6</v>
      </c>
      <c r="C3472">
        <v>111.015</v>
      </c>
      <c r="D3472" s="15">
        <f t="shared" si="164"/>
        <v>7.5000000000002839E-5</v>
      </c>
      <c r="E3472" s="14">
        <f t="shared" si="162"/>
        <v>4.0152234303000007E-5</v>
      </c>
      <c r="F3472">
        <v>102.922</v>
      </c>
      <c r="G3472" s="1">
        <f t="shared" si="163"/>
        <v>102.60466100000001</v>
      </c>
    </row>
    <row r="3473" spans="1:7" x14ac:dyDescent="0.3">
      <c r="A3473">
        <v>34710</v>
      </c>
      <c r="B3473">
        <v>1448.5</v>
      </c>
      <c r="C3473">
        <v>111.015</v>
      </c>
      <c r="D3473" s="15">
        <f t="shared" si="164"/>
        <v>7.5000000000002839E-5</v>
      </c>
      <c r="E3473" s="14">
        <f t="shared" si="162"/>
        <v>4.0147657834469996E-5</v>
      </c>
      <c r="F3473">
        <v>102.908</v>
      </c>
      <c r="G3473" s="1">
        <f t="shared" si="163"/>
        <v>102.603531</v>
      </c>
    </row>
    <row r="3474" spans="1:7" x14ac:dyDescent="0.3">
      <c r="A3474">
        <v>34720</v>
      </c>
      <c r="B3474">
        <v>1449.7</v>
      </c>
      <c r="C3474">
        <v>111.014</v>
      </c>
      <c r="D3474" s="15">
        <f t="shared" si="164"/>
        <v>4.9999999999883471E-5</v>
      </c>
      <c r="E3474" s="14">
        <f t="shared" si="162"/>
        <v>4.0143094049280013E-5</v>
      </c>
      <c r="F3474">
        <v>102.893</v>
      </c>
      <c r="G3474" s="1">
        <f t="shared" si="163"/>
        <v>102.602401</v>
      </c>
    </row>
    <row r="3475" spans="1:7" x14ac:dyDescent="0.3">
      <c r="A3475">
        <v>34730</v>
      </c>
      <c r="B3475">
        <v>1450.8</v>
      </c>
      <c r="C3475">
        <v>111.01300000000001</v>
      </c>
      <c r="D3475" s="15">
        <f t="shared" si="164"/>
        <v>7.5000000000002839E-5</v>
      </c>
      <c r="E3475" s="14">
        <f t="shared" si="162"/>
        <v>4.0138542947430004E-5</v>
      </c>
      <c r="F3475">
        <v>102.879</v>
      </c>
      <c r="G3475" s="1">
        <f t="shared" si="163"/>
        <v>102.601271</v>
      </c>
    </row>
    <row r="3476" spans="1:7" x14ac:dyDescent="0.3">
      <c r="A3476">
        <v>34740</v>
      </c>
      <c r="B3476">
        <v>1452</v>
      </c>
      <c r="C3476">
        <v>111.01300000000001</v>
      </c>
      <c r="D3476" s="15">
        <f t="shared" si="164"/>
        <v>4.9999999999883471E-5</v>
      </c>
      <c r="E3476" s="14">
        <f t="shared" si="162"/>
        <v>4.0134004528919996E-5</v>
      </c>
      <c r="F3476">
        <v>102.86499999999999</v>
      </c>
      <c r="G3476" s="1">
        <f t="shared" si="163"/>
        <v>102.60014100000001</v>
      </c>
    </row>
    <row r="3477" spans="1:7" x14ac:dyDescent="0.3">
      <c r="A3477">
        <v>34750</v>
      </c>
      <c r="B3477">
        <v>1453.3</v>
      </c>
      <c r="C3477">
        <v>111.012</v>
      </c>
      <c r="D3477" s="15">
        <f t="shared" si="164"/>
        <v>5.0000000000238744E-5</v>
      </c>
      <c r="E3477" s="14">
        <f t="shared" si="162"/>
        <v>4.0129478793749976E-5</v>
      </c>
      <c r="F3477">
        <v>102.851</v>
      </c>
      <c r="G3477" s="1">
        <f t="shared" si="163"/>
        <v>102.599011</v>
      </c>
    </row>
    <row r="3478" spans="1:7" x14ac:dyDescent="0.3">
      <c r="A3478">
        <v>34760</v>
      </c>
      <c r="B3478">
        <v>1454.8</v>
      </c>
      <c r="C3478">
        <v>111.012</v>
      </c>
      <c r="D3478" s="15">
        <f t="shared" si="164"/>
        <v>7.5000000000002839E-5</v>
      </c>
      <c r="E3478" s="14">
        <f t="shared" si="162"/>
        <v>4.0124965741919998E-5</v>
      </c>
      <c r="F3478">
        <v>102.837</v>
      </c>
      <c r="G3478" s="1">
        <f t="shared" si="163"/>
        <v>102.597881</v>
      </c>
    </row>
    <row r="3479" spans="1:7" x14ac:dyDescent="0.3">
      <c r="A3479">
        <v>34770</v>
      </c>
      <c r="B3479">
        <v>1456.5</v>
      </c>
      <c r="C3479">
        <v>111.011</v>
      </c>
      <c r="D3479" s="15">
        <f t="shared" si="164"/>
        <v>4.9999999999883471E-5</v>
      </c>
      <c r="E3479" s="14">
        <f t="shared" si="162"/>
        <v>4.0120465373429993E-5</v>
      </c>
      <c r="F3479">
        <v>102.822</v>
      </c>
      <c r="G3479" s="1">
        <f t="shared" si="163"/>
        <v>102.596751</v>
      </c>
    </row>
    <row r="3480" spans="1:7" x14ac:dyDescent="0.3">
      <c r="A3480">
        <v>34780</v>
      </c>
      <c r="B3480">
        <v>1458.3</v>
      </c>
      <c r="C3480">
        <v>111.01</v>
      </c>
      <c r="D3480" s="15">
        <f t="shared" si="164"/>
        <v>7.5000000000002839E-5</v>
      </c>
      <c r="E3480" s="14">
        <f t="shared" si="162"/>
        <v>4.0115977688279976E-5</v>
      </c>
      <c r="F3480">
        <v>102.80800000000001</v>
      </c>
      <c r="G3480" s="1">
        <f t="shared" si="163"/>
        <v>102.59562100000001</v>
      </c>
    </row>
    <row r="3481" spans="1:7" x14ac:dyDescent="0.3">
      <c r="A3481">
        <v>34790</v>
      </c>
      <c r="B3481">
        <v>1460.4</v>
      </c>
      <c r="C3481">
        <v>111.01</v>
      </c>
      <c r="D3481" s="15">
        <f t="shared" si="164"/>
        <v>7.5000000000002839E-5</v>
      </c>
      <c r="E3481" s="14">
        <f t="shared" si="162"/>
        <v>4.0111502686470001E-5</v>
      </c>
      <c r="F3481">
        <v>102.794</v>
      </c>
      <c r="G3481" s="1">
        <f t="shared" si="163"/>
        <v>102.594491</v>
      </c>
    </row>
    <row r="3482" spans="1:7" x14ac:dyDescent="0.3">
      <c r="A3482">
        <v>34800</v>
      </c>
      <c r="B3482">
        <v>1462.6</v>
      </c>
      <c r="C3482">
        <v>111.009</v>
      </c>
      <c r="D3482" s="15">
        <f t="shared" si="164"/>
        <v>5.0000000000238744E-5</v>
      </c>
      <c r="E3482" s="14">
        <f t="shared" si="162"/>
        <v>4.0107040368E-5</v>
      </c>
      <c r="F3482">
        <v>102.78</v>
      </c>
      <c r="G3482" s="1">
        <f t="shared" si="163"/>
        <v>102.593361</v>
      </c>
    </row>
    <row r="3483" spans="1:7" x14ac:dyDescent="0.3">
      <c r="A3483">
        <v>34810</v>
      </c>
      <c r="B3483">
        <v>1465.5</v>
      </c>
      <c r="C3483">
        <v>111.008</v>
      </c>
      <c r="D3483" s="15">
        <f t="shared" si="164"/>
        <v>7.5000000000002839E-5</v>
      </c>
      <c r="E3483" s="14">
        <f t="shared" si="162"/>
        <v>4.0102590732869986E-5</v>
      </c>
      <c r="F3483">
        <v>102.76600000000001</v>
      </c>
      <c r="G3483" s="1">
        <f t="shared" si="163"/>
        <v>102.592231</v>
      </c>
    </row>
    <row r="3484" spans="1:7" x14ac:dyDescent="0.3">
      <c r="A3484">
        <v>34820</v>
      </c>
      <c r="B3484">
        <v>1468.6</v>
      </c>
      <c r="C3484">
        <v>111.008</v>
      </c>
      <c r="D3484" s="15">
        <f t="shared" si="164"/>
        <v>4.9999999999883471E-5</v>
      </c>
      <c r="E3484" s="14">
        <f t="shared" si="162"/>
        <v>4.0098153781080001E-5</v>
      </c>
      <c r="F3484">
        <v>102.751</v>
      </c>
      <c r="G3484" s="1">
        <f t="shared" si="163"/>
        <v>102.59110100000001</v>
      </c>
    </row>
    <row r="3485" spans="1:7" x14ac:dyDescent="0.3">
      <c r="A3485">
        <v>34830</v>
      </c>
      <c r="B3485">
        <v>1472</v>
      </c>
      <c r="C3485">
        <v>111.00700000000001</v>
      </c>
      <c r="D3485" s="15">
        <f t="shared" si="164"/>
        <v>4.9999999999883471E-5</v>
      </c>
      <c r="E3485" s="14">
        <f t="shared" si="162"/>
        <v>4.0093729512630003E-5</v>
      </c>
      <c r="F3485">
        <v>102.73699999999999</v>
      </c>
      <c r="G3485" s="1">
        <f t="shared" si="163"/>
        <v>102.58997100000001</v>
      </c>
    </row>
    <row r="3486" spans="1:7" x14ac:dyDescent="0.3">
      <c r="A3486">
        <v>34840</v>
      </c>
      <c r="B3486">
        <v>1474.5</v>
      </c>
      <c r="C3486">
        <v>111.00700000000001</v>
      </c>
      <c r="D3486" s="15">
        <f t="shared" si="164"/>
        <v>4.9999999999883471E-5</v>
      </c>
      <c r="E3486" s="14">
        <f t="shared" si="162"/>
        <v>4.0089317927519992E-5</v>
      </c>
      <c r="F3486">
        <v>102.723</v>
      </c>
      <c r="G3486" s="1">
        <f t="shared" si="163"/>
        <v>102.588841</v>
      </c>
    </row>
    <row r="3487" spans="1:7" x14ac:dyDescent="0.3">
      <c r="A3487">
        <v>34850</v>
      </c>
      <c r="B3487">
        <v>1476.5</v>
      </c>
      <c r="C3487">
        <v>111.006</v>
      </c>
      <c r="D3487" s="15">
        <f t="shared" si="164"/>
        <v>5.0000000000238744E-5</v>
      </c>
      <c r="E3487" s="14">
        <f t="shared" si="162"/>
        <v>4.008491902575001E-5</v>
      </c>
      <c r="F3487">
        <v>102.709</v>
      </c>
      <c r="G3487" s="1">
        <f t="shared" si="163"/>
        <v>102.587711</v>
      </c>
    </row>
    <row r="3488" spans="1:7" x14ac:dyDescent="0.3">
      <c r="A3488">
        <v>34860</v>
      </c>
      <c r="B3488">
        <v>1478.3</v>
      </c>
      <c r="C3488">
        <v>111.006</v>
      </c>
      <c r="D3488" s="15">
        <f t="shared" si="164"/>
        <v>7.5000000000002839E-5</v>
      </c>
      <c r="E3488" s="14">
        <f t="shared" si="162"/>
        <v>4.0080532807319988E-5</v>
      </c>
      <c r="F3488">
        <v>102.69499999999999</v>
      </c>
      <c r="G3488" s="1">
        <f t="shared" si="163"/>
        <v>102.58658100000001</v>
      </c>
    </row>
    <row r="3489" spans="1:7" x14ac:dyDescent="0.3">
      <c r="A3489">
        <v>34870</v>
      </c>
      <c r="B3489">
        <v>1480.2</v>
      </c>
      <c r="C3489">
        <v>111.005</v>
      </c>
      <c r="D3489" s="15">
        <f t="shared" si="164"/>
        <v>4.9999999999883471E-5</v>
      </c>
      <c r="E3489" s="14">
        <f t="shared" si="162"/>
        <v>4.0076159272229981E-5</v>
      </c>
      <c r="F3489">
        <v>102.681</v>
      </c>
      <c r="G3489" s="1">
        <f t="shared" si="163"/>
        <v>102.58545100000001</v>
      </c>
    </row>
    <row r="3490" spans="1:7" x14ac:dyDescent="0.3">
      <c r="A3490">
        <v>34880</v>
      </c>
      <c r="B3490">
        <v>1482</v>
      </c>
      <c r="C3490">
        <v>111.004</v>
      </c>
      <c r="D3490" s="15">
        <f t="shared" si="164"/>
        <v>7.5000000000002839E-5</v>
      </c>
      <c r="E3490" s="14">
        <f t="shared" si="162"/>
        <v>4.0071798420480002E-5</v>
      </c>
      <c r="F3490">
        <v>102.666</v>
      </c>
      <c r="G3490" s="1">
        <f t="shared" si="163"/>
        <v>102.584321</v>
      </c>
    </row>
    <row r="3491" spans="1:7" x14ac:dyDescent="0.3">
      <c r="A3491">
        <v>34890</v>
      </c>
      <c r="B3491">
        <v>1483.8</v>
      </c>
      <c r="C3491">
        <v>111.004</v>
      </c>
      <c r="D3491" s="15">
        <f t="shared" si="164"/>
        <v>4.9999999999883471E-5</v>
      </c>
      <c r="E3491" s="14">
        <f t="shared" si="162"/>
        <v>4.0067450252069997E-5</v>
      </c>
      <c r="F3491">
        <v>102.652</v>
      </c>
      <c r="G3491" s="1">
        <f t="shared" si="163"/>
        <v>102.583191</v>
      </c>
    </row>
    <row r="3492" spans="1:7" x14ac:dyDescent="0.3">
      <c r="A3492">
        <v>34900</v>
      </c>
      <c r="B3492">
        <v>1485.6</v>
      </c>
      <c r="C3492">
        <v>111.003</v>
      </c>
      <c r="D3492" s="15">
        <f t="shared" si="164"/>
        <v>5.0000000000238744E-5</v>
      </c>
      <c r="E3492" s="14">
        <f t="shared" si="162"/>
        <v>4.0063114766999993E-5</v>
      </c>
      <c r="F3492">
        <v>102.63800000000001</v>
      </c>
      <c r="G3492" s="1">
        <f t="shared" si="163"/>
        <v>102.58206100000001</v>
      </c>
    </row>
    <row r="3493" spans="1:7" x14ac:dyDescent="0.3">
      <c r="A3493">
        <v>34910</v>
      </c>
      <c r="B3493">
        <v>1487.4</v>
      </c>
      <c r="C3493">
        <v>111.003</v>
      </c>
      <c r="D3493" s="15">
        <f t="shared" si="164"/>
        <v>5.0000000000238744E-5</v>
      </c>
      <c r="E3493" s="14">
        <f t="shared" si="162"/>
        <v>4.0058791965270018E-5</v>
      </c>
      <c r="F3493">
        <v>102.624</v>
      </c>
      <c r="G3493" s="1">
        <f t="shared" si="163"/>
        <v>102.58093100000001</v>
      </c>
    </row>
    <row r="3494" spans="1:7" x14ac:dyDescent="0.3">
      <c r="A3494">
        <v>34920</v>
      </c>
      <c r="B3494">
        <v>1489.4</v>
      </c>
      <c r="C3494">
        <v>111.002</v>
      </c>
      <c r="D3494" s="15">
        <f t="shared" si="164"/>
        <v>4.9999999999883471E-5</v>
      </c>
      <c r="E3494" s="14">
        <f t="shared" si="162"/>
        <v>4.0054481846880002E-5</v>
      </c>
      <c r="F3494">
        <v>102.61</v>
      </c>
      <c r="G3494" s="1">
        <f t="shared" si="163"/>
        <v>102.579801</v>
      </c>
    </row>
    <row r="3495" spans="1:7" x14ac:dyDescent="0.3">
      <c r="A3495">
        <v>34930</v>
      </c>
      <c r="B3495">
        <v>1491.3</v>
      </c>
      <c r="C3495">
        <v>111.002</v>
      </c>
      <c r="D3495" s="15">
        <f t="shared" si="164"/>
        <v>4.9999999999883471E-5</v>
      </c>
      <c r="E3495" s="14">
        <f t="shared" si="162"/>
        <v>4.0050184411829988E-5</v>
      </c>
      <c r="F3495">
        <v>102.596</v>
      </c>
      <c r="G3495" s="1">
        <f t="shared" si="163"/>
        <v>102.578671</v>
      </c>
    </row>
    <row r="3496" spans="1:7" x14ac:dyDescent="0.3">
      <c r="A3496">
        <v>34940</v>
      </c>
      <c r="B3496">
        <v>1493.3</v>
      </c>
      <c r="C3496">
        <v>111.001</v>
      </c>
      <c r="D3496" s="15">
        <f t="shared" si="164"/>
        <v>4.9999999999883471E-5</v>
      </c>
      <c r="E3496" s="14">
        <f t="shared" si="162"/>
        <v>4.0045899660119975E-5</v>
      </c>
      <c r="F3496">
        <v>102.581</v>
      </c>
      <c r="G3496" s="1">
        <f t="shared" si="163"/>
        <v>102.577541</v>
      </c>
    </row>
    <row r="3497" spans="1:7" x14ac:dyDescent="0.3">
      <c r="A3497">
        <v>34950</v>
      </c>
      <c r="B3497">
        <v>1495.3</v>
      </c>
      <c r="C3497">
        <v>111.001</v>
      </c>
      <c r="D3497" s="13">
        <f>D3496</f>
        <v>4.9999999999883471E-5</v>
      </c>
      <c r="E3497" s="14">
        <f t="shared" si="162"/>
        <v>4.0041627591750004E-5</v>
      </c>
      <c r="F3497">
        <v>102.56699999999999</v>
      </c>
      <c r="G3497" s="1">
        <f t="shared" si="163"/>
        <v>102.57641100000001</v>
      </c>
    </row>
    <row r="3498" spans="1:7" x14ac:dyDescent="0.3">
      <c r="A3498">
        <v>34960</v>
      </c>
      <c r="B3498">
        <v>1497.4</v>
      </c>
      <c r="C3498">
        <v>111</v>
      </c>
      <c r="D3498" s="13">
        <f>D3497</f>
        <v>4.9999999999883471E-5</v>
      </c>
      <c r="E3498" s="14">
        <f t="shared" si="162"/>
        <v>4.0037368206719993E-5</v>
      </c>
      <c r="F3498">
        <v>102.553</v>
      </c>
      <c r="G3498" s="1">
        <f t="shared" si="163"/>
        <v>102.575281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48C0-7818-4E5C-8B0D-8A3970756ED4}">
  <dimension ref="A1:C3"/>
  <sheetViews>
    <sheetView workbookViewId="0">
      <selection activeCell="D29" sqref="D29"/>
    </sheetView>
  </sheetViews>
  <sheetFormatPr defaultRowHeight="14.4" x14ac:dyDescent="0.3"/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>
        <v>0</v>
      </c>
      <c r="B2">
        <v>125.71</v>
      </c>
      <c r="C2">
        <v>125.88200000000001</v>
      </c>
    </row>
    <row r="3" spans="1:3" x14ac:dyDescent="0.3">
      <c r="A3">
        <v>500</v>
      </c>
      <c r="B3">
        <f>B2</f>
        <v>125.71</v>
      </c>
      <c r="C3">
        <f>C2</f>
        <v>125.88200000000001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ranges</vt:lpstr>
      <vt:lpstr>values</vt:lpstr>
      <vt:lpstr>geomorph</vt:lpstr>
      <vt:lpstr>HWmarks</vt:lpstr>
    </vt:vector>
  </TitlesOfParts>
  <Company>Government of Manitoba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KLindensch</dc:creator>
  <cp:lastModifiedBy>Lindenschmidt, Karl-Erich</cp:lastModifiedBy>
  <cp:lastPrinted>2011-10-31T19:45:38Z</cp:lastPrinted>
  <dcterms:created xsi:type="dcterms:W3CDTF">2011-08-17T15:06:34Z</dcterms:created>
  <dcterms:modified xsi:type="dcterms:W3CDTF">2026-03-16T12:18:27Z</dcterms:modified>
</cp:coreProperties>
</file>